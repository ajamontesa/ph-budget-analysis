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AJ\GitHub Repositories\ph-budget-analysis\data\"/>
    </mc:Choice>
  </mc:AlternateContent>
  <xr:revisionPtr revIDLastSave="0" documentId="13_ncr:1_{D889A971-0832-4BB9-A23F-000CA64EEC7C}" xr6:coauthVersionLast="47" xr6:coauthVersionMax="47" xr10:uidLastSave="{00000000-0000-0000-0000-000000000000}"/>
  <bookViews>
    <workbookView xWindow="-120" yWindow="-120" windowWidth="29040" windowHeight="15720" activeTab="4" xr2:uid="{824ECAA5-2567-4B62-8B17-2DFD8E338EE3}"/>
  </bookViews>
  <sheets>
    <sheet name="DAR" sheetId="6" r:id="rId1"/>
    <sheet name="DA" sheetId="9" r:id="rId2"/>
    <sheet name="DepEd" sheetId="2" r:id="rId3"/>
    <sheet name="DOE" sheetId="12" r:id="rId4"/>
    <sheet name="DENR" sheetId="11" r:id="rId5"/>
    <sheet name="DOH" sheetId="1" r:id="rId6"/>
    <sheet name="DSWD" sheetId="7" r:id="rId7"/>
    <sheet name="PCW" sheetId="14" r:id="rId8"/>
    <sheet name="TESDA" sheetId="5" r:id="rId9"/>
    <sheet name="Judiciary" sheetId="13" r:id="rId10"/>
    <sheet name="DA Discrepancy" sheetId="10" r:id="rId11"/>
  </sheets>
  <definedNames>
    <definedName name="_xlnm._FilterDatabase" localSheetId="1" hidden="1">DA!$A$1:$KK$1</definedName>
    <definedName name="_xlnm._FilterDatabase" localSheetId="6" hidden="1">DSWD!$A$1:$KK$112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O69" i="9" l="1"/>
  <c r="LN69" i="9"/>
  <c r="LL69" i="9"/>
  <c r="G71" i="10"/>
  <c r="E71" i="10"/>
  <c r="O69" i="10"/>
  <c r="I69" i="10"/>
  <c r="O68" i="10"/>
  <c r="I68" i="10"/>
  <c r="O67" i="10"/>
  <c r="I67" i="10"/>
  <c r="O66" i="10"/>
  <c r="I66" i="10"/>
  <c r="O65" i="10"/>
  <c r="I65" i="10"/>
  <c r="O64" i="10"/>
  <c r="I64" i="10"/>
  <c r="O63" i="10"/>
  <c r="I63" i="10"/>
  <c r="O62" i="10"/>
  <c r="I62" i="10"/>
  <c r="O61" i="10"/>
  <c r="I61" i="10"/>
  <c r="O60" i="10"/>
  <c r="I60" i="10"/>
  <c r="O59" i="10"/>
  <c r="I59" i="10"/>
  <c r="O58" i="10"/>
  <c r="I58" i="10"/>
  <c r="O57" i="10"/>
  <c r="I57" i="10"/>
  <c r="O56" i="10"/>
  <c r="I56" i="10"/>
  <c r="O55" i="10"/>
  <c r="I55" i="10"/>
  <c r="O54" i="10"/>
  <c r="I54" i="10"/>
  <c r="O53" i="10"/>
  <c r="I53" i="10"/>
  <c r="O52" i="10"/>
  <c r="I52" i="10"/>
  <c r="O51" i="10"/>
  <c r="I51" i="10"/>
  <c r="O50" i="10"/>
  <c r="I50" i="10"/>
  <c r="O49" i="10"/>
  <c r="I49" i="10"/>
  <c r="O48" i="10"/>
  <c r="I48" i="10"/>
  <c r="O47" i="10"/>
  <c r="I47" i="10"/>
  <c r="O46" i="10"/>
  <c r="I46" i="10"/>
  <c r="O45" i="10"/>
  <c r="I45" i="10"/>
  <c r="O44" i="10"/>
  <c r="I44" i="10"/>
  <c r="O43" i="10"/>
  <c r="I43" i="10"/>
  <c r="O42" i="10"/>
  <c r="I42" i="10"/>
  <c r="O41" i="10"/>
  <c r="I41" i="10"/>
  <c r="O40" i="10"/>
  <c r="I40" i="10"/>
  <c r="O39" i="10"/>
  <c r="I39" i="10"/>
  <c r="O38" i="10"/>
  <c r="I38" i="10"/>
  <c r="O37" i="10"/>
  <c r="I37" i="10"/>
  <c r="O36" i="10"/>
  <c r="I36" i="10"/>
  <c r="O35" i="10"/>
  <c r="I35" i="10"/>
  <c r="O34" i="10"/>
  <c r="I34" i="10"/>
  <c r="O33" i="10"/>
  <c r="I33" i="10"/>
  <c r="O32" i="10"/>
  <c r="I32" i="10"/>
  <c r="O31" i="10"/>
  <c r="I31" i="10"/>
  <c r="O30" i="10"/>
  <c r="I30" i="10"/>
  <c r="O29" i="10"/>
  <c r="I29" i="10"/>
  <c r="O28" i="10"/>
  <c r="I28" i="10"/>
  <c r="O27" i="10"/>
  <c r="I27" i="10"/>
  <c r="O26" i="10"/>
  <c r="I26" i="10"/>
  <c r="O25" i="10"/>
  <c r="I25" i="10"/>
  <c r="O24" i="10"/>
  <c r="I24" i="10"/>
  <c r="O23" i="10"/>
  <c r="I23" i="10"/>
  <c r="O22" i="10"/>
  <c r="I22" i="10"/>
  <c r="O21" i="10"/>
  <c r="I21" i="10"/>
  <c r="O20" i="10"/>
  <c r="I20" i="10"/>
  <c r="O19" i="10"/>
  <c r="I19" i="10"/>
  <c r="O18" i="10"/>
  <c r="I18" i="10"/>
  <c r="O17" i="10"/>
  <c r="I17" i="10"/>
  <c r="O16" i="10"/>
  <c r="I16" i="10"/>
  <c r="O15" i="10"/>
  <c r="I15" i="10"/>
  <c r="O14" i="10"/>
  <c r="I14" i="10"/>
  <c r="O13" i="10"/>
  <c r="I13" i="10"/>
  <c r="O12" i="10"/>
  <c r="I12" i="10"/>
  <c r="O11" i="10"/>
  <c r="I11" i="10"/>
  <c r="O10" i="10"/>
  <c r="I10" i="10"/>
  <c r="O9" i="10"/>
  <c r="I9" i="10"/>
  <c r="O8" i="10"/>
  <c r="I8" i="10"/>
  <c r="O7" i="10"/>
  <c r="I7" i="10"/>
  <c r="O6" i="10"/>
  <c r="I6" i="10"/>
  <c r="O5" i="10"/>
  <c r="I5" i="10"/>
  <c r="O4" i="10"/>
  <c r="I4" i="10"/>
  <c r="O3" i="10"/>
  <c r="I3" i="10"/>
  <c r="O2" i="10"/>
  <c r="I2" i="10"/>
  <c r="EU25" i="5"/>
  <c r="EP25" i="5"/>
  <c r="EK25" i="5"/>
  <c r="EF25" i="5"/>
  <c r="EU24" i="5"/>
  <c r="EP24" i="5"/>
  <c r="EK24" i="5"/>
  <c r="EF24" i="5"/>
  <c r="EU23" i="5"/>
  <c r="EP23" i="5"/>
  <c r="EK23" i="5"/>
  <c r="EF23" i="5"/>
  <c r="EU22" i="5"/>
  <c r="EP22" i="5"/>
  <c r="EK22" i="5"/>
  <c r="EF22" i="5"/>
  <c r="EU21" i="5"/>
  <c r="EP21" i="5"/>
  <c r="EK21" i="5"/>
  <c r="EF21" i="5"/>
  <c r="EU20" i="5"/>
  <c r="EP20" i="5"/>
  <c r="EK20" i="5"/>
  <c r="EF20" i="5"/>
  <c r="EU19" i="5"/>
  <c r="EP19" i="5"/>
  <c r="EK19" i="5"/>
  <c r="EF19" i="5"/>
  <c r="EU18" i="5"/>
  <c r="EP18" i="5"/>
  <c r="EK18" i="5"/>
  <c r="EF18" i="5"/>
  <c r="EU17" i="5"/>
  <c r="EP17" i="5"/>
  <c r="EK17" i="5"/>
  <c r="EF17" i="5"/>
  <c r="FW10" i="5"/>
  <c r="FS10" i="5"/>
  <c r="FO10" i="5"/>
  <c r="FK10" i="5"/>
  <c r="FG10" i="5"/>
  <c r="FW9" i="5"/>
  <c r="FS9" i="5"/>
  <c r="FO9" i="5"/>
  <c r="FK9" i="5"/>
  <c r="FG9" i="5"/>
  <c r="FW8" i="5"/>
  <c r="FS8" i="5"/>
  <c r="FO8" i="5"/>
  <c r="FK8" i="5"/>
  <c r="FG8" i="5"/>
  <c r="FW7" i="5"/>
  <c r="FS7" i="5"/>
  <c r="FO7" i="5"/>
  <c r="FK7" i="5"/>
  <c r="FG7" i="5"/>
  <c r="FW6" i="5"/>
  <c r="FS6" i="5"/>
  <c r="FO6" i="5"/>
  <c r="FK6" i="5"/>
  <c r="FG6" i="5"/>
  <c r="FW5" i="5"/>
  <c r="FS5" i="5"/>
  <c r="FO5" i="5"/>
  <c r="FK5" i="5"/>
  <c r="FG5" i="5"/>
  <c r="FW4" i="5"/>
  <c r="FS4" i="5"/>
  <c r="FO4" i="5"/>
  <c r="FK4" i="5"/>
  <c r="FG4" i="5"/>
  <c r="FW3" i="5"/>
  <c r="FS3" i="5"/>
  <c r="FO3" i="5"/>
  <c r="FK3" i="5"/>
  <c r="FG3" i="5"/>
  <c r="FW2" i="5"/>
  <c r="FS2" i="5"/>
  <c r="FO2" i="5"/>
  <c r="FK2" i="5"/>
  <c r="FG2" i="5"/>
  <c r="HZ21" i="12"/>
  <c r="HU21" i="12"/>
  <c r="HL21" i="12"/>
  <c r="HZ20" i="12"/>
  <c r="HU20" i="12"/>
  <c r="HL20" i="12"/>
  <c r="HZ19" i="12"/>
  <c r="HU19" i="12"/>
  <c r="HL19" i="12"/>
  <c r="HZ18" i="12"/>
  <c r="HU18" i="12"/>
  <c r="HL18" i="12"/>
  <c r="HZ17" i="12"/>
  <c r="HU17" i="12"/>
  <c r="HL17" i="12"/>
  <c r="HZ16" i="12"/>
  <c r="HU16" i="12"/>
  <c r="HL16" i="12"/>
  <c r="HZ15" i="12"/>
  <c r="HU15" i="12"/>
  <c r="HL15" i="12"/>
  <c r="HZ14" i="12"/>
  <c r="HU14" i="12"/>
  <c r="HL14" i="12"/>
  <c r="HZ13" i="12"/>
  <c r="HU13" i="12"/>
  <c r="HL13" i="12"/>
  <c r="HZ12" i="12"/>
  <c r="HU12" i="12"/>
  <c r="HL12" i="12"/>
  <c r="HZ11" i="12"/>
  <c r="HU11" i="12"/>
  <c r="HL11" i="12"/>
  <c r="HZ10" i="12"/>
  <c r="HU10" i="12"/>
  <c r="HL10" i="12"/>
  <c r="HZ9" i="12"/>
  <c r="HU9" i="12"/>
  <c r="HL9" i="12"/>
  <c r="HZ8" i="12"/>
  <c r="HU8" i="12"/>
  <c r="HL8" i="12"/>
  <c r="HZ7" i="12"/>
  <c r="HU7" i="12"/>
  <c r="HL7" i="12"/>
  <c r="HZ6" i="12"/>
  <c r="HU6" i="12"/>
  <c r="HL6" i="12"/>
  <c r="HZ5" i="12"/>
  <c r="HU5" i="12"/>
  <c r="HL5" i="12"/>
  <c r="HZ4" i="12"/>
  <c r="HU4" i="12"/>
  <c r="HL4" i="12"/>
  <c r="HZ3" i="12"/>
  <c r="HU3" i="12"/>
  <c r="HL3" i="12"/>
  <c r="HZ2" i="12"/>
  <c r="HU2" i="12"/>
  <c r="HL2" i="12"/>
  <c r="JZ69" i="9"/>
  <c r="JX69" i="9"/>
  <c r="JU69" i="9"/>
  <c r="JS69" i="9"/>
  <c r="JP69" i="9"/>
  <c r="JN69" i="9"/>
  <c r="JK69" i="9"/>
  <c r="JI69" i="9"/>
  <c r="JF69" i="9"/>
  <c r="JD69" i="9"/>
  <c r="CM69" i="9"/>
  <c r="CK69" i="9"/>
  <c r="Q69" i="9"/>
  <c r="P69" i="9"/>
  <c r="N69" i="9"/>
  <c r="HW27" i="6"/>
  <c r="HV27" i="6"/>
  <c r="HU27" i="6"/>
  <c r="HT27" i="6"/>
  <c r="HS27" i="6"/>
  <c r="HR27" i="6"/>
  <c r="HQ27" i="6"/>
  <c r="HP27" i="6"/>
  <c r="HO27" i="6"/>
  <c r="HN27" i="6"/>
  <c r="HM27" i="6"/>
  <c r="HL27" i="6"/>
  <c r="HK27" i="6"/>
  <c r="HJ27" i="6"/>
  <c r="HI27" i="6"/>
  <c r="HH27" i="6"/>
  <c r="HG27" i="6"/>
  <c r="HF27" i="6"/>
  <c r="HE27" i="6"/>
  <c r="HD27" i="6"/>
</calcChain>
</file>

<file path=xl/sharedStrings.xml><?xml version="1.0" encoding="utf-8"?>
<sst xmlns="http://schemas.openxmlformats.org/spreadsheetml/2006/main" count="8514" uniqueCount="1373">
  <si>
    <t>DEPARTMENT</t>
  </si>
  <si>
    <t>UACS_DPT_DSC</t>
  </si>
  <si>
    <t>AGENCY</t>
  </si>
  <si>
    <t>UACS_AGY_DSC</t>
  </si>
  <si>
    <t>PREXC_PROG</t>
  </si>
  <si>
    <t>PREXC_SUBPROG</t>
  </si>
  <si>
    <t>P/A/P</t>
  </si>
  <si>
    <t>NEP_2018_EXP_TOTAL</t>
  </si>
  <si>
    <t>GAA_2018_EXP_TOTAL</t>
  </si>
  <si>
    <t>AuthAppro_2018_EXP_TOTAL</t>
  </si>
  <si>
    <t>AdjAppro_2018_EXP_TOTAL</t>
  </si>
  <si>
    <t>AdjAllot_2018_EXP_TOTAL</t>
  </si>
  <si>
    <t>Obligations_2018_EXP_TOTAL</t>
  </si>
  <si>
    <t>Disbursements_2018_EXP_TOTAL</t>
  </si>
  <si>
    <t>NEP_2019_EXP_TOTAL</t>
  </si>
  <si>
    <t>GAA_2019_EXP_TOTAL</t>
  </si>
  <si>
    <t>AuthAppro_2019_EXP_TOTAL</t>
  </si>
  <si>
    <t>AdjAppro_2019_EXP_TOTAL</t>
  </si>
  <si>
    <t>AdjAllot_2019_EXP_TOTAL</t>
  </si>
  <si>
    <t>Obligations_2019_EXP_TOTAL</t>
  </si>
  <si>
    <t>Disbursements_2019_EXP_TOTAL</t>
  </si>
  <si>
    <t>NEP_2020_EXP_1PS</t>
  </si>
  <si>
    <t>NEP_2020_EXP_2MOOE</t>
  </si>
  <si>
    <t>NEP_2020_EXP_6CO</t>
  </si>
  <si>
    <t>NEP_2020_EXP_TOTAL</t>
  </si>
  <si>
    <t>GAA_2020_EXP_1PS</t>
  </si>
  <si>
    <t>GAA_2020_EXP_2MOOE</t>
  </si>
  <si>
    <t>GAA_2020_EXP_6CO</t>
  </si>
  <si>
    <t>GAA_2020_EXP_TOTAL</t>
  </si>
  <si>
    <t>AuthAppro_2020_EXP_1PS</t>
  </si>
  <si>
    <t>AuthAppro_2020_EXP_2MOOE</t>
  </si>
  <si>
    <t>AuthAppro_2020_EXP_6CO</t>
  </si>
  <si>
    <t>AuthAppro_2020_EXP_TOTAL</t>
  </si>
  <si>
    <t>AdjAppro_2020_EXP_1PS</t>
  </si>
  <si>
    <t>AdjAppro_2020_EXP_2MOOE</t>
  </si>
  <si>
    <t>AdjAppro_2020_EXP_6CO</t>
  </si>
  <si>
    <t>AdjAppro_2020_EXP_TOTAL</t>
  </si>
  <si>
    <t>AdjAllot_2020_EXP_1PS</t>
  </si>
  <si>
    <t>AdjAllot_2020_EXP_2MOOE</t>
  </si>
  <si>
    <t>AdjAllot_2020_EXP_6CO</t>
  </si>
  <si>
    <t>AdjAllot_2020_EXP_TOTAL</t>
  </si>
  <si>
    <t>Obligations_2020_EXP_1PS</t>
  </si>
  <si>
    <t>Obligations_2020_EXP_2MOOE</t>
  </si>
  <si>
    <t>Obligations_2020_EXP_6CO</t>
  </si>
  <si>
    <t>Obligations_2020_EXP_TOTAL</t>
  </si>
  <si>
    <t>Disbursements_2020_EXP_1PS</t>
  </si>
  <si>
    <t>Disbursements_2020_EXP_2MOOE</t>
  </si>
  <si>
    <t>Disbursements_2020_EXP_6CO</t>
  </si>
  <si>
    <t>Disbursements_2020_EXP_TOTAL</t>
  </si>
  <si>
    <t>NEP_2021_EXP_1PS</t>
  </si>
  <si>
    <t>NEP_2021_EXP_2MOOE</t>
  </si>
  <si>
    <t>NEP_2021_EXP_6CO</t>
  </si>
  <si>
    <t>NEP_2021_EXP_TOTAL</t>
  </si>
  <si>
    <t>GAA_2021_EXP_1PS</t>
  </si>
  <si>
    <t>GAA_2021_EXP_2MOOE</t>
  </si>
  <si>
    <t>GAA_2021_EXP_6CO</t>
  </si>
  <si>
    <t>GAA_2021_EXP_TOTAL</t>
  </si>
  <si>
    <t>AuthAppro_2021_EXP_1PS</t>
  </si>
  <si>
    <t>AuthAppro_2021_EXP_2MOOE</t>
  </si>
  <si>
    <t>AuthAppro_2021_EXP_6CO</t>
  </si>
  <si>
    <t>AuthAppro_2021_EXP_TOTAL</t>
  </si>
  <si>
    <t>AdjAppro_2021_EXP_1PS</t>
  </si>
  <si>
    <t>AdjAppro_2021_EXP_2MOOE</t>
  </si>
  <si>
    <t>AdjAppro_2021_EXP_6CO</t>
  </si>
  <si>
    <t>AdjAppro_2021_EXP_TOTAL</t>
  </si>
  <si>
    <t>AdjAllot_2021_EXP_1PS</t>
  </si>
  <si>
    <t>AdjAllot_2021_EXP_2MOOE</t>
  </si>
  <si>
    <t>AdjAllot_2021_EXP_6CO</t>
  </si>
  <si>
    <t>AdjAllot_2021_EXP_TOTAL</t>
  </si>
  <si>
    <t>Obligations_2021_EXP_1PS</t>
  </si>
  <si>
    <t>Obligations_2021_EXP_2MOOE</t>
  </si>
  <si>
    <t>Obligations_2021_EXP_6CO</t>
  </si>
  <si>
    <t>Obligations_2021_EXP_TOTAL</t>
  </si>
  <si>
    <t>Disbursements_2021_EXP_1PS</t>
  </si>
  <si>
    <t>Disbursements_2021_EXP_2MOOE</t>
  </si>
  <si>
    <t>Disbursements_2021_EXP_6CO</t>
  </si>
  <si>
    <t>Disbursements_2021_EXP_TOTAL</t>
  </si>
  <si>
    <t>NEP_2022_EXP_1PS</t>
  </si>
  <si>
    <t>NEP_2022_EXP_2MOOE</t>
  </si>
  <si>
    <t>NEP_2022_EXP_6CO</t>
  </si>
  <si>
    <t>NEP_2022_EXP_TOTAL</t>
  </si>
  <si>
    <t>GAA_2022_EXP_1PS</t>
  </si>
  <si>
    <t>GAA_2022_EXP_2MOOE</t>
  </si>
  <si>
    <t>GAA_2022_EXP_6CO</t>
  </si>
  <si>
    <t>GAA_2022_EXP_TOTAL</t>
  </si>
  <si>
    <t>AuthAppro_2022_EXP_1PS</t>
  </si>
  <si>
    <t>AuthAppro_2022_EXP_2MOOE</t>
  </si>
  <si>
    <t>AuthAppro_2022_EXP_6CO</t>
  </si>
  <si>
    <t>AuthAppro_2022_EXP_TOTAL</t>
  </si>
  <si>
    <t>AdjAppro_2022_EXP_1PS</t>
  </si>
  <si>
    <t>AdjAppro_2022_EXP_2MOOE</t>
  </si>
  <si>
    <t>AdjAppro_2022_EXP_6CO</t>
  </si>
  <si>
    <t>AdjAppro_2022_EXP_TOTAL</t>
  </si>
  <si>
    <t>AdjAllot_2022_EXP_1PS</t>
  </si>
  <si>
    <t>AdjAllot_2022_EXP_2MOOE</t>
  </si>
  <si>
    <t>AdjAllot_2022_EXP_6CO</t>
  </si>
  <si>
    <t>AdjAllot_2022_EXP_TOTAL</t>
  </si>
  <si>
    <t>Obligations_2022_EXP_1PS</t>
  </si>
  <si>
    <t>Obligations_2022_EXP_2MOOE</t>
  </si>
  <si>
    <t>Obligations_2022_EXP_6CO</t>
  </si>
  <si>
    <t>Obligations_2022_EXP_TOTAL</t>
  </si>
  <si>
    <t>Disbursements_2022_EXP_1PS</t>
  </si>
  <si>
    <t>Disbursements_2022_EXP_2MOOE</t>
  </si>
  <si>
    <t>Disbursements_2022_EXP_6CO</t>
  </si>
  <si>
    <t>Disbursements_2022_EXP_TOTAL</t>
  </si>
  <si>
    <t>NEP_2023_EXP_1PS</t>
  </si>
  <si>
    <t>NEP_2023_EXP_2MOOE</t>
  </si>
  <si>
    <t>NEP_2023_EXP_6CO</t>
  </si>
  <si>
    <t>NEP_2023_EXP_TOTAL</t>
  </si>
  <si>
    <t>GAA_2023_EXP_1PS</t>
  </si>
  <si>
    <t>GAA_2023_EXP_2MOOE</t>
  </si>
  <si>
    <t>GAA_2023_EXP_6CO</t>
  </si>
  <si>
    <t>GAA_2023_EXP_TOTAL</t>
  </si>
  <si>
    <t>AuthAppro_2023_EXP_1PS</t>
  </si>
  <si>
    <t>AuthAppro_2023_EXP_2MOOE</t>
  </si>
  <si>
    <t>AuthAppro_2023_EXP_6CO</t>
  </si>
  <si>
    <t>AuthAppro_2023_EXP_TOTAL</t>
  </si>
  <si>
    <t>AdjAppro_2023_EXP_1PS</t>
  </si>
  <si>
    <t>AdjAppro_2023_EXP_2MOOE</t>
  </si>
  <si>
    <t>AdjAppro_2023_EXP_6CO</t>
  </si>
  <si>
    <t>AdjAppro_2023_EXP_TOTAL</t>
  </si>
  <si>
    <t>AdjAllot_2023_EXP_1PS</t>
  </si>
  <si>
    <t>AdjAllot_2023_EXP_2MOOE</t>
  </si>
  <si>
    <t>AdjAllot_2023_EXP_6CO</t>
  </si>
  <si>
    <t>AdjAllot_2023_EXP_TOTAL</t>
  </si>
  <si>
    <t>Obligations_2023_EXP_1PS</t>
  </si>
  <si>
    <t>Obligations_2023_EXP_2MOOE</t>
  </si>
  <si>
    <t>Obligations_2023_EXP_6CO</t>
  </si>
  <si>
    <t>Obligations_2023_EXP_TOTAL</t>
  </si>
  <si>
    <t>Disbursements_2023_EXP_1PS</t>
  </si>
  <si>
    <t>Disbursements_2023_EXP_2MOOE</t>
  </si>
  <si>
    <t>Disbursements_2023_EXP_6CO</t>
  </si>
  <si>
    <t>Disbursements_2023_EXP_TOTAL</t>
  </si>
  <si>
    <t>NEP_2024_EXP_1PS</t>
  </si>
  <si>
    <t>NEP_2024_EXP_2MOOE</t>
  </si>
  <si>
    <t>NEP_2024_EXP_6CO</t>
  </si>
  <si>
    <t>NEP_2024_EXP_TOTAL</t>
  </si>
  <si>
    <t>GAA_2024_EXP_1PS</t>
  </si>
  <si>
    <t>GAA_2024_EXP_2MOOE</t>
  </si>
  <si>
    <t>GAA_2024_EXP_6CO</t>
  </si>
  <si>
    <t>GAA_2024_EXP_TOTAL</t>
  </si>
  <si>
    <t>AuthAppro_2024_EXP_1PS</t>
  </si>
  <si>
    <t>AuthAppro_2024_EXP_2MOOE</t>
  </si>
  <si>
    <t>AuthAppro_2024_EXP_6CO</t>
  </si>
  <si>
    <t>AuthAppro_2024_EXP_TOTAL</t>
  </si>
  <si>
    <t>AdjAppro_2024_EXP_1PS</t>
  </si>
  <si>
    <t>AdjAppro_2024_EXP_2MOOE</t>
  </si>
  <si>
    <t>AdjAppro_2024_EXP_6CO</t>
  </si>
  <si>
    <t>AdjAppro_2024_EXP_TOTAL</t>
  </si>
  <si>
    <t>AdjAllot_2024_EXP_1PS</t>
  </si>
  <si>
    <t>AdjAllot_2024_EXP_2MOOE</t>
  </si>
  <si>
    <t>AdjAllot_2024_EXP_6CO</t>
  </si>
  <si>
    <t>AdjAllot_2024_EXP_TOTAL</t>
  </si>
  <si>
    <t>Obligations_2024_EXP_1PS</t>
  </si>
  <si>
    <t>Obligations_2024_EXP_2MOOE</t>
  </si>
  <si>
    <t>Obligations_2024_EXP_6CO</t>
  </si>
  <si>
    <t>Obligations_2024_EXP_TOTAL</t>
  </si>
  <si>
    <t>Disbursements_2024_EXP_1PS</t>
  </si>
  <si>
    <t>Disbursements_2024_EXP_2MOOE</t>
  </si>
  <si>
    <t>Disbursements_2024_EXP_6CO</t>
  </si>
  <si>
    <t>Disbursements_2024_EXP_TOTAL</t>
  </si>
  <si>
    <t>NEP_2025_EXP_1PS</t>
  </si>
  <si>
    <t>NEP_2025_EXP_2MOOE</t>
  </si>
  <si>
    <t>NEP_2025_EXP_6CO</t>
  </si>
  <si>
    <t>NEP_2025_EXP_TOTAL</t>
  </si>
  <si>
    <t>GAA_2025_EXP_1PS</t>
  </si>
  <si>
    <t>GAA_2025_EXP_2MOOE</t>
  </si>
  <si>
    <t>GAA_2025_EXP_6CO</t>
  </si>
  <si>
    <t>GAA_2025_EXP_TOTAL</t>
  </si>
  <si>
    <t>AuthAppro_2025_EXP_1PS</t>
  </si>
  <si>
    <t>AuthAppro_2025_EXP_2MOOE</t>
  </si>
  <si>
    <t>AuthAppro_2025_EXP_6CO</t>
  </si>
  <si>
    <t>AuthAppro_2025_EXP_TOTAL</t>
  </si>
  <si>
    <t>AdjAppro_2025_EXP_1PS</t>
  </si>
  <si>
    <t>AdjAppro_2025_EXP_2MOOE</t>
  </si>
  <si>
    <t>AdjAppro_2025_EXP_6CO</t>
  </si>
  <si>
    <t>AdjAppro_2025_EXP_TOTAL</t>
  </si>
  <si>
    <t>AdjAllot_2025_EXP_1PS</t>
  </si>
  <si>
    <t>AdjAllot_2025_EXP_2MOOE</t>
  </si>
  <si>
    <t>AdjAllot_2025_EXP_6CO</t>
  </si>
  <si>
    <t>AdjAllot_2025_EXP_TOTAL</t>
  </si>
  <si>
    <t>Obligations_2025_EXP_1PS</t>
  </si>
  <si>
    <t>Obligations_2025_EXP_2MOOE</t>
  </si>
  <si>
    <t>Obligations_2025_EXP_6CO</t>
  </si>
  <si>
    <t>Obligations_2025_EXP_TOTAL</t>
  </si>
  <si>
    <t>Disbursements_2025_EXP_1PS</t>
  </si>
  <si>
    <t>Disbursements_2025_EXP_2MOOE</t>
  </si>
  <si>
    <t>Disbursements_2025_EXP_6CO</t>
  </si>
  <si>
    <t>Disbursements_2025_EXP_TOTAL</t>
  </si>
  <si>
    <t>NEP_2026_EXP_1PS</t>
  </si>
  <si>
    <t>NEP_2026_EXP_2MOOE</t>
  </si>
  <si>
    <t>NEP_2026_EXP_6CO</t>
  </si>
  <si>
    <t>NEP_2026_EXP_TOTAL</t>
  </si>
  <si>
    <t>GAA_2026_EXP_1PS</t>
  </si>
  <si>
    <t>GAA_2026_EXP_2MOOE</t>
  </si>
  <si>
    <t>GAA_2026_EXP_6CO</t>
  </si>
  <si>
    <t>GAA_2026_EXP_TOTAL</t>
  </si>
  <si>
    <t>13</t>
  </si>
  <si>
    <t>Department of Health (DOH)</t>
  </si>
  <si>
    <t>001</t>
  </si>
  <si>
    <t>Office of the Secretary</t>
  </si>
  <si>
    <t>1000</t>
  </si>
  <si>
    <t>100000100001</t>
  </si>
  <si>
    <t>General Management and Supervision</t>
  </si>
  <si>
    <t>100000100002</t>
  </si>
  <si>
    <t>Administration of Personnel Benefits</t>
  </si>
  <si>
    <t>100000100003</t>
  </si>
  <si>
    <t>Corporate Communications</t>
  </si>
  <si>
    <t>2000</t>
  </si>
  <si>
    <t>200000100001</t>
  </si>
  <si>
    <t>Health Information Technology</t>
  </si>
  <si>
    <t>200000100002</t>
  </si>
  <si>
    <t>Operations of Regional Offices</t>
  </si>
  <si>
    <t>200000100003</t>
  </si>
  <si>
    <t>Procurement and Supply Chain Management Service</t>
  </si>
  <si>
    <t>200000200001</t>
  </si>
  <si>
    <t>Locally-Funded Project: Integrated Command and Monitoring Center for Unified Hospital Management Systems</t>
  </si>
  <si>
    <t>3101</t>
  </si>
  <si>
    <t>310100100001</t>
  </si>
  <si>
    <t>International Health Policy Development and Cooperation</t>
  </si>
  <si>
    <t>310100100002</t>
  </si>
  <si>
    <t>Health Sector Policy and Plan Development</t>
  </si>
  <si>
    <t>310100100003</t>
  </si>
  <si>
    <t>Health Sector Research Development</t>
  </si>
  <si>
    <t>3102</t>
  </si>
  <si>
    <t>310201100001</t>
  </si>
  <si>
    <t>Health Facility Policy and Plan Development</t>
  </si>
  <si>
    <t>310201100002</t>
  </si>
  <si>
    <t>Health Facilities Enhancement Program</t>
  </si>
  <si>
    <t>310201100003</t>
  </si>
  <si>
    <t>Local Health Systems Development and Assistance</t>
  </si>
  <si>
    <t>310201100004</t>
  </si>
  <si>
    <t>Pharmaceutical Management</t>
  </si>
  <si>
    <t>310202100001</t>
  </si>
  <si>
    <t>Human Resources for Health (HRH) Deployment</t>
  </si>
  <si>
    <t>310202100002</t>
  </si>
  <si>
    <t>Human Resources for Health (HRH) and Institutional Capacity Management</t>
  </si>
  <si>
    <t>310202100003</t>
  </si>
  <si>
    <t>National Health Workforce Support System (NHWSS)</t>
  </si>
  <si>
    <t>310203100001</t>
  </si>
  <si>
    <t>Health Promotion</t>
  </si>
  <si>
    <t>3103</t>
  </si>
  <si>
    <t>310300200001</t>
  </si>
  <si>
    <t>Locally-Funded Project: COVID-19 Laboratory Network Commodities</t>
  </si>
  <si>
    <t>310300200002</t>
  </si>
  <si>
    <t>Locally-Funded Project: COVID-19 Human Resources for Health Emergency Hiring</t>
  </si>
  <si>
    <t>310300200003</t>
  </si>
  <si>
    <t>Locally-Funded Project: Public Health Emergency Benefits and Allowances for Health Care and Non-Health Care Workers</t>
  </si>
  <si>
    <t>310300300002</t>
  </si>
  <si>
    <t>Foreign-Assisted Project: Health System Enhancement to Address and Limit (HEAL) COVID-19</t>
  </si>
  <si>
    <t>310300300003</t>
  </si>
  <si>
    <t>Foreign-Assisted Project: Philippines COVID-19 Emergency Response Project (ERP) Loan No. 9105-PH</t>
  </si>
  <si>
    <t>310300300004</t>
  </si>
  <si>
    <t>Foreign-Assisted Project: Philippines COVID-19 Emergency Response Project 2 (PCERP 2) WB Loan No. 9220-PH</t>
  </si>
  <si>
    <t>310300300007</t>
  </si>
  <si>
    <t>Foreign-Assisted Project: World Bank Philippine Multi-Sectoral Nutrition Project</t>
  </si>
  <si>
    <t>310301100001</t>
  </si>
  <si>
    <t>Public Health Management</t>
  </si>
  <si>
    <t>310301100002</t>
  </si>
  <si>
    <t>Operation of PNAC Secretariat</t>
  </si>
  <si>
    <t>310301200001</t>
  </si>
  <si>
    <t>Locally-Funded Project: Complementary Feeding Program</t>
  </si>
  <si>
    <t>310302100001</t>
  </si>
  <si>
    <t>Environmental and Occupational Health</t>
  </si>
  <si>
    <t>310303100001</t>
  </si>
  <si>
    <t>National Immunization</t>
  </si>
  <si>
    <t>310304100001</t>
  </si>
  <si>
    <t>Family Health, Nutrition and Responsible Parenting</t>
  </si>
  <si>
    <t>310304100002</t>
  </si>
  <si>
    <t>Family Health, Immunization, Nutrition and Responsible Parenting</t>
  </si>
  <si>
    <t>310304100003</t>
  </si>
  <si>
    <t>Family Planning and Reproductive Health</t>
  </si>
  <si>
    <t>310304200001</t>
  </si>
  <si>
    <t>Locally-Funded Project: Procurement of COVID-19 Vaccine Booster Shots</t>
  </si>
  <si>
    <t>310305100001</t>
  </si>
  <si>
    <t>Elimination of Diseases such as Malaria, Schistosomiasis, Leprosy and Filariasis</t>
  </si>
  <si>
    <t>310305100002</t>
  </si>
  <si>
    <t>Rabies Control</t>
  </si>
  <si>
    <t>310306100001</t>
  </si>
  <si>
    <t>Prevention and Control of Other Infectious Diseases</t>
  </si>
  <si>
    <t>310306100002</t>
  </si>
  <si>
    <t>TB Control</t>
  </si>
  <si>
    <t>310306100003</t>
  </si>
  <si>
    <t>Assistance to Philippine Tuberculosis Society</t>
  </si>
  <si>
    <t>310307100001</t>
  </si>
  <si>
    <t>Prevention and Control of Non-Communicable Diseases</t>
  </si>
  <si>
    <t>310308100001</t>
  </si>
  <si>
    <t>Prevention and Control of Communicable Diseases</t>
  </si>
  <si>
    <t>310308100002</t>
  </si>
  <si>
    <t>310309100001</t>
  </si>
  <si>
    <t>310309100002</t>
  </si>
  <si>
    <t>National Integrated Cancer Control Program, including Cancer Medicines for Children</t>
  </si>
  <si>
    <t>3104</t>
  </si>
  <si>
    <t>310400100001</t>
  </si>
  <si>
    <t>Epidemiology and Surveillance</t>
  </si>
  <si>
    <t>3105</t>
  </si>
  <si>
    <t>310500100001</t>
  </si>
  <si>
    <t>Health Emergency Preparedness and Response</t>
  </si>
  <si>
    <t>310500100002</t>
  </si>
  <si>
    <t>Quick Response Fund</t>
  </si>
  <si>
    <t>3201</t>
  </si>
  <si>
    <t>320101100001</t>
  </si>
  <si>
    <t>Operations of Blood Centers and National Voluntary Blood Services Program</t>
  </si>
  <si>
    <t>320101100002</t>
  </si>
  <si>
    <t>Operations of DOH Hospitals in Metro Manila (MM)</t>
  </si>
  <si>
    <t>320101100003</t>
  </si>
  <si>
    <t>Operations of DOH Regional Hospitals and Other Health Facilities</t>
  </si>
  <si>
    <t>320101100004</t>
  </si>
  <si>
    <t>Operations of National Reference Laboratories</t>
  </si>
  <si>
    <t>320101100005</t>
  </si>
  <si>
    <t>Operations of National and Sub-National Reference Laboratories</t>
  </si>
  <si>
    <t>320102100001</t>
  </si>
  <si>
    <t>Operation of Dangerous Drug Abuse Treatment and Rehabilitation Centers</t>
  </si>
  <si>
    <t>3301</t>
  </si>
  <si>
    <t>330101100001</t>
  </si>
  <si>
    <t>Regulation of Health Facilities and Services</t>
  </si>
  <si>
    <t>330101100002</t>
  </si>
  <si>
    <t>Regulation of Regional Health Facilities and Services</t>
  </si>
  <si>
    <t>330102100001</t>
  </si>
  <si>
    <t>Regulation of Health Establishments and Products</t>
  </si>
  <si>
    <t>330103100001</t>
  </si>
  <si>
    <t>Provision of Quarantine Services and International Health Surveillance</t>
  </si>
  <si>
    <t>330104100001</t>
  </si>
  <si>
    <t>Health Technology Assessment</t>
  </si>
  <si>
    <t>3401</t>
  </si>
  <si>
    <t>340100100001</t>
  </si>
  <si>
    <t>Assistance to Indigent Patients either Confined or Out-Patient in Government Hospitals/Specialty Hospitals/LGU Hospitals/Philippine General Hospital/West Visayas State University Hospital</t>
  </si>
  <si>
    <t>340100100002</t>
  </si>
  <si>
    <t>Cancer Assistance Fund</t>
  </si>
  <si>
    <t>340100100003</t>
  </si>
  <si>
    <t>Medical Assistance to Indigent and Financially - Incapacitated Patients (MAIFIP)</t>
  </si>
  <si>
    <t>340100200003</t>
  </si>
  <si>
    <t>Locally-Funded Project: Hiring of Immunization Vaccinators</t>
  </si>
  <si>
    <t>340100200004</t>
  </si>
  <si>
    <t>Locally-Funded Project: Hiring of Vaccination Teams</t>
  </si>
  <si>
    <t>3501</t>
  </si>
  <si>
    <t>350101100001</t>
  </si>
  <si>
    <t>350101100002</t>
  </si>
  <si>
    <t>350101100003</t>
  </si>
  <si>
    <t>350101100004</t>
  </si>
  <si>
    <t>350101100005</t>
  </si>
  <si>
    <t>350101100006</t>
  </si>
  <si>
    <t>350101100007</t>
  </si>
  <si>
    <t>350101100008</t>
  </si>
  <si>
    <t>Health Sector Governance and Strategy Management</t>
  </si>
  <si>
    <t>350101100009</t>
  </si>
  <si>
    <t>Public-Private Partnership for Health</t>
  </si>
  <si>
    <t>350101100010</t>
  </si>
  <si>
    <t>Health Tourism</t>
  </si>
  <si>
    <t>350102100001</t>
  </si>
  <si>
    <t>350102100002</t>
  </si>
  <si>
    <t>Disease Prevention and Control</t>
  </si>
  <si>
    <t>350102100003</t>
  </si>
  <si>
    <t>350102100004</t>
  </si>
  <si>
    <t>350102100005</t>
  </si>
  <si>
    <t>350102100006</t>
  </si>
  <si>
    <t>350102100007</t>
  </si>
  <si>
    <t>Health Statistics</t>
  </si>
  <si>
    <t>3502</t>
  </si>
  <si>
    <t>350201100001</t>
  </si>
  <si>
    <t>Nationally-procured Commodities for Environmental and Occupational Health</t>
  </si>
  <si>
    <t>350201100002</t>
  </si>
  <si>
    <t>Nationally-procured Commodities for Family Health, Immunization, Nutrition and Responsible Parenting</t>
  </si>
  <si>
    <t>350201100003</t>
  </si>
  <si>
    <t>Nationally-procured Commodities for Family Planning and Reproductive Health</t>
  </si>
  <si>
    <t>350201100004</t>
  </si>
  <si>
    <t>Nationally-procured Commodities for Prevention and Control of Communicable Diseases</t>
  </si>
  <si>
    <t>350201100005</t>
  </si>
  <si>
    <t>Nationally-procured Commodities for Prevention and Control of Non-Communicable Diseases</t>
  </si>
  <si>
    <t>350201100006</t>
  </si>
  <si>
    <t>Supply Chain Management</t>
  </si>
  <si>
    <t>350202100001</t>
  </si>
  <si>
    <t>350202100002</t>
  </si>
  <si>
    <t>350202200001</t>
  </si>
  <si>
    <t>350202300001</t>
  </si>
  <si>
    <t>Foreign-Assisted Project: Philippine Multi-Sectoral Nutrition Project WB Loan No. 9382-PH</t>
  </si>
  <si>
    <t>350202300002</t>
  </si>
  <si>
    <t>Foreign-Assisted Project: Philippines Health System Resilience Project, Phase 1 WB Loan No. 9781-PH</t>
  </si>
  <si>
    <t>3601</t>
  </si>
  <si>
    <t>360101100001</t>
  </si>
  <si>
    <t>360101100002</t>
  </si>
  <si>
    <t>360101100003</t>
  </si>
  <si>
    <t>360101100004</t>
  </si>
  <si>
    <t>Operations of Philippine Health Laboratory System</t>
  </si>
  <si>
    <t>360102100001</t>
  </si>
  <si>
    <t>360102100002</t>
  </si>
  <si>
    <t>Operation of DOH Health and Wellness Facilities</t>
  </si>
  <si>
    <t>3701</t>
  </si>
  <si>
    <t>370101100001</t>
  </si>
  <si>
    <t>370101100002</t>
  </si>
  <si>
    <t>370102100001</t>
  </si>
  <si>
    <t>370103100001</t>
  </si>
  <si>
    <t>3801</t>
  </si>
  <si>
    <t>380100100001</t>
  </si>
  <si>
    <t>380100100002</t>
  </si>
  <si>
    <t>380100100003</t>
  </si>
  <si>
    <t>DOH Universal Health Care Fund for Zero Balance Billing in Local Government Unit (LGU) Hospitals</t>
  </si>
  <si>
    <t>Department of Education (DepEd)</t>
  </si>
  <si>
    <t>General Administration and Support</t>
  </si>
  <si>
    <t>Physical Fitness and School Sports</t>
  </si>
  <si>
    <t>Development and Management of Bilateral and Multilateral Education Projects</t>
  </si>
  <si>
    <t>Management and Administration of Learning Resources</t>
  </si>
  <si>
    <t>Planning and Management Information Systems</t>
  </si>
  <si>
    <t>Education Information and Communication Services</t>
  </si>
  <si>
    <t>Learner Support Programs</t>
  </si>
  <si>
    <t>Building Partnerships and Linkages Program</t>
  </si>
  <si>
    <t>Legal Services and Development of Education-Related Laws and Rules</t>
  </si>
  <si>
    <t>Child Protection Program</t>
  </si>
  <si>
    <t>Disaster Preparedness and Response Program</t>
  </si>
  <si>
    <t>Organizational and Professional Development for Non-Teaching Personnel</t>
  </si>
  <si>
    <t>Operational Expenses of the DepEd Task Force on the 2022 National and Local Elections</t>
  </si>
  <si>
    <t>Operational Expenses of the DepEd - Election Task Force</t>
  </si>
  <si>
    <t>National Assessment Systems for Basic Education</t>
  </si>
  <si>
    <t>Policy and Research Program</t>
  </si>
  <si>
    <t>Basic Education Curriculum</t>
  </si>
  <si>
    <t>Curriculum Programs, Learning Management Models, Standards and Strategy Development</t>
  </si>
  <si>
    <t>Development and Promotion of Campus Journalism</t>
  </si>
  <si>
    <t>National Literacy Policies and Programs</t>
  </si>
  <si>
    <t>Early Language Literacy and Numeracy</t>
  </si>
  <si>
    <t>Improvement and Acquisition of School Sites</t>
  </si>
  <si>
    <t>New School Personnel Positions</t>
  </si>
  <si>
    <t>Learning Tools and Equipment</t>
  </si>
  <si>
    <t>Textbooks and Other Instructional Materials</t>
  </si>
  <si>
    <t>Computerization Program</t>
  </si>
  <si>
    <t>Basic Education Facilities</t>
  </si>
  <si>
    <t>Conservation and Restoration of Gabaldon and Other Heritage School Buildings</t>
  </si>
  <si>
    <t>Last Mile Schools Program</t>
  </si>
  <si>
    <t>Public Schools Infrastructure Program (PSIP)</t>
  </si>
  <si>
    <t>Connectivity Enhancement Program for e-Learning in Public Schools</t>
  </si>
  <si>
    <t>Infrastructure for Safer and Resilient Schools (ISRS) Project WB Loan No. 9704-PH</t>
  </si>
  <si>
    <t>Multigrade Education</t>
  </si>
  <si>
    <t>Indigenous Peoples Education (IPEd) Program</t>
  </si>
  <si>
    <t>Flexible Learning Options (ADM/ALS/EiE)</t>
  </si>
  <si>
    <t>Madrasah Education Program</t>
  </si>
  <si>
    <t>Special Needs Education Program</t>
  </si>
  <si>
    <t>School-Based Feeding Program (SBFP)</t>
  </si>
  <si>
    <t>Operation of Schools - Elementary (Kinder to Grade 6)</t>
  </si>
  <si>
    <t>Operation of Schools - Junior High School (Grade 7 to Grade 10)</t>
  </si>
  <si>
    <t>Operation of Schools - Senior High School (Grade 11 to Grade 12)</t>
  </si>
  <si>
    <t>Government Assistance and Subsidies - Educational Service Contracting (ESC) Program for Private Junior High School (per RA No. 8545)</t>
  </si>
  <si>
    <t>Government Assistance and Subsidies - Voucher Program for Private Senior High School (per RA No. 10533)</t>
  </si>
  <si>
    <t>Government Assistance and Subsidies - Voucher Program for Non-DepEd Public High School (per RA No. 10533)</t>
  </si>
  <si>
    <t>Joint Delivery Voucher for Senior High School Technical Vocational and Livelihood Specializations</t>
  </si>
  <si>
    <t>Operational Requirements of Sports Academy and Training Centers</t>
  </si>
  <si>
    <t>Implementation of the Grant of Cash Allowance, Hardship Pay, and Reclassification of Positions</t>
  </si>
  <si>
    <t>School Dental Health Care Program</t>
  </si>
  <si>
    <t>Medical Examination for Public School Teachers</t>
  </si>
  <si>
    <t>World Teachers' Day Incentive Benefits</t>
  </si>
  <si>
    <t>Establishment and Operational Requirement of the National Academy of Sports</t>
  </si>
  <si>
    <t>Government Assistance and Subsidies - Educational Service Contracting (ESC) Program for Private Junior High School (per R.A. No. 8545)</t>
  </si>
  <si>
    <t>Government Assistance and Subsidies - Senior High School Voucher Program</t>
  </si>
  <si>
    <t>Subsidies - Senior High School Voucher Program</t>
  </si>
  <si>
    <t>Government Assistance and Subsidies - Training and Upgrading Knowledge for Learners, Teachers, and Achievers in Schools (GAS-TUKLAS)</t>
  </si>
  <si>
    <t>School Innovation and Improvement Fund (SIIF) to all DepEd Public Schools</t>
  </si>
  <si>
    <t>Human Resource Development for Personnel in Schools and Learning Centers</t>
  </si>
  <si>
    <t>Teacher Quality and Development Program</t>
  </si>
  <si>
    <t>Teacher Effectiveness and Competencies Enhancement Project (TEACEP) WB Loan No. 9481-PH</t>
  </si>
  <si>
    <t>National Book Development Board</t>
  </si>
  <si>
    <t>Capacity Building and Trade Promotion Incentives</t>
  </si>
  <si>
    <t>Administration of Awards, Grants, and Incentives</t>
  </si>
  <si>
    <t>Policy Development, Research, Information System Management, and Information Campaign</t>
  </si>
  <si>
    <t>National Council for Children's Television</t>
  </si>
  <si>
    <t>Child-Friendly Television Development Services</t>
  </si>
  <si>
    <t>National Museum of the Philippines</t>
  </si>
  <si>
    <t>Project Monitoring and Evaluation Services</t>
  </si>
  <si>
    <t>Management and Development of the National Collections and Related Knowledge Resources (Including Participation to International Meetings and Conferences)</t>
  </si>
  <si>
    <t>Restoration, Preservation, Protection and Development of Cultural Property</t>
  </si>
  <si>
    <t>Restoration of Malacanang sa Sugbo, Cebu City and Converrsion to National Museum Cebu</t>
  </si>
  <si>
    <t>Development of the National Museum Complex in Manila - Phase 1 (to implement Republic Act No. 11333)</t>
  </si>
  <si>
    <t>Nightly repair of the Church of Our Lady of Caysasay and associated structures, a declared national cultural treasure in Taal, Batangas</t>
  </si>
  <si>
    <t>Development of the National Museum Complex in Rizal Park - Manila Phase II</t>
  </si>
  <si>
    <t>Development of Information Management Systems</t>
  </si>
  <si>
    <t>Restoration and Continued Repair of Our Lady of Caysasay Church and Associated Structures (National Cultural Treasure) in Taal, Batangas</t>
  </si>
  <si>
    <t>Restoration of the Old Municipal Hall and the Municipal Plaza (Important Cultural Properties) in Balilihan, Bohol</t>
  </si>
  <si>
    <t>Development of National Museum Complex, Manila, Phase 3</t>
  </si>
  <si>
    <t>Rehabilitation of Former United States Air Force (USAF) Hospital in Clark Freeport, Pampanga and Conversion to National Museum of the Philippines Central Luzon, Phase 1</t>
  </si>
  <si>
    <t>Construction of National Museum of the Philippines-Baler in Baler, Aurora</t>
  </si>
  <si>
    <t>Exhibitions and Fit-Out of Various National Museum of the Philippines - Central and Regional Sites</t>
  </si>
  <si>
    <t>Rehabilitation of National Museum of the Philippines-Kabayan Burial Cave Site Museum and Satellite Office in Kabayan, Benguet</t>
  </si>
  <si>
    <t>Improvement of Rocha House in Sitio Ubos in Tagbilaran City, Bohol (Declared Important Cultural Property)</t>
  </si>
  <si>
    <t>Construction of National Museum of the Philippines-Baler in Baler, Aurora (Phase II)</t>
  </si>
  <si>
    <t>Continued Restoration and Site Development of Our Lady of Caysasay Church and Associated Structures in Taal, Batangas, Phase IV</t>
  </si>
  <si>
    <t>Restoration and Development of NMP Museums and Declared/Associated Heritage Sites in the Visayas</t>
  </si>
  <si>
    <t>Rehabilitation of Former United States Air Force (USAF) Hospital in Clark Freeport, Pampanga, and Conversion to National Museum of the Philippines Central Luzon, Phase II</t>
  </si>
  <si>
    <t>Completion of the Development of the National Museum Complex in Manila</t>
  </si>
  <si>
    <t>Continuation of the Development of NMP-General Aniceto Lacson Ancestral House in Talisay City, Negros Occidental</t>
  </si>
  <si>
    <t>Rehabilitation of the Sewerage System of the National Museum of Fine Arts (Old Legislative Building)</t>
  </si>
  <si>
    <t>Development of NMP-Koronadal and Lake Sebu, South Cotabato (Phase 1)</t>
  </si>
  <si>
    <t>Repair and Restoration of Boljoon Church Complex, Boljoon, Cebu and Development of NMP-Boljoon, Cebu (Phase 1)</t>
  </si>
  <si>
    <t>Development of NMP-Paoay, Paoay, Ilocos Norte</t>
  </si>
  <si>
    <t>Development of NMP General Ancieto Lacson Ancestral House, Talisay City, Negros Occidental (Phase 2)</t>
  </si>
  <si>
    <t>Development of NMP Kalibo, Aklan (Phase 2)</t>
  </si>
  <si>
    <t>Development of NMP Koronadal and Lake Sebu, South Cotabato (Phase 2)</t>
  </si>
  <si>
    <t>Exhibitions and Fit-out of Various National Museum of the Philippines - Central and Regional Sites - Northern Luzon National Museums</t>
  </si>
  <si>
    <t>Philippine High School for the Arts</t>
  </si>
  <si>
    <t>Operation of Philippine High School for the Arts Including Outreach, Screening, Student Exchange Program with Other Countries and Production Activities</t>
  </si>
  <si>
    <t>Early Childhood Care and Development Council</t>
  </si>
  <si>
    <t>Development of Policies, Standards and Guidelines</t>
  </si>
  <si>
    <t>Capacity-Building and Institutional Development of Intermediaries and Other Partners</t>
  </si>
  <si>
    <t>Accreditation of ECCD Service Providers</t>
  </si>
  <si>
    <t>Establishment of National Child Development Centers</t>
  </si>
  <si>
    <t>National Academy of Sports</t>
  </si>
  <si>
    <t>Promotion, Development, and Implementation of Quality and Enhanced Sports-Integrated Secondary Education Program</t>
  </si>
  <si>
    <t>Teacher Education Council</t>
  </si>
  <si>
    <t>Quality Teacher Education Services</t>
  </si>
  <si>
    <t>07</t>
  </si>
  <si>
    <t>200000100004</t>
  </si>
  <si>
    <t>200000100005</t>
  </si>
  <si>
    <t>200000100006</t>
  </si>
  <si>
    <t>200000100007</t>
  </si>
  <si>
    <t>200000100008</t>
  </si>
  <si>
    <t>200000100009</t>
  </si>
  <si>
    <t>200000100010</t>
  </si>
  <si>
    <t>200000100011</t>
  </si>
  <si>
    <t>200000100012</t>
  </si>
  <si>
    <t>200000100013</t>
  </si>
  <si>
    <t>310100100004</t>
  </si>
  <si>
    <t>310100100005</t>
  </si>
  <si>
    <t>310100100006</t>
  </si>
  <si>
    <t>310100100007</t>
  </si>
  <si>
    <t>310200100001</t>
  </si>
  <si>
    <t>310200100002</t>
  </si>
  <si>
    <t>310200100003</t>
  </si>
  <si>
    <t>310200100004</t>
  </si>
  <si>
    <t>310200100005</t>
  </si>
  <si>
    <t>310200100006</t>
  </si>
  <si>
    <t>310200100007</t>
  </si>
  <si>
    <t>310200100010</t>
  </si>
  <si>
    <t>310200100011</t>
  </si>
  <si>
    <t>310200100012</t>
  </si>
  <si>
    <t>310200200001</t>
  </si>
  <si>
    <t>310200300001</t>
  </si>
  <si>
    <t>310300100001</t>
  </si>
  <si>
    <t>310300100002</t>
  </si>
  <si>
    <t>310300100003</t>
  </si>
  <si>
    <t>310300100004</t>
  </si>
  <si>
    <t>310300100005</t>
  </si>
  <si>
    <t>310400100002</t>
  </si>
  <si>
    <t>310400100003</t>
  </si>
  <si>
    <t>310400100004</t>
  </si>
  <si>
    <t>310400100005</t>
  </si>
  <si>
    <t>310400100006</t>
  </si>
  <si>
    <t>310400100007</t>
  </si>
  <si>
    <t>310400100008</t>
  </si>
  <si>
    <t>310400100009</t>
  </si>
  <si>
    <t>310400100010</t>
  </si>
  <si>
    <t>310400100011</t>
  </si>
  <si>
    <t>310400100013</t>
  </si>
  <si>
    <t>310400100014</t>
  </si>
  <si>
    <t>310400100015</t>
  </si>
  <si>
    <t>310400100016</t>
  </si>
  <si>
    <t>310400100017</t>
  </si>
  <si>
    <t>310400100018</t>
  </si>
  <si>
    <t>310400100019</t>
  </si>
  <si>
    <t>310500300001</t>
  </si>
  <si>
    <t>002</t>
  </si>
  <si>
    <t>003</t>
  </si>
  <si>
    <t>004</t>
  </si>
  <si>
    <t>310100200015</t>
  </si>
  <si>
    <t>310100200016</t>
  </si>
  <si>
    <t>310100200017</t>
  </si>
  <si>
    <t>310100200018</t>
  </si>
  <si>
    <t xml:space="preserve">Continuation of Construction of National Museum Building in Davao City </t>
  </si>
  <si>
    <t>310100200019</t>
  </si>
  <si>
    <t>310100200020</t>
  </si>
  <si>
    <t>310100200021</t>
  </si>
  <si>
    <t>310100200022</t>
  </si>
  <si>
    <t>310100200023</t>
  </si>
  <si>
    <t>310100200024</t>
  </si>
  <si>
    <t xml:space="preserve">Continued Restoration and Site Development of Our Lady of Caysasay Church and Associated Structures in Taal, Batangas, Phase 3 </t>
  </si>
  <si>
    <t>310100200025</t>
  </si>
  <si>
    <t>310100200026</t>
  </si>
  <si>
    <t>310100200027</t>
  </si>
  <si>
    <t>310100200028</t>
  </si>
  <si>
    <t>310100200029</t>
  </si>
  <si>
    <t>310100200030</t>
  </si>
  <si>
    <t xml:space="preserve">Development of National Museum Complex, Manila, Phase IV </t>
  </si>
  <si>
    <t>310100200031</t>
  </si>
  <si>
    <t>310100200032</t>
  </si>
  <si>
    <t>310100200033</t>
  </si>
  <si>
    <t xml:space="preserve">Repair and Preventive Conservation Maintenance of Casa Rocha (Important Cultural Property) in Tagbilaran City, Bohol </t>
  </si>
  <si>
    <t>310100200034</t>
  </si>
  <si>
    <t>310100200035</t>
  </si>
  <si>
    <t>310100200036</t>
  </si>
  <si>
    <t xml:space="preserve">Completion of Restoration of Our Lady of Caysasay Church and Associated Structures in Taal, Batangas City </t>
  </si>
  <si>
    <t>310100200037</t>
  </si>
  <si>
    <t xml:space="preserve">Rehabilitation of National Museum of the Philippines Kabayan Burial Caves Site Museum and Satellite Office in Kabayan, Benguet, Phase II </t>
  </si>
  <si>
    <t>310100200038</t>
  </si>
  <si>
    <t>310100200039</t>
  </si>
  <si>
    <t>310100200040</t>
  </si>
  <si>
    <t>310100200041</t>
  </si>
  <si>
    <t xml:space="preserve">Development of NMP-Kalibo, Aklan (Phase 1) </t>
  </si>
  <si>
    <t>310100200042</t>
  </si>
  <si>
    <t>310100200043</t>
  </si>
  <si>
    <t>310100200044</t>
  </si>
  <si>
    <t>310100200045</t>
  </si>
  <si>
    <t>310100200046</t>
  </si>
  <si>
    <t>310100200047</t>
  </si>
  <si>
    <t>310100200048</t>
  </si>
  <si>
    <t>005</t>
  </si>
  <si>
    <t>006</t>
  </si>
  <si>
    <t>007</t>
  </si>
  <si>
    <t>008</t>
  </si>
  <si>
    <t>310400100012</t>
  </si>
  <si>
    <t>NEP_2019_EXP_1PS</t>
  </si>
  <si>
    <t>NEP_2019_EXP_2MOOE</t>
  </si>
  <si>
    <t>NEP_2019_EXP_6CO</t>
  </si>
  <si>
    <t>GAA_2019_EXP_1PS</t>
  </si>
  <si>
    <t>GAA_2019_EXP_2MOOE</t>
  </si>
  <si>
    <t>GAA_2019_EXP_6CO</t>
  </si>
  <si>
    <t>NEP_2018_EXP_1PS</t>
  </si>
  <si>
    <t>NEP_2018_EXP_2MOOE</t>
  </si>
  <si>
    <t>NEP_2018_EXP_6CO</t>
  </si>
  <si>
    <t>GAA_2018_EXP_1PS</t>
  </si>
  <si>
    <t>GAA_2018_EXP_2MOOE</t>
  </si>
  <si>
    <t>GAA_2018_EXP_6CO</t>
  </si>
  <si>
    <t>Commission on Population</t>
  </si>
  <si>
    <t>National Nutrition Council</t>
  </si>
  <si>
    <t>310100200001</t>
  </si>
  <si>
    <t>Philippine National AIDS Council</t>
  </si>
  <si>
    <t>320100100001</t>
  </si>
  <si>
    <t>330100100001</t>
  </si>
  <si>
    <t>Coordination and Development of Population Policy and Programs</t>
  </si>
  <si>
    <t>Support to the implementation of approved national, sectoral, regional and local population plans and programs</t>
  </si>
  <si>
    <t>Provision of grants, subsidies and contributions in support of population programs</t>
  </si>
  <si>
    <t>Human Resource Development</t>
  </si>
  <si>
    <t>Nutrition policy, standards, plan and program development and coordination</t>
  </si>
  <si>
    <t>Philippine food and nutrition surveillance</t>
  </si>
  <si>
    <t>Promotion of good nutrition</t>
  </si>
  <si>
    <t>Assistance to national, local nutrition and related programs</t>
  </si>
  <si>
    <t>BCCD/Nutrition Intervention Package for the First 1000 days (NIP/First 1000 Days)</t>
  </si>
  <si>
    <t>Production/Promotion of Child-Friendly Programs</t>
  </si>
  <si>
    <t>310100200007</t>
  </si>
  <si>
    <t>Continued Restoration and Site Development of Loon Church Complex, Loon, Bohol</t>
  </si>
  <si>
    <t>310200100008</t>
  </si>
  <si>
    <t>310200100009</t>
  </si>
  <si>
    <t>Site Development Plan</t>
  </si>
  <si>
    <t>Nationwide Audit of School Facilities</t>
  </si>
  <si>
    <t>310100200006</t>
  </si>
  <si>
    <t>310100200005</t>
  </si>
  <si>
    <t>310100200004</t>
  </si>
  <si>
    <t>310100200003</t>
  </si>
  <si>
    <t>310100200002</t>
  </si>
  <si>
    <t>Rehabilitation of Main Distribution Frame and IP Telephone System at National Museum and Fine Arts Building</t>
  </si>
  <si>
    <t>Site Development and Integration of the Gomburza Monument and the Old Legislative Building Along and Across Padre Burgos Avenue in the City of Manila</t>
  </si>
  <si>
    <t>Restoration and Improvement of Cultural Properties and Spaces in Bohol</t>
  </si>
  <si>
    <t>Restoration and Improvement of Cultural Properties and Spaces in the Ilocos Region</t>
  </si>
  <si>
    <t>Construction of National Museum in Antique</t>
  </si>
  <si>
    <t>Construction of National Museum in Davao City</t>
  </si>
  <si>
    <t>AuthAppro_2018_EXP_1PS</t>
  </si>
  <si>
    <t>AuthAppro_2018_EXP_2MOOE</t>
  </si>
  <si>
    <t>AuthAppro_2018_EXP_6CO</t>
  </si>
  <si>
    <t>AdjAppro_2018_EXP_1PS</t>
  </si>
  <si>
    <t>AdjAppro_2018_EXP_2MOOE</t>
  </si>
  <si>
    <t>AdjAppro_2018_EXP_6CO</t>
  </si>
  <si>
    <t>AdjAllot_2018_EXP_1PS</t>
  </si>
  <si>
    <t>AdjAllot_2018_EXP_2MOOE</t>
  </si>
  <si>
    <t>AdjAllot_2018_EXP_6CO</t>
  </si>
  <si>
    <t>Obligations_2018_EXP_1PS</t>
  </si>
  <si>
    <t>Obligations_2018_EXP_2MOOE</t>
  </si>
  <si>
    <t>Obligations_2018_EXP_6CO</t>
  </si>
  <si>
    <t>Disbursements_2018_EXP_1PS</t>
  </si>
  <si>
    <t>Disbursements_2018_EXP_2MOOE</t>
  </si>
  <si>
    <t>Disbursements_2018_EXP_6CO</t>
  </si>
  <si>
    <t>AuthAppro_2019_EXP_1PS</t>
  </si>
  <si>
    <t>AuthAppro_2019_EXP_2MOOE</t>
  </si>
  <si>
    <t>AuthAppro_2019_EXP_6CO</t>
  </si>
  <si>
    <t>AdjAppro_2019_EXP_1PS</t>
  </si>
  <si>
    <t>AdjAppro_2019_EXP_2MOOE</t>
  </si>
  <si>
    <t>AdjAppro_2019_EXP_6CO</t>
  </si>
  <si>
    <t>AdjAllot_2019_EXP_1PS</t>
  </si>
  <si>
    <t>AdjAllot_2019_EXP_2MOOE</t>
  </si>
  <si>
    <t>AdjAllot_2019_EXP_6CO</t>
  </si>
  <si>
    <t>Obligations_2019_EXP_1PS</t>
  </si>
  <si>
    <t>Obligations_2019_EXP_2MOOE</t>
  </si>
  <si>
    <t>Obligations_2019_EXP_6CO</t>
  </si>
  <si>
    <t>Disbursements_2019_EXP_1PS</t>
  </si>
  <si>
    <t>Disbursements_2019_EXP_2MOOE</t>
  </si>
  <si>
    <t>Disbursements_2019_EXP_6CO</t>
  </si>
  <si>
    <t>Technical and Administrative Support of the PNAC Secretariat</t>
  </si>
  <si>
    <t>Capacity Building of Council and Secretariat</t>
  </si>
  <si>
    <t>Development of Policy and Standards on the Prevention and Control of HIV and AIDS</t>
  </si>
  <si>
    <t>Formulation and Implementation of Advocacy Services and Activities on HIV and AIDS</t>
  </si>
  <si>
    <t>HIV and AIDS Policy and Standards Development</t>
  </si>
  <si>
    <t>Technical and Administrative Support to PNAC</t>
  </si>
  <si>
    <t>20</t>
  </si>
  <si>
    <t>Department of Social Welfare and Development (DSWD)</t>
  </si>
  <si>
    <t>200000200002</t>
  </si>
  <si>
    <t>310100300001</t>
  </si>
  <si>
    <t>310100300003</t>
  </si>
  <si>
    <t>310100300004</t>
  </si>
  <si>
    <t>310100300005</t>
  </si>
  <si>
    <t>320101200001</t>
  </si>
  <si>
    <t>320103100001</t>
  </si>
  <si>
    <t>320103100002</t>
  </si>
  <si>
    <t>320104100001</t>
  </si>
  <si>
    <t>320104100002</t>
  </si>
  <si>
    <t>320104100003</t>
  </si>
  <si>
    <t>320104200001</t>
  </si>
  <si>
    <t>320104200002</t>
  </si>
  <si>
    <t>320104200003</t>
  </si>
  <si>
    <t>320104200004</t>
  </si>
  <si>
    <t>320104200005</t>
  </si>
  <si>
    <t>320104200006</t>
  </si>
  <si>
    <t>320104200007</t>
  </si>
  <si>
    <t>320104200008</t>
  </si>
  <si>
    <t>320105100001</t>
  </si>
  <si>
    <t>320105100002</t>
  </si>
  <si>
    <t>320105100003</t>
  </si>
  <si>
    <t>330100100002</t>
  </si>
  <si>
    <t>330100100003</t>
  </si>
  <si>
    <t>330100200001</t>
  </si>
  <si>
    <t>330100200002</t>
  </si>
  <si>
    <t>330100200003</t>
  </si>
  <si>
    <t>350100100001</t>
  </si>
  <si>
    <t>350100100002</t>
  </si>
  <si>
    <t>Council for the Welfare of Children</t>
  </si>
  <si>
    <t>Inter-Country Adoption Board</t>
  </si>
  <si>
    <t>National Council on Disability Affairs</t>
  </si>
  <si>
    <t>Juvenile Justice and Welfare Council</t>
  </si>
  <si>
    <t>National Anti-Poverty Commission</t>
  </si>
  <si>
    <t>310101100001</t>
  </si>
  <si>
    <t>310101100002</t>
  </si>
  <si>
    <t>310101200001</t>
  </si>
  <si>
    <t>310101200002</t>
  </si>
  <si>
    <t>310102100001</t>
  </si>
  <si>
    <t>National Commission on Indigenous Peoples</t>
  </si>
  <si>
    <t>3202</t>
  </si>
  <si>
    <t>320200100001</t>
  </si>
  <si>
    <t>3203</t>
  </si>
  <si>
    <t>320300100001</t>
  </si>
  <si>
    <t>3204</t>
  </si>
  <si>
    <t>320400100001</t>
  </si>
  <si>
    <t>009</t>
  </si>
  <si>
    <t>Presidential Commission for the Urban Poor</t>
  </si>
  <si>
    <t>010</t>
  </si>
  <si>
    <t>National Authority for Child Care</t>
  </si>
  <si>
    <t>011</t>
  </si>
  <si>
    <t>National Commission of Senior Citizens</t>
  </si>
  <si>
    <t xml:space="preserve">Information and Communication Technology Service Management </t>
  </si>
  <si>
    <t>Social Marketing Services</t>
  </si>
  <si>
    <t>Social Technology Development and Enhancement</t>
  </si>
  <si>
    <t>Formulation and Development of Policies and Plans</t>
  </si>
  <si>
    <t>Enhanced Partnership Against Hunger and Poverty-National Program Management Office (EPAHP-NPMO)</t>
  </si>
  <si>
    <t xml:space="preserve">Pantawid Pamilyang Pilipino Program (Implementation of Conditional Cash Transfer) </t>
  </si>
  <si>
    <t>Sustainable Livelihood Program</t>
  </si>
  <si>
    <t>Services for Residential and Center-based Clients</t>
  </si>
  <si>
    <t>Supplementary Feeding Program</t>
  </si>
  <si>
    <t>Social Pension for Indigent Senior Citizens</t>
  </si>
  <si>
    <t>Protective Services for Individuals and Families in Difficult Circumstances</t>
  </si>
  <si>
    <t>Assistance to Persons with Disability</t>
  </si>
  <si>
    <t>Services to Displaced Persons</t>
  </si>
  <si>
    <t>Recovery and Reintegration Program for Trafficked Persons</t>
  </si>
  <si>
    <t>Disaster Response and Rehabilitation Program</t>
  </si>
  <si>
    <t>National Resource Operations</t>
  </si>
  <si>
    <t>Standards-setting, Licensing, Accreditation and Monitoring Services</t>
  </si>
  <si>
    <t>Provision of Technical/Advisory Assistance and Other Related Support Services</t>
  </si>
  <si>
    <t>Provision of Capability Training Programs</t>
  </si>
  <si>
    <t>National Beneficiary Identification System for Vulnerable Populations</t>
  </si>
  <si>
    <t>Kapit-Bisig Laban sa Kahirapan-Comprehensive and Integrated Delivery of Social Services: Kapangyarihan at Kaunlaran sa Barangay (KALAHI-CIDSS-KKB)</t>
  </si>
  <si>
    <t xml:space="preserve">Reducing Vulnerabilities of Children from Hunger and Malnutrition in BARMM or Bangsamoro Umpungan sa Nutrisyon (BangUN) </t>
  </si>
  <si>
    <t>Walang Gutom 2027: Food STAMP Program</t>
  </si>
  <si>
    <t>Pag-Abot Program</t>
  </si>
  <si>
    <t>Implementation and Monitoring of Payapa at Masaganang Pamayanan (PAMANA) Program - Peace and Development Fund</t>
  </si>
  <si>
    <t>Implementation and Monitoring of Payapa at Masaganang Pamayanan (PAMANA) Program - DSWD/LGU Led Livelihood</t>
  </si>
  <si>
    <t xml:space="preserve">Construction of the Mindanao Disaster Resource Center Under Multi-Year Contractual Authority (MYCA) - Phase 1 </t>
  </si>
  <si>
    <t>Establishment of Five (5) Regional Bahay Pag-Asa under a Multi-Year Contractual Authority (MYCA) - Phase 1</t>
  </si>
  <si>
    <t xml:space="preserve">Policy Formulation and Coordination of the Implementation of Plans and Programs on the Fulfillment of the Rights of the Child </t>
  </si>
  <si>
    <t>MAKABATA Helpline</t>
  </si>
  <si>
    <t>Formulate Policies and Coordinate the Implementation of Plans and Programs on Children at Risk and Children in Conflict with the Law</t>
  </si>
  <si>
    <t>Formulation, Prototyping and Monitoring of Policies, Plans and Programs and Inter-Agency and Inter-Stakeholder Coordination Platforms</t>
  </si>
  <si>
    <t>Provision of Information and Advocacy Support</t>
  </si>
  <si>
    <t>Support to Consultative and Convergence Platforms</t>
  </si>
  <si>
    <t xml:space="preserve">Accredit/Authorize Foreign Adoption Agencies and Child Caring Agencies as Liaison Service Agencies </t>
  </si>
  <si>
    <t>Accredit/Authorize Foreign Adoption Agencies and Child Caring Agencies as Liaison Service Agencies</t>
  </si>
  <si>
    <t>Adjudication/Entrustment of Children for Inter-Country Adoption</t>
  </si>
  <si>
    <t>Accreditation/Authorization of Foreign Adoption Agencies and Child Caring Agencies as Liaison Service Agencies</t>
  </si>
  <si>
    <t xml:space="preserve">Adjudication/Entrustment of Children for Adoption and Other Alternative Child Care </t>
  </si>
  <si>
    <t>Information and Communication Technology Service Management</t>
  </si>
  <si>
    <t>Legal Services</t>
  </si>
  <si>
    <t>Conduct of Researches, Policy Formulation and Development of Plans and Programs for the Protection, Welfare and Development of Senior Citizen</t>
  </si>
  <si>
    <t>Implementation of Programs for the Empowerment of Senior Citizens' Participation in Nation Building</t>
  </si>
  <si>
    <t>Implementation of the Expanded Centenarians Act pursuant to Republic Act No. 11982</t>
  </si>
  <si>
    <t>Assistance to Older Persons</t>
  </si>
  <si>
    <t>Policy Formulation and Coordination for the Implementation of Plans and Programs on the Realization of the Rights of Person with Disabilities to Achieve the Sustainable Development Goals by 2030</t>
  </si>
  <si>
    <t>Coordination and Monitoring of Programs and Projects for the Urban Poor</t>
  </si>
  <si>
    <t>Beneficiary FIRST (Fast, Innovative and Responsive Service Transformation) (Emergency Social Protection Project) WB Loan No. 9168-PH</t>
  </si>
  <si>
    <t xml:space="preserve">Philippine Multi-Sectoral Nutrition Project WB Loan No. 9382-PH </t>
  </si>
  <si>
    <t>National Household Targeting System for Poverty Reduction</t>
  </si>
  <si>
    <t>Ayuda sa Kapos ang Kita Program (AKAP)</t>
  </si>
  <si>
    <t>Liwanag at Tubig Assistance Welfare (LITAW) Program</t>
  </si>
  <si>
    <t>Implementation of R.A. No. 10868 or the Centenarians Act of 2016</t>
  </si>
  <si>
    <t>Comprehensive Project for Street Children, Street Families and IPs- Especially Badjaus</t>
  </si>
  <si>
    <t>Policy formulation, planning and coordination of programs and projects</t>
  </si>
  <si>
    <t>Ancestral Domain/Land Recognition</t>
  </si>
  <si>
    <t>Assistance to Ancestral Domain Sustainable Development and Protection Plan (ADSDPP) Formulation</t>
  </si>
  <si>
    <t>Culturally-appropriate/responsive and Gender-sensitive Socio-economic and Ecology Development and Protection Services</t>
  </si>
  <si>
    <t>IP Education and Advocacy Services</t>
  </si>
  <si>
    <t>IP Culture Services</t>
  </si>
  <si>
    <t>IP Health Services</t>
  </si>
  <si>
    <t>Gender and Rights-based Services</t>
  </si>
  <si>
    <t>IP Rights Advocacy and Monitoring of Treaty Obligations</t>
  </si>
  <si>
    <t>Adjudication Services</t>
  </si>
  <si>
    <t xml:space="preserve">Additional Financing for Kapit-Bisig Laban sa Kahirapan - Comprehensive and Integrated Delivery of Social Services: National Community Driven Development Project (AF KC NCDDP) </t>
  </si>
  <si>
    <t>Assistance to Persons with Disability and Older Persons</t>
  </si>
  <si>
    <t xml:space="preserve">Social Protection Program for Adolescent Mothers and Their Children </t>
  </si>
  <si>
    <t>Monitoring/Operation of the Subaybay Bata</t>
  </si>
  <si>
    <t>Formulation of National Poverty Reduction Plan (NPRP) and Full Implementation of R.A. No. 11291</t>
  </si>
  <si>
    <t>Operation and Maintenance of Bahay Pag-Asa</t>
  </si>
  <si>
    <t>Services to Distressed Oversease Filipinos</t>
  </si>
  <si>
    <t>National Poverty Reduction Program (NPRP) Monitoring and Evaluation</t>
  </si>
  <si>
    <t>Hosting of the 2024 Global Information Technology Challenge for the Youth with Disabilities</t>
  </si>
  <si>
    <t>Operationalization of the Disability Resource Development Center (DRDC) Building</t>
  </si>
  <si>
    <t>Financial Assistance to the Provincial Government of Davao del Norte for the Establishment of Bahay Pag-Asa</t>
  </si>
  <si>
    <t>Financial Assistance to the City Government of Alaminos City for the Establishment of Bahay Pag-Asa</t>
  </si>
  <si>
    <t>Rights-Based Development Approach thru Culturally Responsive, Environmentally Adoptive and Time Bounded Enrichment Project for Indigenous Peoples of Agusan del Norte</t>
  </si>
  <si>
    <t>Domain/Land Recognition, Management and Development Services</t>
  </si>
  <si>
    <t>IP Governance and Empowerment Services</t>
  </si>
  <si>
    <t>IP Human Rights, Legal and Basic Social Services</t>
  </si>
  <si>
    <t>IP Cultural Services</t>
  </si>
  <si>
    <t>Establishment of Bahay Pag-Asa in the Province of Sorsogon</t>
  </si>
  <si>
    <t>Tax Reform Cash Transfer Project</t>
  </si>
  <si>
    <t>Kapit-Bisig Laban sa Kahirapan-Comprehensive and Integrated Delivery of Social Services: National Community Driven Project</t>
  </si>
  <si>
    <t>16</t>
  </si>
  <si>
    <t>Department of Labor and Employment (DOLE)</t>
  </si>
  <si>
    <t>Technical Education and Skills Development Authority</t>
  </si>
  <si>
    <t>310300300001</t>
  </si>
  <si>
    <t>22</t>
  </si>
  <si>
    <t>Department of Trade and Industry (DTI)</t>
  </si>
  <si>
    <t>310300200004</t>
  </si>
  <si>
    <t>310300200005</t>
  </si>
  <si>
    <t>Provision of Management and Information Technology Services</t>
  </si>
  <si>
    <t>Formulation of Technical Education and Skills Development Policies, Plans and Programs</t>
  </si>
  <si>
    <t>Development, Implementation, Monitoring and Evaluation of Quality Assurance for Technical Education and Skills Development Provision</t>
  </si>
  <si>
    <t>Development, Implementation, Monitoring and Evaluation of Assessment and Certification Systems</t>
  </si>
  <si>
    <t>Competency Standards Development</t>
  </si>
  <si>
    <t>Promotion, Development and Implementation of Quality Technical Education and Skills Development Programs</t>
  </si>
  <si>
    <t>Promotion, Development and Evaluation of Technical Education and Skills Development Scholarship and Student Assistance Programs</t>
  </si>
  <si>
    <t>Supporting Innovation in the Philippine Technical and Vocational Education and Training System (SIPTVETS) ADB Loan No. 4268-PH</t>
  </si>
  <si>
    <t>For the Implementation of Community-Based Livelihood Programs in the Fourth, Fifth and Sixth Class Municipalities as per Barangay Livelihood and Skills Training Act of 2008 (R.A. No. 9509)</t>
  </si>
  <si>
    <t>Expansion of Provincial Training Center Calauan, Laguna</t>
  </si>
  <si>
    <t>26</t>
  </si>
  <si>
    <t>041</t>
  </si>
  <si>
    <t>Other Executive Offices</t>
  </si>
  <si>
    <t>Repair and Rehabilitation of TESDA's Provincial Training Center in Hamtic, Antique</t>
  </si>
  <si>
    <t>For the implementation of Community-Based and Livelihood Programs in fourth, fifth and sixth municipalities as per Barangay Livelihood and Skills Training Act of 2008 (RA 9509)</t>
  </si>
  <si>
    <t>Construction and Operation of TESDA Multi-purpose Building for Calauan Training Center, Laguna Provincial Office and Dormitory including the provisions for payment of professional services, scholarship and training, procurement of training tools and equipment, furniture and fixtures, Region IV-A</t>
  </si>
  <si>
    <t>04</t>
  </si>
  <si>
    <t>Department of Agrarian Reform (DAR)</t>
  </si>
  <si>
    <t>320100100002</t>
  </si>
  <si>
    <t>320100100003</t>
  </si>
  <si>
    <t>320100100004</t>
  </si>
  <si>
    <t>330100100004</t>
  </si>
  <si>
    <t>330100300001</t>
  </si>
  <si>
    <t>330100300002</t>
  </si>
  <si>
    <t>330100300003</t>
  </si>
  <si>
    <t>330100300004</t>
  </si>
  <si>
    <t>330100300006</t>
  </si>
  <si>
    <t>330100300007</t>
  </si>
  <si>
    <t>Policy Formulation, Monitoring and Evaluation, Information Management, and Systems Development</t>
  </si>
  <si>
    <t>Agrarian Reform Information Education</t>
  </si>
  <si>
    <t>Land Acquisition and Distribution (LAD)</t>
  </si>
  <si>
    <t>Non-Land Transfer Activities</t>
  </si>
  <si>
    <t>Post-Land Distribution</t>
  </si>
  <si>
    <t>Supervision and Management and Processes Relative to Land Tenure Security Program</t>
  </si>
  <si>
    <t>Supervision and Management for Effective Delivery of Legal Services and Adjudication of Agrarian Reform Cases</t>
  </si>
  <si>
    <t>Adjudication of Agrarian Reform Cases</t>
  </si>
  <si>
    <t>Resolution of Agrarian Law Implementation Cases</t>
  </si>
  <si>
    <t>Provision of Agrarian Legal Assistance</t>
  </si>
  <si>
    <t>Supervision and Management for Effective Delivery of Support Services</t>
  </si>
  <si>
    <t>Social Infrastructure Building</t>
  </si>
  <si>
    <t>Enterprise Development and Economic Support</t>
  </si>
  <si>
    <t>Climate Resilient Farm Productivity Support</t>
  </si>
  <si>
    <t>Value Chain Innovation for Sustainable Transformation in Agrarian Reform Communities (VISTA) IFAD Loan No. 200000501900 and IFAD Loan No. 200000502000</t>
  </si>
  <si>
    <t>Support to Parcelization of Lands for Individual Titling (SPLIT) Project IBRD Loan No. 9141 - PH</t>
  </si>
  <si>
    <t>Convergence on Value Chain Enhancement for Rural Growth and Empowerment Project (CONVERGE)</t>
  </si>
  <si>
    <t>Construction/Renovation of the Main Building</t>
  </si>
  <si>
    <t>Construction of Building, DAR - Region VIII</t>
  </si>
  <si>
    <t>Italian Assistance to the Agrarian Reform Community Development Support Program (IARCDSP)</t>
  </si>
  <si>
    <t>Mindanao Sustainable Agrarian and Agriculture Development Project (MINSAAD)</t>
  </si>
  <si>
    <t>Inclusive Partnerships for Agricultural Competitiveness (IPAC)</t>
  </si>
  <si>
    <t>Landowners' Compensation by LBP</t>
  </si>
  <si>
    <t>NEP_2020_EXP_3FE</t>
  </si>
  <si>
    <t>GAA_2020_EXP_3FE</t>
  </si>
  <si>
    <t>NEP_2021_EXP_3FE</t>
  </si>
  <si>
    <t>GAA_2021_EXP_3FE</t>
  </si>
  <si>
    <t>NEP_2022_EXP_3FE</t>
  </si>
  <si>
    <t>GAA_2022_EXP_3FE</t>
  </si>
  <si>
    <t>NEP_2023_EXP_3FE</t>
  </si>
  <si>
    <t>GAA_2023_EXP_3FE</t>
  </si>
  <si>
    <t>NEP_2024_EXP_3FE</t>
  </si>
  <si>
    <t>GAA_2024_EXP_3FE</t>
  </si>
  <si>
    <t>NEP_2025_EXP_3FE</t>
  </si>
  <si>
    <t>NEP_2026_EXP_3FE</t>
  </si>
  <si>
    <t>GAA_2026_EXP_3FE</t>
  </si>
  <si>
    <t>Disbursements_2020_EXP_3FE</t>
  </si>
  <si>
    <t>Obligations_2020_EXP_3FE</t>
  </si>
  <si>
    <t>AdjAllot_2020_EXP_3FE</t>
  </si>
  <si>
    <t>AdjAppro_2020_EXP_3FE</t>
  </si>
  <si>
    <t>AuthAppro_2020_EXP_3FE</t>
  </si>
  <si>
    <t>Disbursements_2021_EXP_3FE</t>
  </si>
  <si>
    <t>Obligations_2021_EXP_3FE</t>
  </si>
  <si>
    <t>AdjAllot_2021_EXP_3FE</t>
  </si>
  <si>
    <t>AdjAppro_2021_EXP_3FE</t>
  </si>
  <si>
    <t>AuthAppro_2021_EXP_3FE</t>
  </si>
  <si>
    <t>Disbursements_2022_EXP_3FE</t>
  </si>
  <si>
    <t>Obligations_2022_EXP_3FE</t>
  </si>
  <si>
    <t>AdjAllot_2022_EXP_3FE</t>
  </si>
  <si>
    <t>AdjAppro_2022_EXP_3FE</t>
  </si>
  <si>
    <t>AuthAppro_2022_EXP_3FE</t>
  </si>
  <si>
    <t>Disbursements_2023_EXP_3FE</t>
  </si>
  <si>
    <t>Obligations_2023_EXP_3FE</t>
  </si>
  <si>
    <t>AdjAllot_2023_EXP_3FE</t>
  </si>
  <si>
    <t>AdjAppro_2023_EXP_3FE</t>
  </si>
  <si>
    <t>AuthAppro_2023_EXP_3FE</t>
  </si>
  <si>
    <t>Disbursements_2024_EXP_3FE</t>
  </si>
  <si>
    <t>Obligations_2024_EXP_3FE</t>
  </si>
  <si>
    <t>AdjAllot_2024_EXP_3FE</t>
  </si>
  <si>
    <t>AdjAppro_2024_EXP_3FE</t>
  </si>
  <si>
    <t>AuthAppro_2024_EXP_3FE</t>
  </si>
  <si>
    <t>GAA_2025_EXP_3FE</t>
  </si>
  <si>
    <t>Disbursements_2025_EXP_3FE</t>
  </si>
  <si>
    <t>Obligations_2025_EXP_3FE</t>
  </si>
  <si>
    <t>AdjAllot_2025_EXP_3FE</t>
  </si>
  <si>
    <t>AdjAppro_2025_EXP_3FE</t>
  </si>
  <si>
    <t>AuthAppro_2025_EXP_3FE</t>
  </si>
  <si>
    <t>NEP_2018_EXP_3FE</t>
  </si>
  <si>
    <t>GAA_2018_EXP_3FE</t>
  </si>
  <si>
    <t>Disbursements_2018_EXP_3FE</t>
  </si>
  <si>
    <t>Obligations_2018_EXP_3FE</t>
  </si>
  <si>
    <t>AdjAllot_2018_EXP_3FE</t>
  </si>
  <si>
    <t>AdjAppro_2018_EXP_3FE</t>
  </si>
  <si>
    <t>AuthAppro_2018_EXP_3FE</t>
  </si>
  <si>
    <t>Purchase of Mobile Community Kitchens</t>
  </si>
  <si>
    <t>Building and Other Structures - Construction of Bahay Pag-Asa</t>
  </si>
  <si>
    <t>Disbursements_2019_EXP_3FE</t>
  </si>
  <si>
    <t>Obligations_2019_EXP_3FE</t>
  </si>
  <si>
    <t>AdjAllot_2019_EXP_3FE</t>
  </si>
  <si>
    <t>AdjAppro_2019_EXP_3FE</t>
  </si>
  <si>
    <t>AuthAppro_2019_EXP_3FE</t>
  </si>
  <si>
    <t>GAA_2019_EXP_3FE</t>
  </si>
  <si>
    <t>NEP_2019_EXP_3FE</t>
  </si>
  <si>
    <t>Construction/repair/rehabilitation and operation of Bahay Pag-Asa Centers</t>
  </si>
  <si>
    <t>05</t>
  </si>
  <si>
    <t>Department of Agriculture (DA)</t>
  </si>
  <si>
    <t>200000100014</t>
  </si>
  <si>
    <t>200000100015</t>
  </si>
  <si>
    <t>310101100003</t>
  </si>
  <si>
    <t>310101100004</t>
  </si>
  <si>
    <t>310101100005</t>
  </si>
  <si>
    <t>310101100006</t>
  </si>
  <si>
    <t>310101100007</t>
  </si>
  <si>
    <t>310101100008</t>
  </si>
  <si>
    <t>310102100007</t>
  </si>
  <si>
    <t>310103100001</t>
  </si>
  <si>
    <t>310103100002</t>
  </si>
  <si>
    <t>310103100003</t>
  </si>
  <si>
    <t>310103100004</t>
  </si>
  <si>
    <t>310103100005</t>
  </si>
  <si>
    <t>310103100006</t>
  </si>
  <si>
    <t>310103100007</t>
  </si>
  <si>
    <t>310103100009</t>
  </si>
  <si>
    <t>310104100001</t>
  </si>
  <si>
    <t>310104100002</t>
  </si>
  <si>
    <t>310104100003</t>
  </si>
  <si>
    <t>310104100004</t>
  </si>
  <si>
    <t>310104100005</t>
  </si>
  <si>
    <t>310104100006</t>
  </si>
  <si>
    <t>310201100005</t>
  </si>
  <si>
    <t>310201100006</t>
  </si>
  <si>
    <t>310201100008</t>
  </si>
  <si>
    <t>310202100004</t>
  </si>
  <si>
    <t>310202100005</t>
  </si>
  <si>
    <t>310203200000</t>
  </si>
  <si>
    <t>Agricultural Credit Policy Council</t>
  </si>
  <si>
    <t>Bureau of Fisheries and Aquatic Resources</t>
  </si>
  <si>
    <t>310102100002</t>
  </si>
  <si>
    <t>310105200001</t>
  </si>
  <si>
    <t>310105200010</t>
  </si>
  <si>
    <t>310105200011</t>
  </si>
  <si>
    <t>310105200012</t>
  </si>
  <si>
    <t>310105200013</t>
  </si>
  <si>
    <t>310105200014</t>
  </si>
  <si>
    <t>310105200015</t>
  </si>
  <si>
    <t>310105300001</t>
  </si>
  <si>
    <t>310200200002</t>
  </si>
  <si>
    <t>310200200003</t>
  </si>
  <si>
    <t>310200200004</t>
  </si>
  <si>
    <t>Fertilizer and Pesticide Authority</t>
  </si>
  <si>
    <t>National Meat Inspection Service</t>
  </si>
  <si>
    <t>Philippine Carabao Center</t>
  </si>
  <si>
    <t>310100100008</t>
  </si>
  <si>
    <t>310100200008</t>
  </si>
  <si>
    <t>310100300002</t>
  </si>
  <si>
    <t>Philippine Center For Postharvest Development and Mechanization</t>
  </si>
  <si>
    <t>012</t>
  </si>
  <si>
    <t>Philippine Fiber Industry Development Authority</t>
  </si>
  <si>
    <t>310100200014</t>
  </si>
  <si>
    <t>013</t>
  </si>
  <si>
    <t>Philippine Council for Agriculture and Fisheries</t>
  </si>
  <si>
    <t>014</t>
  </si>
  <si>
    <t>National Fisheries Research and Development Institute</t>
  </si>
  <si>
    <t>310500000000</t>
  </si>
  <si>
    <t>Planning and Policy Formulation for Soil and Water Resources Conservation, Management and Development</t>
  </si>
  <si>
    <t>Coordination of Agricultural Research</t>
  </si>
  <si>
    <t>Information and Communication Technology (ICT) Management Support</t>
  </si>
  <si>
    <t>Public Information Services</t>
  </si>
  <si>
    <t>Development of Organizational Policies, Plans and Procedures</t>
  </si>
  <si>
    <t>Agri-business and Marketing Services</t>
  </si>
  <si>
    <t>International Affairs Coordination and Liaisoning</t>
  </si>
  <si>
    <t>Operation and Maintenance of the Integrated Laboratories</t>
  </si>
  <si>
    <t>Field Program Management Activities</t>
  </si>
  <si>
    <t>Agriculture and Fishery Engineering Support Activities</t>
  </si>
  <si>
    <t>Food Laboratory Testing Support Activities</t>
  </si>
  <si>
    <t>Agriculture and Fishery Surveillance Support Activities</t>
  </si>
  <si>
    <t>Market Development Services</t>
  </si>
  <si>
    <t>Other Research and Development Activities</t>
  </si>
  <si>
    <t>Research and Development on the National Rice Program</t>
  </si>
  <si>
    <t>Research and Development on the National Livestock Program</t>
  </si>
  <si>
    <t>Research and Development on the National Corn Program</t>
  </si>
  <si>
    <t>Research and Development on the National High-Value Crops Development Program</t>
  </si>
  <si>
    <t>Research and Development on the Promotion and Development of Organic Agriculture Program</t>
  </si>
  <si>
    <t>Provision of Agricultural Equipment and Facilities (PAEF) on the National Rice Program</t>
  </si>
  <si>
    <t>Provision of Agricultural Equipment and Facilities (PAEF) on the National Livestock Program</t>
  </si>
  <si>
    <t>Provision of Agricultural Equipment and Facilities (PAEF) on the National Corn Program</t>
  </si>
  <si>
    <t>Provision of Agricultural Equipment and Facilities (PAEF) on the National High-Value Crops Development Program</t>
  </si>
  <si>
    <t>Provision of Agricultural Equipment and Facilities (PAEF) on the Promotion and Development of Organic Agriculture Program</t>
  </si>
  <si>
    <t>Provision of Agricultural Equipment and Facilities (PAEF) on the Halal Food Industry Development Program</t>
  </si>
  <si>
    <t>Provision of Agricultural Equipment and Facilities (PAEF) on the National Urban and Peri-Urban Agriculture Program</t>
  </si>
  <si>
    <t>Extension Support, Education and Training Services (ESETS) on the National Rice Program</t>
  </si>
  <si>
    <t>Extension Support, Education and Training Services (ESETS) on the National Livestock Program</t>
  </si>
  <si>
    <t>Extension Support, Education and Training Services (ESETS) on the National Corn Program</t>
  </si>
  <si>
    <t>Extension Support, Education and Training Services (ESETS) on the National High-Value Crops Development Program</t>
  </si>
  <si>
    <t>Extension Support, Education and Training Services (ESETS) on the Promotion and Development of Organic Agriculture Program</t>
  </si>
  <si>
    <t>Other Extension Support, Education and Training Services (ESETS) Activities</t>
  </si>
  <si>
    <t>Extension Support, Education and Training Services (ESETS) on the Halal Food Industry Development Program</t>
  </si>
  <si>
    <t>Extension Support, Education and Training Services (ESETS) on the National Urban and Peri-Urban Agriculture Program</t>
  </si>
  <si>
    <t>Production Support Services (PSS) on the National Rice Program</t>
  </si>
  <si>
    <t>Production Support Services (PSS) on the National Livestock Program</t>
  </si>
  <si>
    <t>Production Support Services (PSS) on the National Corn Program</t>
  </si>
  <si>
    <t>Production Support Services (PSS) on the National High-Value Crops Development Program</t>
  </si>
  <si>
    <t>Production Support Services (PSS) on the Promotion and Development of Organic Agriculture Program</t>
  </si>
  <si>
    <t>Other Production Support Services (PSS) Activities</t>
  </si>
  <si>
    <t>Production Support Services (PSS) on the Halal Food Industry Development Program</t>
  </si>
  <si>
    <t>Production Support Services (PSS) on the National Urban and Peri-Urban Agriculture Program</t>
  </si>
  <si>
    <t>Other Water Resources Projects</t>
  </si>
  <si>
    <t>Irrigation Network Services (INS) on the National Rice Program</t>
  </si>
  <si>
    <t>Irrigation Network Services (INS) on the National Corn Program</t>
  </si>
  <si>
    <t>Irrigation Network Services (INS) on the National High-Value Crops Development Program</t>
  </si>
  <si>
    <t>Irrigation Network Services (INS) on the Promotion and Development of Organic Agriculture</t>
  </si>
  <si>
    <t>Farm-to-Market Road (FMR) Network Planning and Monitoring Services</t>
  </si>
  <si>
    <t>Formulation, Monitoring and Evaluation of Agricultural and Fishery Policies, Plans and Programs</t>
  </si>
  <si>
    <t>Quality Control and Inspection</t>
  </si>
  <si>
    <t>Agriculture and Fishery Product Standards</t>
  </si>
  <si>
    <t>Quarantine Services</t>
  </si>
  <si>
    <t>Registration and Licensing</t>
  </si>
  <si>
    <t>Repair/Rehabilitation and Construction of Farm-to-Market Roads in Designated Key Production Areas</t>
  </si>
  <si>
    <t>Agro-Industry Modernization Credit and Financing Program (AMCFP) Administration</t>
  </si>
  <si>
    <t>Policy Formulation, Research and Advocacy, Monitoring and Evaluation of Credit Policies, Plans and Programs and Capacity Building</t>
  </si>
  <si>
    <t>Legal and Advisory Services</t>
  </si>
  <si>
    <t>Fishing Gear/Paraphernalia Distribution</t>
  </si>
  <si>
    <t>Fisheries Production and Distribution</t>
  </si>
  <si>
    <t xml:space="preserve">Provision of Fishery On-farm/Postharvest Equipment and Facilities </t>
  </si>
  <si>
    <t>Operation and Management of Production Facilities</t>
  </si>
  <si>
    <t>Monitoring, Control and Surveillance</t>
  </si>
  <si>
    <t>Quarantine, Registration and Licensing</t>
  </si>
  <si>
    <t>Coastal and Inland Fisheries Resource Management</t>
  </si>
  <si>
    <t>Extension Support, Education and Training Services (ESETS)</t>
  </si>
  <si>
    <t xml:space="preserve">Formulation, Monitoring and Evaluation of Policies, Plans and Programs </t>
  </si>
  <si>
    <t>Formulation, Monitoring and Evaluation of Policies, Plans and Programs</t>
  </si>
  <si>
    <t>Special Area for Agricultural Development (SAAD) Phase 2</t>
  </si>
  <si>
    <t>Fuel Assistance to Fisherfolk</t>
  </si>
  <si>
    <t>Development of Salt Industry</t>
  </si>
  <si>
    <t>Construction of Regional Fisheries Learning Hub (Phase II), Taguig City</t>
  </si>
  <si>
    <t>Philippine Fisheries and Coastal Resiliency Project (FishCORE) IBRD Loan No. 9480-PH</t>
  </si>
  <si>
    <t>Fortified Organic Fertilizer Development Program</t>
  </si>
  <si>
    <t xml:space="preserve">Construction of a Two-Storey Fertilizer and Pesticide Authority RFO-8 Building including Laboratory and Equipment </t>
  </si>
  <si>
    <t>Training and Education Services</t>
  </si>
  <si>
    <t>Research and Development</t>
  </si>
  <si>
    <t>Meat Inspection Enforcement and Deputation Services</t>
  </si>
  <si>
    <t>Meat Inspection Development Services</t>
  </si>
  <si>
    <t>Meat Establishment Licensing Services</t>
  </si>
  <si>
    <t>Meat Importers and Exporters Registration Services</t>
  </si>
  <si>
    <t>Meat Establishment and Meat Inspection Assistance to LGUs Services</t>
  </si>
  <si>
    <t>Formulation, Monitoring and Evaluation of Plans, Programs and Projects</t>
  </si>
  <si>
    <t>Intensification of the National Upgrading Program</t>
  </si>
  <si>
    <t>Carabao-Based Enterprise Development</t>
  </si>
  <si>
    <t>Knowledge Management and Support Services</t>
  </si>
  <si>
    <t>Animal Genetic Resource Conservation and Utilization</t>
  </si>
  <si>
    <t>Herd Build-up of Genetically-Improved Dairy Buffalos of the Philippine Carabao Center</t>
  </si>
  <si>
    <t>Extension Support, Education and Training Services</t>
  </si>
  <si>
    <t>Development and Coordination of Agriculture and Fishery Policies</t>
  </si>
  <si>
    <t>Planning, Monitoring and Knowledge Management</t>
  </si>
  <si>
    <t>Partnership Development</t>
  </si>
  <si>
    <t>Intensified Community-Based Dairy Enterprise Development (USPL-80)</t>
  </si>
  <si>
    <t>Formulation and Monitoring of Policies, Plans and Programs</t>
  </si>
  <si>
    <t>Production Support Services</t>
  </si>
  <si>
    <t>310102100006</t>
  </si>
  <si>
    <t>310102100005</t>
  </si>
  <si>
    <t>310102100004</t>
  </si>
  <si>
    <t>310102100003</t>
  </si>
  <si>
    <t>Market Development Services (MDS) on the National Rice Program</t>
  </si>
  <si>
    <t>Market Development Services (MDS) on the National Livestock Program</t>
  </si>
  <si>
    <t>Market Development Services (MDS) on the National Corn Program</t>
  </si>
  <si>
    <t>Market Development Services (MDS) on the National High-Value Crops Development Program</t>
  </si>
  <si>
    <t>Market Development Services (MDS) on the Promotion and Development of Organic Agriculture Program</t>
  </si>
  <si>
    <t>Other Market Development Services (MDS) activities</t>
  </si>
  <si>
    <t>310103200001</t>
  </si>
  <si>
    <t>Malitubog-Maridagao Irrigation Project Phase II (Agriculture Component)</t>
  </si>
  <si>
    <t>Locally-Funded and Foreign-Assisted Program</t>
  </si>
  <si>
    <t>Special Area for Agricultural Development Program</t>
  </si>
  <si>
    <t>310105200002</t>
  </si>
  <si>
    <t>Establishment and Operation of Aklan Provincial Fresh Water Tilapia Hatchery</t>
  </si>
  <si>
    <t>310105200003</t>
  </si>
  <si>
    <t>310105200004</t>
  </si>
  <si>
    <t>310105200005</t>
  </si>
  <si>
    <t>310105200006</t>
  </si>
  <si>
    <t>Establishment of Community Fish Landing with Cold Storage in Palanan, Isabela</t>
  </si>
  <si>
    <t>Establishment of Community Fish Landing with Cold Storage in Dingalan, Aurora</t>
  </si>
  <si>
    <t>Establishment of Community Fish Landing with Cold Storage in Atimonan, Quezon</t>
  </si>
  <si>
    <t>Establishment of Community Fish Landing with Cold Storage in Guiuan, Eastern Samar</t>
  </si>
  <si>
    <t>Fisheries, Coastal Resources and Livelihood Project (FishCORAL)</t>
  </si>
  <si>
    <t>Oplan Sagip Ludong Project (OSLP): Save Our Endangered Philippine Ludong (BFAR)</t>
  </si>
  <si>
    <t>310200300002</t>
  </si>
  <si>
    <t>Integrated Marine Environment Monitoring System Phase 2 (PHILO Project Phase 2)</t>
  </si>
  <si>
    <t>Cotton Development Project</t>
  </si>
  <si>
    <t>Establishment of Weaving and Processing Centers (Pandan, Antique; Miag-ao, Iloilo; Pinili, Ilocos Norte, Laguindingan, Misamis Oriental)</t>
  </si>
  <si>
    <t>Establishment of Ginning and Spinning Facility for Cotton (Patnongon, Antique; Dumingag, Zamboanga del Sur)</t>
  </si>
  <si>
    <t>Establishment of Pineapple Farms and Fiber Extraction Facilities (Camarines Norte, Antique, Aklan)</t>
  </si>
  <si>
    <t>Abaca Fiber Production (San Jose; Lauan, Antique)</t>
  </si>
  <si>
    <t>Integrated Marine Environment Monitoring System (IMEMS) Phase 2</t>
  </si>
  <si>
    <t>Research for Development</t>
  </si>
  <si>
    <t>Establishment of Province Wide Carabao-Based Business Improvement Network</t>
  </si>
  <si>
    <t>Establishment of Carabao Industry Hub in Antique Province</t>
  </si>
  <si>
    <t>Disaster Risk Reduction Management Support Activities</t>
  </si>
  <si>
    <t>Modernization and Strengthening of Production and Research Facilities</t>
  </si>
  <si>
    <t>Quality Control and Inspection of Regulatory Documents</t>
  </si>
  <si>
    <t>Agro-Industry Modernization Credit and Financing Program (AMCFP) Administration including P200,000,000 for Agripreneurship Development Fund for coconut farmers</t>
  </si>
  <si>
    <t>Agripreneurship Program</t>
  </si>
  <si>
    <t>Mobile Water Treatment and Desalination System for Sanitation Community Health, and Livelihood Support in Fishery Households</t>
  </si>
  <si>
    <t>Aquaculture and Mariculture Expansion and Invigoration Project</t>
  </si>
  <si>
    <t>Construction of Regional Fisheries Learning Hub (Phase 1)</t>
  </si>
  <si>
    <t>Construction of Postharvest Technology Facility, Taguig City</t>
  </si>
  <si>
    <t>Establishment of weaving and processing centers</t>
  </si>
  <si>
    <t>Abaca Development Program</t>
  </si>
  <si>
    <t>Operationalization of Fisheries Management Areas (FMAs) Program</t>
  </si>
  <si>
    <t>Establishment of Carabao Dairy Centers</t>
  </si>
  <si>
    <t>Establishment of Carabao Industry Hub</t>
  </si>
  <si>
    <t>Intensified Community-Based Dairy Enterprise Development (USPL 480)</t>
  </si>
  <si>
    <t>Intensified Community-Based Dairy Enterprise Development (USPL-480)</t>
  </si>
  <si>
    <t>Strengthening the ALAB-Karbawan Project through Herd Build-Up</t>
  </si>
  <si>
    <t>Upgrading and Capacitating Municipal Fisherfolk in the West Philippine Sea</t>
  </si>
  <si>
    <t>Milk Feeding Component of the Department of Education's School-Based Feeding Program</t>
  </si>
  <si>
    <t>10</t>
  </si>
  <si>
    <t>Department of Environment and Natural Resources (DENR)</t>
  </si>
  <si>
    <t>310203200001</t>
  </si>
  <si>
    <t>310203200002</t>
  </si>
  <si>
    <t>310204100001</t>
  </si>
  <si>
    <t>310204100002</t>
  </si>
  <si>
    <t>310205100001</t>
  </si>
  <si>
    <t>310205100002</t>
  </si>
  <si>
    <t>310205300001</t>
  </si>
  <si>
    <t>310205300002</t>
  </si>
  <si>
    <t>Environmental Management Bureau</t>
  </si>
  <si>
    <t>Mines and Geosciences Bureau</t>
  </si>
  <si>
    <t>100000100004</t>
  </si>
  <si>
    <t>320300100002</t>
  </si>
  <si>
    <t>National Mapping and Resource Information Authority</t>
  </si>
  <si>
    <t>National Water Resources Board</t>
  </si>
  <si>
    <t>Palawan Council for Sustainable Development Staff</t>
  </si>
  <si>
    <t>09</t>
  </si>
  <si>
    <t>Department of Energy (DOE)</t>
  </si>
  <si>
    <t>3106</t>
  </si>
  <si>
    <t>310600100001</t>
  </si>
  <si>
    <t>Provision of legal advice, legal counselling and legal support to service contract negotiations and hearings; serves as the official legislative liaison to the Congress of the Philippines</t>
  </si>
  <si>
    <t>Formulation of policies, plans and programs relative to information and communications technology, geo-informatics and data information management. Ensures effective deployment, utilization and maintenance of ICT</t>
  </si>
  <si>
    <t xml:space="preserve">Provision and conduct of laboratory services in support of exploration and development of indigenous energy resources, as well as, to promote energy efficiency through research and calibration testing </t>
  </si>
  <si>
    <t>Extension and enhancement of energy resource exploration, development and utilization; and energy industry management and control activities in the areas of Luzon, Visayas and Mindanao</t>
  </si>
  <si>
    <t xml:space="preserve">Formulation, updating and monitoring of short, medium and long term national and regional energy policies, plans and programs </t>
  </si>
  <si>
    <t>Promotion of exploration, development and production of conventional energy resources</t>
  </si>
  <si>
    <t>Supervision and regulation of exploration, development and production of conventional energy resources and technologies</t>
  </si>
  <si>
    <t>Promotion of renewable energy (RE) resources and payment of other obligations of the Republic of the  Philippines pursuant to sovereign commitments</t>
  </si>
  <si>
    <t>Supervision and regulation of exploration, development and utilization of RE resources and technologies</t>
  </si>
  <si>
    <t>Promotion of plans and programs to ensure sustainable supply for the downstream oil and natural gas industries</t>
  </si>
  <si>
    <t>Supervision and regulation of the downstream oil and natural gas industries</t>
  </si>
  <si>
    <t>Management of the restructured electric power industry</t>
  </si>
  <si>
    <t>Supervision, development and implementation of energy efficiency and conservation programs (EECP) and projects</t>
  </si>
  <si>
    <t>Promotion of EECP activities and projects</t>
  </si>
  <si>
    <t>Conduct of energy audit services</t>
  </si>
  <si>
    <t>Promotion of research, development, demonstration and utilization of alternative fuels and technologies</t>
  </si>
  <si>
    <t>Supervision and monitoring of the Household Electrification Development Program</t>
  </si>
  <si>
    <t>Supervision/Regulation, Promotion, Research, Development, Demonstration and Utilization of Electric Vehicles (EVs), EV Charging Stations and Related Infrastructures</t>
  </si>
  <si>
    <t>Data Management including Systems Development and Maintenance</t>
  </si>
  <si>
    <t>Production and Dissemination of Technical and Popular Materials in the Conservation and Development of Natural Resources and Environmental Education, including an Encyclopedia on Biodiversity</t>
  </si>
  <si>
    <t>Legal Services including Operations Against Unlawful Titling of Public Land</t>
  </si>
  <si>
    <t>Conduct of Special Studies, Design and Development in Support of Forestry, Mining and Environmental Management Operations, including Climate Change Resilience</t>
  </si>
  <si>
    <t>Formulation and Monitoring of ENR Sector Policies, Plans, Programs and Projects</t>
  </si>
  <si>
    <t>Ecosystem Research Development and Extension Services</t>
  </si>
  <si>
    <t>Natural Resources management arrangement/agreement and permit issuance</t>
  </si>
  <si>
    <t>Operations against illegal environment and natural resources activities</t>
  </si>
  <si>
    <t>Protected areas development and management</t>
  </si>
  <si>
    <t>Protection and conservation of wildlife</t>
  </si>
  <si>
    <t>Management of Coastal and Marine Resources/Areas</t>
  </si>
  <si>
    <t>Development, Updating and Implementation of the Operational Plan for the Manila Bay Coastal Management Strategy pursuant to SC Decision under GR No. 171947-48</t>
  </si>
  <si>
    <t>Land Survey, Disposition and Records Management</t>
  </si>
  <si>
    <t>For the requirements of the Comprehensive Agrarian Reform Program</t>
  </si>
  <si>
    <t>Forest Development, Rehabilitation, Maintenance and Protection</t>
  </si>
  <si>
    <t>Soil Conservation and Watershed Management including River Basin Management and Development</t>
  </si>
  <si>
    <t>Integrated Natural Resources and Environmental Management Project (INREMP)</t>
  </si>
  <si>
    <t>Forestland Management Project</t>
  </si>
  <si>
    <t>Natural Resources Assessment</t>
  </si>
  <si>
    <t>Planning, Policy Formulation, Management Information System, and Support to Climate Change</t>
  </si>
  <si>
    <t>Legal Services and Provision of Secretariat Services to the Pollution Adjudication Board</t>
  </si>
  <si>
    <t>Environmental Pollution Research</t>
  </si>
  <si>
    <t>Environmental Education and Partnership Building</t>
  </si>
  <si>
    <t>Environmental impact assessments</t>
  </si>
  <si>
    <t>Implementation of clean air regulations</t>
  </si>
  <si>
    <t>Implementation of clean water regulations</t>
  </si>
  <si>
    <t xml:space="preserve">Implementation of ecological solid waste management regulations </t>
  </si>
  <si>
    <t>Implementation of toxic substances and hazardous waste management regulations</t>
  </si>
  <si>
    <t>Admnistration of Personnel Benefits</t>
  </si>
  <si>
    <t>Planning and Policy Formulation</t>
  </si>
  <si>
    <t>Mineral Economics, Information and Communication Plan</t>
  </si>
  <si>
    <t>Mineral Regulation Services</t>
  </si>
  <si>
    <t>Mineral Resources Development</t>
  </si>
  <si>
    <t>Geological Assessment for Risk Reduction and Resiliency</t>
  </si>
  <si>
    <t>Hydrographic and Oceanographic Surveys and Nautical Charting</t>
  </si>
  <si>
    <t>Topographic Base Mapping and Geodetic Surveys</t>
  </si>
  <si>
    <t>Resource Assessment and Mapping</t>
  </si>
  <si>
    <t>Geospatial Information Management</t>
  </si>
  <si>
    <t>NAMRIA Geospatial Data Infrastructure</t>
  </si>
  <si>
    <t>Water Resources Policies and Plans Formulation, Program Coordination, and Information and Communication</t>
  </si>
  <si>
    <t xml:space="preserve">Processing, Adjudicating and Granting of Water Rights and Waterworks Franchises </t>
  </si>
  <si>
    <t>Monitoring of Water Appropriation/Utilization and Enforcement of Laws and Orders</t>
  </si>
  <si>
    <t>Water Resources Supply and Demand Assessment</t>
  </si>
  <si>
    <t>Advocacy, Communications and Education</t>
  </si>
  <si>
    <t>ECAN Monitoring and Evaluation System</t>
  </si>
  <si>
    <t>ECAN Zoning</t>
  </si>
  <si>
    <t>Knowledge and Research Management</t>
  </si>
  <si>
    <t>Resource Mobilization and Partnership Development</t>
  </si>
  <si>
    <t>Operation of Strategic Environmental Plan Clearance System</t>
  </si>
  <si>
    <t>Wildlife and Cave Management</t>
  </si>
  <si>
    <t>Pasig River Rehabilitation</t>
  </si>
  <si>
    <t>29</t>
  </si>
  <si>
    <t>The Judiciary (JUD)</t>
  </si>
  <si>
    <t>Supreme Court of the Philippines and the Lower Courts</t>
  </si>
  <si>
    <t>200000200003</t>
  </si>
  <si>
    <t>200000200004</t>
  </si>
  <si>
    <t>200000200005</t>
  </si>
  <si>
    <t>200000200006</t>
  </si>
  <si>
    <t>200000200007</t>
  </si>
  <si>
    <t>200000200008</t>
  </si>
  <si>
    <t>200000200009</t>
  </si>
  <si>
    <t>200000200010</t>
  </si>
  <si>
    <t>200000200011</t>
  </si>
  <si>
    <t>200000200012</t>
  </si>
  <si>
    <t>200000200013</t>
  </si>
  <si>
    <t>200000200014</t>
  </si>
  <si>
    <t>200000200015</t>
  </si>
  <si>
    <t>310100100009</t>
  </si>
  <si>
    <t>310100100010</t>
  </si>
  <si>
    <t>Presidential Electoral Tribunal</t>
  </si>
  <si>
    <t>Sandiganbayan</t>
  </si>
  <si>
    <t>310103200002</t>
  </si>
  <si>
    <t>Court of Appeals</t>
  </si>
  <si>
    <t>Court of Tax Appeals</t>
  </si>
  <si>
    <t>Supervision of Lower Courts</t>
  </si>
  <si>
    <t>Judicial Bar Council</t>
  </si>
  <si>
    <t>Operations of Philippine Judicial Academy (PHILJA)</t>
  </si>
  <si>
    <t xml:space="preserve">Operations of Mandatory Continuing Legal Education (MCLE) </t>
  </si>
  <si>
    <t>Subsidy to Integrated Bar of the Philippines (IBP)</t>
  </si>
  <si>
    <t>Enterprise Information Systems Plan (EISP)</t>
  </si>
  <si>
    <t>Construction/Completion/and /or Repair/Rehabilitation of the Halls of Justice nationwide (JUSIP), including P100,000,000.00 for the Hall of Justice in San Juan, Metro Manila and P50,000,000.00 in Tarlac City</t>
  </si>
  <si>
    <t>Adjudication of Regional Trial Court Cases</t>
  </si>
  <si>
    <t>Adjudication of Metropolitan Court Cases</t>
  </si>
  <si>
    <t>Adjudication of Municipal Trial Court Cases in Cities</t>
  </si>
  <si>
    <t xml:space="preserve">Adjudication of Municipal Circuit Court Cases </t>
  </si>
  <si>
    <t>Adjudication of Municipal Court Cases</t>
  </si>
  <si>
    <t>Adjudication of Shari'a District Court Cases</t>
  </si>
  <si>
    <t>Adjudication of Shari'a Circuit Court Cases</t>
  </si>
  <si>
    <t>Adjudication of Child and Family Court Cases</t>
  </si>
  <si>
    <t>Adjudication of Supreme Court Cases</t>
  </si>
  <si>
    <t>General management and supervision</t>
  </si>
  <si>
    <t xml:space="preserve">Adjudication of Electoral Cases/Contests involving the President and Vice President of the Republic </t>
  </si>
  <si>
    <t>Legal and Compliance Services</t>
  </si>
  <si>
    <t>Docketing, processing, reporting and calendaring of cases for hearing and conduct of proceedings</t>
  </si>
  <si>
    <t>Trial of cases, preparation and promulgation of decisions and issuance processes</t>
  </si>
  <si>
    <t>Review of case records, drafting and promulgation of decisions or resolutions disposing cases</t>
  </si>
  <si>
    <t>Adjudication of Appealed and Other Court Cases</t>
  </si>
  <si>
    <t xml:space="preserve">Adjudication of Tax, Customs and Assessment Cases </t>
  </si>
  <si>
    <t>14</t>
  </si>
  <si>
    <t>Department of the Interior and Local Government (DILG)</t>
  </si>
  <si>
    <t>Philippine Commission on Women (National Commission on the Role of Filipino Women)</t>
  </si>
  <si>
    <t>310100200009</t>
  </si>
  <si>
    <t>Other Executive Offices (OEOs)</t>
  </si>
  <si>
    <t>029</t>
  </si>
  <si>
    <t>Maintenance of a Data Bank on Gender and Development (GAD) for Women</t>
  </si>
  <si>
    <t>Provision of Gender and Development (GAD) Policy and Plan Development and Advocacy Services</t>
  </si>
  <si>
    <t xml:space="preserve">Provision of Technical Assistance, Advisory and Capacity-Building Services on Gender and Development </t>
  </si>
  <si>
    <t xml:space="preserve">Planning, Management and Monitoring of Gender Mainstreaming under the Magna Carta of Women </t>
  </si>
  <si>
    <t>Development and Acquisition of Management Information Sub-Systems</t>
  </si>
  <si>
    <t>Improvement/Maintenance of ICT Network Infrastructure and Information Systems</t>
  </si>
  <si>
    <t>Enhancement of the Human Resource Management System (HRMS)</t>
  </si>
  <si>
    <t>Capacity Building of Women Entrepreneurs in the Business Sector food processing</t>
  </si>
  <si>
    <t>Capacity Building on Violence Against Women and their Children (VAWC) Responders on the Shadow Pandemic: How to handle Gender-based violence (GBV) cases for Barangay Violence Against Women (VAW) Desk Officers</t>
  </si>
  <si>
    <t>Handog kay Juana Capacity Building for displaced workers, (OFW), single mother, solo parent on Agriculture for sustainable food security with community planning, technical assistance, advisory and monitoring services</t>
  </si>
  <si>
    <t>Continuation of the programs and activities to strengthen Regional Gender Mainstreaming Activities of the PCW Pilot Field Office known as the Mindanao Field Office (PCW-NMFO)</t>
  </si>
  <si>
    <t>Development of the Document Management System</t>
  </si>
  <si>
    <t>Enhancement of Multimedia Bank System</t>
  </si>
  <si>
    <t>AuthAppro_2026_EXP_1PS</t>
  </si>
  <si>
    <t>AuthAppro_2026_EXP_2MOOE</t>
  </si>
  <si>
    <t>AuthAppro_2026_EXP_3FE</t>
  </si>
  <si>
    <t>AuthAppro_2026_EXP_6CO</t>
  </si>
  <si>
    <t>AuthAppro_2026_EXP_TOTAL</t>
  </si>
  <si>
    <t>AdjAppro_2026_EXP_1PS</t>
  </si>
  <si>
    <t>AdjAppro_2026_EXP_2MOOE</t>
  </si>
  <si>
    <t>AdjAppro_2026_EXP_3FE</t>
  </si>
  <si>
    <t>AdjAppro_2026_EXP_6CO</t>
  </si>
  <si>
    <t>AdjAppro_2026_EXP_TOTAL</t>
  </si>
  <si>
    <t>AdjAllot_2026_EXP_1PS</t>
  </si>
  <si>
    <t>AdjAllot_2026_EXP_2MOOE</t>
  </si>
  <si>
    <t>AdjAllot_2026_EXP_3FE</t>
  </si>
  <si>
    <t>AdjAllot_2026_EXP_6CO</t>
  </si>
  <si>
    <t>AdjAllot_2026_EXP_TOTAL</t>
  </si>
  <si>
    <t>Obligations_2026_EXP_1PS</t>
  </si>
  <si>
    <t>Obligations_2026_EXP_2MOOE</t>
  </si>
  <si>
    <t>Obligations_2026_EXP_3FE</t>
  </si>
  <si>
    <t>Obligations_2026_EXP_6CO</t>
  </si>
  <si>
    <t>Obligations_2026_EXP_TOTAL</t>
  </si>
  <si>
    <t>Disbursements_2026_EXP_1PS</t>
  </si>
  <si>
    <t>Disbursements_2026_EXP_2MOOE</t>
  </si>
  <si>
    <t>Disbursements_2026_EXP_3FE</t>
  </si>
  <si>
    <t>Disbursements_2026_EXP_6CO</t>
  </si>
  <si>
    <t>Disbursements_2026_EXP_TOTAL</t>
  </si>
  <si>
    <t>NEP_2027_EXP_1PS</t>
  </si>
  <si>
    <t>NEP_2027_EXP_2MOOE</t>
  </si>
  <si>
    <t>NEP_2027_EXP_3FE</t>
  </si>
  <si>
    <t>NEP_2027_EXP_6CO</t>
  </si>
  <si>
    <t>NEP_2027_EXP_TOTAL</t>
  </si>
  <si>
    <t>GAA_2027_EXP_1PS</t>
  </si>
  <si>
    <t>GAA_2027_EXP_2MOOE</t>
  </si>
  <si>
    <t>GAA_2027_EXP_3FE</t>
  </si>
  <si>
    <t>GAA_2027_EXP_6CO</t>
  </si>
  <si>
    <t>GAA_2027_EXP_TOTAL</t>
  </si>
  <si>
    <t>330100300008</t>
  </si>
  <si>
    <t>Pang-Agraryong Tulay para sa Bagong Bayanihan ng mga Magsasaka (PBBM) Bridges Project</t>
  </si>
  <si>
    <t>350101100011</t>
  </si>
  <si>
    <t>Health Workforce Management and Development</t>
  </si>
  <si>
    <t>350101100012</t>
  </si>
  <si>
    <t>Health and Climate Change Program Development and Implementation</t>
  </si>
  <si>
    <t>Foreign-Assisted Project: Health System Enhancement to Address and Limit (HEAL) COVID 19 ADB Loan No. 3961-PHI</t>
  </si>
  <si>
    <t>350202300003</t>
  </si>
  <si>
    <t>310400100023</t>
  </si>
  <si>
    <t>310400300001</t>
  </si>
  <si>
    <t>Government Assistance and Subsidies</t>
  </si>
  <si>
    <t>Project for Learning Upgrade Support and Decentralization (PLUS-D) WB Loan No. 9933-PH</t>
  </si>
  <si>
    <t>310100200050</t>
  </si>
  <si>
    <t>310100200051</t>
  </si>
  <si>
    <t>310100200052</t>
  </si>
  <si>
    <t>310100200053</t>
  </si>
  <si>
    <t>310100200054</t>
  </si>
  <si>
    <t>310100200055</t>
  </si>
  <si>
    <t>Completion of the Rehabilitation of the National Museum of the Philippines - Kabayan Burial Cave Site Museum and Satellite Office, Phase 3</t>
  </si>
  <si>
    <t>Repair and Restoration of Boljoon Church Complex, Boljoon, Cebu and Development of NMP-Boljoon, Cebu, Phase 2</t>
  </si>
  <si>
    <t>Continuation of the Development of Tabon Cave Complex and Lipuan Point, Quezon, Palawan</t>
  </si>
  <si>
    <t>Restoration and Development of NMP Museums and DeclaredAssociated Heritage Sites in the Visayas (Fort San Pedro, Iloilo City), Phase 2</t>
  </si>
  <si>
    <t>Construction of Rizal Park Exhibition Building in NMP Complex in Manila (Phase 1)</t>
  </si>
  <si>
    <t>Rehabilitation of Former United States Air Force (USAF) Hospital in Clark Freeport, Pampanga, and Conversion to NMP Clark, Pampanga (Phase 3)</t>
  </si>
  <si>
    <t>Tara, Basa! Tutoring Program</t>
  </si>
  <si>
    <t>310100300006</t>
  </si>
  <si>
    <t>Panahon ng Pagkilos: Philippine Community Resilience Project WB Loan No. 98460-PH</t>
  </si>
  <si>
    <t>320104300001</t>
  </si>
  <si>
    <t>Reducing Food Insecurity and Undernutrition with Electronic Vouchers Project ADB Loan No. 4646-PHI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</si>
</sst>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0000"/>
      <name val="Calibri"/>
      <family val="2"/>
      <scheme val="minor"/>
    </font>
    <font>
      <sz val="8"/>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applyAlignment="1">
      <alignment horizontal="center"/>
    </xf>
    <xf numFmtId="0" fontId="2" fillId="2" borderId="0" xfId="0" applyFont="1" applyFill="1" applyAlignment="1">
      <alignment horizontal="center"/>
    </xf>
    <xf numFmtId="3" fontId="0" fillId="0" borderId="0" xfId="0" applyNumberFormat="1"/>
    <xf numFmtId="0" fontId="0" fillId="0" borderId="0" xfId="0" quotePrefix="1"/>
    <xf numFmtId="3" fontId="1" fillId="0" borderId="0" xfId="0" applyNumberFormat="1" applyFont="1"/>
    <xf numFmtId="3" fontId="3" fillId="0" borderId="0" xfId="0" applyNumberFormat="1" applyFont="1"/>
    <xf numFmtId="0" fontId="4" fillId="0" borderId="0" xfId="0" applyFont="1" applyAlignment="1">
      <alignment horizontal="center"/>
    </xf>
    <xf numFmtId="0" fontId="4" fillId="2" borderId="0" xfId="0" applyFont="1" applyFill="1" applyAlignment="1">
      <alignment horizontal="center"/>
    </xf>
    <xf numFmtId="3" fontId="5" fillId="0" borderId="0" xfId="0" applyNumberFormat="1" applyFont="1" applyAlignment="1">
      <alignment horizontal="right" vertical="top" shrinkToFit="1"/>
    </xf>
    <xf numFmtId="4" fontId="0" fillId="0" borderId="0" xfId="0" applyNumberFormat="1"/>
    <xf numFmtId="3" fontId="4" fillId="0" borderId="0" xfId="0" applyNumberFormat="1" applyFont="1" applyAlignment="1">
      <alignment horizontal="center"/>
    </xf>
    <xf numFmtId="3" fontId="4" fillId="2" borderId="0" xfId="0" applyNumberFormat="1" applyFont="1" applyFill="1" applyAlignment="1">
      <alignment horizontal="center"/>
    </xf>
    <xf numFmtId="3" fontId="2" fillId="0" borderId="0" xfId="0" applyNumberFormat="1" applyFont="1" applyAlignment="1">
      <alignment horizontal="center"/>
    </xf>
    <xf numFmtId="3" fontId="2" fillId="2" borderId="0" xfId="0" applyNumberFormat="1" applyFont="1" applyFill="1" applyAlignment="1">
      <alignment horizontal="center"/>
    </xf>
    <xf numFmtId="0" fontId="0" fillId="3" borderId="0" xfId="0" applyFill="1"/>
    <xf numFmtId="4" fontId="2" fillId="2" borderId="0" xfId="0" applyNumberFormat="1" applyFont="1" applyFill="1" applyAlignment="1">
      <alignment horizontal="center"/>
    </xf>
    <xf numFmtId="4" fontId="3" fillId="0" borderId="0" xfId="0" applyNumberFormat="1" applyFont="1"/>
    <xf numFmtId="4" fontId="1" fillId="0" borderId="0" xfId="0" applyNumberFormat="1" applyFont="1"/>
    <xf numFmtId="0" fontId="3" fillId="0" borderId="0" xfId="0"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4405-86C7-4087-81B4-21532ECCC601}">
  <dimension ref="A1:JG123"/>
  <sheetViews>
    <sheetView zoomScale="85" zoomScaleNormal="85" workbookViewId="0">
      <pane xSplit="7" ySplit="1" topLeftCell="IY2" activePane="bottomRight" state="frozen"/>
      <selection pane="topRight" activeCell="H1" sqref="H1"/>
      <selection pane="bottomLeft" activeCell="A2" sqref="A2"/>
      <selection pane="bottomRight" activeCell="JA2" sqref="JA2"/>
    </sheetView>
  </sheetViews>
  <sheetFormatPr defaultRowHeight="15" x14ac:dyDescent="0.25"/>
  <cols>
    <col min="1" max="6" width="9.140625" customWidth="1"/>
    <col min="7" max="267" width="15.7109375" customWidth="1"/>
  </cols>
  <sheetData>
    <row r="1" spans="1:267" s="1" customFormat="1" x14ac:dyDescent="0.25">
      <c r="A1" s="1" t="s">
        <v>0</v>
      </c>
      <c r="B1" s="1" t="s">
        <v>1</v>
      </c>
      <c r="C1" s="1" t="s">
        <v>2</v>
      </c>
      <c r="D1" s="1" t="s">
        <v>3</v>
      </c>
      <c r="E1" s="1" t="s">
        <v>4</v>
      </c>
      <c r="F1" s="7" t="s">
        <v>5</v>
      </c>
      <c r="G1" s="7" t="s">
        <v>6</v>
      </c>
      <c r="H1" s="7" t="s">
        <v>610</v>
      </c>
      <c r="I1" s="7" t="s">
        <v>611</v>
      </c>
      <c r="J1" s="7" t="s">
        <v>612</v>
      </c>
      <c r="K1" s="7" t="s">
        <v>7</v>
      </c>
      <c r="L1" s="7" t="s">
        <v>613</v>
      </c>
      <c r="M1" s="7" t="s">
        <v>614</v>
      </c>
      <c r="N1" s="7" t="s">
        <v>615</v>
      </c>
      <c r="O1" s="7" t="s">
        <v>8</v>
      </c>
      <c r="P1" s="8" t="s">
        <v>649</v>
      </c>
      <c r="Q1" s="8" t="s">
        <v>650</v>
      </c>
      <c r="R1" s="8" t="s">
        <v>651</v>
      </c>
      <c r="S1" s="8" t="s">
        <v>9</v>
      </c>
      <c r="T1" s="8" t="s">
        <v>652</v>
      </c>
      <c r="U1" s="8" t="s">
        <v>653</v>
      </c>
      <c r="V1" s="8" t="s">
        <v>654</v>
      </c>
      <c r="W1" s="8" t="s">
        <v>10</v>
      </c>
      <c r="X1" s="8" t="s">
        <v>655</v>
      </c>
      <c r="Y1" s="8" t="s">
        <v>656</v>
      </c>
      <c r="Z1" s="8" t="s">
        <v>657</v>
      </c>
      <c r="AA1" s="8" t="s">
        <v>11</v>
      </c>
      <c r="AB1" s="8" t="s">
        <v>658</v>
      </c>
      <c r="AC1" s="8" t="s">
        <v>659</v>
      </c>
      <c r="AD1" s="8" t="s">
        <v>660</v>
      </c>
      <c r="AE1" s="8" t="s">
        <v>12</v>
      </c>
      <c r="AF1" s="8" t="s">
        <v>661</v>
      </c>
      <c r="AG1" s="8" t="s">
        <v>662</v>
      </c>
      <c r="AH1" s="8" t="s">
        <v>663</v>
      </c>
      <c r="AI1" s="8" t="s">
        <v>13</v>
      </c>
      <c r="AJ1" s="1" t="s">
        <v>604</v>
      </c>
      <c r="AK1" s="1" t="s">
        <v>605</v>
      </c>
      <c r="AL1" s="1" t="s">
        <v>606</v>
      </c>
      <c r="AM1" s="1" t="s">
        <v>14</v>
      </c>
      <c r="AN1" s="1" t="s">
        <v>607</v>
      </c>
      <c r="AO1" s="1" t="s">
        <v>608</v>
      </c>
      <c r="AP1" s="1" t="s">
        <v>609</v>
      </c>
      <c r="AQ1" s="1" t="s">
        <v>15</v>
      </c>
      <c r="AR1" s="2" t="s">
        <v>664</v>
      </c>
      <c r="AS1" s="2" t="s">
        <v>665</v>
      </c>
      <c r="AT1" s="2" t="s">
        <v>666</v>
      </c>
      <c r="AU1" s="2" t="s">
        <v>16</v>
      </c>
      <c r="AV1" s="2" t="s">
        <v>667</v>
      </c>
      <c r="AW1" s="2" t="s">
        <v>668</v>
      </c>
      <c r="AX1" s="2" t="s">
        <v>669</v>
      </c>
      <c r="AY1" s="2" t="s">
        <v>17</v>
      </c>
      <c r="AZ1" s="2" t="s">
        <v>670</v>
      </c>
      <c r="BA1" s="2" t="s">
        <v>671</v>
      </c>
      <c r="BB1" s="2" t="s">
        <v>672</v>
      </c>
      <c r="BC1" s="2" t="s">
        <v>18</v>
      </c>
      <c r="BD1" s="2" t="s">
        <v>673</v>
      </c>
      <c r="BE1" s="2" t="s">
        <v>674</v>
      </c>
      <c r="BF1" s="2" t="s">
        <v>675</v>
      </c>
      <c r="BG1" s="2" t="s">
        <v>19</v>
      </c>
      <c r="BH1" s="2" t="s">
        <v>676</v>
      </c>
      <c r="BI1" s="2" t="s">
        <v>677</v>
      </c>
      <c r="BJ1" s="2" t="s">
        <v>678</v>
      </c>
      <c r="BK1" s="2" t="s">
        <v>20</v>
      </c>
      <c r="BL1" s="1" t="s">
        <v>21</v>
      </c>
      <c r="BM1" s="1" t="s">
        <v>22</v>
      </c>
      <c r="BN1" s="1" t="s">
        <v>23</v>
      </c>
      <c r="BO1" s="1" t="s">
        <v>24</v>
      </c>
      <c r="BP1" s="1" t="s">
        <v>25</v>
      </c>
      <c r="BQ1" s="1" t="s">
        <v>26</v>
      </c>
      <c r="BR1" s="1" t="s">
        <v>27</v>
      </c>
      <c r="BS1" s="1" t="s">
        <v>28</v>
      </c>
      <c r="BT1" s="2" t="s">
        <v>29</v>
      </c>
      <c r="BU1" s="2" t="s">
        <v>30</v>
      </c>
      <c r="BV1" s="2" t="s">
        <v>31</v>
      </c>
      <c r="BW1" s="2" t="s">
        <v>32</v>
      </c>
      <c r="BX1" s="2" t="s">
        <v>33</v>
      </c>
      <c r="BY1" s="2" t="s">
        <v>34</v>
      </c>
      <c r="BZ1" s="2" t="s">
        <v>35</v>
      </c>
      <c r="CA1" s="2" t="s">
        <v>36</v>
      </c>
      <c r="CB1" s="2" t="s">
        <v>37</v>
      </c>
      <c r="CC1" s="2" t="s">
        <v>38</v>
      </c>
      <c r="CD1" s="2" t="s">
        <v>39</v>
      </c>
      <c r="CE1" s="2" t="s">
        <v>40</v>
      </c>
      <c r="CF1" s="2" t="s">
        <v>41</v>
      </c>
      <c r="CG1" s="2" t="s">
        <v>42</v>
      </c>
      <c r="CH1" s="2" t="s">
        <v>43</v>
      </c>
      <c r="CI1" s="2" t="s">
        <v>44</v>
      </c>
      <c r="CJ1" s="2" t="s">
        <v>45</v>
      </c>
      <c r="CK1" s="2" t="s">
        <v>46</v>
      </c>
      <c r="CL1" s="2" t="s">
        <v>47</v>
      </c>
      <c r="CM1" s="2" t="s">
        <v>48</v>
      </c>
      <c r="CN1" s="1" t="s">
        <v>49</v>
      </c>
      <c r="CO1" s="1" t="s">
        <v>50</v>
      </c>
      <c r="CP1" s="1" t="s">
        <v>51</v>
      </c>
      <c r="CQ1" s="1" t="s">
        <v>52</v>
      </c>
      <c r="CR1" s="1" t="s">
        <v>53</v>
      </c>
      <c r="CS1" s="1" t="s">
        <v>54</v>
      </c>
      <c r="CT1" s="1" t="s">
        <v>55</v>
      </c>
      <c r="CU1" s="1" t="s">
        <v>56</v>
      </c>
      <c r="CV1" s="2" t="s">
        <v>57</v>
      </c>
      <c r="CW1" s="2" t="s">
        <v>58</v>
      </c>
      <c r="CX1" s="2" t="s">
        <v>59</v>
      </c>
      <c r="CY1" s="2" t="s">
        <v>60</v>
      </c>
      <c r="CZ1" s="2" t="s">
        <v>61</v>
      </c>
      <c r="DA1" s="2" t="s">
        <v>62</v>
      </c>
      <c r="DB1" s="2" t="s">
        <v>63</v>
      </c>
      <c r="DC1" s="2" t="s">
        <v>64</v>
      </c>
      <c r="DD1" s="2" t="s">
        <v>65</v>
      </c>
      <c r="DE1" s="2" t="s">
        <v>66</v>
      </c>
      <c r="DF1" s="2" t="s">
        <v>67</v>
      </c>
      <c r="DG1" s="2" t="s">
        <v>68</v>
      </c>
      <c r="DH1" s="2" t="s">
        <v>69</v>
      </c>
      <c r="DI1" s="2" t="s">
        <v>70</v>
      </c>
      <c r="DJ1" s="2" t="s">
        <v>71</v>
      </c>
      <c r="DK1" s="2" t="s">
        <v>72</v>
      </c>
      <c r="DL1" s="2" t="s">
        <v>73</v>
      </c>
      <c r="DM1" s="2" t="s">
        <v>74</v>
      </c>
      <c r="DN1" s="2" t="s">
        <v>75</v>
      </c>
      <c r="DO1" s="2" t="s">
        <v>76</v>
      </c>
      <c r="DP1" s="1" t="s">
        <v>77</v>
      </c>
      <c r="DQ1" s="1" t="s">
        <v>78</v>
      </c>
      <c r="DR1" s="1" t="s">
        <v>79</v>
      </c>
      <c r="DS1" s="1" t="s">
        <v>80</v>
      </c>
      <c r="DT1" s="1" t="s">
        <v>81</v>
      </c>
      <c r="DU1" s="1" t="s">
        <v>82</v>
      </c>
      <c r="DV1" s="1" t="s">
        <v>83</v>
      </c>
      <c r="DW1" s="1" t="s">
        <v>84</v>
      </c>
      <c r="DX1" s="2" t="s">
        <v>85</v>
      </c>
      <c r="DY1" s="2" t="s">
        <v>86</v>
      </c>
      <c r="DZ1" s="2" t="s">
        <v>87</v>
      </c>
      <c r="EA1" s="2" t="s">
        <v>88</v>
      </c>
      <c r="EB1" s="2" t="s">
        <v>89</v>
      </c>
      <c r="EC1" s="2" t="s">
        <v>90</v>
      </c>
      <c r="ED1" s="2" t="s">
        <v>91</v>
      </c>
      <c r="EE1" s="2" t="s">
        <v>92</v>
      </c>
      <c r="EF1" s="2" t="s">
        <v>93</v>
      </c>
      <c r="EG1" s="2" t="s">
        <v>94</v>
      </c>
      <c r="EH1" s="2" t="s">
        <v>95</v>
      </c>
      <c r="EI1" s="2" t="s">
        <v>96</v>
      </c>
      <c r="EJ1" s="2" t="s">
        <v>97</v>
      </c>
      <c r="EK1" s="2" t="s">
        <v>98</v>
      </c>
      <c r="EL1" s="2" t="s">
        <v>99</v>
      </c>
      <c r="EM1" s="2" t="s">
        <v>100</v>
      </c>
      <c r="EN1" s="2" t="s">
        <v>101</v>
      </c>
      <c r="EO1" s="2" t="s">
        <v>102</v>
      </c>
      <c r="EP1" s="2" t="s">
        <v>103</v>
      </c>
      <c r="EQ1" s="2" t="s">
        <v>104</v>
      </c>
      <c r="ER1" s="1" t="s">
        <v>105</v>
      </c>
      <c r="ES1" s="1" t="s">
        <v>106</v>
      </c>
      <c r="ET1" s="1" t="s">
        <v>107</v>
      </c>
      <c r="EU1" s="1" t="s">
        <v>108</v>
      </c>
      <c r="EV1" s="1" t="s">
        <v>109</v>
      </c>
      <c r="EW1" s="1" t="s">
        <v>110</v>
      </c>
      <c r="EX1" s="1" t="s">
        <v>111</v>
      </c>
      <c r="EY1" s="1" t="s">
        <v>112</v>
      </c>
      <c r="EZ1" s="2" t="s">
        <v>113</v>
      </c>
      <c r="FA1" s="2" t="s">
        <v>114</v>
      </c>
      <c r="FB1" s="2" t="s">
        <v>115</v>
      </c>
      <c r="FC1" s="2" t="s">
        <v>116</v>
      </c>
      <c r="FD1" s="2" t="s">
        <v>117</v>
      </c>
      <c r="FE1" s="2" t="s">
        <v>118</v>
      </c>
      <c r="FF1" s="2" t="s">
        <v>119</v>
      </c>
      <c r="FG1" s="2" t="s">
        <v>120</v>
      </c>
      <c r="FH1" s="2" t="s">
        <v>121</v>
      </c>
      <c r="FI1" s="2" t="s">
        <v>122</v>
      </c>
      <c r="FJ1" s="2" t="s">
        <v>123</v>
      </c>
      <c r="FK1" s="2" t="s">
        <v>124</v>
      </c>
      <c r="FL1" s="2" t="s">
        <v>125</v>
      </c>
      <c r="FM1" s="2" t="s">
        <v>126</v>
      </c>
      <c r="FN1" s="2" t="s">
        <v>127</v>
      </c>
      <c r="FO1" s="2" t="s">
        <v>128</v>
      </c>
      <c r="FP1" s="2" t="s">
        <v>129</v>
      </c>
      <c r="FQ1" s="2" t="s">
        <v>130</v>
      </c>
      <c r="FR1" s="2" t="s">
        <v>131</v>
      </c>
      <c r="FS1" s="2" t="s">
        <v>132</v>
      </c>
      <c r="FT1" s="1" t="s">
        <v>133</v>
      </c>
      <c r="FU1" s="1" t="s">
        <v>134</v>
      </c>
      <c r="FV1" s="1" t="s">
        <v>135</v>
      </c>
      <c r="FW1" s="1" t="s">
        <v>136</v>
      </c>
      <c r="FX1" s="1" t="s">
        <v>137</v>
      </c>
      <c r="FY1" s="1" t="s">
        <v>138</v>
      </c>
      <c r="FZ1" s="1" t="s">
        <v>139</v>
      </c>
      <c r="GA1" s="1" t="s">
        <v>140</v>
      </c>
      <c r="GB1" s="2" t="s">
        <v>141</v>
      </c>
      <c r="GC1" s="2" t="s">
        <v>142</v>
      </c>
      <c r="GD1" s="2" t="s">
        <v>143</v>
      </c>
      <c r="GE1" s="2" t="s">
        <v>144</v>
      </c>
      <c r="GF1" s="2" t="s">
        <v>145</v>
      </c>
      <c r="GG1" s="2" t="s">
        <v>146</v>
      </c>
      <c r="GH1" s="2" t="s">
        <v>147</v>
      </c>
      <c r="GI1" s="2" t="s">
        <v>148</v>
      </c>
      <c r="GJ1" s="2" t="s">
        <v>149</v>
      </c>
      <c r="GK1" s="2" t="s">
        <v>150</v>
      </c>
      <c r="GL1" s="2" t="s">
        <v>151</v>
      </c>
      <c r="GM1" s="2" t="s">
        <v>152</v>
      </c>
      <c r="GN1" s="2" t="s">
        <v>153</v>
      </c>
      <c r="GO1" s="2" t="s">
        <v>154</v>
      </c>
      <c r="GP1" s="2" t="s">
        <v>155</v>
      </c>
      <c r="GQ1" s="2" t="s">
        <v>156</v>
      </c>
      <c r="GR1" s="2" t="s">
        <v>157</v>
      </c>
      <c r="GS1" s="2" t="s">
        <v>158</v>
      </c>
      <c r="GT1" s="2" t="s">
        <v>159</v>
      </c>
      <c r="GU1" s="2" t="s">
        <v>160</v>
      </c>
      <c r="GV1" s="1" t="s">
        <v>161</v>
      </c>
      <c r="GW1" s="1" t="s">
        <v>162</v>
      </c>
      <c r="GX1" s="1" t="s">
        <v>163</v>
      </c>
      <c r="GY1" s="1" t="s">
        <v>164</v>
      </c>
      <c r="GZ1" s="1" t="s">
        <v>165</v>
      </c>
      <c r="HA1" s="1" t="s">
        <v>166</v>
      </c>
      <c r="HB1" s="1" t="s">
        <v>167</v>
      </c>
      <c r="HC1" s="1" t="s">
        <v>168</v>
      </c>
      <c r="HD1" s="2" t="s">
        <v>169</v>
      </c>
      <c r="HE1" s="2" t="s">
        <v>170</v>
      </c>
      <c r="HF1" s="2" t="s">
        <v>171</v>
      </c>
      <c r="HG1" s="2" t="s">
        <v>172</v>
      </c>
      <c r="HH1" s="2" t="s">
        <v>173</v>
      </c>
      <c r="HI1" s="2" t="s">
        <v>174</v>
      </c>
      <c r="HJ1" s="2" t="s">
        <v>175</v>
      </c>
      <c r="HK1" s="2" t="s">
        <v>176</v>
      </c>
      <c r="HL1" s="2" t="s">
        <v>177</v>
      </c>
      <c r="HM1" s="2" t="s">
        <v>178</v>
      </c>
      <c r="HN1" s="2" t="s">
        <v>179</v>
      </c>
      <c r="HO1" s="2" t="s">
        <v>180</v>
      </c>
      <c r="HP1" s="2" t="s">
        <v>181</v>
      </c>
      <c r="HQ1" s="2" t="s">
        <v>182</v>
      </c>
      <c r="HR1" s="2" t="s">
        <v>183</v>
      </c>
      <c r="HS1" s="2" t="s">
        <v>184</v>
      </c>
      <c r="HT1" s="2" t="s">
        <v>185</v>
      </c>
      <c r="HU1" s="2" t="s">
        <v>186</v>
      </c>
      <c r="HV1" s="2" t="s">
        <v>187</v>
      </c>
      <c r="HW1" s="2" t="s">
        <v>188</v>
      </c>
      <c r="HX1" s="1" t="s">
        <v>189</v>
      </c>
      <c r="HY1" s="1" t="s">
        <v>190</v>
      </c>
      <c r="HZ1" s="1" t="s">
        <v>191</v>
      </c>
      <c r="IA1" s="1" t="s">
        <v>192</v>
      </c>
      <c r="IB1" s="1" t="s">
        <v>193</v>
      </c>
      <c r="IC1" s="1" t="s">
        <v>194</v>
      </c>
      <c r="ID1" s="1" t="s">
        <v>195</v>
      </c>
      <c r="IE1" s="1" t="s">
        <v>196</v>
      </c>
      <c r="IF1" s="14" t="s">
        <v>1309</v>
      </c>
      <c r="IG1" s="14" t="s">
        <v>1310</v>
      </c>
      <c r="IH1" s="14" t="s">
        <v>1312</v>
      </c>
      <c r="II1" s="14" t="s">
        <v>1313</v>
      </c>
      <c r="IJ1" s="14" t="s">
        <v>1314</v>
      </c>
      <c r="IK1" s="14" t="s">
        <v>1315</v>
      </c>
      <c r="IL1" s="14" t="s">
        <v>1317</v>
      </c>
      <c r="IM1" s="14" t="s">
        <v>1318</v>
      </c>
      <c r="IN1" s="14" t="s">
        <v>1319</v>
      </c>
      <c r="IO1" s="14" t="s">
        <v>1320</v>
      </c>
      <c r="IP1" s="14" t="s">
        <v>1322</v>
      </c>
      <c r="IQ1" s="14" t="s">
        <v>1323</v>
      </c>
      <c r="IR1" s="14" t="s">
        <v>1324</v>
      </c>
      <c r="IS1" s="14" t="s">
        <v>1325</v>
      </c>
      <c r="IT1" s="14" t="s">
        <v>1327</v>
      </c>
      <c r="IU1" s="14" t="s">
        <v>1328</v>
      </c>
      <c r="IV1" s="14" t="s">
        <v>1329</v>
      </c>
      <c r="IW1" s="14" t="s">
        <v>1330</v>
      </c>
      <c r="IX1" s="14" t="s">
        <v>1332</v>
      </c>
      <c r="IY1" s="14" t="s">
        <v>1333</v>
      </c>
      <c r="IZ1" s="13" t="s">
        <v>1334</v>
      </c>
      <c r="JA1" s="13" t="s">
        <v>1335</v>
      </c>
      <c r="JB1" s="13" t="s">
        <v>1337</v>
      </c>
      <c r="JC1" s="13" t="s">
        <v>1338</v>
      </c>
      <c r="JD1" s="13" t="s">
        <v>1339</v>
      </c>
      <c r="JE1" s="13" t="s">
        <v>1340</v>
      </c>
      <c r="JF1" s="13" t="s">
        <v>1342</v>
      </c>
      <c r="JG1" s="13" t="s">
        <v>1343</v>
      </c>
    </row>
    <row r="2" spans="1:267" x14ac:dyDescent="0.25">
      <c r="A2" t="s">
        <v>847</v>
      </c>
      <c r="B2" t="s">
        <v>848</v>
      </c>
      <c r="C2" t="s">
        <v>199</v>
      </c>
      <c r="D2" t="s">
        <v>200</v>
      </c>
      <c r="E2" t="s">
        <v>201</v>
      </c>
      <c r="F2" t="s">
        <v>202</v>
      </c>
      <c r="G2" t="s">
        <v>203</v>
      </c>
      <c r="H2" s="3">
        <v>434023000</v>
      </c>
      <c r="I2" s="3">
        <v>1103172000</v>
      </c>
      <c r="J2" s="3">
        <v>0</v>
      </c>
      <c r="K2" s="3">
        <v>1537195000</v>
      </c>
      <c r="L2" s="3">
        <v>434023000</v>
      </c>
      <c r="M2" s="3">
        <v>1103172000</v>
      </c>
      <c r="N2" s="3">
        <v>0</v>
      </c>
      <c r="O2" s="3">
        <v>1537195000</v>
      </c>
      <c r="P2" s="3">
        <v>434023000</v>
      </c>
      <c r="Q2" s="3">
        <v>1103172000</v>
      </c>
      <c r="R2" s="3">
        <v>0</v>
      </c>
      <c r="S2" s="3">
        <v>1537195000</v>
      </c>
      <c r="T2" s="3">
        <v>558125754.59000003</v>
      </c>
      <c r="U2" s="3">
        <v>974118245.30999994</v>
      </c>
      <c r="V2" s="3">
        <v>4951000</v>
      </c>
      <c r="W2" s="3">
        <v>1537195000</v>
      </c>
      <c r="X2" s="3">
        <v>558125754.59000003</v>
      </c>
      <c r="Y2" s="3">
        <v>974118245.30999994</v>
      </c>
      <c r="Z2" s="3">
        <v>4951000</v>
      </c>
      <c r="AA2" s="3">
        <v>1537195000</v>
      </c>
      <c r="AB2" s="3">
        <v>556301983.38999999</v>
      </c>
      <c r="AC2" s="3">
        <v>899239301.60000002</v>
      </c>
      <c r="AD2" s="3">
        <v>4081000</v>
      </c>
      <c r="AE2" s="3">
        <v>1459622284.5899999</v>
      </c>
      <c r="AF2" s="3">
        <v>543265854.84000003</v>
      </c>
      <c r="AG2" s="3">
        <v>825903450.80999994</v>
      </c>
      <c r="AH2" s="3">
        <v>0</v>
      </c>
      <c r="AI2" s="3">
        <v>1369169305.6500001</v>
      </c>
      <c r="AJ2" s="3">
        <v>477587000</v>
      </c>
      <c r="AK2" s="3">
        <v>1329385000</v>
      </c>
      <c r="AL2" s="3">
        <v>38704000</v>
      </c>
      <c r="AM2" s="3">
        <v>1845676000</v>
      </c>
      <c r="AN2" s="3">
        <v>477587000</v>
      </c>
      <c r="AO2" s="3">
        <v>1329385000</v>
      </c>
      <c r="AP2" s="3">
        <v>38704000</v>
      </c>
      <c r="AQ2" s="3">
        <v>1845676000</v>
      </c>
      <c r="AR2" s="3">
        <v>477587000</v>
      </c>
      <c r="AS2" s="3">
        <v>1329385000</v>
      </c>
      <c r="AT2" s="3">
        <v>38704000</v>
      </c>
      <c r="AU2" s="3">
        <v>1845676000</v>
      </c>
      <c r="AV2" s="3">
        <v>622620255</v>
      </c>
      <c r="AW2" s="3">
        <v>1182276845</v>
      </c>
      <c r="AX2" s="3">
        <v>40778900</v>
      </c>
      <c r="AY2" s="3">
        <v>1845676000</v>
      </c>
      <c r="AZ2" s="3">
        <v>622620255</v>
      </c>
      <c r="BA2" s="3">
        <v>1182276845</v>
      </c>
      <c r="BB2" s="3">
        <v>40778900</v>
      </c>
      <c r="BC2" s="3">
        <v>1845676000</v>
      </c>
      <c r="BD2" s="3">
        <v>621233066.13</v>
      </c>
      <c r="BE2" s="3">
        <v>1074304517.22</v>
      </c>
      <c r="BF2" s="3">
        <v>25378473.329999998</v>
      </c>
      <c r="BG2" s="3">
        <v>1720916056.6800001</v>
      </c>
      <c r="BH2" s="3">
        <v>608279324.36000001</v>
      </c>
      <c r="BI2" s="3">
        <v>996972011.38999999</v>
      </c>
      <c r="BJ2" s="3">
        <v>3922416.46</v>
      </c>
      <c r="BK2" s="3">
        <v>1609173752.21</v>
      </c>
      <c r="BL2" s="3">
        <v>487438000</v>
      </c>
      <c r="BM2" s="3">
        <v>1254280000</v>
      </c>
      <c r="BN2" s="3">
        <v>0</v>
      </c>
      <c r="BO2" s="3">
        <v>1741718000</v>
      </c>
      <c r="BP2" s="3">
        <v>487438000</v>
      </c>
      <c r="BQ2" s="3">
        <v>1254280000</v>
      </c>
      <c r="BR2" s="3">
        <v>0</v>
      </c>
      <c r="BS2" s="3">
        <v>1741718000</v>
      </c>
      <c r="BT2" s="3">
        <v>487438000</v>
      </c>
      <c r="BU2" s="3">
        <v>1254280000</v>
      </c>
      <c r="BV2" s="3">
        <v>0</v>
      </c>
      <c r="BW2" s="3">
        <v>1741718000</v>
      </c>
      <c r="BX2" s="3">
        <v>619790797.19000006</v>
      </c>
      <c r="BY2" s="3">
        <v>986434320.80999994</v>
      </c>
      <c r="BZ2" s="3">
        <v>0</v>
      </c>
      <c r="CA2" s="3">
        <v>1606225118</v>
      </c>
      <c r="CB2" s="3">
        <v>619790797.19000006</v>
      </c>
      <c r="CC2" s="3">
        <v>986434320.80999994</v>
      </c>
      <c r="CD2" s="3">
        <v>0</v>
      </c>
      <c r="CE2" s="3">
        <v>1606225118</v>
      </c>
      <c r="CF2" s="3">
        <v>618923040.39999998</v>
      </c>
      <c r="CG2" s="3">
        <v>929926949.03999996</v>
      </c>
      <c r="CH2" s="3">
        <v>0</v>
      </c>
      <c r="CI2" s="3">
        <v>1548849989.4400001</v>
      </c>
      <c r="CJ2" s="3">
        <v>583803737.99000001</v>
      </c>
      <c r="CK2" s="3">
        <v>821007857.97000003</v>
      </c>
      <c r="CL2" s="3">
        <v>0</v>
      </c>
      <c r="CM2" s="3">
        <v>1404811595.96</v>
      </c>
      <c r="CN2" s="3">
        <v>512556000</v>
      </c>
      <c r="CO2" s="3">
        <v>1284817000</v>
      </c>
      <c r="CP2" s="3">
        <v>0</v>
      </c>
      <c r="CQ2" s="3">
        <v>1797373000</v>
      </c>
      <c r="CR2" s="3">
        <v>512556000</v>
      </c>
      <c r="CS2" s="3">
        <v>1284817000</v>
      </c>
      <c r="CT2" s="3">
        <v>0</v>
      </c>
      <c r="CU2" s="3">
        <v>1797373000</v>
      </c>
      <c r="CV2" s="3">
        <v>512556000</v>
      </c>
      <c r="CW2" s="3">
        <v>1284817000</v>
      </c>
      <c r="CX2" s="3">
        <v>0</v>
      </c>
      <c r="CY2" s="3">
        <v>1797373000</v>
      </c>
      <c r="CZ2" s="3">
        <v>667353515.10000002</v>
      </c>
      <c r="DA2" s="3">
        <v>1130019484.9000001</v>
      </c>
      <c r="DB2" s="3">
        <v>0</v>
      </c>
      <c r="DC2" s="3">
        <v>1797373000</v>
      </c>
      <c r="DD2" s="3">
        <v>667353515.10000002</v>
      </c>
      <c r="DE2" s="3">
        <v>1130019484.9000001</v>
      </c>
      <c r="DF2" s="3">
        <v>0</v>
      </c>
      <c r="DG2" s="3">
        <v>1797373000</v>
      </c>
      <c r="DH2" s="3">
        <v>666011657.09000003</v>
      </c>
      <c r="DI2" s="3">
        <v>1073052572.79</v>
      </c>
      <c r="DJ2" s="3">
        <v>0</v>
      </c>
      <c r="DK2" s="3">
        <v>1739064229.8800001</v>
      </c>
      <c r="DL2" s="3">
        <v>639294650.47000003</v>
      </c>
      <c r="DM2" s="3">
        <v>1020628046.39</v>
      </c>
      <c r="DN2" s="3">
        <v>0</v>
      </c>
      <c r="DO2" s="3">
        <v>1659922696.8599999</v>
      </c>
      <c r="DP2" s="3">
        <v>486928000</v>
      </c>
      <c r="DQ2" s="3">
        <v>1284817000</v>
      </c>
      <c r="DR2" s="3">
        <v>0</v>
      </c>
      <c r="DS2" s="3">
        <v>1771745000</v>
      </c>
      <c r="DT2" s="3">
        <v>486928000</v>
      </c>
      <c r="DU2" s="3">
        <v>1244817000</v>
      </c>
      <c r="DV2" s="3">
        <v>0</v>
      </c>
      <c r="DW2" s="3">
        <v>1731745000</v>
      </c>
      <c r="DX2" s="3">
        <v>486928000</v>
      </c>
      <c r="DY2" s="3">
        <v>1244817000</v>
      </c>
      <c r="DZ2" s="3">
        <v>0</v>
      </c>
      <c r="EA2" s="3">
        <v>1731745000</v>
      </c>
      <c r="EB2" s="3">
        <v>613490753.22000003</v>
      </c>
      <c r="EC2" s="3">
        <v>1118254246.78</v>
      </c>
      <c r="ED2" s="3">
        <v>0</v>
      </c>
      <c r="EE2" s="3">
        <v>1731745000</v>
      </c>
      <c r="EF2" s="3">
        <v>613490753.22000003</v>
      </c>
      <c r="EG2" s="3">
        <v>1118254246.78</v>
      </c>
      <c r="EH2" s="3">
        <v>0</v>
      </c>
      <c r="EI2" s="3">
        <v>1731745000</v>
      </c>
      <c r="EJ2" s="3">
        <v>612882412.63999999</v>
      </c>
      <c r="EK2" s="3">
        <v>1105674528.03</v>
      </c>
      <c r="EL2" s="3">
        <v>0</v>
      </c>
      <c r="EM2" s="3">
        <v>1718556940.6700001</v>
      </c>
      <c r="EN2" s="3">
        <v>611511501.28999996</v>
      </c>
      <c r="EO2" s="3">
        <v>1036052086.5599999</v>
      </c>
      <c r="EP2" s="3">
        <v>0</v>
      </c>
      <c r="EQ2" s="3">
        <v>1647563587.8499999</v>
      </c>
      <c r="ER2" s="3">
        <v>616087000</v>
      </c>
      <c r="ES2" s="3">
        <v>1284817000</v>
      </c>
      <c r="ET2" s="3">
        <v>0</v>
      </c>
      <c r="EU2" s="3">
        <v>1900904000</v>
      </c>
      <c r="EV2" s="3">
        <v>616087000</v>
      </c>
      <c r="EW2" s="3">
        <v>1284817000</v>
      </c>
      <c r="EX2" s="3">
        <v>0</v>
      </c>
      <c r="EY2" s="3">
        <v>1900904000</v>
      </c>
      <c r="EZ2" s="3">
        <v>616087000</v>
      </c>
      <c r="FA2" s="3">
        <v>1284817000</v>
      </c>
      <c r="FB2" s="3">
        <v>0</v>
      </c>
      <c r="FC2" s="3">
        <v>1900904000</v>
      </c>
      <c r="FD2" s="3">
        <v>765358323.92999995</v>
      </c>
      <c r="FE2" s="3">
        <v>1135545676.0699999</v>
      </c>
      <c r="FF2" s="3">
        <v>0</v>
      </c>
      <c r="FG2" s="3">
        <v>1900904000</v>
      </c>
      <c r="FH2" s="3">
        <v>765358323.92999995</v>
      </c>
      <c r="FI2" s="3">
        <v>1135545676.0699999</v>
      </c>
      <c r="FJ2" s="3">
        <v>0</v>
      </c>
      <c r="FK2" s="3">
        <v>1900904000</v>
      </c>
      <c r="FL2" s="3">
        <v>764670062.69000006</v>
      </c>
      <c r="FM2" s="3">
        <v>1117469993.0899999</v>
      </c>
      <c r="FN2" s="3">
        <v>0</v>
      </c>
      <c r="FO2" s="3">
        <v>1882140055.78</v>
      </c>
      <c r="FP2" s="3">
        <v>762300469.61000001</v>
      </c>
      <c r="FQ2" s="3">
        <v>1063051886.12</v>
      </c>
      <c r="FR2" s="3">
        <v>0</v>
      </c>
      <c r="FS2" s="3">
        <v>1825352355.73</v>
      </c>
      <c r="FT2" s="3">
        <v>646705000</v>
      </c>
      <c r="FU2" s="3">
        <v>1307944000</v>
      </c>
      <c r="FV2" s="3">
        <v>9093000</v>
      </c>
      <c r="FW2" s="3">
        <v>1963742000</v>
      </c>
      <c r="FX2" s="3">
        <v>646705000</v>
      </c>
      <c r="FY2" s="3">
        <v>1307944000</v>
      </c>
      <c r="FZ2" s="3">
        <v>9093000</v>
      </c>
      <c r="GA2" s="3">
        <v>1963742000</v>
      </c>
      <c r="GB2" s="3">
        <v>646705000</v>
      </c>
      <c r="GC2" s="3">
        <v>1307944000</v>
      </c>
      <c r="GD2" s="3">
        <v>9093000</v>
      </c>
      <c r="GE2" s="3">
        <v>1963742000</v>
      </c>
      <c r="GF2" s="3">
        <v>746212379.95000005</v>
      </c>
      <c r="GG2" s="3">
        <v>1208436620.05</v>
      </c>
      <c r="GH2" s="3">
        <v>9093000</v>
      </c>
      <c r="GI2" s="3">
        <v>1963742000</v>
      </c>
      <c r="GJ2" s="3">
        <v>746212379.95000005</v>
      </c>
      <c r="GK2" s="3">
        <v>1208436620.05</v>
      </c>
      <c r="GL2" s="3">
        <v>9093000</v>
      </c>
      <c r="GM2" s="3">
        <v>1963742000</v>
      </c>
      <c r="GN2" s="3">
        <v>745864252.89999998</v>
      </c>
      <c r="GO2" s="3">
        <v>1182061486.8699999</v>
      </c>
      <c r="GP2" s="3">
        <v>7979589.9199999999</v>
      </c>
      <c r="GQ2" s="3">
        <v>1935905329.6900001</v>
      </c>
      <c r="GR2" s="3">
        <v>742814787.42999995</v>
      </c>
      <c r="GS2" s="3">
        <v>1090157729.72</v>
      </c>
      <c r="GT2" s="3">
        <v>5405559</v>
      </c>
      <c r="GU2" s="3">
        <v>1838378076.1500001</v>
      </c>
      <c r="GV2" s="3">
        <v>725507000</v>
      </c>
      <c r="GW2" s="3">
        <v>1337980000</v>
      </c>
      <c r="GX2" s="3">
        <v>26869000</v>
      </c>
      <c r="GY2" s="3">
        <v>2090356000</v>
      </c>
      <c r="GZ2" s="3">
        <v>725507000</v>
      </c>
      <c r="HA2" s="3">
        <v>1337980000</v>
      </c>
      <c r="HB2" s="3">
        <v>26869000</v>
      </c>
      <c r="HC2" s="3">
        <v>2090356000</v>
      </c>
      <c r="HD2" s="3">
        <v>725507000</v>
      </c>
      <c r="HE2" s="3">
        <v>1337980000</v>
      </c>
      <c r="HF2" s="3">
        <v>26869000</v>
      </c>
      <c r="HG2" s="3">
        <v>2090356000</v>
      </c>
      <c r="HH2" s="3">
        <v>837168522.88</v>
      </c>
      <c r="HI2" s="3">
        <v>1226318477.1199999</v>
      </c>
      <c r="HJ2" s="3">
        <v>26869000</v>
      </c>
      <c r="HK2" s="3">
        <v>2090356000</v>
      </c>
      <c r="HL2" s="3">
        <v>837168522.88</v>
      </c>
      <c r="HM2" s="3">
        <v>1226318477.1199999</v>
      </c>
      <c r="HN2" s="3">
        <v>26869000</v>
      </c>
      <c r="HO2" s="3">
        <v>2090356000</v>
      </c>
      <c r="HP2" s="3">
        <v>837008572.63</v>
      </c>
      <c r="HQ2" s="3">
        <v>1203210973.9200001</v>
      </c>
      <c r="HR2" s="3">
        <v>19679764</v>
      </c>
      <c r="HS2" s="3">
        <v>2059899310.55</v>
      </c>
      <c r="HT2" s="3">
        <v>835015553.69000006</v>
      </c>
      <c r="HU2" s="3">
        <v>1110619325.8800001</v>
      </c>
      <c r="HV2" s="3">
        <v>12627774</v>
      </c>
      <c r="HW2" s="3">
        <v>1958262653.5799999</v>
      </c>
      <c r="HX2" s="3">
        <v>843681000</v>
      </c>
      <c r="HY2" s="3">
        <v>1382969000</v>
      </c>
      <c r="HZ2" s="3">
        <v>22250000</v>
      </c>
      <c r="IA2" s="3">
        <v>2248900000</v>
      </c>
      <c r="IB2" s="3">
        <v>843681000</v>
      </c>
      <c r="IC2" s="3">
        <v>1382969000</v>
      </c>
      <c r="ID2" s="3">
        <v>22250000</v>
      </c>
      <c r="IE2" s="3">
        <v>2248900000</v>
      </c>
      <c r="IZ2" s="3">
        <v>795917000</v>
      </c>
      <c r="JA2" s="3">
        <v>1419894000</v>
      </c>
      <c r="JB2">
        <v>0</v>
      </c>
      <c r="JC2" s="3">
        <v>2215811000</v>
      </c>
    </row>
    <row r="3" spans="1:267" x14ac:dyDescent="0.25">
      <c r="A3" t="s">
        <v>847</v>
      </c>
      <c r="B3" t="s">
        <v>848</v>
      </c>
      <c r="C3" t="s">
        <v>199</v>
      </c>
      <c r="D3" t="s">
        <v>200</v>
      </c>
      <c r="E3" t="s">
        <v>201</v>
      </c>
      <c r="F3" t="s">
        <v>204</v>
      </c>
      <c r="G3" t="s">
        <v>205</v>
      </c>
      <c r="H3" s="3">
        <v>62389000</v>
      </c>
      <c r="I3" s="3">
        <v>0</v>
      </c>
      <c r="J3" s="3">
        <v>0</v>
      </c>
      <c r="K3" s="3">
        <v>62389000</v>
      </c>
      <c r="L3" s="3">
        <v>62389000</v>
      </c>
      <c r="M3" s="3">
        <v>0</v>
      </c>
      <c r="N3" s="3">
        <v>0</v>
      </c>
      <c r="O3" s="3">
        <v>62389000</v>
      </c>
      <c r="P3" s="3">
        <v>62389000</v>
      </c>
      <c r="Q3" s="3">
        <v>0</v>
      </c>
      <c r="R3" s="3">
        <v>0</v>
      </c>
      <c r="S3" s="3">
        <v>62389000</v>
      </c>
      <c r="T3" s="3">
        <v>62389000</v>
      </c>
      <c r="U3" s="3">
        <v>0</v>
      </c>
      <c r="V3" s="3">
        <v>0</v>
      </c>
      <c r="W3" s="3">
        <v>62389000</v>
      </c>
      <c r="X3" s="3">
        <v>62348608</v>
      </c>
      <c r="Y3" s="3">
        <v>0</v>
      </c>
      <c r="Z3" s="3">
        <v>0</v>
      </c>
      <c r="AA3" s="3">
        <v>62348608</v>
      </c>
      <c r="AB3" s="3">
        <v>62348608</v>
      </c>
      <c r="AC3" s="3">
        <v>0</v>
      </c>
      <c r="AD3" s="3">
        <v>0</v>
      </c>
      <c r="AE3" s="3">
        <v>62348608</v>
      </c>
      <c r="AF3" s="3">
        <v>60241921.539999999</v>
      </c>
      <c r="AG3" s="3">
        <v>0</v>
      </c>
      <c r="AH3" s="3">
        <v>0</v>
      </c>
      <c r="AI3" s="3">
        <v>60241921.539999999</v>
      </c>
      <c r="AJ3" s="3">
        <v>43808000</v>
      </c>
      <c r="AK3" s="3">
        <v>0</v>
      </c>
      <c r="AL3" s="3">
        <v>0</v>
      </c>
      <c r="AM3" s="3">
        <v>43808000</v>
      </c>
      <c r="AN3" s="3">
        <v>43808000</v>
      </c>
      <c r="AO3" s="3">
        <v>0</v>
      </c>
      <c r="AP3" s="3">
        <v>0</v>
      </c>
      <c r="AQ3" s="3">
        <v>43808000</v>
      </c>
      <c r="AR3" s="3">
        <v>43808000</v>
      </c>
      <c r="AS3" s="3">
        <v>0</v>
      </c>
      <c r="AT3" s="3">
        <v>0</v>
      </c>
      <c r="AU3" s="3">
        <v>43808000</v>
      </c>
      <c r="AV3" s="3">
        <v>43808000</v>
      </c>
      <c r="AW3" s="3">
        <v>0</v>
      </c>
      <c r="AX3" s="3">
        <v>0</v>
      </c>
      <c r="AY3" s="3">
        <v>43808000</v>
      </c>
      <c r="AZ3" s="3">
        <v>43808000</v>
      </c>
      <c r="BA3" s="3">
        <v>0</v>
      </c>
      <c r="BB3" s="3">
        <v>0</v>
      </c>
      <c r="BC3" s="3">
        <v>43808000</v>
      </c>
      <c r="BD3" s="3">
        <v>43808000</v>
      </c>
      <c r="BE3" s="3">
        <v>0</v>
      </c>
      <c r="BF3" s="3">
        <v>0</v>
      </c>
      <c r="BG3" s="3">
        <v>43808000</v>
      </c>
      <c r="BH3" s="3">
        <v>43808000</v>
      </c>
      <c r="BI3" s="3">
        <v>0</v>
      </c>
      <c r="BJ3" s="3">
        <v>0</v>
      </c>
      <c r="BK3" s="3">
        <v>43808000</v>
      </c>
      <c r="BL3" s="3">
        <v>78180000</v>
      </c>
      <c r="BM3" s="3">
        <v>0</v>
      </c>
      <c r="BN3" s="3">
        <v>0</v>
      </c>
      <c r="BO3" s="3">
        <v>78180000</v>
      </c>
      <c r="BP3" s="3">
        <v>78180000</v>
      </c>
      <c r="BQ3" s="3">
        <v>0</v>
      </c>
      <c r="BR3" s="3">
        <v>0</v>
      </c>
      <c r="BS3" s="3">
        <v>78180000</v>
      </c>
      <c r="BT3" s="3">
        <v>78180000</v>
      </c>
      <c r="BU3" s="3">
        <v>0</v>
      </c>
      <c r="BV3" s="3">
        <v>0</v>
      </c>
      <c r="BW3" s="3">
        <v>78180000</v>
      </c>
      <c r="BX3" s="3">
        <v>78180000</v>
      </c>
      <c r="BY3" s="3">
        <v>0</v>
      </c>
      <c r="BZ3" s="3">
        <v>0</v>
      </c>
      <c r="CA3" s="3">
        <v>78180000</v>
      </c>
      <c r="CB3" s="3">
        <v>78180000</v>
      </c>
      <c r="CC3" s="3">
        <v>0</v>
      </c>
      <c r="CD3" s="3">
        <v>0</v>
      </c>
      <c r="CE3" s="3">
        <v>78180000</v>
      </c>
      <c r="CF3" s="3">
        <v>78173719</v>
      </c>
      <c r="CG3" s="3">
        <v>0</v>
      </c>
      <c r="CH3" s="3">
        <v>0</v>
      </c>
      <c r="CI3" s="3">
        <v>78173719</v>
      </c>
      <c r="CJ3" s="3">
        <v>78173719</v>
      </c>
      <c r="CK3" s="3">
        <v>0</v>
      </c>
      <c r="CL3" s="3">
        <v>0</v>
      </c>
      <c r="CM3" s="3">
        <v>78173719</v>
      </c>
      <c r="CN3" s="3">
        <v>80047000</v>
      </c>
      <c r="CO3" s="3">
        <v>0</v>
      </c>
      <c r="CP3" s="3">
        <v>0</v>
      </c>
      <c r="CQ3" s="3">
        <v>80047000</v>
      </c>
      <c r="CR3" s="3">
        <v>80047000</v>
      </c>
      <c r="CS3" s="3">
        <v>0</v>
      </c>
      <c r="CT3" s="3">
        <v>0</v>
      </c>
      <c r="CU3" s="3">
        <v>80047000</v>
      </c>
      <c r="CV3" s="3">
        <v>80047000</v>
      </c>
      <c r="CW3" s="3">
        <v>0</v>
      </c>
      <c r="CX3" s="3">
        <v>0</v>
      </c>
      <c r="CY3" s="3">
        <v>80047000</v>
      </c>
      <c r="CZ3" s="3">
        <v>80047000</v>
      </c>
      <c r="DA3" s="3">
        <v>0</v>
      </c>
      <c r="DB3" s="3">
        <v>0</v>
      </c>
      <c r="DC3" s="3">
        <v>80047000</v>
      </c>
      <c r="DD3" s="3">
        <v>80047000</v>
      </c>
      <c r="DE3" s="3">
        <v>0</v>
      </c>
      <c r="DF3" s="3">
        <v>0</v>
      </c>
      <c r="DG3" s="3">
        <v>80047000</v>
      </c>
      <c r="DH3" s="3">
        <v>80032015</v>
      </c>
      <c r="DI3" s="3">
        <v>0</v>
      </c>
      <c r="DJ3" s="3">
        <v>0</v>
      </c>
      <c r="DK3" s="3">
        <v>80032015</v>
      </c>
      <c r="DL3" s="3">
        <v>80032015</v>
      </c>
      <c r="DM3" s="3">
        <v>0</v>
      </c>
      <c r="DN3" s="3">
        <v>0</v>
      </c>
      <c r="DO3" s="3">
        <v>80032015</v>
      </c>
      <c r="DP3" s="3">
        <v>100986000</v>
      </c>
      <c r="DQ3" s="3">
        <v>0</v>
      </c>
      <c r="DR3" s="3">
        <v>0</v>
      </c>
      <c r="DS3" s="3">
        <v>100986000</v>
      </c>
      <c r="DT3" s="3">
        <v>100986000</v>
      </c>
      <c r="DU3" s="3">
        <v>0</v>
      </c>
      <c r="DV3" s="3">
        <v>0</v>
      </c>
      <c r="DW3" s="3">
        <v>100986000</v>
      </c>
      <c r="DX3" s="3">
        <v>100986000</v>
      </c>
      <c r="DY3" s="3">
        <v>0</v>
      </c>
      <c r="DZ3" s="3">
        <v>0</v>
      </c>
      <c r="EA3" s="3">
        <v>100986000</v>
      </c>
      <c r="EB3" s="3">
        <v>100986000</v>
      </c>
      <c r="EC3" s="3">
        <v>0</v>
      </c>
      <c r="ED3" s="3">
        <v>0</v>
      </c>
      <c r="EE3" s="3">
        <v>100986000</v>
      </c>
      <c r="EF3" s="3">
        <v>100986000</v>
      </c>
      <c r="EG3" s="3">
        <v>0</v>
      </c>
      <c r="EH3" s="3">
        <v>0</v>
      </c>
      <c r="EI3" s="3">
        <v>100986000</v>
      </c>
      <c r="EJ3" s="3">
        <v>100986000</v>
      </c>
      <c r="EK3" s="3">
        <v>0</v>
      </c>
      <c r="EL3" s="3">
        <v>0</v>
      </c>
      <c r="EM3" s="3">
        <v>100986000</v>
      </c>
      <c r="EN3" s="3">
        <v>100986000</v>
      </c>
      <c r="EO3" s="3">
        <v>0</v>
      </c>
      <c r="EP3" s="3">
        <v>0</v>
      </c>
      <c r="EQ3" s="3">
        <v>100986000</v>
      </c>
      <c r="ER3" s="3">
        <v>103556000</v>
      </c>
      <c r="ES3" s="3">
        <v>0</v>
      </c>
      <c r="ET3" s="3">
        <v>0</v>
      </c>
      <c r="EU3" s="3">
        <v>103556000</v>
      </c>
      <c r="EV3" s="3">
        <v>103556000</v>
      </c>
      <c r="EW3" s="3">
        <v>0</v>
      </c>
      <c r="EX3" s="3">
        <v>0</v>
      </c>
      <c r="EY3" s="3">
        <v>103556000</v>
      </c>
      <c r="EZ3" s="3">
        <v>103556000</v>
      </c>
      <c r="FA3" s="3">
        <v>0</v>
      </c>
      <c r="FB3" s="3">
        <v>0</v>
      </c>
      <c r="FC3" s="3">
        <v>103556000</v>
      </c>
      <c r="FD3" s="3">
        <v>103556000</v>
      </c>
      <c r="FE3" s="3">
        <v>0</v>
      </c>
      <c r="FF3" s="3">
        <v>0</v>
      </c>
      <c r="FG3" s="3">
        <v>103556000</v>
      </c>
      <c r="FH3" s="3">
        <v>103556000</v>
      </c>
      <c r="FI3" s="3">
        <v>0</v>
      </c>
      <c r="FJ3" s="3">
        <v>0</v>
      </c>
      <c r="FK3" s="3">
        <v>103556000</v>
      </c>
      <c r="FL3" s="3">
        <v>103545899.98999999</v>
      </c>
      <c r="FM3" s="3">
        <v>0</v>
      </c>
      <c r="FN3" s="3">
        <v>0</v>
      </c>
      <c r="FO3" s="3">
        <v>103545899.98999999</v>
      </c>
      <c r="FP3" s="3">
        <v>102032346.98999999</v>
      </c>
      <c r="FQ3" s="3">
        <v>0</v>
      </c>
      <c r="FR3" s="3">
        <v>0</v>
      </c>
      <c r="FS3" s="3">
        <v>102032346.98999999</v>
      </c>
      <c r="FT3" s="3">
        <v>145810000</v>
      </c>
      <c r="FU3" s="3">
        <v>0</v>
      </c>
      <c r="FV3" s="3">
        <v>0</v>
      </c>
      <c r="FW3" s="3">
        <v>145810000</v>
      </c>
      <c r="FX3" s="3">
        <v>145810000</v>
      </c>
      <c r="FY3" s="3">
        <v>0</v>
      </c>
      <c r="FZ3" s="3">
        <v>0</v>
      </c>
      <c r="GA3" s="3">
        <v>145810000</v>
      </c>
      <c r="GB3" s="3">
        <v>145810000</v>
      </c>
      <c r="GC3" s="3">
        <v>0</v>
      </c>
      <c r="GD3" s="3">
        <v>0</v>
      </c>
      <c r="GE3" s="3">
        <v>145810000</v>
      </c>
      <c r="GF3" s="3">
        <v>145810000</v>
      </c>
      <c r="GG3" s="3">
        <v>0</v>
      </c>
      <c r="GH3" s="3">
        <v>0</v>
      </c>
      <c r="GI3" s="3">
        <v>145810000</v>
      </c>
      <c r="GJ3" s="3">
        <v>145810000</v>
      </c>
      <c r="GK3" s="3">
        <v>0</v>
      </c>
      <c r="GL3" s="3">
        <v>0</v>
      </c>
      <c r="GM3" s="3">
        <v>145810000</v>
      </c>
      <c r="GN3" s="3">
        <v>145758713</v>
      </c>
      <c r="GO3" s="3">
        <v>0</v>
      </c>
      <c r="GP3" s="3">
        <v>0</v>
      </c>
      <c r="GQ3" s="3">
        <v>145758713</v>
      </c>
      <c r="GR3" s="3">
        <v>145758713</v>
      </c>
      <c r="GS3" s="3">
        <v>0</v>
      </c>
      <c r="GT3" s="3">
        <v>0</v>
      </c>
      <c r="GU3" s="3">
        <v>145758713</v>
      </c>
      <c r="GV3" s="3">
        <v>153572000</v>
      </c>
      <c r="GW3" s="3">
        <v>0</v>
      </c>
      <c r="GX3" s="3">
        <v>0</v>
      </c>
      <c r="GY3" s="3">
        <v>153572000</v>
      </c>
      <c r="GZ3" s="3">
        <v>153572000</v>
      </c>
      <c r="HA3" s="3">
        <v>0</v>
      </c>
      <c r="HB3" s="3">
        <v>0</v>
      </c>
      <c r="HC3" s="3">
        <v>153572000</v>
      </c>
      <c r="HD3" s="3">
        <v>153572000</v>
      </c>
      <c r="HE3" s="3">
        <v>0</v>
      </c>
      <c r="HF3" s="3">
        <v>0</v>
      </c>
      <c r="HG3" s="3">
        <v>153572000</v>
      </c>
      <c r="HH3" s="3">
        <v>153572000</v>
      </c>
      <c r="HI3" s="3">
        <v>0</v>
      </c>
      <c r="HJ3" s="3">
        <v>0</v>
      </c>
      <c r="HK3" s="3">
        <v>153572000</v>
      </c>
      <c r="HL3" s="3">
        <v>153572000</v>
      </c>
      <c r="HM3" s="3">
        <v>0</v>
      </c>
      <c r="HN3" s="3">
        <v>0</v>
      </c>
      <c r="HO3" s="3">
        <v>153572000</v>
      </c>
      <c r="HP3" s="3">
        <v>153569032</v>
      </c>
      <c r="HQ3" s="3">
        <v>0</v>
      </c>
      <c r="HR3" s="3">
        <v>0</v>
      </c>
      <c r="HS3" s="3">
        <v>153569032</v>
      </c>
      <c r="HT3" s="3">
        <v>153569032</v>
      </c>
      <c r="HU3" s="3">
        <v>0</v>
      </c>
      <c r="HV3" s="3">
        <v>0</v>
      </c>
      <c r="HW3" s="3">
        <v>153569032</v>
      </c>
      <c r="HX3" s="3">
        <v>171178000</v>
      </c>
      <c r="HY3" s="3">
        <v>0</v>
      </c>
      <c r="HZ3" s="3">
        <v>0</v>
      </c>
      <c r="IA3" s="3">
        <v>171178000</v>
      </c>
      <c r="IB3" s="3">
        <v>171178000</v>
      </c>
      <c r="IC3" s="3">
        <v>0</v>
      </c>
      <c r="ID3" s="3">
        <v>0</v>
      </c>
      <c r="IE3" s="3">
        <v>171178000</v>
      </c>
      <c r="IZ3" s="3">
        <v>237754000</v>
      </c>
      <c r="JA3" s="3">
        <v>0</v>
      </c>
      <c r="JB3">
        <v>0</v>
      </c>
      <c r="JC3" s="3">
        <v>237754000</v>
      </c>
    </row>
    <row r="4" spans="1:267" x14ac:dyDescent="0.25">
      <c r="A4" t="s">
        <v>847</v>
      </c>
      <c r="B4" t="s">
        <v>848</v>
      </c>
      <c r="C4" t="s">
        <v>199</v>
      </c>
      <c r="D4" t="s">
        <v>200</v>
      </c>
      <c r="E4" t="s">
        <v>208</v>
      </c>
      <c r="F4" t="s">
        <v>209</v>
      </c>
      <c r="G4" t="s">
        <v>859</v>
      </c>
      <c r="H4" s="3">
        <v>437378000</v>
      </c>
      <c r="I4" s="3">
        <v>191477000</v>
      </c>
      <c r="J4" s="3">
        <v>0</v>
      </c>
      <c r="K4" s="3">
        <v>628855000</v>
      </c>
      <c r="L4" s="3">
        <v>437378000</v>
      </c>
      <c r="M4" s="3">
        <v>191477000</v>
      </c>
      <c r="N4" s="3">
        <v>0</v>
      </c>
      <c r="O4" s="3">
        <v>628855000</v>
      </c>
      <c r="P4" s="3">
        <v>437378000</v>
      </c>
      <c r="Q4" s="3">
        <v>191477000</v>
      </c>
      <c r="R4" s="3">
        <v>0</v>
      </c>
      <c r="S4" s="3">
        <v>628855000</v>
      </c>
      <c r="T4" s="3">
        <v>438059848.56</v>
      </c>
      <c r="U4" s="3">
        <v>190383000</v>
      </c>
      <c r="V4" s="3">
        <v>140000</v>
      </c>
      <c r="W4" s="3">
        <v>628582848.55999994</v>
      </c>
      <c r="X4" s="3">
        <v>438059848.56</v>
      </c>
      <c r="Y4" s="3">
        <v>190383000</v>
      </c>
      <c r="Z4" s="3">
        <v>140000</v>
      </c>
      <c r="AA4" s="3">
        <v>628582848.55999994</v>
      </c>
      <c r="AB4" s="3">
        <v>437516306.33999997</v>
      </c>
      <c r="AC4" s="3">
        <v>154786560.13</v>
      </c>
      <c r="AD4" s="3">
        <v>0</v>
      </c>
      <c r="AE4" s="3">
        <v>592302866.47000003</v>
      </c>
      <c r="AF4" s="3">
        <v>435768556.94</v>
      </c>
      <c r="AG4" s="3">
        <v>126222370.15000001</v>
      </c>
      <c r="AH4" s="3">
        <v>0</v>
      </c>
      <c r="AI4" s="3">
        <v>561990927.09000003</v>
      </c>
      <c r="AJ4" s="3">
        <v>511770000</v>
      </c>
      <c r="AK4" s="3">
        <v>129898000</v>
      </c>
      <c r="AL4" s="3">
        <v>0</v>
      </c>
      <c r="AM4" s="3">
        <v>641668000</v>
      </c>
      <c r="AN4" s="3">
        <v>511770000</v>
      </c>
      <c r="AO4" s="3">
        <v>129898000</v>
      </c>
      <c r="AP4" s="3">
        <v>0</v>
      </c>
      <c r="AQ4" s="3">
        <v>641668000</v>
      </c>
      <c r="AR4" s="3">
        <v>511770000</v>
      </c>
      <c r="AS4" s="3">
        <v>129898000</v>
      </c>
      <c r="AT4" s="3">
        <v>0</v>
      </c>
      <c r="AU4" s="3">
        <v>641668000</v>
      </c>
      <c r="AV4" s="3">
        <v>511770000</v>
      </c>
      <c r="AW4" s="3">
        <v>129898000</v>
      </c>
      <c r="AX4" s="3">
        <v>0</v>
      </c>
      <c r="AY4" s="3">
        <v>641668000</v>
      </c>
      <c r="AZ4" s="3">
        <v>511770000</v>
      </c>
      <c r="BA4" s="3">
        <v>129898000</v>
      </c>
      <c r="BB4" s="3">
        <v>0</v>
      </c>
      <c r="BC4" s="3">
        <v>641668000</v>
      </c>
      <c r="BD4" s="3">
        <v>511420616.83999997</v>
      </c>
      <c r="BE4" s="3">
        <v>114991674.95999999</v>
      </c>
      <c r="BF4" s="3">
        <v>0</v>
      </c>
      <c r="BG4" s="3">
        <v>626412291.79999995</v>
      </c>
      <c r="BH4" s="3">
        <v>509332292.43000001</v>
      </c>
      <c r="BI4" s="3">
        <v>92897081.359999999</v>
      </c>
      <c r="BJ4" s="3">
        <v>0</v>
      </c>
      <c r="BK4" s="3">
        <v>602229373.78999996</v>
      </c>
      <c r="BL4" s="3">
        <v>533606000</v>
      </c>
      <c r="BM4" s="3">
        <v>138171000</v>
      </c>
      <c r="BN4" s="3">
        <v>0</v>
      </c>
      <c r="BO4" s="3">
        <v>671777000</v>
      </c>
      <c r="BP4" s="3">
        <v>533606000</v>
      </c>
      <c r="BQ4" s="3">
        <v>138171000</v>
      </c>
      <c r="BR4" s="3">
        <v>0</v>
      </c>
      <c r="BS4" s="3">
        <v>671777000</v>
      </c>
      <c r="BT4" s="3">
        <v>533606000</v>
      </c>
      <c r="BU4" s="3">
        <v>138171000</v>
      </c>
      <c r="BV4" s="3">
        <v>0</v>
      </c>
      <c r="BW4" s="3">
        <v>671777000</v>
      </c>
      <c r="BX4" s="3">
        <v>537271500</v>
      </c>
      <c r="BY4" s="3">
        <v>124393466</v>
      </c>
      <c r="BZ4" s="3">
        <v>0</v>
      </c>
      <c r="CA4" s="3">
        <v>661664966</v>
      </c>
      <c r="CB4" s="3">
        <v>537271500</v>
      </c>
      <c r="CC4" s="3">
        <v>124393466</v>
      </c>
      <c r="CD4" s="3">
        <v>0</v>
      </c>
      <c r="CE4" s="3">
        <v>661664966</v>
      </c>
      <c r="CF4" s="3">
        <v>537072474.92999995</v>
      </c>
      <c r="CG4" s="3">
        <v>103918644.87</v>
      </c>
      <c r="CH4" s="3">
        <v>0</v>
      </c>
      <c r="CI4" s="3">
        <v>640991119.79999995</v>
      </c>
      <c r="CJ4" s="3">
        <v>526240913.62</v>
      </c>
      <c r="CK4" s="3">
        <v>81607055.019999996</v>
      </c>
      <c r="CL4" s="3">
        <v>0</v>
      </c>
      <c r="CM4" s="3">
        <v>607847968.63</v>
      </c>
      <c r="CN4" s="3">
        <v>539431000</v>
      </c>
      <c r="CO4" s="3">
        <v>139568000</v>
      </c>
      <c r="CP4" s="3">
        <v>0</v>
      </c>
      <c r="CQ4" s="3">
        <v>678999000</v>
      </c>
      <c r="CR4" s="3">
        <v>539431000</v>
      </c>
      <c r="CS4" s="3">
        <v>139568000</v>
      </c>
      <c r="CT4" s="3">
        <v>0</v>
      </c>
      <c r="CU4" s="3">
        <v>678999000</v>
      </c>
      <c r="CV4" s="3">
        <v>539431000</v>
      </c>
      <c r="CW4" s="3">
        <v>139568000</v>
      </c>
      <c r="CX4" s="3">
        <v>0</v>
      </c>
      <c r="CY4" s="3">
        <v>678999000</v>
      </c>
      <c r="CZ4" s="3">
        <v>540491971.46000004</v>
      </c>
      <c r="DA4" s="3">
        <v>138267028.53999999</v>
      </c>
      <c r="DB4" s="3">
        <v>0</v>
      </c>
      <c r="DC4" s="3">
        <v>678759000</v>
      </c>
      <c r="DD4" s="3">
        <v>540491971.46000004</v>
      </c>
      <c r="DE4" s="3">
        <v>138267028.53999999</v>
      </c>
      <c r="DF4" s="3">
        <v>0</v>
      </c>
      <c r="DG4" s="3">
        <v>678759000</v>
      </c>
      <c r="DH4" s="3">
        <v>540445141.69000006</v>
      </c>
      <c r="DI4" s="3">
        <v>130749921.48999999</v>
      </c>
      <c r="DJ4" s="3">
        <v>0</v>
      </c>
      <c r="DK4" s="3">
        <v>671195063.17999995</v>
      </c>
      <c r="DL4" s="3">
        <v>535403232.97000003</v>
      </c>
      <c r="DM4" s="3">
        <v>122822234.88</v>
      </c>
      <c r="DN4" s="3">
        <v>0</v>
      </c>
      <c r="DO4" s="3">
        <v>658225467.85000002</v>
      </c>
      <c r="DP4" s="3">
        <v>536765000</v>
      </c>
      <c r="DQ4" s="3">
        <v>139568000</v>
      </c>
      <c r="DR4" s="3">
        <v>0</v>
      </c>
      <c r="DS4" s="3">
        <v>676333000</v>
      </c>
      <c r="DT4" s="3">
        <v>536765000</v>
      </c>
      <c r="DU4" s="3">
        <v>118568000</v>
      </c>
      <c r="DV4" s="3">
        <v>0</v>
      </c>
      <c r="DW4" s="3">
        <v>655333000</v>
      </c>
      <c r="DX4" s="3">
        <v>536765000</v>
      </c>
      <c r="DY4" s="3">
        <v>118568000</v>
      </c>
      <c r="DZ4" s="3">
        <v>0</v>
      </c>
      <c r="EA4" s="3">
        <v>655333000</v>
      </c>
      <c r="EB4" s="3">
        <v>537535000</v>
      </c>
      <c r="EC4" s="3">
        <v>117798000</v>
      </c>
      <c r="ED4" s="3">
        <v>0</v>
      </c>
      <c r="EE4" s="3">
        <v>655333000</v>
      </c>
      <c r="EF4" s="3">
        <v>537535000</v>
      </c>
      <c r="EG4" s="3">
        <v>117798000</v>
      </c>
      <c r="EH4" s="3">
        <v>0</v>
      </c>
      <c r="EI4" s="3">
        <v>655333000</v>
      </c>
      <c r="EJ4" s="3">
        <v>537515604.74000001</v>
      </c>
      <c r="EK4" s="3">
        <v>104107403.28</v>
      </c>
      <c r="EL4" s="3">
        <v>0</v>
      </c>
      <c r="EM4" s="3">
        <v>641623008.01999998</v>
      </c>
      <c r="EN4" s="3">
        <v>534956396.11000001</v>
      </c>
      <c r="EO4" s="3">
        <v>96534646</v>
      </c>
      <c r="EP4" s="3">
        <v>0</v>
      </c>
      <c r="EQ4" s="3">
        <v>631491042.11000001</v>
      </c>
      <c r="ER4" s="3">
        <v>546854000</v>
      </c>
      <c r="ES4" s="3">
        <v>139568000</v>
      </c>
      <c r="ET4" s="3">
        <v>0</v>
      </c>
      <c r="EU4" s="3">
        <v>686422000</v>
      </c>
      <c r="EV4" s="3">
        <v>546854000</v>
      </c>
      <c r="EW4" s="3">
        <v>139568000</v>
      </c>
      <c r="EX4" s="3">
        <v>0</v>
      </c>
      <c r="EY4" s="3">
        <v>686422000</v>
      </c>
      <c r="EZ4" s="3">
        <v>546854000</v>
      </c>
      <c r="FA4" s="3">
        <v>139568000</v>
      </c>
      <c r="FB4" s="3">
        <v>0</v>
      </c>
      <c r="FC4" s="3">
        <v>686422000</v>
      </c>
      <c r="FD4" s="3">
        <v>570700500</v>
      </c>
      <c r="FE4" s="3">
        <v>115721500</v>
      </c>
      <c r="FF4" s="3">
        <v>0</v>
      </c>
      <c r="FG4" s="3">
        <v>686422000</v>
      </c>
      <c r="FH4" s="3">
        <v>570700500</v>
      </c>
      <c r="FI4" s="3">
        <v>115721500</v>
      </c>
      <c r="FJ4" s="3">
        <v>0</v>
      </c>
      <c r="FK4" s="3">
        <v>686422000</v>
      </c>
      <c r="FL4" s="3">
        <v>570290651.50999999</v>
      </c>
      <c r="FM4" s="3">
        <v>110937044.31</v>
      </c>
      <c r="FN4" s="3">
        <v>0</v>
      </c>
      <c r="FO4" s="3">
        <v>681227695.82000005</v>
      </c>
      <c r="FP4" s="3">
        <v>567665414.47000003</v>
      </c>
      <c r="FQ4" s="3">
        <v>103016407.43000001</v>
      </c>
      <c r="FR4" s="3">
        <v>0</v>
      </c>
      <c r="FS4" s="3">
        <v>670681821.89999998</v>
      </c>
      <c r="FT4" s="3">
        <v>546068000</v>
      </c>
      <c r="FU4" s="3">
        <v>125570000</v>
      </c>
      <c r="FV4" s="3">
        <v>0</v>
      </c>
      <c r="FW4" s="3">
        <v>671638000</v>
      </c>
      <c r="FX4" s="3">
        <v>546068000</v>
      </c>
      <c r="FY4" s="3">
        <v>125570000</v>
      </c>
      <c r="FZ4" s="3">
        <v>0</v>
      </c>
      <c r="GA4" s="3">
        <v>671638000</v>
      </c>
      <c r="GB4" s="3">
        <v>546068000</v>
      </c>
      <c r="GC4" s="3">
        <v>125570000</v>
      </c>
      <c r="GD4" s="3">
        <v>0</v>
      </c>
      <c r="GE4" s="3">
        <v>671638000</v>
      </c>
      <c r="GF4" s="3">
        <v>554238000</v>
      </c>
      <c r="GG4" s="3">
        <v>117400000</v>
      </c>
      <c r="GH4" s="3">
        <v>0</v>
      </c>
      <c r="GI4" s="3">
        <v>671638000</v>
      </c>
      <c r="GJ4" s="3">
        <v>554238000</v>
      </c>
      <c r="GK4" s="3">
        <v>117400000</v>
      </c>
      <c r="GL4" s="3">
        <v>0</v>
      </c>
      <c r="GM4" s="3">
        <v>671638000</v>
      </c>
      <c r="GN4" s="3">
        <v>554172555.61000001</v>
      </c>
      <c r="GO4" s="3">
        <v>105773365.08</v>
      </c>
      <c r="GP4" s="3">
        <v>0</v>
      </c>
      <c r="GQ4" s="3">
        <v>659945920.69000006</v>
      </c>
      <c r="GR4" s="3">
        <v>552599152.28999996</v>
      </c>
      <c r="GS4" s="3">
        <v>95679229.069999993</v>
      </c>
      <c r="GT4" s="3">
        <v>0</v>
      </c>
      <c r="GU4" s="3">
        <v>648278381.36000001</v>
      </c>
      <c r="GV4" s="3">
        <v>557511000</v>
      </c>
      <c r="GW4" s="3">
        <v>891647000</v>
      </c>
      <c r="GX4" s="3">
        <v>169657000</v>
      </c>
      <c r="GY4" s="3">
        <v>1618815000</v>
      </c>
      <c r="GZ4" s="3">
        <v>557511000</v>
      </c>
      <c r="HA4" s="3">
        <v>891647000</v>
      </c>
      <c r="HB4" s="3">
        <v>169657000</v>
      </c>
      <c r="HC4" s="3">
        <v>1618815000</v>
      </c>
      <c r="HD4" s="3">
        <v>557511000</v>
      </c>
      <c r="HE4" s="3">
        <v>891647000</v>
      </c>
      <c r="HF4" s="3">
        <v>169657000</v>
      </c>
      <c r="HG4" s="3">
        <v>1618815000</v>
      </c>
      <c r="HH4" s="3">
        <v>582485973.32000005</v>
      </c>
      <c r="HI4" s="3">
        <v>866672026.67999995</v>
      </c>
      <c r="HJ4" s="3">
        <v>169657000</v>
      </c>
      <c r="HK4" s="3">
        <v>1618815000</v>
      </c>
      <c r="HL4" s="3">
        <v>582485973.32000005</v>
      </c>
      <c r="HM4" s="3">
        <v>866672026.67999995</v>
      </c>
      <c r="HN4" s="3">
        <v>169657000</v>
      </c>
      <c r="HO4" s="3">
        <v>1618815000</v>
      </c>
      <c r="HP4" s="3">
        <v>582116572.54999995</v>
      </c>
      <c r="HQ4" s="3">
        <v>725827701.28999996</v>
      </c>
      <c r="HR4" s="3">
        <v>127654429.52</v>
      </c>
      <c r="HS4" s="3">
        <v>1435598703.3599999</v>
      </c>
      <c r="HT4" s="3">
        <v>577430626.95000005</v>
      </c>
      <c r="HU4" s="3">
        <v>284883706.89999998</v>
      </c>
      <c r="HV4" s="3">
        <v>2995000</v>
      </c>
      <c r="HW4" s="3">
        <v>865309333.85000002</v>
      </c>
      <c r="HX4" s="3">
        <v>636655000</v>
      </c>
      <c r="HY4" s="3">
        <v>569095000</v>
      </c>
      <c r="HZ4" s="3">
        <v>1040000</v>
      </c>
      <c r="IA4" s="3">
        <v>1206790000</v>
      </c>
      <c r="IB4" s="3">
        <v>636655000</v>
      </c>
      <c r="IC4" s="3">
        <v>499366000</v>
      </c>
      <c r="ID4" s="3">
        <v>1040000</v>
      </c>
      <c r="IE4" s="3">
        <v>1137061000</v>
      </c>
      <c r="IZ4" s="3">
        <v>657466000</v>
      </c>
      <c r="JA4" s="3">
        <v>331182000</v>
      </c>
      <c r="JB4">
        <v>0</v>
      </c>
      <c r="JC4" s="3">
        <v>988648000</v>
      </c>
    </row>
    <row r="5" spans="1:267" x14ac:dyDescent="0.25">
      <c r="A5" t="s">
        <v>847</v>
      </c>
      <c r="B5" t="s">
        <v>848</v>
      </c>
      <c r="C5" t="s">
        <v>199</v>
      </c>
      <c r="D5" t="s">
        <v>200</v>
      </c>
      <c r="E5" t="s">
        <v>208</v>
      </c>
      <c r="F5" t="s">
        <v>211</v>
      </c>
      <c r="G5" t="s">
        <v>860</v>
      </c>
      <c r="H5" s="3">
        <v>16922000</v>
      </c>
      <c r="I5" s="3">
        <v>47701000</v>
      </c>
      <c r="J5" s="3">
        <v>0</v>
      </c>
      <c r="K5" s="3">
        <v>64623000</v>
      </c>
      <c r="L5" s="3">
        <v>16922000</v>
      </c>
      <c r="M5" s="3">
        <v>47701000</v>
      </c>
      <c r="N5" s="3">
        <v>0</v>
      </c>
      <c r="O5" s="3">
        <v>64623000</v>
      </c>
      <c r="P5" s="3">
        <v>16922000</v>
      </c>
      <c r="Q5" s="3">
        <v>47701000</v>
      </c>
      <c r="R5" s="3">
        <v>0</v>
      </c>
      <c r="S5" s="3">
        <v>64623000</v>
      </c>
      <c r="T5" s="3">
        <v>16922000</v>
      </c>
      <c r="U5" s="3">
        <v>47701000</v>
      </c>
      <c r="V5" s="3">
        <v>0</v>
      </c>
      <c r="W5" s="3">
        <v>64623000</v>
      </c>
      <c r="X5" s="3">
        <v>16922000</v>
      </c>
      <c r="Y5" s="3">
        <v>47701000</v>
      </c>
      <c r="Z5" s="3">
        <v>0</v>
      </c>
      <c r="AA5" s="3">
        <v>64623000</v>
      </c>
      <c r="AB5" s="3">
        <v>16922000</v>
      </c>
      <c r="AC5" s="3">
        <v>30873651.07</v>
      </c>
      <c r="AD5" s="3">
        <v>0</v>
      </c>
      <c r="AE5" s="3">
        <v>47795651.07</v>
      </c>
      <c r="AF5" s="3">
        <v>16922000</v>
      </c>
      <c r="AG5" s="3">
        <v>18997212.52</v>
      </c>
      <c r="AH5" s="3">
        <v>0</v>
      </c>
      <c r="AI5" s="3">
        <v>35919212.520000003</v>
      </c>
      <c r="AJ5" s="3">
        <v>50981000</v>
      </c>
      <c r="AK5" s="3">
        <v>32360000</v>
      </c>
      <c r="AL5" s="3">
        <v>0</v>
      </c>
      <c r="AM5" s="3">
        <v>83341000</v>
      </c>
      <c r="AN5" s="3">
        <v>50981000</v>
      </c>
      <c r="AO5" s="3">
        <v>32360000</v>
      </c>
      <c r="AP5" s="3">
        <v>0</v>
      </c>
      <c r="AQ5" s="3">
        <v>83341000</v>
      </c>
      <c r="AR5" s="3">
        <v>50981000</v>
      </c>
      <c r="AS5" s="3">
        <v>32360000</v>
      </c>
      <c r="AT5" s="3">
        <v>0</v>
      </c>
      <c r="AU5" s="3">
        <v>83341000</v>
      </c>
      <c r="AV5" s="3">
        <v>50981000</v>
      </c>
      <c r="AW5" s="3">
        <v>32360000</v>
      </c>
      <c r="AX5" s="3">
        <v>0</v>
      </c>
      <c r="AY5" s="3">
        <v>83341000</v>
      </c>
      <c r="AZ5" s="3">
        <v>50981000</v>
      </c>
      <c r="BA5" s="3">
        <v>32360000</v>
      </c>
      <c r="BB5" s="3">
        <v>0</v>
      </c>
      <c r="BC5" s="3">
        <v>83341000</v>
      </c>
      <c r="BD5" s="3">
        <v>50981000</v>
      </c>
      <c r="BE5" s="3">
        <v>23684547.870000001</v>
      </c>
      <c r="BF5" s="3">
        <v>0</v>
      </c>
      <c r="BG5" s="3">
        <v>74665547.870000005</v>
      </c>
      <c r="BH5" s="3">
        <v>50981000</v>
      </c>
      <c r="BI5" s="3">
        <v>5669860.0199999996</v>
      </c>
      <c r="BJ5" s="3">
        <v>0</v>
      </c>
      <c r="BK5" s="3">
        <v>56650860.020000003</v>
      </c>
      <c r="BL5" s="3">
        <v>17228000</v>
      </c>
      <c r="BM5" s="3">
        <v>23291000</v>
      </c>
      <c r="BN5" s="3">
        <v>0</v>
      </c>
      <c r="BO5" s="3">
        <v>40519000</v>
      </c>
      <c r="BP5" s="3">
        <v>17228000</v>
      </c>
      <c r="BQ5" s="3">
        <v>23291000</v>
      </c>
      <c r="BR5" s="3">
        <v>0</v>
      </c>
      <c r="BS5" s="3">
        <v>40519000</v>
      </c>
      <c r="BT5" s="3">
        <v>17228000</v>
      </c>
      <c r="BU5" s="3">
        <v>23291000</v>
      </c>
      <c r="BV5" s="3">
        <v>0</v>
      </c>
      <c r="BW5" s="3">
        <v>40519000</v>
      </c>
      <c r="BX5" s="3">
        <v>17774000</v>
      </c>
      <c r="BY5" s="3">
        <v>20517000</v>
      </c>
      <c r="BZ5" s="3">
        <v>0</v>
      </c>
      <c r="CA5" s="3">
        <v>38291000</v>
      </c>
      <c r="CB5" s="3">
        <v>17774000</v>
      </c>
      <c r="CC5" s="3">
        <v>20517000</v>
      </c>
      <c r="CD5" s="3">
        <v>0</v>
      </c>
      <c r="CE5" s="3">
        <v>38291000</v>
      </c>
      <c r="CF5" s="3">
        <v>17774000</v>
      </c>
      <c r="CG5" s="3">
        <v>13856550.560000001</v>
      </c>
      <c r="CH5" s="3">
        <v>0</v>
      </c>
      <c r="CI5" s="3">
        <v>31630550.559999999</v>
      </c>
      <c r="CJ5" s="3">
        <v>17512774.16</v>
      </c>
      <c r="CK5" s="3">
        <v>4909161.24</v>
      </c>
      <c r="CL5" s="3">
        <v>0</v>
      </c>
      <c r="CM5" s="3">
        <v>22421935.399999999</v>
      </c>
      <c r="CN5" s="3">
        <v>17724000</v>
      </c>
      <c r="CO5" s="3">
        <v>23970000</v>
      </c>
      <c r="CP5" s="3">
        <v>0</v>
      </c>
      <c r="CQ5" s="3">
        <v>41694000</v>
      </c>
      <c r="CR5" s="3">
        <v>17724000</v>
      </c>
      <c r="CS5" s="3">
        <v>23970000</v>
      </c>
      <c r="CT5" s="3">
        <v>0</v>
      </c>
      <c r="CU5" s="3">
        <v>41694000</v>
      </c>
      <c r="CV5" s="3">
        <v>17724000</v>
      </c>
      <c r="CW5" s="3">
        <v>23970000</v>
      </c>
      <c r="CX5" s="3">
        <v>0</v>
      </c>
      <c r="CY5" s="3">
        <v>41694000</v>
      </c>
      <c r="CZ5" s="3">
        <v>17724000</v>
      </c>
      <c r="DA5" s="3">
        <v>23970000</v>
      </c>
      <c r="DB5" s="3">
        <v>0</v>
      </c>
      <c r="DC5" s="3">
        <v>41694000</v>
      </c>
      <c r="DD5" s="3">
        <v>17724000</v>
      </c>
      <c r="DE5" s="3">
        <v>23970000</v>
      </c>
      <c r="DF5" s="3">
        <v>0</v>
      </c>
      <c r="DG5" s="3">
        <v>41694000</v>
      </c>
      <c r="DH5" s="3">
        <v>17724000</v>
      </c>
      <c r="DI5" s="3">
        <v>20806681.140000001</v>
      </c>
      <c r="DJ5" s="3">
        <v>0</v>
      </c>
      <c r="DK5" s="3">
        <v>38530681.140000001</v>
      </c>
      <c r="DL5" s="3">
        <v>17724000</v>
      </c>
      <c r="DM5" s="3">
        <v>15883387.9</v>
      </c>
      <c r="DN5" s="3">
        <v>0</v>
      </c>
      <c r="DO5" s="3">
        <v>33607387.899999999</v>
      </c>
      <c r="DP5" s="3">
        <v>16724000</v>
      </c>
      <c r="DQ5" s="3">
        <v>23970000</v>
      </c>
      <c r="DR5" s="3">
        <v>0</v>
      </c>
      <c r="DS5" s="3">
        <v>40694000</v>
      </c>
      <c r="DT5" s="3">
        <v>16724000</v>
      </c>
      <c r="DU5" s="3">
        <v>23970000</v>
      </c>
      <c r="DV5" s="3">
        <v>0</v>
      </c>
      <c r="DW5" s="3">
        <v>40694000</v>
      </c>
      <c r="DX5" s="3">
        <v>16724000</v>
      </c>
      <c r="DY5" s="3">
        <v>23970000</v>
      </c>
      <c r="DZ5" s="3">
        <v>0</v>
      </c>
      <c r="EA5" s="3">
        <v>40694000</v>
      </c>
      <c r="EB5" s="3">
        <v>18724000</v>
      </c>
      <c r="EC5" s="3">
        <v>21970000</v>
      </c>
      <c r="ED5" s="3">
        <v>0</v>
      </c>
      <c r="EE5" s="3">
        <v>40694000</v>
      </c>
      <c r="EF5" s="3">
        <v>18724000</v>
      </c>
      <c r="EG5" s="3">
        <v>21970000</v>
      </c>
      <c r="EH5" s="3">
        <v>0</v>
      </c>
      <c r="EI5" s="3">
        <v>40694000</v>
      </c>
      <c r="EJ5" s="3">
        <v>18724000</v>
      </c>
      <c r="EK5" s="3">
        <v>19171086.949999999</v>
      </c>
      <c r="EL5" s="3">
        <v>0</v>
      </c>
      <c r="EM5" s="3">
        <v>37895086.950000003</v>
      </c>
      <c r="EN5" s="3">
        <v>18724000</v>
      </c>
      <c r="EO5" s="3">
        <v>12970301.6</v>
      </c>
      <c r="EP5" s="3">
        <v>0</v>
      </c>
      <c r="EQ5" s="3">
        <v>31694301.600000001</v>
      </c>
      <c r="ER5" s="3">
        <v>18068000</v>
      </c>
      <c r="ES5" s="3">
        <v>23970000</v>
      </c>
      <c r="ET5" s="3">
        <v>0</v>
      </c>
      <c r="EU5" s="3">
        <v>42038000</v>
      </c>
      <c r="EV5" s="3">
        <v>18068000</v>
      </c>
      <c r="EW5" s="3">
        <v>23970000</v>
      </c>
      <c r="EX5" s="3">
        <v>0</v>
      </c>
      <c r="EY5" s="3">
        <v>42038000</v>
      </c>
      <c r="EZ5" s="3">
        <v>18068000</v>
      </c>
      <c r="FA5" s="3">
        <v>23970000</v>
      </c>
      <c r="FB5" s="3">
        <v>0</v>
      </c>
      <c r="FC5" s="3">
        <v>42038000</v>
      </c>
      <c r="FD5" s="3">
        <v>20371000</v>
      </c>
      <c r="FE5" s="3">
        <v>21667000</v>
      </c>
      <c r="FF5" s="3">
        <v>0</v>
      </c>
      <c r="FG5" s="3">
        <v>42038000</v>
      </c>
      <c r="FH5" s="3">
        <v>20371000</v>
      </c>
      <c r="FI5" s="3">
        <v>21667000</v>
      </c>
      <c r="FJ5" s="3">
        <v>0</v>
      </c>
      <c r="FK5" s="3">
        <v>42038000</v>
      </c>
      <c r="FL5" s="3">
        <v>20365976.609999999</v>
      </c>
      <c r="FM5" s="3">
        <v>18941280.239999998</v>
      </c>
      <c r="FN5" s="3">
        <v>0</v>
      </c>
      <c r="FO5" s="3">
        <v>39307256.850000001</v>
      </c>
      <c r="FP5" s="3">
        <v>19943401.77</v>
      </c>
      <c r="FQ5" s="3">
        <v>10866159.310000001</v>
      </c>
      <c r="FR5" s="3">
        <v>0</v>
      </c>
      <c r="FS5" s="3">
        <v>30809561.079999998</v>
      </c>
      <c r="FT5" s="3">
        <v>15309000</v>
      </c>
      <c r="FU5" s="3">
        <v>21293000</v>
      </c>
      <c r="FV5" s="3">
        <v>0</v>
      </c>
      <c r="FW5" s="3">
        <v>36602000</v>
      </c>
      <c r="FX5" s="3">
        <v>15309000</v>
      </c>
      <c r="FY5" s="3">
        <v>21293000</v>
      </c>
      <c r="FZ5" s="3">
        <v>0</v>
      </c>
      <c r="GA5" s="3">
        <v>36602000</v>
      </c>
      <c r="GB5" s="3">
        <v>15309000</v>
      </c>
      <c r="GC5" s="3">
        <v>21293000</v>
      </c>
      <c r="GD5" s="3">
        <v>0</v>
      </c>
      <c r="GE5" s="3">
        <v>36602000</v>
      </c>
      <c r="GF5" s="3">
        <v>15309000</v>
      </c>
      <c r="GG5" s="3">
        <v>21293000</v>
      </c>
      <c r="GH5" s="3">
        <v>0</v>
      </c>
      <c r="GI5" s="3">
        <v>36602000</v>
      </c>
      <c r="GJ5" s="3">
        <v>15309000</v>
      </c>
      <c r="GK5" s="3">
        <v>21293000</v>
      </c>
      <c r="GL5" s="3">
        <v>0</v>
      </c>
      <c r="GM5" s="3">
        <v>36602000</v>
      </c>
      <c r="GN5" s="3">
        <v>15308462.17</v>
      </c>
      <c r="GO5" s="3">
        <v>19271879.329999998</v>
      </c>
      <c r="GP5" s="3">
        <v>0</v>
      </c>
      <c r="GQ5" s="3">
        <v>34580341.5</v>
      </c>
      <c r="GR5" s="3">
        <v>15296462.17</v>
      </c>
      <c r="GS5" s="3">
        <v>15559148.18</v>
      </c>
      <c r="GT5" s="3">
        <v>0</v>
      </c>
      <c r="GU5" s="3">
        <v>30855610.350000001</v>
      </c>
      <c r="GV5" s="3">
        <v>16507000</v>
      </c>
      <c r="GW5" s="3">
        <v>21676000</v>
      </c>
      <c r="GX5" s="3">
        <v>0</v>
      </c>
      <c r="GY5" s="3">
        <v>38183000</v>
      </c>
      <c r="GZ5" s="3">
        <v>16507000</v>
      </c>
      <c r="HA5" s="3">
        <v>21676000</v>
      </c>
      <c r="HB5" s="3">
        <v>0</v>
      </c>
      <c r="HC5" s="3">
        <v>38183000</v>
      </c>
      <c r="HD5" s="3">
        <v>16507000</v>
      </c>
      <c r="HE5" s="3">
        <v>21676000</v>
      </c>
      <c r="HF5" s="3">
        <v>0</v>
      </c>
      <c r="HG5" s="3">
        <v>38183000</v>
      </c>
      <c r="HH5" s="3">
        <v>16507000</v>
      </c>
      <c r="HI5" s="3">
        <v>21676000</v>
      </c>
      <c r="HJ5" s="3">
        <v>0</v>
      </c>
      <c r="HK5" s="3">
        <v>38183000</v>
      </c>
      <c r="HL5" s="3">
        <v>16507000</v>
      </c>
      <c r="HM5" s="3">
        <v>21676000</v>
      </c>
      <c r="HN5" s="3">
        <v>0</v>
      </c>
      <c r="HO5" s="3">
        <v>38183000</v>
      </c>
      <c r="HP5" s="3">
        <v>16506905.16</v>
      </c>
      <c r="HQ5" s="3">
        <v>19355749.18</v>
      </c>
      <c r="HR5" s="3">
        <v>0</v>
      </c>
      <c r="HS5" s="3">
        <v>35862654.340000004</v>
      </c>
      <c r="HT5" s="3">
        <v>16492205.16</v>
      </c>
      <c r="HU5" s="3">
        <v>18582194.719999999</v>
      </c>
      <c r="HV5" s="3">
        <v>0</v>
      </c>
      <c r="HW5" s="3">
        <v>35074399.880000003</v>
      </c>
      <c r="HX5" s="3">
        <v>19958000</v>
      </c>
      <c r="HY5" s="3">
        <v>22066000</v>
      </c>
      <c r="HZ5" s="3">
        <v>0</v>
      </c>
      <c r="IA5" s="3">
        <v>42024000</v>
      </c>
      <c r="IB5" s="3">
        <v>19958000</v>
      </c>
      <c r="IC5" s="3">
        <v>22066000</v>
      </c>
      <c r="ID5" s="3">
        <v>0</v>
      </c>
      <c r="IE5" s="3">
        <v>42024000</v>
      </c>
      <c r="IZ5" s="3">
        <v>19693000</v>
      </c>
      <c r="JA5" s="3">
        <v>21084000</v>
      </c>
      <c r="JB5">
        <v>0</v>
      </c>
      <c r="JC5" s="3">
        <v>40777000</v>
      </c>
    </row>
    <row r="6" spans="1:267" x14ac:dyDescent="0.25">
      <c r="A6" t="s">
        <v>847</v>
      </c>
      <c r="B6" t="s">
        <v>848</v>
      </c>
      <c r="C6" t="s">
        <v>199</v>
      </c>
      <c r="D6" t="s">
        <v>200</v>
      </c>
      <c r="E6" t="s">
        <v>217</v>
      </c>
      <c r="F6" t="s">
        <v>218</v>
      </c>
      <c r="G6" t="s">
        <v>861</v>
      </c>
      <c r="H6" s="3">
        <v>1909994000</v>
      </c>
      <c r="I6" s="3">
        <v>325530000</v>
      </c>
      <c r="J6" s="3">
        <v>0</v>
      </c>
      <c r="K6" s="3">
        <v>2235524000</v>
      </c>
      <c r="L6" s="3">
        <v>1909994000</v>
      </c>
      <c r="M6" s="3">
        <v>302710000</v>
      </c>
      <c r="N6" s="3">
        <v>0</v>
      </c>
      <c r="O6" s="3">
        <v>2212704000</v>
      </c>
      <c r="P6" s="3">
        <v>1909994000</v>
      </c>
      <c r="Q6" s="3">
        <v>302710000</v>
      </c>
      <c r="R6" s="3">
        <v>0</v>
      </c>
      <c r="S6" s="3">
        <v>2212704000</v>
      </c>
      <c r="T6" s="3">
        <v>1921843053.29</v>
      </c>
      <c r="U6" s="3">
        <v>291607075.37</v>
      </c>
      <c r="V6" s="3">
        <v>222000</v>
      </c>
      <c r="W6" s="3">
        <v>2213672128.6599998</v>
      </c>
      <c r="X6" s="3">
        <v>1921843053.29</v>
      </c>
      <c r="Y6" s="3">
        <v>291607075.37</v>
      </c>
      <c r="Z6" s="3">
        <v>222000</v>
      </c>
      <c r="AA6" s="3">
        <v>2213672128.6599998</v>
      </c>
      <c r="AB6" s="3">
        <v>1919055079.1400001</v>
      </c>
      <c r="AC6" s="3">
        <v>263873952.09999999</v>
      </c>
      <c r="AD6" s="3">
        <v>204000</v>
      </c>
      <c r="AE6" s="3">
        <v>2183133031.2399998</v>
      </c>
      <c r="AF6" s="3">
        <v>1914365114.0799999</v>
      </c>
      <c r="AG6" s="3">
        <v>217315642.86000001</v>
      </c>
      <c r="AH6" s="3">
        <v>204000</v>
      </c>
      <c r="AI6" s="3">
        <v>2131884756.9400001</v>
      </c>
      <c r="AJ6" s="3">
        <v>1998103000</v>
      </c>
      <c r="AK6" s="3">
        <v>205360000</v>
      </c>
      <c r="AL6" s="3">
        <v>2000000</v>
      </c>
      <c r="AM6" s="3">
        <v>2205463000</v>
      </c>
      <c r="AN6" s="3">
        <v>1998103000</v>
      </c>
      <c r="AO6" s="3">
        <v>205360000</v>
      </c>
      <c r="AP6" s="3">
        <v>2000000</v>
      </c>
      <c r="AQ6" s="3">
        <v>2205463000</v>
      </c>
      <c r="AR6" s="3">
        <v>1998103000</v>
      </c>
      <c r="AS6" s="3">
        <v>205360000</v>
      </c>
      <c r="AT6" s="3">
        <v>2000000</v>
      </c>
      <c r="AU6" s="3">
        <v>2205463000</v>
      </c>
      <c r="AV6" s="3">
        <v>2015782315.21</v>
      </c>
      <c r="AW6" s="3">
        <v>188998236</v>
      </c>
      <c r="AX6" s="3">
        <v>2000000</v>
      </c>
      <c r="AY6" s="3">
        <v>2206780551.21</v>
      </c>
      <c r="AZ6" s="3">
        <v>2015782315.21</v>
      </c>
      <c r="BA6" s="3">
        <v>188998236</v>
      </c>
      <c r="BB6" s="3">
        <v>2000000</v>
      </c>
      <c r="BC6" s="3">
        <v>2206780551.21</v>
      </c>
      <c r="BD6" s="3">
        <v>2015495997.5999999</v>
      </c>
      <c r="BE6" s="3">
        <v>184198860.30000001</v>
      </c>
      <c r="BF6" s="3">
        <v>1454000</v>
      </c>
      <c r="BG6" s="3">
        <v>2201148857.9000001</v>
      </c>
      <c r="BH6" s="3">
        <v>2010000695.76</v>
      </c>
      <c r="BI6" s="3">
        <v>161094376.61000001</v>
      </c>
      <c r="BJ6" s="3">
        <v>0</v>
      </c>
      <c r="BK6" s="3">
        <v>2171095072.3699999</v>
      </c>
      <c r="BL6" s="3">
        <v>2234514000</v>
      </c>
      <c r="BM6" s="3">
        <v>320360000</v>
      </c>
      <c r="BN6" s="3">
        <v>0</v>
      </c>
      <c r="BO6" s="3">
        <v>2554874000</v>
      </c>
      <c r="BP6" s="3">
        <v>2234514000</v>
      </c>
      <c r="BQ6" s="3">
        <v>458360000</v>
      </c>
      <c r="BR6" s="3">
        <v>0</v>
      </c>
      <c r="BS6" s="3">
        <v>2692874000</v>
      </c>
      <c r="BT6" s="3">
        <v>2234514000</v>
      </c>
      <c r="BU6" s="3">
        <v>458360000</v>
      </c>
      <c r="BV6" s="3">
        <v>0</v>
      </c>
      <c r="BW6" s="3">
        <v>2692874000</v>
      </c>
      <c r="BX6" s="3">
        <v>2289967208.29</v>
      </c>
      <c r="BY6" s="3">
        <v>374761935.70999998</v>
      </c>
      <c r="BZ6" s="3">
        <v>0</v>
      </c>
      <c r="CA6" s="3">
        <v>2664729144</v>
      </c>
      <c r="CB6" s="3">
        <v>2289967208.29</v>
      </c>
      <c r="CC6" s="3">
        <v>236761935.71000001</v>
      </c>
      <c r="CD6" s="3">
        <v>0</v>
      </c>
      <c r="CE6" s="3">
        <v>2526729144</v>
      </c>
      <c r="CF6" s="3">
        <v>2289388838.6799998</v>
      </c>
      <c r="CG6" s="3">
        <v>152928339.41999999</v>
      </c>
      <c r="CH6" s="3">
        <v>0</v>
      </c>
      <c r="CI6" s="3">
        <v>2442317178.0999999</v>
      </c>
      <c r="CJ6" s="3">
        <v>2250218924.0700002</v>
      </c>
      <c r="CK6" s="3">
        <v>109578605.17</v>
      </c>
      <c r="CL6" s="3">
        <v>0</v>
      </c>
      <c r="CM6" s="3">
        <v>2359797529.2399998</v>
      </c>
      <c r="CN6" s="3">
        <v>2340145000</v>
      </c>
      <c r="CO6" s="3">
        <v>356436000</v>
      </c>
      <c r="CP6" s="3">
        <v>0</v>
      </c>
      <c r="CQ6" s="3">
        <v>2696581000</v>
      </c>
      <c r="CR6" s="3">
        <v>2340145000</v>
      </c>
      <c r="CS6" s="3">
        <v>356436000</v>
      </c>
      <c r="CT6" s="3">
        <v>0</v>
      </c>
      <c r="CU6" s="3">
        <v>2696581000</v>
      </c>
      <c r="CV6" s="3">
        <v>2340145000</v>
      </c>
      <c r="CW6" s="3">
        <v>356436000</v>
      </c>
      <c r="CX6" s="3">
        <v>0</v>
      </c>
      <c r="CY6" s="3">
        <v>2696581000</v>
      </c>
      <c r="CZ6" s="3">
        <v>2357773053.4899998</v>
      </c>
      <c r="DA6" s="3">
        <v>339047452.50999999</v>
      </c>
      <c r="DB6" s="3">
        <v>0</v>
      </c>
      <c r="DC6" s="3">
        <v>2696820506</v>
      </c>
      <c r="DD6" s="3">
        <v>2357773053.4899998</v>
      </c>
      <c r="DE6" s="3">
        <v>339047452.50999999</v>
      </c>
      <c r="DF6" s="3">
        <v>0</v>
      </c>
      <c r="DG6" s="3">
        <v>2696820506</v>
      </c>
      <c r="DH6" s="3">
        <v>2357640421.3000002</v>
      </c>
      <c r="DI6" s="3">
        <v>175926385.94</v>
      </c>
      <c r="DJ6" s="3">
        <v>0</v>
      </c>
      <c r="DK6" s="3">
        <v>2533566807.2399998</v>
      </c>
      <c r="DL6" s="3">
        <v>2333733356.9400001</v>
      </c>
      <c r="DM6" s="3">
        <v>144849459</v>
      </c>
      <c r="DN6" s="3">
        <v>0</v>
      </c>
      <c r="DO6" s="3">
        <v>2478582815.9400001</v>
      </c>
      <c r="DP6" s="3">
        <v>2327510000</v>
      </c>
      <c r="DQ6" s="3">
        <v>356436000</v>
      </c>
      <c r="DR6" s="3">
        <v>0</v>
      </c>
      <c r="DS6" s="3">
        <v>2683946000</v>
      </c>
      <c r="DT6" s="3">
        <v>2327510000</v>
      </c>
      <c r="DU6" s="3">
        <v>285323000</v>
      </c>
      <c r="DV6" s="3">
        <v>0</v>
      </c>
      <c r="DW6" s="3">
        <v>2612833000</v>
      </c>
      <c r="DX6" s="3">
        <v>2327510000</v>
      </c>
      <c r="DY6" s="3">
        <v>285323000</v>
      </c>
      <c r="DZ6" s="3">
        <v>0</v>
      </c>
      <c r="EA6" s="3">
        <v>2612833000</v>
      </c>
      <c r="EB6" s="3">
        <v>2431826318.3000002</v>
      </c>
      <c r="EC6" s="3">
        <v>181006681.69999999</v>
      </c>
      <c r="ED6" s="3">
        <v>0</v>
      </c>
      <c r="EE6" s="3">
        <v>2612833000</v>
      </c>
      <c r="EF6" s="3">
        <v>2431826318.3000002</v>
      </c>
      <c r="EG6" s="3">
        <v>181006681.69999999</v>
      </c>
      <c r="EH6" s="3">
        <v>0</v>
      </c>
      <c r="EI6" s="3">
        <v>2612833000</v>
      </c>
      <c r="EJ6" s="3">
        <v>2431413212.1999998</v>
      </c>
      <c r="EK6" s="3">
        <v>127717320.3</v>
      </c>
      <c r="EL6" s="3">
        <v>0</v>
      </c>
      <c r="EM6" s="3">
        <v>2559130532.5</v>
      </c>
      <c r="EN6" s="3">
        <v>2417682047</v>
      </c>
      <c r="EO6" s="3">
        <v>109046241.86</v>
      </c>
      <c r="EP6" s="3">
        <v>0</v>
      </c>
      <c r="EQ6" s="3">
        <v>2526728288.8600001</v>
      </c>
      <c r="ER6" s="3">
        <v>2563318000</v>
      </c>
      <c r="ES6" s="3">
        <v>238591000</v>
      </c>
      <c r="ET6" s="3">
        <v>0</v>
      </c>
      <c r="EU6" s="3">
        <v>2801909000</v>
      </c>
      <c r="EV6" s="3">
        <v>2563318000</v>
      </c>
      <c r="EW6" s="3">
        <v>238591000</v>
      </c>
      <c r="EX6" s="3">
        <v>0</v>
      </c>
      <c r="EY6" s="3">
        <v>2801909000</v>
      </c>
      <c r="EZ6" s="3">
        <v>2563318000</v>
      </c>
      <c r="FA6" s="3">
        <v>238591000</v>
      </c>
      <c r="FB6" s="3">
        <v>0</v>
      </c>
      <c r="FC6" s="3">
        <v>2801909000</v>
      </c>
      <c r="FD6" s="3">
        <v>2606153246.04</v>
      </c>
      <c r="FE6" s="3">
        <v>195755753.96000001</v>
      </c>
      <c r="FF6" s="3">
        <v>0</v>
      </c>
      <c r="FG6" s="3">
        <v>2801909000</v>
      </c>
      <c r="FH6" s="3">
        <v>2606153246.04</v>
      </c>
      <c r="FI6" s="3">
        <v>195755753.96000001</v>
      </c>
      <c r="FJ6" s="3">
        <v>0</v>
      </c>
      <c r="FK6" s="3">
        <v>2801909000</v>
      </c>
      <c r="FL6" s="3">
        <v>2605673693.46</v>
      </c>
      <c r="FM6" s="3">
        <v>136538964.91</v>
      </c>
      <c r="FN6" s="3">
        <v>0</v>
      </c>
      <c r="FO6" s="3">
        <v>2742212658.3699999</v>
      </c>
      <c r="FP6" s="3">
        <v>2590308188.21</v>
      </c>
      <c r="FQ6" s="3">
        <v>111039922.52</v>
      </c>
      <c r="FR6" s="3">
        <v>0</v>
      </c>
      <c r="FS6" s="3">
        <v>2701348110.7199998</v>
      </c>
      <c r="FT6" s="3">
        <v>2305595000</v>
      </c>
      <c r="FU6" s="3">
        <v>187151000</v>
      </c>
      <c r="FV6" s="3">
        <v>0</v>
      </c>
      <c r="FW6" s="3">
        <v>2492746000</v>
      </c>
      <c r="FX6" s="3">
        <v>2305595000</v>
      </c>
      <c r="FY6" s="3">
        <v>187151000</v>
      </c>
      <c r="FZ6" s="3">
        <v>0</v>
      </c>
      <c r="GA6" s="3">
        <v>2492746000</v>
      </c>
      <c r="GB6" s="3">
        <v>2305595000</v>
      </c>
      <c r="GC6" s="3">
        <v>187151000</v>
      </c>
      <c r="GD6" s="3">
        <v>0</v>
      </c>
      <c r="GE6" s="3">
        <v>2492746000</v>
      </c>
      <c r="GF6" s="3">
        <v>2336352660.5300002</v>
      </c>
      <c r="GG6" s="3">
        <v>156393339.47</v>
      </c>
      <c r="GH6" s="3">
        <v>0</v>
      </c>
      <c r="GI6" s="3">
        <v>2492746000</v>
      </c>
      <c r="GJ6" s="3">
        <v>2336352660.5300002</v>
      </c>
      <c r="GK6" s="3">
        <v>156393339.47</v>
      </c>
      <c r="GL6" s="3">
        <v>0</v>
      </c>
      <c r="GM6" s="3">
        <v>2492746000</v>
      </c>
      <c r="GN6" s="3">
        <v>2336274512.7800002</v>
      </c>
      <c r="GO6" s="3">
        <v>127676100.05</v>
      </c>
      <c r="GP6" s="3">
        <v>0</v>
      </c>
      <c r="GQ6" s="3">
        <v>2463950612.8299999</v>
      </c>
      <c r="GR6" s="3">
        <v>2331927564.9899998</v>
      </c>
      <c r="GS6" s="3">
        <v>102487526.70999999</v>
      </c>
      <c r="GT6" s="3">
        <v>0</v>
      </c>
      <c r="GU6" s="3">
        <v>2434415091.6999998</v>
      </c>
      <c r="GV6" s="3">
        <v>2422923000</v>
      </c>
      <c r="GW6" s="3">
        <v>190236000</v>
      </c>
      <c r="GX6" s="3">
        <v>0</v>
      </c>
      <c r="GY6" s="3">
        <v>2613159000</v>
      </c>
      <c r="GZ6" s="3">
        <v>2422923000</v>
      </c>
      <c r="HA6" s="3">
        <v>190236000</v>
      </c>
      <c r="HB6" s="3">
        <v>0</v>
      </c>
      <c r="HC6" s="3">
        <v>2613159000</v>
      </c>
      <c r="HD6" s="3">
        <v>2422923000</v>
      </c>
      <c r="HE6" s="3">
        <v>190236000</v>
      </c>
      <c r="HF6" s="3">
        <v>0</v>
      </c>
      <c r="HG6" s="3">
        <v>2613159000</v>
      </c>
      <c r="HH6" s="3">
        <v>2450531378.3000002</v>
      </c>
      <c r="HI6" s="3">
        <v>162627621.69999999</v>
      </c>
      <c r="HJ6" s="3">
        <v>0</v>
      </c>
      <c r="HK6" s="3">
        <v>2613159000</v>
      </c>
      <c r="HL6" s="3">
        <v>2450531378.3000002</v>
      </c>
      <c r="HM6" s="3">
        <v>162627621.69999999</v>
      </c>
      <c r="HN6" s="3">
        <v>0</v>
      </c>
      <c r="HO6" s="3">
        <v>2613159000</v>
      </c>
      <c r="HP6" s="3">
        <v>2450371874.73</v>
      </c>
      <c r="HQ6" s="3">
        <v>145481130.27000001</v>
      </c>
      <c r="HR6" s="3">
        <v>0</v>
      </c>
      <c r="HS6" s="3">
        <v>2595853005</v>
      </c>
      <c r="HT6" s="3">
        <v>2445690929.25</v>
      </c>
      <c r="HU6" s="3">
        <v>114195614.61</v>
      </c>
      <c r="HV6" s="3">
        <v>0</v>
      </c>
      <c r="HW6" s="3">
        <v>2559886543.8600001</v>
      </c>
      <c r="HX6" s="3">
        <v>2778702000</v>
      </c>
      <c r="HY6" s="3">
        <v>145754000</v>
      </c>
      <c r="HZ6" s="3">
        <v>0</v>
      </c>
      <c r="IA6" s="3">
        <v>2924456000</v>
      </c>
      <c r="IB6" s="3">
        <v>2778702000</v>
      </c>
      <c r="IC6" s="3">
        <v>145754000</v>
      </c>
      <c r="ID6" s="3">
        <v>0</v>
      </c>
      <c r="IE6" s="3">
        <v>2924456000</v>
      </c>
      <c r="IZ6" s="3">
        <v>2958147000</v>
      </c>
      <c r="JA6" s="3">
        <v>148083000</v>
      </c>
      <c r="JB6">
        <v>0</v>
      </c>
      <c r="JC6" s="3">
        <v>3106230000</v>
      </c>
    </row>
    <row r="7" spans="1:267" x14ac:dyDescent="0.25">
      <c r="A7" t="s">
        <v>847</v>
      </c>
      <c r="B7" t="s">
        <v>848</v>
      </c>
      <c r="C7" t="s">
        <v>199</v>
      </c>
      <c r="D7" t="s">
        <v>200</v>
      </c>
      <c r="E7" t="s">
        <v>217</v>
      </c>
      <c r="F7" t="s">
        <v>220</v>
      </c>
      <c r="G7" t="s">
        <v>862</v>
      </c>
      <c r="H7" s="3">
        <v>0</v>
      </c>
      <c r="I7" s="3">
        <v>12362000</v>
      </c>
      <c r="J7" s="3">
        <v>0</v>
      </c>
      <c r="K7" s="3">
        <v>12362000</v>
      </c>
      <c r="L7" s="3">
        <v>0</v>
      </c>
      <c r="M7" s="3">
        <v>12362000</v>
      </c>
      <c r="N7" s="3">
        <v>0</v>
      </c>
      <c r="O7" s="3">
        <v>12362000</v>
      </c>
      <c r="P7" s="3">
        <v>0</v>
      </c>
      <c r="Q7" s="3">
        <v>12362000</v>
      </c>
      <c r="R7" s="3">
        <v>0</v>
      </c>
      <c r="S7" s="3">
        <v>12362000</v>
      </c>
      <c r="T7" s="3">
        <v>928167</v>
      </c>
      <c r="U7" s="3">
        <v>11433833</v>
      </c>
      <c r="V7" s="3">
        <v>0</v>
      </c>
      <c r="W7" s="3">
        <v>12362000</v>
      </c>
      <c r="X7" s="3">
        <v>928167</v>
      </c>
      <c r="Y7" s="3">
        <v>11433833</v>
      </c>
      <c r="Z7" s="3">
        <v>0</v>
      </c>
      <c r="AA7" s="3">
        <v>12362000</v>
      </c>
      <c r="AB7" s="3">
        <v>928167</v>
      </c>
      <c r="AC7" s="3">
        <v>11224546.92</v>
      </c>
      <c r="AD7" s="3">
        <v>0</v>
      </c>
      <c r="AE7" s="3">
        <v>12152713.92</v>
      </c>
      <c r="AF7" s="3">
        <v>928167</v>
      </c>
      <c r="AG7" s="3">
        <v>10579240.359999999</v>
      </c>
      <c r="AH7" s="3">
        <v>0</v>
      </c>
      <c r="AI7" s="3">
        <v>11507407.359999999</v>
      </c>
      <c r="AJ7" s="3">
        <v>0</v>
      </c>
      <c r="AK7" s="3">
        <v>8386000</v>
      </c>
      <c r="AL7" s="3">
        <v>0</v>
      </c>
      <c r="AM7" s="3">
        <v>8386000</v>
      </c>
      <c r="AN7" s="3">
        <v>0</v>
      </c>
      <c r="AO7" s="3">
        <v>8386000</v>
      </c>
      <c r="AP7" s="3">
        <v>0</v>
      </c>
      <c r="AQ7" s="3">
        <v>8386000</v>
      </c>
      <c r="AR7" s="3">
        <v>0</v>
      </c>
      <c r="AS7" s="3">
        <v>8386000</v>
      </c>
      <c r="AT7" s="3">
        <v>0</v>
      </c>
      <c r="AU7" s="3">
        <v>8386000</v>
      </c>
      <c r="AV7" s="3">
        <v>431000</v>
      </c>
      <c r="AW7" s="3">
        <v>7955000</v>
      </c>
      <c r="AX7" s="3">
        <v>0</v>
      </c>
      <c r="AY7" s="3">
        <v>8386000</v>
      </c>
      <c r="AZ7" s="3">
        <v>431000</v>
      </c>
      <c r="BA7" s="3">
        <v>7955000</v>
      </c>
      <c r="BB7" s="3">
        <v>0</v>
      </c>
      <c r="BC7" s="3">
        <v>8386000</v>
      </c>
      <c r="BD7" s="3">
        <v>431000</v>
      </c>
      <c r="BE7" s="3">
        <v>7759215.5099999998</v>
      </c>
      <c r="BF7" s="3">
        <v>0</v>
      </c>
      <c r="BG7" s="3">
        <v>8190215.5099999998</v>
      </c>
      <c r="BH7" s="3">
        <v>431000</v>
      </c>
      <c r="BI7" s="3">
        <v>7020070.5800000001</v>
      </c>
      <c r="BJ7" s="3">
        <v>0</v>
      </c>
      <c r="BK7" s="3">
        <v>7451070.5800000001</v>
      </c>
      <c r="BL7" s="3">
        <v>0</v>
      </c>
      <c r="BM7" s="3">
        <v>10101000</v>
      </c>
      <c r="BN7" s="3">
        <v>0</v>
      </c>
      <c r="BO7" s="3">
        <v>10101000</v>
      </c>
      <c r="BP7" s="3">
        <v>0</v>
      </c>
      <c r="BQ7" s="3">
        <v>10101000</v>
      </c>
      <c r="BR7" s="3">
        <v>0</v>
      </c>
      <c r="BS7" s="3">
        <v>10101000</v>
      </c>
      <c r="BT7" s="3">
        <v>0</v>
      </c>
      <c r="BU7" s="3">
        <v>10101000</v>
      </c>
      <c r="BV7" s="3">
        <v>0</v>
      </c>
      <c r="BW7" s="3">
        <v>10101000</v>
      </c>
      <c r="BX7" s="3">
        <v>1217078</v>
      </c>
      <c r="BY7" s="3">
        <v>8051591</v>
      </c>
      <c r="BZ7" s="3">
        <v>0</v>
      </c>
      <c r="CA7" s="3">
        <v>9268669</v>
      </c>
      <c r="CB7" s="3">
        <v>1217078</v>
      </c>
      <c r="CC7" s="3">
        <v>8051591</v>
      </c>
      <c r="CD7" s="3">
        <v>0</v>
      </c>
      <c r="CE7" s="3">
        <v>9268669</v>
      </c>
      <c r="CF7" s="3">
        <v>1217078</v>
      </c>
      <c r="CG7" s="3">
        <v>7900875.7800000003</v>
      </c>
      <c r="CH7" s="3">
        <v>0</v>
      </c>
      <c r="CI7" s="3">
        <v>9117953.7799999993</v>
      </c>
      <c r="CJ7" s="3">
        <v>1111182</v>
      </c>
      <c r="CK7" s="3">
        <v>6658446.7999999998</v>
      </c>
      <c r="CL7" s="3">
        <v>0</v>
      </c>
      <c r="CM7" s="3">
        <v>7769628.7999999998</v>
      </c>
      <c r="CN7" s="3">
        <v>0</v>
      </c>
      <c r="CO7" s="3">
        <v>11888000</v>
      </c>
      <c r="CP7" s="3">
        <v>0</v>
      </c>
      <c r="CQ7" s="3">
        <v>11888000</v>
      </c>
      <c r="CR7" s="3">
        <v>0</v>
      </c>
      <c r="CS7" s="3">
        <v>11888000</v>
      </c>
      <c r="CT7" s="3">
        <v>0</v>
      </c>
      <c r="CU7" s="3">
        <v>11888000</v>
      </c>
      <c r="CV7" s="3">
        <v>0</v>
      </c>
      <c r="CW7" s="3">
        <v>11888000</v>
      </c>
      <c r="CX7" s="3">
        <v>0</v>
      </c>
      <c r="CY7" s="3">
        <v>11888000</v>
      </c>
      <c r="CZ7" s="3">
        <v>1105157</v>
      </c>
      <c r="DA7" s="3">
        <v>10782843</v>
      </c>
      <c r="DB7" s="3">
        <v>0</v>
      </c>
      <c r="DC7" s="3">
        <v>11888000</v>
      </c>
      <c r="DD7" s="3">
        <v>1105157</v>
      </c>
      <c r="DE7" s="3">
        <v>10782843</v>
      </c>
      <c r="DF7" s="3">
        <v>0</v>
      </c>
      <c r="DG7" s="3">
        <v>11888000</v>
      </c>
      <c r="DH7" s="3">
        <v>1105153.67</v>
      </c>
      <c r="DI7" s="3">
        <v>10589400.98</v>
      </c>
      <c r="DJ7" s="3">
        <v>0</v>
      </c>
      <c r="DK7" s="3">
        <v>11694554.65</v>
      </c>
      <c r="DL7" s="3">
        <v>1105153.67</v>
      </c>
      <c r="DM7" s="3">
        <v>9966098.6199999992</v>
      </c>
      <c r="DN7" s="3">
        <v>0</v>
      </c>
      <c r="DO7" s="3">
        <v>11071252.289999999</v>
      </c>
      <c r="DP7" s="3">
        <v>0</v>
      </c>
      <c r="DQ7" s="3">
        <v>11888000</v>
      </c>
      <c r="DR7" s="3">
        <v>0</v>
      </c>
      <c r="DS7" s="3">
        <v>11888000</v>
      </c>
      <c r="DT7" s="3">
        <v>0</v>
      </c>
      <c r="DU7" s="3">
        <v>9513000</v>
      </c>
      <c r="DV7" s="3">
        <v>0</v>
      </c>
      <c r="DW7" s="3">
        <v>9513000</v>
      </c>
      <c r="DX7" s="3">
        <v>0</v>
      </c>
      <c r="DY7" s="3">
        <v>9513000</v>
      </c>
      <c r="DZ7" s="3">
        <v>0</v>
      </c>
      <c r="EA7" s="3">
        <v>9513000</v>
      </c>
      <c r="EB7" s="3">
        <v>848894.31</v>
      </c>
      <c r="EC7" s="3">
        <v>8664105.6899999995</v>
      </c>
      <c r="ED7" s="3">
        <v>0</v>
      </c>
      <c r="EE7" s="3">
        <v>9513000</v>
      </c>
      <c r="EF7" s="3">
        <v>848894.31</v>
      </c>
      <c r="EG7" s="3">
        <v>8664105.6899999995</v>
      </c>
      <c r="EH7" s="3">
        <v>0</v>
      </c>
      <c r="EI7" s="3">
        <v>9513000</v>
      </c>
      <c r="EJ7" s="3">
        <v>834519.31</v>
      </c>
      <c r="EK7" s="3">
        <v>7559535.04</v>
      </c>
      <c r="EL7" s="3">
        <v>0</v>
      </c>
      <c r="EM7" s="3">
        <v>8394054.3499999996</v>
      </c>
      <c r="EN7" s="3">
        <v>834519.31</v>
      </c>
      <c r="EO7" s="3">
        <v>7047396.6799999997</v>
      </c>
      <c r="EP7" s="3">
        <v>0</v>
      </c>
      <c r="EQ7" s="3">
        <v>7881915.9900000002</v>
      </c>
      <c r="ER7" s="3">
        <v>0</v>
      </c>
      <c r="ES7" s="3">
        <v>11888000</v>
      </c>
      <c r="ET7" s="3">
        <v>0</v>
      </c>
      <c r="EU7" s="3">
        <v>11888000</v>
      </c>
      <c r="EV7" s="3">
        <v>0</v>
      </c>
      <c r="EW7" s="3">
        <v>11888000</v>
      </c>
      <c r="EX7" s="3">
        <v>0</v>
      </c>
      <c r="EY7" s="3">
        <v>11888000</v>
      </c>
      <c r="EZ7" s="3">
        <v>0</v>
      </c>
      <c r="FA7" s="3">
        <v>11888000</v>
      </c>
      <c r="FB7" s="3">
        <v>0</v>
      </c>
      <c r="FC7" s="3">
        <v>11888000</v>
      </c>
      <c r="FD7" s="3">
        <v>1951762.93</v>
      </c>
      <c r="FE7" s="3">
        <v>9936237.0700000003</v>
      </c>
      <c r="FF7" s="3">
        <v>0</v>
      </c>
      <c r="FG7" s="3">
        <v>11888000</v>
      </c>
      <c r="FH7" s="3">
        <v>1951762.93</v>
      </c>
      <c r="FI7" s="3">
        <v>9936237.0700000003</v>
      </c>
      <c r="FJ7" s="3">
        <v>0</v>
      </c>
      <c r="FK7" s="3">
        <v>11888000</v>
      </c>
      <c r="FL7" s="3">
        <v>1951762.93</v>
      </c>
      <c r="FM7" s="3">
        <v>9377043.7300000004</v>
      </c>
      <c r="FN7" s="3">
        <v>0</v>
      </c>
      <c r="FO7" s="3">
        <v>11328806.66</v>
      </c>
      <c r="FP7" s="3">
        <v>1951762.93</v>
      </c>
      <c r="FQ7" s="3">
        <v>8640319.1099999994</v>
      </c>
      <c r="FR7" s="3">
        <v>0</v>
      </c>
      <c r="FS7" s="3">
        <v>10592082.039999999</v>
      </c>
      <c r="FT7" s="3">
        <v>0</v>
      </c>
      <c r="FU7" s="3">
        <v>10559000</v>
      </c>
      <c r="FV7" s="3">
        <v>0</v>
      </c>
      <c r="FW7" s="3">
        <v>10559000</v>
      </c>
      <c r="FX7" s="3">
        <v>0</v>
      </c>
      <c r="FY7" s="3">
        <v>10559000</v>
      </c>
      <c r="FZ7" s="3">
        <v>0</v>
      </c>
      <c r="GA7" s="3">
        <v>10559000</v>
      </c>
      <c r="GB7" s="3">
        <v>0</v>
      </c>
      <c r="GC7" s="3">
        <v>10559000</v>
      </c>
      <c r="GD7" s="3">
        <v>0</v>
      </c>
      <c r="GE7" s="3">
        <v>10559000</v>
      </c>
      <c r="GF7" s="3">
        <v>1293733.69</v>
      </c>
      <c r="GG7" s="3">
        <v>9265266.3100000005</v>
      </c>
      <c r="GH7" s="3">
        <v>0</v>
      </c>
      <c r="GI7" s="3">
        <v>10559000</v>
      </c>
      <c r="GJ7" s="3">
        <v>1293733.69</v>
      </c>
      <c r="GK7" s="3">
        <v>9265266.3100000005</v>
      </c>
      <c r="GL7" s="3">
        <v>0</v>
      </c>
      <c r="GM7" s="3">
        <v>10559000</v>
      </c>
      <c r="GN7" s="3">
        <v>1293733.69</v>
      </c>
      <c r="GO7" s="3">
        <v>9032357.5399999991</v>
      </c>
      <c r="GP7" s="3">
        <v>0</v>
      </c>
      <c r="GQ7" s="3">
        <v>10326091.23</v>
      </c>
      <c r="GR7" s="3">
        <v>1287733.69</v>
      </c>
      <c r="GS7" s="3">
        <v>8179983.2699999996</v>
      </c>
      <c r="GT7" s="3">
        <v>0</v>
      </c>
      <c r="GU7" s="3">
        <v>9467716.9600000009</v>
      </c>
      <c r="GV7" s="3">
        <v>0</v>
      </c>
      <c r="GW7" s="3">
        <v>10749000</v>
      </c>
      <c r="GX7" s="3">
        <v>0</v>
      </c>
      <c r="GY7" s="3">
        <v>10749000</v>
      </c>
      <c r="GZ7" s="3">
        <v>0</v>
      </c>
      <c r="HA7" s="3">
        <v>10749000</v>
      </c>
      <c r="HB7" s="3">
        <v>0</v>
      </c>
      <c r="HC7" s="3">
        <v>10749000</v>
      </c>
      <c r="HD7" s="3">
        <v>0</v>
      </c>
      <c r="HE7" s="3">
        <v>10749000</v>
      </c>
      <c r="HF7" s="3">
        <v>0</v>
      </c>
      <c r="HG7" s="3">
        <v>10749000</v>
      </c>
      <c r="HH7" s="3">
        <v>1388118</v>
      </c>
      <c r="HI7" s="3">
        <v>9360882</v>
      </c>
      <c r="HJ7" s="3">
        <v>0</v>
      </c>
      <c r="HK7" s="3">
        <v>10749000</v>
      </c>
      <c r="HL7" s="3">
        <v>1388118</v>
      </c>
      <c r="HM7" s="3">
        <v>9360882</v>
      </c>
      <c r="HN7" s="3">
        <v>0</v>
      </c>
      <c r="HO7" s="3">
        <v>10749000</v>
      </c>
      <c r="HP7" s="3">
        <v>1388118</v>
      </c>
      <c r="HQ7" s="3">
        <v>8989935.9499999993</v>
      </c>
      <c r="HR7" s="3">
        <v>0</v>
      </c>
      <c r="HS7" s="3">
        <v>10378053.949999999</v>
      </c>
      <c r="HT7" s="3">
        <v>1388118</v>
      </c>
      <c r="HU7" s="3">
        <v>7537497.7199999997</v>
      </c>
      <c r="HV7" s="3">
        <v>0</v>
      </c>
      <c r="HW7" s="3">
        <v>8925615.7200000007</v>
      </c>
      <c r="HX7" s="3">
        <v>0</v>
      </c>
      <c r="HY7" s="3">
        <v>10942000</v>
      </c>
      <c r="HZ7" s="3">
        <v>0</v>
      </c>
      <c r="IA7" s="3">
        <v>10942000</v>
      </c>
      <c r="IB7" s="3">
        <v>0</v>
      </c>
      <c r="IC7" s="3">
        <v>10942000</v>
      </c>
      <c r="ID7" s="3">
        <v>0</v>
      </c>
      <c r="IE7" s="3">
        <v>10942000</v>
      </c>
      <c r="IZ7" s="3">
        <v>0</v>
      </c>
      <c r="JA7" s="3">
        <v>11139000</v>
      </c>
      <c r="JB7" s="3">
        <v>0</v>
      </c>
      <c r="JC7" s="3">
        <v>11139000</v>
      </c>
    </row>
    <row r="8" spans="1:267" x14ac:dyDescent="0.25">
      <c r="A8" t="s">
        <v>847</v>
      </c>
      <c r="B8" t="s">
        <v>848</v>
      </c>
      <c r="C8" t="s">
        <v>199</v>
      </c>
      <c r="D8" t="s">
        <v>200</v>
      </c>
      <c r="E8" t="s">
        <v>217</v>
      </c>
      <c r="F8" t="s">
        <v>222</v>
      </c>
      <c r="G8" t="s">
        <v>881</v>
      </c>
      <c r="H8" s="3">
        <v>0</v>
      </c>
      <c r="I8" s="3">
        <v>100000000</v>
      </c>
      <c r="J8" s="3">
        <v>0</v>
      </c>
      <c r="K8" s="3">
        <v>100000000</v>
      </c>
      <c r="L8" s="3">
        <v>0</v>
      </c>
      <c r="M8" s="3">
        <v>10000000</v>
      </c>
      <c r="N8" s="3">
        <v>0</v>
      </c>
      <c r="O8" s="3">
        <v>10000000</v>
      </c>
      <c r="P8" s="3">
        <v>0</v>
      </c>
      <c r="Q8" s="3">
        <v>10000000</v>
      </c>
      <c r="R8" s="3">
        <v>0</v>
      </c>
      <c r="S8" s="3">
        <v>10000000</v>
      </c>
      <c r="T8" s="3">
        <v>0</v>
      </c>
      <c r="U8" s="3">
        <v>10000000</v>
      </c>
      <c r="V8" s="3">
        <v>0</v>
      </c>
      <c r="W8" s="3">
        <v>10000000</v>
      </c>
      <c r="X8" s="3">
        <v>0</v>
      </c>
      <c r="Y8" s="3">
        <v>0</v>
      </c>
      <c r="Z8" s="3">
        <v>0</v>
      </c>
      <c r="AA8" s="3">
        <v>0</v>
      </c>
      <c r="AB8" s="3">
        <v>0</v>
      </c>
      <c r="AC8" s="3">
        <v>0</v>
      </c>
      <c r="AD8" s="3">
        <v>0</v>
      </c>
      <c r="AE8" s="3">
        <v>0</v>
      </c>
      <c r="AF8" s="3">
        <v>0</v>
      </c>
      <c r="AG8" s="3">
        <v>0</v>
      </c>
      <c r="AH8" s="3">
        <v>0</v>
      </c>
      <c r="AI8" s="3">
        <v>0</v>
      </c>
      <c r="AJ8" s="3">
        <v>0</v>
      </c>
      <c r="AK8" s="3">
        <v>6784000</v>
      </c>
      <c r="AL8" s="3">
        <v>0</v>
      </c>
      <c r="AM8" s="3">
        <v>6784000</v>
      </c>
      <c r="AN8" s="3">
        <v>0</v>
      </c>
      <c r="AO8" s="3">
        <v>6784000</v>
      </c>
      <c r="AP8" s="3">
        <v>0</v>
      </c>
      <c r="AQ8" s="3">
        <v>6784000</v>
      </c>
      <c r="AR8" s="3">
        <v>0</v>
      </c>
      <c r="AS8" s="3">
        <v>6784000</v>
      </c>
      <c r="AT8" s="3">
        <v>0</v>
      </c>
      <c r="AU8" s="3">
        <v>6784000</v>
      </c>
      <c r="AV8" s="3">
        <v>0</v>
      </c>
      <c r="AW8" s="3">
        <v>6784000</v>
      </c>
      <c r="AX8" s="3">
        <v>0</v>
      </c>
      <c r="AY8" s="3">
        <v>6784000</v>
      </c>
      <c r="AZ8" s="3">
        <v>0</v>
      </c>
      <c r="BA8" s="3">
        <v>0</v>
      </c>
      <c r="BB8" s="3">
        <v>0</v>
      </c>
      <c r="BC8" s="3">
        <v>0</v>
      </c>
      <c r="BD8" s="3">
        <v>0</v>
      </c>
      <c r="BE8" s="3">
        <v>0</v>
      </c>
      <c r="BF8" s="3">
        <v>0</v>
      </c>
      <c r="BG8" s="3">
        <v>0</v>
      </c>
      <c r="BH8" s="3">
        <v>0</v>
      </c>
      <c r="BI8" s="3">
        <v>0</v>
      </c>
      <c r="BJ8" s="3">
        <v>0</v>
      </c>
      <c r="BK8" s="3">
        <v>0</v>
      </c>
      <c r="BL8" s="3">
        <v>0</v>
      </c>
      <c r="BM8" s="3">
        <v>6784000</v>
      </c>
      <c r="BN8" s="3">
        <v>0</v>
      </c>
      <c r="BO8" s="3">
        <v>6784000</v>
      </c>
      <c r="BP8" s="3">
        <v>0</v>
      </c>
      <c r="BQ8" s="3">
        <v>468784000</v>
      </c>
      <c r="BR8" s="3">
        <v>0</v>
      </c>
      <c r="BS8" s="3">
        <v>468784000</v>
      </c>
      <c r="BT8" s="3">
        <v>0</v>
      </c>
      <c r="BU8" s="3">
        <v>468784000</v>
      </c>
      <c r="BV8" s="3">
        <v>0</v>
      </c>
      <c r="BW8" s="3">
        <v>468784000</v>
      </c>
      <c r="BX8" s="3">
        <v>0</v>
      </c>
      <c r="BY8" s="3">
        <v>468784000</v>
      </c>
      <c r="BZ8" s="3">
        <v>0</v>
      </c>
      <c r="CA8" s="3">
        <v>468784000</v>
      </c>
      <c r="CB8" s="3">
        <v>0</v>
      </c>
      <c r="CC8" s="3">
        <v>0</v>
      </c>
      <c r="CD8" s="3">
        <v>0</v>
      </c>
      <c r="CE8" s="3">
        <v>0</v>
      </c>
      <c r="CF8" s="3">
        <v>0</v>
      </c>
      <c r="CG8" s="3">
        <v>0</v>
      </c>
      <c r="CH8" s="3">
        <v>0</v>
      </c>
      <c r="CI8" s="3">
        <v>0</v>
      </c>
      <c r="CJ8" s="3">
        <v>0</v>
      </c>
      <c r="CK8" s="3">
        <v>0</v>
      </c>
      <c r="CL8" s="3">
        <v>0</v>
      </c>
      <c r="CM8" s="3">
        <v>0</v>
      </c>
      <c r="CN8" s="3">
        <v>0</v>
      </c>
      <c r="CO8" s="3">
        <v>6784000</v>
      </c>
      <c r="CP8" s="3">
        <v>0</v>
      </c>
      <c r="CQ8" s="3">
        <v>6784000</v>
      </c>
      <c r="CR8" s="3">
        <v>0</v>
      </c>
      <c r="CS8" s="3">
        <v>6784000</v>
      </c>
      <c r="CT8" s="3">
        <v>0</v>
      </c>
      <c r="CU8" s="3">
        <v>6784000</v>
      </c>
      <c r="CV8" s="3">
        <v>0</v>
      </c>
      <c r="CW8" s="3">
        <v>6784000</v>
      </c>
      <c r="CX8" s="3">
        <v>0</v>
      </c>
      <c r="CY8" s="3">
        <v>6784000</v>
      </c>
      <c r="CZ8" s="3">
        <v>0</v>
      </c>
      <c r="DA8" s="3">
        <v>0</v>
      </c>
      <c r="DB8" s="3">
        <v>0</v>
      </c>
      <c r="DC8" s="3">
        <v>0</v>
      </c>
      <c r="DD8" s="3">
        <v>0</v>
      </c>
      <c r="DE8" s="3">
        <v>0</v>
      </c>
      <c r="DF8" s="3">
        <v>0</v>
      </c>
      <c r="DG8" s="3">
        <v>0</v>
      </c>
      <c r="DH8" s="3">
        <v>0</v>
      </c>
      <c r="DI8" s="3">
        <v>0</v>
      </c>
      <c r="DJ8" s="3">
        <v>0</v>
      </c>
      <c r="DK8" s="3">
        <v>0</v>
      </c>
      <c r="DL8" s="3">
        <v>0</v>
      </c>
      <c r="DM8" s="3">
        <v>0</v>
      </c>
      <c r="DN8" s="3">
        <v>0</v>
      </c>
      <c r="DO8" s="3">
        <v>0</v>
      </c>
      <c r="DP8" s="3">
        <v>0</v>
      </c>
      <c r="DQ8" s="3">
        <v>6784000</v>
      </c>
      <c r="DR8" s="3">
        <v>0</v>
      </c>
      <c r="DS8" s="3">
        <v>6784000</v>
      </c>
      <c r="DT8" s="3">
        <v>0</v>
      </c>
      <c r="DU8" s="3">
        <v>5427000</v>
      </c>
      <c r="DV8" s="3">
        <v>0</v>
      </c>
      <c r="DW8" s="3">
        <v>5427000</v>
      </c>
      <c r="DX8" s="3">
        <v>0</v>
      </c>
      <c r="DY8" s="3">
        <v>5427000</v>
      </c>
      <c r="DZ8" s="3">
        <v>0</v>
      </c>
      <c r="EA8" s="3">
        <v>5427000</v>
      </c>
      <c r="EB8" s="3">
        <v>0</v>
      </c>
      <c r="EC8" s="3">
        <v>0</v>
      </c>
      <c r="ED8" s="3">
        <v>0</v>
      </c>
      <c r="EE8" s="3">
        <v>0</v>
      </c>
      <c r="EF8" s="3">
        <v>0</v>
      </c>
      <c r="EG8" s="3">
        <v>0</v>
      </c>
      <c r="EH8" s="3">
        <v>0</v>
      </c>
      <c r="EI8" s="3">
        <v>0</v>
      </c>
      <c r="EJ8" s="3">
        <v>0</v>
      </c>
      <c r="EK8" s="3">
        <v>0</v>
      </c>
      <c r="EL8" s="3">
        <v>0</v>
      </c>
      <c r="EM8" s="3">
        <v>0</v>
      </c>
      <c r="EN8" s="3">
        <v>0</v>
      </c>
      <c r="EO8" s="3">
        <v>0</v>
      </c>
      <c r="EP8" s="3">
        <v>0</v>
      </c>
      <c r="EQ8" s="3">
        <v>0</v>
      </c>
      <c r="ER8" s="3">
        <v>0</v>
      </c>
      <c r="ES8" s="3">
        <v>6784000</v>
      </c>
      <c r="ET8" s="3">
        <v>0</v>
      </c>
      <c r="EU8" s="3">
        <v>6784000</v>
      </c>
      <c r="EV8" s="3">
        <v>0</v>
      </c>
      <c r="EW8" s="3">
        <v>6784000</v>
      </c>
      <c r="EX8" s="3">
        <v>0</v>
      </c>
      <c r="EY8" s="3">
        <v>6784000</v>
      </c>
      <c r="EZ8" s="3">
        <v>0</v>
      </c>
      <c r="FA8" s="3">
        <v>6784000</v>
      </c>
      <c r="FB8" s="3">
        <v>0</v>
      </c>
      <c r="FC8" s="3">
        <v>6784000</v>
      </c>
      <c r="FD8" s="3">
        <v>0</v>
      </c>
      <c r="FE8" s="3">
        <v>0</v>
      </c>
      <c r="FF8" s="3">
        <v>0</v>
      </c>
      <c r="FG8" s="3">
        <v>0</v>
      </c>
      <c r="FH8" s="3">
        <v>0</v>
      </c>
      <c r="FI8" s="3">
        <v>0</v>
      </c>
      <c r="FJ8" s="3">
        <v>0</v>
      </c>
      <c r="FK8" s="3">
        <v>0</v>
      </c>
      <c r="FL8" s="3">
        <v>0</v>
      </c>
      <c r="FM8" s="3">
        <v>0</v>
      </c>
      <c r="FN8" s="3">
        <v>0</v>
      </c>
      <c r="FO8" s="3">
        <v>0</v>
      </c>
      <c r="FP8" s="3">
        <v>0</v>
      </c>
      <c r="FQ8" s="3">
        <v>0</v>
      </c>
      <c r="FR8" s="3">
        <v>0</v>
      </c>
      <c r="FS8" s="3">
        <v>0</v>
      </c>
      <c r="FT8" s="3">
        <v>0</v>
      </c>
      <c r="FU8" s="3">
        <v>6784000</v>
      </c>
      <c r="FV8" s="3">
        <v>0</v>
      </c>
      <c r="FW8" s="3">
        <v>6784000</v>
      </c>
      <c r="FX8" s="3">
        <v>0</v>
      </c>
      <c r="FY8" s="3">
        <v>6784000</v>
      </c>
      <c r="FZ8" s="3">
        <v>0</v>
      </c>
      <c r="GA8" s="3">
        <v>6784000</v>
      </c>
      <c r="GB8" s="3">
        <v>0</v>
      </c>
      <c r="GC8" s="3">
        <v>6784000</v>
      </c>
      <c r="GD8" s="3">
        <v>0</v>
      </c>
      <c r="GE8" s="3">
        <v>6784000</v>
      </c>
      <c r="GF8" s="3">
        <v>0</v>
      </c>
      <c r="GG8" s="3">
        <v>0</v>
      </c>
      <c r="GH8" s="3">
        <v>0</v>
      </c>
      <c r="GI8" s="3">
        <v>0</v>
      </c>
      <c r="GJ8" s="3">
        <v>0</v>
      </c>
      <c r="GK8" s="3">
        <v>0</v>
      </c>
      <c r="GL8" s="3">
        <v>0</v>
      </c>
      <c r="GM8" s="3">
        <v>0</v>
      </c>
      <c r="GN8" s="3">
        <v>0</v>
      </c>
      <c r="GO8" s="3">
        <v>0</v>
      </c>
      <c r="GP8" s="3">
        <v>0</v>
      </c>
      <c r="GQ8" s="3">
        <v>0</v>
      </c>
      <c r="GR8" s="3">
        <v>0</v>
      </c>
      <c r="GS8" s="3">
        <v>0</v>
      </c>
      <c r="GT8" s="3">
        <v>0</v>
      </c>
      <c r="GU8" s="3">
        <v>0</v>
      </c>
      <c r="GV8" s="3">
        <v>0</v>
      </c>
      <c r="GW8" s="3">
        <v>6784000</v>
      </c>
      <c r="GX8" s="3">
        <v>0</v>
      </c>
      <c r="GY8" s="3">
        <v>6784000</v>
      </c>
      <c r="GZ8" s="3">
        <v>0</v>
      </c>
      <c r="HA8" s="3">
        <v>6784000</v>
      </c>
      <c r="HB8" s="3">
        <v>0</v>
      </c>
      <c r="HC8" s="3">
        <v>6784000</v>
      </c>
      <c r="HD8" s="3">
        <v>0</v>
      </c>
      <c r="HE8" s="3">
        <v>6784000</v>
      </c>
      <c r="HF8" s="3">
        <v>0</v>
      </c>
      <c r="HG8" s="3">
        <v>6784000</v>
      </c>
      <c r="HH8" s="3">
        <v>0</v>
      </c>
      <c r="HI8" s="3">
        <v>0</v>
      </c>
      <c r="HJ8" s="3">
        <v>0</v>
      </c>
      <c r="HK8" s="3">
        <v>0</v>
      </c>
      <c r="HL8" s="3">
        <v>0</v>
      </c>
      <c r="HM8" s="3">
        <v>0</v>
      </c>
      <c r="HN8" s="3">
        <v>0</v>
      </c>
      <c r="HO8" s="3">
        <v>0</v>
      </c>
      <c r="HP8" s="3">
        <v>0</v>
      </c>
      <c r="HQ8" s="3">
        <v>0</v>
      </c>
      <c r="HR8" s="3">
        <v>0</v>
      </c>
      <c r="HS8" s="3">
        <v>0</v>
      </c>
      <c r="HT8" s="3">
        <v>0</v>
      </c>
      <c r="HU8" s="3">
        <v>0</v>
      </c>
      <c r="HV8" s="3">
        <v>0</v>
      </c>
      <c r="HW8" s="3">
        <v>0</v>
      </c>
      <c r="HX8" s="3">
        <v>0</v>
      </c>
      <c r="HY8" s="3">
        <v>100000000</v>
      </c>
      <c r="HZ8" s="3">
        <v>0</v>
      </c>
      <c r="IA8" s="3">
        <v>100000000</v>
      </c>
      <c r="IB8" s="3">
        <v>0</v>
      </c>
      <c r="IC8" s="3">
        <v>500000000</v>
      </c>
      <c r="ID8" s="3">
        <v>0</v>
      </c>
      <c r="IE8" s="3">
        <v>500000000</v>
      </c>
      <c r="IZ8" s="3">
        <v>0</v>
      </c>
      <c r="JA8" s="3">
        <v>100000000</v>
      </c>
      <c r="JB8" s="3">
        <v>0</v>
      </c>
      <c r="JC8" s="3">
        <v>100000000</v>
      </c>
    </row>
    <row r="9" spans="1:267" x14ac:dyDescent="0.25">
      <c r="A9" t="s">
        <v>847</v>
      </c>
      <c r="B9" t="s">
        <v>848</v>
      </c>
      <c r="C9" t="s">
        <v>199</v>
      </c>
      <c r="D9" t="s">
        <v>200</v>
      </c>
      <c r="E9" t="s">
        <v>217</v>
      </c>
      <c r="F9" t="s">
        <v>516</v>
      </c>
      <c r="G9" t="s">
        <v>863</v>
      </c>
      <c r="H9" s="3">
        <v>354000</v>
      </c>
      <c r="I9" s="3">
        <v>371195000</v>
      </c>
      <c r="J9" s="3">
        <v>0</v>
      </c>
      <c r="K9" s="3">
        <v>371549000</v>
      </c>
      <c r="L9" s="3">
        <v>354000</v>
      </c>
      <c r="M9" s="3">
        <v>140195000</v>
      </c>
      <c r="N9" s="3">
        <v>0</v>
      </c>
      <c r="O9" s="3">
        <v>140549000</v>
      </c>
      <c r="P9" s="3">
        <v>354000</v>
      </c>
      <c r="Q9" s="3">
        <v>140195000</v>
      </c>
      <c r="R9" s="3">
        <v>0</v>
      </c>
      <c r="S9" s="3">
        <v>140549000</v>
      </c>
      <c r="T9" s="3">
        <v>3489753.4</v>
      </c>
      <c r="U9" s="3">
        <v>137059246.59999999</v>
      </c>
      <c r="V9" s="3">
        <v>0</v>
      </c>
      <c r="W9" s="3">
        <v>140549000</v>
      </c>
      <c r="X9" s="3">
        <v>3489753.4</v>
      </c>
      <c r="Y9" s="3">
        <v>137059246.59999999</v>
      </c>
      <c r="Z9" s="3">
        <v>0</v>
      </c>
      <c r="AA9" s="3">
        <v>140549000</v>
      </c>
      <c r="AB9" s="3">
        <v>3464753.4</v>
      </c>
      <c r="AC9" s="3">
        <v>128150096.73999999</v>
      </c>
      <c r="AD9" s="3">
        <v>0</v>
      </c>
      <c r="AE9" s="3">
        <v>131614850.14</v>
      </c>
      <c r="AF9" s="3">
        <v>3163113.4</v>
      </c>
      <c r="AG9" s="3">
        <v>103848472.78</v>
      </c>
      <c r="AH9" s="3">
        <v>0</v>
      </c>
      <c r="AI9" s="3">
        <v>107011586.18000001</v>
      </c>
      <c r="AJ9" s="3">
        <v>367000</v>
      </c>
      <c r="AK9" s="3">
        <v>95108000</v>
      </c>
      <c r="AL9" s="3">
        <v>0</v>
      </c>
      <c r="AM9" s="3">
        <v>95475000</v>
      </c>
      <c r="AN9" s="3">
        <v>367000</v>
      </c>
      <c r="AO9" s="3">
        <v>95108000</v>
      </c>
      <c r="AP9" s="3">
        <v>0</v>
      </c>
      <c r="AQ9" s="3">
        <v>95475000</v>
      </c>
      <c r="AR9" s="3">
        <v>367000</v>
      </c>
      <c r="AS9" s="3">
        <v>95108000</v>
      </c>
      <c r="AT9" s="3">
        <v>0</v>
      </c>
      <c r="AU9" s="3">
        <v>95475000</v>
      </c>
      <c r="AV9" s="3">
        <v>1960274</v>
      </c>
      <c r="AW9" s="3">
        <v>93514726</v>
      </c>
      <c r="AX9" s="3">
        <v>0</v>
      </c>
      <c r="AY9" s="3">
        <v>95475000</v>
      </c>
      <c r="AZ9" s="3">
        <v>1960274</v>
      </c>
      <c r="BA9" s="3">
        <v>93514726</v>
      </c>
      <c r="BB9" s="3">
        <v>0</v>
      </c>
      <c r="BC9" s="3">
        <v>95475000</v>
      </c>
      <c r="BD9" s="3">
        <v>1906067</v>
      </c>
      <c r="BE9" s="3">
        <v>88947176.969999999</v>
      </c>
      <c r="BF9" s="3">
        <v>0</v>
      </c>
      <c r="BG9" s="3">
        <v>90853243.969999999</v>
      </c>
      <c r="BH9" s="3">
        <v>1887067</v>
      </c>
      <c r="BI9" s="3">
        <v>70585441.549999997</v>
      </c>
      <c r="BJ9" s="3">
        <v>0</v>
      </c>
      <c r="BK9" s="3">
        <v>72472508.549999997</v>
      </c>
      <c r="BL9" s="3">
        <v>0</v>
      </c>
      <c r="BM9" s="3">
        <v>95108000</v>
      </c>
      <c r="BN9" s="3">
        <v>0</v>
      </c>
      <c r="BO9" s="3">
        <v>95108000</v>
      </c>
      <c r="BP9" s="3">
        <v>0</v>
      </c>
      <c r="BQ9" s="3">
        <v>95108000</v>
      </c>
      <c r="BR9" s="3">
        <v>0</v>
      </c>
      <c r="BS9" s="3">
        <v>95108000</v>
      </c>
      <c r="BT9" s="3">
        <v>0</v>
      </c>
      <c r="BU9" s="3">
        <v>95108000</v>
      </c>
      <c r="BV9" s="3">
        <v>0</v>
      </c>
      <c r="BW9" s="3">
        <v>95108000</v>
      </c>
      <c r="BX9" s="3">
        <v>7361115.7800000003</v>
      </c>
      <c r="BY9" s="3">
        <v>76684296.219999999</v>
      </c>
      <c r="BZ9" s="3">
        <v>0</v>
      </c>
      <c r="CA9" s="3">
        <v>84045412</v>
      </c>
      <c r="CB9" s="3">
        <v>7361115.7800000003</v>
      </c>
      <c r="CC9" s="3">
        <v>76684296.219999999</v>
      </c>
      <c r="CD9" s="3">
        <v>0</v>
      </c>
      <c r="CE9" s="3">
        <v>84045412</v>
      </c>
      <c r="CF9" s="3">
        <v>7330491.1100000003</v>
      </c>
      <c r="CG9" s="3">
        <v>70645687.189999998</v>
      </c>
      <c r="CH9" s="3">
        <v>0</v>
      </c>
      <c r="CI9" s="3">
        <v>77976178.299999997</v>
      </c>
      <c r="CJ9" s="3">
        <v>4208205.1100000003</v>
      </c>
      <c r="CK9" s="3">
        <v>50361965.590000004</v>
      </c>
      <c r="CL9" s="3">
        <v>0</v>
      </c>
      <c r="CM9" s="3">
        <v>54570170.700000003</v>
      </c>
      <c r="CN9" s="3">
        <v>0</v>
      </c>
      <c r="CO9" s="3">
        <v>77262000</v>
      </c>
      <c r="CP9" s="3">
        <v>0</v>
      </c>
      <c r="CQ9" s="3">
        <v>77262000</v>
      </c>
      <c r="CR9" s="3">
        <v>0</v>
      </c>
      <c r="CS9" s="3">
        <v>77262000</v>
      </c>
      <c r="CT9" s="3">
        <v>0</v>
      </c>
      <c r="CU9" s="3">
        <v>77262000</v>
      </c>
      <c r="CV9" s="3">
        <v>0</v>
      </c>
      <c r="CW9" s="3">
        <v>77262000</v>
      </c>
      <c r="CX9" s="3">
        <v>0</v>
      </c>
      <c r="CY9" s="3">
        <v>77262000</v>
      </c>
      <c r="CZ9" s="3">
        <v>6398023.0499999998</v>
      </c>
      <c r="DA9" s="3">
        <v>70863976.950000003</v>
      </c>
      <c r="DB9" s="3">
        <v>0</v>
      </c>
      <c r="DC9" s="3">
        <v>77262000</v>
      </c>
      <c r="DD9" s="3">
        <v>6398023.0499999998</v>
      </c>
      <c r="DE9" s="3">
        <v>70863976.950000003</v>
      </c>
      <c r="DF9" s="3">
        <v>0</v>
      </c>
      <c r="DG9" s="3">
        <v>77262000</v>
      </c>
      <c r="DH9" s="3">
        <v>6398023.0499999998</v>
      </c>
      <c r="DI9" s="3">
        <v>60045099.009999998</v>
      </c>
      <c r="DJ9" s="3">
        <v>0</v>
      </c>
      <c r="DK9" s="3">
        <v>66443122.060000002</v>
      </c>
      <c r="DL9" s="3">
        <v>6398023.0499999998</v>
      </c>
      <c r="DM9" s="3">
        <v>53110686.200000003</v>
      </c>
      <c r="DN9" s="3">
        <v>0</v>
      </c>
      <c r="DO9" s="3">
        <v>59508709.25</v>
      </c>
      <c r="DP9" s="3">
        <v>0</v>
      </c>
      <c r="DQ9" s="3">
        <v>65121000</v>
      </c>
      <c r="DR9" s="3">
        <v>0</v>
      </c>
      <c r="DS9" s="3">
        <v>65121000</v>
      </c>
      <c r="DT9" s="3">
        <v>0</v>
      </c>
      <c r="DU9" s="3">
        <v>52093000</v>
      </c>
      <c r="DV9" s="3">
        <v>0</v>
      </c>
      <c r="DW9" s="3">
        <v>52093000</v>
      </c>
      <c r="DX9" s="3">
        <v>0</v>
      </c>
      <c r="DY9" s="3">
        <v>52093000</v>
      </c>
      <c r="DZ9" s="3">
        <v>0</v>
      </c>
      <c r="EA9" s="3">
        <v>52093000</v>
      </c>
      <c r="EB9" s="3">
        <v>7194924.5</v>
      </c>
      <c r="EC9" s="3">
        <v>44898075.5</v>
      </c>
      <c r="ED9" s="3">
        <v>0</v>
      </c>
      <c r="EE9" s="3">
        <v>52093000</v>
      </c>
      <c r="EF9" s="3">
        <v>7194924.5</v>
      </c>
      <c r="EG9" s="3">
        <v>44898075.5</v>
      </c>
      <c r="EH9" s="3">
        <v>0</v>
      </c>
      <c r="EI9" s="3">
        <v>52093000</v>
      </c>
      <c r="EJ9" s="3">
        <v>7194924.2300000004</v>
      </c>
      <c r="EK9" s="3">
        <v>40576506.619999997</v>
      </c>
      <c r="EL9" s="3">
        <v>0</v>
      </c>
      <c r="EM9" s="3">
        <v>47771430.850000001</v>
      </c>
      <c r="EN9" s="3">
        <v>7194924.2300000004</v>
      </c>
      <c r="EO9" s="3">
        <v>35249694.149999999</v>
      </c>
      <c r="EP9" s="3">
        <v>0</v>
      </c>
      <c r="EQ9" s="3">
        <v>42444618.380000003</v>
      </c>
      <c r="ER9" s="3">
        <v>0</v>
      </c>
      <c r="ES9" s="3">
        <v>65121000</v>
      </c>
      <c r="ET9" s="3">
        <v>0</v>
      </c>
      <c r="EU9" s="3">
        <v>65121000</v>
      </c>
      <c r="EV9" s="3">
        <v>0</v>
      </c>
      <c r="EW9" s="3">
        <v>65121000</v>
      </c>
      <c r="EX9" s="3">
        <v>0</v>
      </c>
      <c r="EY9" s="3">
        <v>65121000</v>
      </c>
      <c r="EZ9" s="3">
        <v>0</v>
      </c>
      <c r="FA9" s="3">
        <v>65121000</v>
      </c>
      <c r="FB9" s="3">
        <v>0</v>
      </c>
      <c r="FC9" s="3">
        <v>65121000</v>
      </c>
      <c r="FD9" s="3">
        <v>8879582.8200000003</v>
      </c>
      <c r="FE9" s="3">
        <v>56241417.18</v>
      </c>
      <c r="FF9" s="3">
        <v>0</v>
      </c>
      <c r="FG9" s="3">
        <v>65121000</v>
      </c>
      <c r="FH9" s="3">
        <v>8879582.8200000003</v>
      </c>
      <c r="FI9" s="3">
        <v>56241417.18</v>
      </c>
      <c r="FJ9" s="3">
        <v>0</v>
      </c>
      <c r="FK9" s="3">
        <v>65121000</v>
      </c>
      <c r="FL9" s="3">
        <v>8879582.8200000003</v>
      </c>
      <c r="FM9" s="3">
        <v>44759475.68</v>
      </c>
      <c r="FN9" s="3">
        <v>0</v>
      </c>
      <c r="FO9" s="3">
        <v>53639058.5</v>
      </c>
      <c r="FP9" s="3">
        <v>8879582.8200000003</v>
      </c>
      <c r="FQ9" s="3">
        <v>40496235.579999998</v>
      </c>
      <c r="FR9" s="3">
        <v>0</v>
      </c>
      <c r="FS9" s="3">
        <v>49375818.399999999</v>
      </c>
      <c r="FT9" s="3">
        <v>0</v>
      </c>
      <c r="FU9" s="3">
        <v>59909000</v>
      </c>
      <c r="FV9" s="3">
        <v>0</v>
      </c>
      <c r="FW9" s="3">
        <v>59909000</v>
      </c>
      <c r="FX9" s="3">
        <v>0</v>
      </c>
      <c r="FY9" s="3">
        <v>59909000</v>
      </c>
      <c r="FZ9" s="3">
        <v>0</v>
      </c>
      <c r="GA9" s="3">
        <v>59909000</v>
      </c>
      <c r="GB9" s="3">
        <v>0</v>
      </c>
      <c r="GC9" s="3">
        <v>59909000</v>
      </c>
      <c r="GD9" s="3">
        <v>0</v>
      </c>
      <c r="GE9" s="3">
        <v>59909000</v>
      </c>
      <c r="GF9" s="3">
        <v>8039521.9800000004</v>
      </c>
      <c r="GG9" s="3">
        <v>51869478.020000003</v>
      </c>
      <c r="GH9" s="3">
        <v>0</v>
      </c>
      <c r="GI9" s="3">
        <v>59909000</v>
      </c>
      <c r="GJ9" s="3">
        <v>8039521.9800000004</v>
      </c>
      <c r="GK9" s="3">
        <v>51869478.020000003</v>
      </c>
      <c r="GL9" s="3">
        <v>0</v>
      </c>
      <c r="GM9" s="3">
        <v>59909000</v>
      </c>
      <c r="GN9" s="3">
        <v>8039521.9800000004</v>
      </c>
      <c r="GO9" s="3">
        <v>44607665.259999998</v>
      </c>
      <c r="GP9" s="3">
        <v>0</v>
      </c>
      <c r="GQ9" s="3">
        <v>52647187.240000002</v>
      </c>
      <c r="GR9" s="3">
        <v>7673285.9000000004</v>
      </c>
      <c r="GS9" s="3">
        <v>38164919.740000002</v>
      </c>
      <c r="GT9" s="3">
        <v>0</v>
      </c>
      <c r="GU9" s="3">
        <v>45838205.640000001</v>
      </c>
      <c r="GV9" s="3">
        <v>0</v>
      </c>
      <c r="GW9" s="3">
        <v>60987000</v>
      </c>
      <c r="GX9" s="3">
        <v>0</v>
      </c>
      <c r="GY9" s="3">
        <v>60987000</v>
      </c>
      <c r="GZ9" s="3">
        <v>0</v>
      </c>
      <c r="HA9" s="3">
        <v>60987000</v>
      </c>
      <c r="HB9" s="3">
        <v>0</v>
      </c>
      <c r="HC9" s="3">
        <v>60987000</v>
      </c>
      <c r="HD9" s="3">
        <v>0</v>
      </c>
      <c r="HE9" s="3">
        <v>60987000</v>
      </c>
      <c r="HF9" s="3">
        <v>0</v>
      </c>
      <c r="HG9" s="3">
        <v>60987000</v>
      </c>
      <c r="HH9" s="3">
        <v>8457468.5299999993</v>
      </c>
      <c r="HI9" s="3">
        <v>52529531.469999999</v>
      </c>
      <c r="HJ9" s="3">
        <v>0</v>
      </c>
      <c r="HK9" s="3">
        <v>60987000</v>
      </c>
      <c r="HL9" s="3">
        <v>8457468.5299999993</v>
      </c>
      <c r="HM9" s="3">
        <v>52529531.469999999</v>
      </c>
      <c r="HN9" s="3">
        <v>0</v>
      </c>
      <c r="HO9" s="3">
        <v>60987000</v>
      </c>
      <c r="HP9" s="3">
        <v>8457468.5299999993</v>
      </c>
      <c r="HQ9" s="3">
        <v>46578070.210000001</v>
      </c>
      <c r="HR9" s="3">
        <v>0</v>
      </c>
      <c r="HS9" s="3">
        <v>55035538.740000002</v>
      </c>
      <c r="HT9" s="3">
        <v>8452468.5299999993</v>
      </c>
      <c r="HU9" s="3">
        <v>40622041.990000002</v>
      </c>
      <c r="HV9" s="3">
        <v>0</v>
      </c>
      <c r="HW9" s="3">
        <v>49074510.520000003</v>
      </c>
      <c r="HX9" s="3">
        <v>0</v>
      </c>
      <c r="HY9" s="3">
        <v>17085000</v>
      </c>
      <c r="HZ9" s="3">
        <v>0</v>
      </c>
      <c r="IA9" s="3">
        <v>17085000</v>
      </c>
      <c r="IB9" s="3">
        <v>0</v>
      </c>
      <c r="IC9" s="3">
        <v>17085000</v>
      </c>
      <c r="ID9" s="3">
        <v>0</v>
      </c>
      <c r="IE9" s="3">
        <v>17085000</v>
      </c>
      <c r="IZ9" s="3">
        <v>0</v>
      </c>
      <c r="JA9" s="3">
        <v>15912000</v>
      </c>
      <c r="JB9" s="3">
        <v>0</v>
      </c>
      <c r="JC9" s="3">
        <v>15912000</v>
      </c>
    </row>
    <row r="10" spans="1:267" x14ac:dyDescent="0.25">
      <c r="A10" t="s">
        <v>847</v>
      </c>
      <c r="B10" t="s">
        <v>848</v>
      </c>
      <c r="C10" t="s">
        <v>199</v>
      </c>
      <c r="D10" t="s">
        <v>200</v>
      </c>
      <c r="E10" t="s">
        <v>217</v>
      </c>
      <c r="F10" t="s">
        <v>517</v>
      </c>
      <c r="G10" t="s">
        <v>864</v>
      </c>
      <c r="H10" s="3">
        <v>61537000</v>
      </c>
      <c r="I10" s="3">
        <v>85312000</v>
      </c>
      <c r="J10" s="3">
        <v>0</v>
      </c>
      <c r="K10" s="3">
        <v>146849000</v>
      </c>
      <c r="L10" s="3">
        <v>61537000</v>
      </c>
      <c r="M10" s="3">
        <v>29132000</v>
      </c>
      <c r="N10" s="3">
        <v>0</v>
      </c>
      <c r="O10" s="3">
        <v>90669000</v>
      </c>
      <c r="P10" s="3">
        <v>61537000</v>
      </c>
      <c r="Q10" s="3">
        <v>29132000</v>
      </c>
      <c r="R10" s="3">
        <v>0</v>
      </c>
      <c r="S10" s="3">
        <v>90669000</v>
      </c>
      <c r="T10" s="3">
        <v>61537000</v>
      </c>
      <c r="U10" s="3">
        <v>29132000</v>
      </c>
      <c r="V10" s="3">
        <v>0</v>
      </c>
      <c r="W10" s="3">
        <v>90669000</v>
      </c>
      <c r="X10" s="3">
        <v>61537000</v>
      </c>
      <c r="Y10" s="3">
        <v>29132000</v>
      </c>
      <c r="Z10" s="3">
        <v>0</v>
      </c>
      <c r="AA10" s="3">
        <v>90669000</v>
      </c>
      <c r="AB10" s="3">
        <v>61529838.359999999</v>
      </c>
      <c r="AC10" s="3">
        <v>27581062.719999999</v>
      </c>
      <c r="AD10" s="3">
        <v>0</v>
      </c>
      <c r="AE10" s="3">
        <v>89110901.079999998</v>
      </c>
      <c r="AF10" s="3">
        <v>60623680.600000001</v>
      </c>
      <c r="AG10" s="3">
        <v>15559673.960000001</v>
      </c>
      <c r="AH10" s="3">
        <v>0</v>
      </c>
      <c r="AI10" s="3">
        <v>76183354.560000002</v>
      </c>
      <c r="AJ10" s="3">
        <v>64745000</v>
      </c>
      <c r="AK10" s="3">
        <v>91208000</v>
      </c>
      <c r="AL10" s="3">
        <v>0</v>
      </c>
      <c r="AM10" s="3">
        <v>155953000</v>
      </c>
      <c r="AN10" s="3">
        <v>64745000</v>
      </c>
      <c r="AO10" s="3">
        <v>91208000</v>
      </c>
      <c r="AP10" s="3">
        <v>0</v>
      </c>
      <c r="AQ10" s="3">
        <v>155953000</v>
      </c>
      <c r="AR10" s="3">
        <v>64745000</v>
      </c>
      <c r="AS10" s="3">
        <v>91208000</v>
      </c>
      <c r="AT10" s="3">
        <v>0</v>
      </c>
      <c r="AU10" s="3">
        <v>155953000</v>
      </c>
      <c r="AV10" s="3">
        <v>65945000</v>
      </c>
      <c r="AW10" s="3">
        <v>90008000</v>
      </c>
      <c r="AX10" s="3">
        <v>0</v>
      </c>
      <c r="AY10" s="3">
        <v>155953000</v>
      </c>
      <c r="AZ10" s="3">
        <v>65945000</v>
      </c>
      <c r="BA10" s="3">
        <v>90008000</v>
      </c>
      <c r="BB10" s="3">
        <v>0</v>
      </c>
      <c r="BC10" s="3">
        <v>155953000</v>
      </c>
      <c r="BD10" s="3">
        <v>65945000</v>
      </c>
      <c r="BE10" s="3">
        <v>75521980.120000005</v>
      </c>
      <c r="BF10" s="3">
        <v>0</v>
      </c>
      <c r="BG10" s="3">
        <v>141466980.12</v>
      </c>
      <c r="BH10" s="3">
        <v>65867204.390000001</v>
      </c>
      <c r="BI10" s="3">
        <v>57321657.18</v>
      </c>
      <c r="BJ10" s="3">
        <v>0</v>
      </c>
      <c r="BK10" s="3">
        <v>123188861.56999999</v>
      </c>
      <c r="BL10" s="3">
        <v>48357000</v>
      </c>
      <c r="BM10" s="3">
        <v>59135000</v>
      </c>
      <c r="BN10" s="3">
        <v>0</v>
      </c>
      <c r="BO10" s="3">
        <v>107492000</v>
      </c>
      <c r="BP10" s="3">
        <v>48357000</v>
      </c>
      <c r="BQ10" s="3">
        <v>59135000</v>
      </c>
      <c r="BR10" s="3">
        <v>0</v>
      </c>
      <c r="BS10" s="3">
        <v>107492000</v>
      </c>
      <c r="BT10" s="3">
        <v>48357000</v>
      </c>
      <c r="BU10" s="3">
        <v>59135000</v>
      </c>
      <c r="BV10" s="3">
        <v>0</v>
      </c>
      <c r="BW10" s="3">
        <v>107492000</v>
      </c>
      <c r="BX10" s="3">
        <v>52077441</v>
      </c>
      <c r="BY10" s="3">
        <v>48634312</v>
      </c>
      <c r="BZ10" s="3">
        <v>0</v>
      </c>
      <c r="CA10" s="3">
        <v>100711753</v>
      </c>
      <c r="CB10" s="3">
        <v>52077441</v>
      </c>
      <c r="CC10" s="3">
        <v>48634312</v>
      </c>
      <c r="CD10" s="3">
        <v>0</v>
      </c>
      <c r="CE10" s="3">
        <v>100711753</v>
      </c>
      <c r="CF10" s="3">
        <v>52063764.659999996</v>
      </c>
      <c r="CG10" s="3">
        <v>32830934.850000001</v>
      </c>
      <c r="CH10" s="3">
        <v>0</v>
      </c>
      <c r="CI10" s="3">
        <v>84894699.510000005</v>
      </c>
      <c r="CJ10" s="3">
        <v>50552805.109999999</v>
      </c>
      <c r="CK10" s="3">
        <v>20133076.539999999</v>
      </c>
      <c r="CL10" s="3">
        <v>0</v>
      </c>
      <c r="CM10" s="3">
        <v>70685881.650000006</v>
      </c>
      <c r="CN10" s="3">
        <v>55460000</v>
      </c>
      <c r="CO10" s="3">
        <v>80869000</v>
      </c>
      <c r="CP10" s="3">
        <v>0</v>
      </c>
      <c r="CQ10" s="3">
        <v>136329000</v>
      </c>
      <c r="CR10" s="3">
        <v>55460000</v>
      </c>
      <c r="CS10" s="3">
        <v>80869000</v>
      </c>
      <c r="CT10" s="3">
        <v>0</v>
      </c>
      <c r="CU10" s="3">
        <v>136329000</v>
      </c>
      <c r="CV10" s="3">
        <v>55460000</v>
      </c>
      <c r="CW10" s="3">
        <v>80869000</v>
      </c>
      <c r="CX10" s="3">
        <v>0</v>
      </c>
      <c r="CY10" s="3">
        <v>136329000</v>
      </c>
      <c r="CZ10" s="3">
        <v>56732566.100000001</v>
      </c>
      <c r="DA10" s="3">
        <v>79596433.900000006</v>
      </c>
      <c r="DB10" s="3">
        <v>0</v>
      </c>
      <c r="DC10" s="3">
        <v>136329000</v>
      </c>
      <c r="DD10" s="3">
        <v>56732566.100000001</v>
      </c>
      <c r="DE10" s="3">
        <v>79596433.900000006</v>
      </c>
      <c r="DF10" s="3">
        <v>0</v>
      </c>
      <c r="DG10" s="3">
        <v>136329000</v>
      </c>
      <c r="DH10" s="3">
        <v>56731610.189999998</v>
      </c>
      <c r="DI10" s="3">
        <v>56427828.939999998</v>
      </c>
      <c r="DJ10" s="3">
        <v>0</v>
      </c>
      <c r="DK10" s="3">
        <v>113159439.13</v>
      </c>
      <c r="DL10" s="3">
        <v>56322083.259999998</v>
      </c>
      <c r="DM10" s="3">
        <v>47459596.549999997</v>
      </c>
      <c r="DN10" s="3">
        <v>0</v>
      </c>
      <c r="DO10" s="3">
        <v>103781679.81</v>
      </c>
      <c r="DP10" s="3">
        <v>48220000</v>
      </c>
      <c r="DQ10" s="3">
        <v>93010000</v>
      </c>
      <c r="DR10" s="3">
        <v>0</v>
      </c>
      <c r="DS10" s="3">
        <v>141230000</v>
      </c>
      <c r="DT10" s="3">
        <v>48220000</v>
      </c>
      <c r="DU10" s="3">
        <v>74409000</v>
      </c>
      <c r="DV10" s="3">
        <v>0</v>
      </c>
      <c r="DW10" s="3">
        <v>122629000</v>
      </c>
      <c r="DX10" s="3">
        <v>48220000</v>
      </c>
      <c r="DY10" s="3">
        <v>74409000</v>
      </c>
      <c r="DZ10" s="3">
        <v>0</v>
      </c>
      <c r="EA10" s="3">
        <v>122629000</v>
      </c>
      <c r="EB10" s="3">
        <v>49949500</v>
      </c>
      <c r="EC10" s="3">
        <v>72679500</v>
      </c>
      <c r="ED10" s="3">
        <v>0</v>
      </c>
      <c r="EE10" s="3">
        <v>122629000</v>
      </c>
      <c r="EF10" s="3">
        <v>49949500</v>
      </c>
      <c r="EG10" s="3">
        <v>72679500</v>
      </c>
      <c r="EH10" s="3">
        <v>0</v>
      </c>
      <c r="EI10" s="3">
        <v>122629000</v>
      </c>
      <c r="EJ10" s="3">
        <v>49949500</v>
      </c>
      <c r="EK10" s="3">
        <v>54238531.990000002</v>
      </c>
      <c r="EL10" s="3">
        <v>0</v>
      </c>
      <c r="EM10" s="3">
        <v>104188031.98999999</v>
      </c>
      <c r="EN10" s="3">
        <v>49948500</v>
      </c>
      <c r="EO10" s="3">
        <v>41469704.25</v>
      </c>
      <c r="EP10" s="3">
        <v>0</v>
      </c>
      <c r="EQ10" s="3">
        <v>91418204.25</v>
      </c>
      <c r="ER10" s="3">
        <v>54852000</v>
      </c>
      <c r="ES10" s="3">
        <v>93010000</v>
      </c>
      <c r="ET10" s="3">
        <v>0</v>
      </c>
      <c r="EU10" s="3">
        <v>147862000</v>
      </c>
      <c r="EV10" s="3">
        <v>54852000</v>
      </c>
      <c r="EW10" s="3">
        <v>93010000</v>
      </c>
      <c r="EX10" s="3">
        <v>0</v>
      </c>
      <c r="EY10" s="3">
        <v>147862000</v>
      </c>
      <c r="EZ10" s="3">
        <v>54852000</v>
      </c>
      <c r="FA10" s="3">
        <v>93010000</v>
      </c>
      <c r="FB10" s="3">
        <v>0</v>
      </c>
      <c r="FC10" s="3">
        <v>147862000</v>
      </c>
      <c r="FD10" s="3">
        <v>57466881</v>
      </c>
      <c r="FE10" s="3">
        <v>90395119</v>
      </c>
      <c r="FF10" s="3">
        <v>0</v>
      </c>
      <c r="FG10" s="3">
        <v>147862000</v>
      </c>
      <c r="FH10" s="3">
        <v>57466881</v>
      </c>
      <c r="FI10" s="3">
        <v>90395119</v>
      </c>
      <c r="FJ10" s="3">
        <v>0</v>
      </c>
      <c r="FK10" s="3">
        <v>147862000</v>
      </c>
      <c r="FL10" s="3">
        <v>57463812.259999998</v>
      </c>
      <c r="FM10" s="3">
        <v>71669809.489999995</v>
      </c>
      <c r="FN10" s="3">
        <v>0</v>
      </c>
      <c r="FO10" s="3">
        <v>129133621.75</v>
      </c>
      <c r="FP10" s="3">
        <v>56746458.380000003</v>
      </c>
      <c r="FQ10" s="3">
        <v>66748271.030000001</v>
      </c>
      <c r="FR10" s="3">
        <v>0</v>
      </c>
      <c r="FS10" s="3">
        <v>123494729.41</v>
      </c>
      <c r="FT10" s="3">
        <v>50671000</v>
      </c>
      <c r="FU10" s="3">
        <v>71981000</v>
      </c>
      <c r="FV10" s="3">
        <v>0</v>
      </c>
      <c r="FW10" s="3">
        <v>122652000</v>
      </c>
      <c r="FX10" s="3">
        <v>50671000</v>
      </c>
      <c r="FY10" s="3">
        <v>71981000</v>
      </c>
      <c r="FZ10" s="3">
        <v>0</v>
      </c>
      <c r="GA10" s="3">
        <v>122652000</v>
      </c>
      <c r="GB10" s="3">
        <v>50671000</v>
      </c>
      <c r="GC10" s="3">
        <v>71981000</v>
      </c>
      <c r="GD10" s="3">
        <v>0</v>
      </c>
      <c r="GE10" s="3">
        <v>122652000</v>
      </c>
      <c r="GF10" s="3">
        <v>59299800</v>
      </c>
      <c r="GG10" s="3">
        <v>63352200</v>
      </c>
      <c r="GH10" s="3">
        <v>0</v>
      </c>
      <c r="GI10" s="3">
        <v>122652000</v>
      </c>
      <c r="GJ10" s="3">
        <v>59299800</v>
      </c>
      <c r="GK10" s="3">
        <v>63352200</v>
      </c>
      <c r="GL10" s="3">
        <v>0</v>
      </c>
      <c r="GM10" s="3">
        <v>122652000</v>
      </c>
      <c r="GN10" s="3">
        <v>59299142.159999996</v>
      </c>
      <c r="GO10" s="3">
        <v>50915638.729999997</v>
      </c>
      <c r="GP10" s="3">
        <v>0</v>
      </c>
      <c r="GQ10" s="3">
        <v>110214780.89</v>
      </c>
      <c r="GR10" s="3">
        <v>59298127.159999996</v>
      </c>
      <c r="GS10" s="3">
        <v>45651597.259999998</v>
      </c>
      <c r="GT10" s="3">
        <v>0</v>
      </c>
      <c r="GU10" s="3">
        <v>104949724.42</v>
      </c>
      <c r="GV10" s="3">
        <v>47922000</v>
      </c>
      <c r="GW10" s="3">
        <v>73253000</v>
      </c>
      <c r="GX10" s="3">
        <v>0</v>
      </c>
      <c r="GY10" s="3">
        <v>121175000</v>
      </c>
      <c r="GZ10" s="3">
        <v>47922000</v>
      </c>
      <c r="HA10" s="3">
        <v>73253000</v>
      </c>
      <c r="HB10" s="3">
        <v>0</v>
      </c>
      <c r="HC10" s="3">
        <v>121175000</v>
      </c>
      <c r="HD10" s="3">
        <v>47922000</v>
      </c>
      <c r="HE10" s="3">
        <v>73253000</v>
      </c>
      <c r="HF10" s="3">
        <v>0</v>
      </c>
      <c r="HG10" s="3">
        <v>121175000</v>
      </c>
      <c r="HH10" s="3">
        <v>51018615</v>
      </c>
      <c r="HI10" s="3">
        <v>70156385</v>
      </c>
      <c r="HJ10" s="3">
        <v>0</v>
      </c>
      <c r="HK10" s="3">
        <v>121175000</v>
      </c>
      <c r="HL10" s="3">
        <v>51018615</v>
      </c>
      <c r="HM10" s="3">
        <v>70156385</v>
      </c>
      <c r="HN10" s="3">
        <v>0</v>
      </c>
      <c r="HO10" s="3">
        <v>121175000</v>
      </c>
      <c r="HP10" s="3">
        <v>51018035.25</v>
      </c>
      <c r="HQ10" s="3">
        <v>59880904.869999997</v>
      </c>
      <c r="HR10" s="3">
        <v>0</v>
      </c>
      <c r="HS10" s="3">
        <v>110898940.12</v>
      </c>
      <c r="HT10" s="3">
        <v>51009835.25</v>
      </c>
      <c r="HU10" s="3">
        <v>53889017.729999997</v>
      </c>
      <c r="HV10" s="3">
        <v>0</v>
      </c>
      <c r="HW10" s="3">
        <v>104898852.98</v>
      </c>
      <c r="HX10" s="3">
        <v>54780000</v>
      </c>
      <c r="HY10" s="3">
        <v>83692000</v>
      </c>
      <c r="HZ10" s="3">
        <v>0</v>
      </c>
      <c r="IA10" s="3">
        <v>138472000</v>
      </c>
      <c r="IB10" s="3">
        <v>54780000</v>
      </c>
      <c r="IC10" s="3">
        <v>83692000</v>
      </c>
      <c r="ID10" s="3">
        <v>0</v>
      </c>
      <c r="IE10" s="3">
        <v>138472000</v>
      </c>
      <c r="IZ10" s="3">
        <v>60371000</v>
      </c>
      <c r="JA10" s="3">
        <v>79240000</v>
      </c>
      <c r="JB10" s="3">
        <v>0</v>
      </c>
      <c r="JC10" s="3">
        <v>139611000</v>
      </c>
    </row>
    <row r="11" spans="1:267" x14ac:dyDescent="0.25">
      <c r="A11" t="s">
        <v>847</v>
      </c>
      <c r="B11" t="s">
        <v>848</v>
      </c>
      <c r="C11" t="s">
        <v>199</v>
      </c>
      <c r="D11" t="s">
        <v>200</v>
      </c>
      <c r="E11" t="s">
        <v>217</v>
      </c>
      <c r="F11" t="s">
        <v>688</v>
      </c>
      <c r="G11" t="s">
        <v>874</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v>10000000</v>
      </c>
      <c r="BQ11" s="3">
        <v>490000000</v>
      </c>
      <c r="BR11" s="3">
        <v>0</v>
      </c>
      <c r="BS11" s="3">
        <v>500000000</v>
      </c>
      <c r="BT11" s="3">
        <v>10000000</v>
      </c>
      <c r="BU11" s="3">
        <v>490000000</v>
      </c>
      <c r="BV11" s="3">
        <v>0</v>
      </c>
      <c r="BW11" s="3">
        <v>500000000</v>
      </c>
      <c r="BX11" s="3">
        <v>10000000</v>
      </c>
      <c r="BY11" s="3">
        <v>490000000</v>
      </c>
      <c r="BZ11" s="3">
        <v>0</v>
      </c>
      <c r="CA11" s="3">
        <v>500000000</v>
      </c>
      <c r="CB11" s="3">
        <v>0</v>
      </c>
      <c r="CC11" s="3">
        <v>0</v>
      </c>
      <c r="CD11" s="3">
        <v>0</v>
      </c>
      <c r="CE11" s="3">
        <v>0</v>
      </c>
      <c r="CF11" s="3">
        <v>0</v>
      </c>
      <c r="CG11" s="3">
        <v>0</v>
      </c>
      <c r="CH11" s="3">
        <v>0</v>
      </c>
      <c r="CI11" s="3">
        <v>0</v>
      </c>
      <c r="CJ11" s="3">
        <v>0</v>
      </c>
      <c r="CK11" s="3">
        <v>0</v>
      </c>
      <c r="CL11" s="3">
        <v>0</v>
      </c>
      <c r="CM11" s="3">
        <v>0</v>
      </c>
      <c r="CN11" s="3">
        <v>10000000</v>
      </c>
      <c r="CO11" s="3">
        <v>490000000</v>
      </c>
      <c r="CP11" s="3">
        <v>0</v>
      </c>
      <c r="CQ11" s="3">
        <v>500000000</v>
      </c>
      <c r="CR11" s="3">
        <v>10000000</v>
      </c>
      <c r="CS11" s="3">
        <v>494323000</v>
      </c>
      <c r="CT11" s="3">
        <v>11370000</v>
      </c>
      <c r="CU11" s="3">
        <v>515693000</v>
      </c>
      <c r="CV11" s="3">
        <v>10000000</v>
      </c>
      <c r="CW11" s="3">
        <v>494323000</v>
      </c>
      <c r="CX11" s="3">
        <v>11370000</v>
      </c>
      <c r="CY11" s="3">
        <v>515693000</v>
      </c>
      <c r="CZ11" s="3">
        <v>10000000</v>
      </c>
      <c r="DA11" s="3">
        <v>494323000</v>
      </c>
      <c r="DB11" s="3">
        <v>11370000</v>
      </c>
      <c r="DC11" s="3">
        <v>515693000</v>
      </c>
      <c r="DD11" s="3">
        <v>10000000</v>
      </c>
      <c r="DE11" s="3">
        <v>494323000</v>
      </c>
      <c r="DF11" s="3">
        <v>11370000</v>
      </c>
      <c r="DG11" s="3">
        <v>515693000</v>
      </c>
      <c r="DH11" s="3">
        <v>9178301.5999999996</v>
      </c>
      <c r="DI11" s="3">
        <v>209394791.62</v>
      </c>
      <c r="DJ11" s="3">
        <v>0</v>
      </c>
      <c r="DK11" s="3">
        <v>218573093.22</v>
      </c>
      <c r="DL11" s="3">
        <v>7993539.0599999996</v>
      </c>
      <c r="DM11" s="3">
        <v>190164252.34</v>
      </c>
      <c r="DN11" s="3">
        <v>0</v>
      </c>
      <c r="DO11" s="3">
        <v>198157791.40000001</v>
      </c>
      <c r="DP11" s="3">
        <v>123850000</v>
      </c>
      <c r="DQ11" s="3">
        <v>4017578000</v>
      </c>
      <c r="DR11" s="3">
        <v>410613000</v>
      </c>
      <c r="DS11" s="3">
        <v>4552041000</v>
      </c>
      <c r="DT11" s="3">
        <v>123850000</v>
      </c>
      <c r="DU11" s="3">
        <v>2017578000</v>
      </c>
      <c r="DV11" s="3">
        <v>410613000</v>
      </c>
      <c r="DW11" s="3">
        <v>2552041000</v>
      </c>
      <c r="DX11" s="3">
        <v>123850000</v>
      </c>
      <c r="DY11" s="3">
        <v>2017578000</v>
      </c>
      <c r="DZ11" s="3">
        <v>410613000</v>
      </c>
      <c r="EA11" s="3">
        <v>2552041000</v>
      </c>
      <c r="EB11" s="3">
        <v>123850000</v>
      </c>
      <c r="EC11" s="3">
        <v>2017578000</v>
      </c>
      <c r="ED11" s="3">
        <v>410613000</v>
      </c>
      <c r="EE11" s="3">
        <v>2552041000</v>
      </c>
      <c r="EF11" s="3">
        <v>123850000</v>
      </c>
      <c r="EG11" s="3">
        <v>2017578000</v>
      </c>
      <c r="EH11" s="3">
        <v>410613000</v>
      </c>
      <c r="EI11" s="3">
        <v>2552041000</v>
      </c>
      <c r="EJ11" s="3">
        <v>30994563.82</v>
      </c>
      <c r="EK11" s="3">
        <v>806271426.97000003</v>
      </c>
      <c r="EL11" s="3">
        <v>102418000</v>
      </c>
      <c r="EM11" s="3">
        <v>939683990.78999996</v>
      </c>
      <c r="EN11" s="3">
        <v>29947170.870000001</v>
      </c>
      <c r="EO11" s="3">
        <v>770054112.46000004</v>
      </c>
      <c r="EP11" s="3">
        <v>0</v>
      </c>
      <c r="EQ11" s="3">
        <v>800001283.33000004</v>
      </c>
      <c r="ER11" s="3">
        <v>123850000</v>
      </c>
      <c r="ES11" s="3">
        <v>6017578000</v>
      </c>
      <c r="ET11" s="3">
        <v>0</v>
      </c>
      <c r="EU11" s="3">
        <v>6141428000</v>
      </c>
      <c r="EV11" s="3">
        <v>123850000</v>
      </c>
      <c r="EW11" s="3">
        <v>1458129000</v>
      </c>
      <c r="EX11" s="3">
        <v>0</v>
      </c>
      <c r="EY11" s="3">
        <v>1581979000</v>
      </c>
      <c r="EZ11" s="3"/>
      <c r="FA11" s="3"/>
      <c r="FB11" s="3"/>
      <c r="FC11" s="3"/>
      <c r="FD11" s="3"/>
      <c r="FE11" s="3"/>
      <c r="FF11" s="3"/>
      <c r="FG11" s="3"/>
      <c r="FH11" s="3"/>
      <c r="FI11" s="3"/>
      <c r="FJ11" s="3"/>
      <c r="FK11" s="3"/>
      <c r="FL11" s="3"/>
      <c r="FM11" s="3"/>
      <c r="FN11" s="3"/>
      <c r="FO11" s="3"/>
      <c r="FP11" s="3"/>
      <c r="FQ11" s="3"/>
      <c r="FR11" s="3"/>
      <c r="FS11" s="3"/>
      <c r="FT11" s="3">
        <v>68277000</v>
      </c>
      <c r="FU11" s="3">
        <v>745214000</v>
      </c>
      <c r="FV11" s="3">
        <v>0</v>
      </c>
      <c r="FW11" s="3">
        <v>813491000</v>
      </c>
      <c r="FX11" s="3">
        <v>0</v>
      </c>
      <c r="FY11" s="3">
        <v>0</v>
      </c>
      <c r="FZ11" s="3">
        <v>0</v>
      </c>
      <c r="GA11" s="3">
        <v>0</v>
      </c>
      <c r="GB11" s="3">
        <v>0</v>
      </c>
      <c r="GC11" s="3">
        <v>0</v>
      </c>
      <c r="GD11" s="3">
        <v>0</v>
      </c>
      <c r="GE11" s="3">
        <v>0</v>
      </c>
      <c r="GF11" s="3">
        <v>0</v>
      </c>
      <c r="GG11" s="3">
        <v>0</v>
      </c>
      <c r="GH11" s="3">
        <v>0</v>
      </c>
      <c r="GI11" s="3">
        <v>0</v>
      </c>
      <c r="GJ11" s="3">
        <v>0</v>
      </c>
      <c r="GK11" s="3">
        <v>0</v>
      </c>
      <c r="GL11" s="3">
        <v>0</v>
      </c>
      <c r="GM11" s="3">
        <v>0</v>
      </c>
      <c r="GN11" s="3">
        <v>0</v>
      </c>
      <c r="GO11" s="3">
        <v>0</v>
      </c>
      <c r="GP11" s="3">
        <v>0</v>
      </c>
      <c r="GQ11" s="3">
        <v>0</v>
      </c>
      <c r="GR11" s="3">
        <v>0</v>
      </c>
      <c r="GS11" s="3">
        <v>0</v>
      </c>
      <c r="GT11" s="3">
        <v>0</v>
      </c>
      <c r="GU11" s="3">
        <v>0</v>
      </c>
      <c r="GV11" s="3">
        <v>93237000</v>
      </c>
      <c r="GW11" s="3">
        <v>576323000</v>
      </c>
      <c r="GX11" s="3">
        <v>0</v>
      </c>
      <c r="GY11" s="3">
        <v>669560000</v>
      </c>
      <c r="GZ11" s="3">
        <v>93237000</v>
      </c>
      <c r="HA11" s="3">
        <v>576323000</v>
      </c>
      <c r="HB11" s="3">
        <v>0</v>
      </c>
      <c r="HC11" s="3">
        <v>669560000</v>
      </c>
      <c r="HD11" s="3">
        <v>93237000</v>
      </c>
      <c r="HE11" s="3">
        <v>576323000</v>
      </c>
      <c r="HF11" s="3">
        <v>0</v>
      </c>
      <c r="HG11" s="3">
        <v>669560000</v>
      </c>
      <c r="HH11" s="3">
        <v>93237000</v>
      </c>
      <c r="HI11" s="3">
        <v>576323000</v>
      </c>
      <c r="HJ11" s="3">
        <v>0</v>
      </c>
      <c r="HK11" s="3">
        <v>669560000</v>
      </c>
      <c r="HL11" s="3">
        <v>93237000</v>
      </c>
      <c r="HM11" s="3">
        <v>576323000</v>
      </c>
      <c r="HN11" s="3">
        <v>0</v>
      </c>
      <c r="HO11" s="3">
        <v>669560000</v>
      </c>
      <c r="HP11" s="3">
        <v>82861659.430000007</v>
      </c>
      <c r="HQ11" s="3">
        <v>293136492.92000002</v>
      </c>
      <c r="HR11" s="3">
        <v>0</v>
      </c>
      <c r="HS11" s="3">
        <v>375998152.35000002</v>
      </c>
      <c r="HT11" s="3">
        <v>77340621.810000002</v>
      </c>
      <c r="HU11" s="3">
        <v>146718324.75</v>
      </c>
      <c r="HV11" s="3">
        <v>0</v>
      </c>
      <c r="HW11" s="3">
        <v>224058946.56</v>
      </c>
      <c r="HX11" s="3">
        <v>93237000</v>
      </c>
      <c r="HY11" s="3">
        <v>4996561000</v>
      </c>
      <c r="HZ11" s="3">
        <v>0</v>
      </c>
      <c r="IA11" s="3">
        <v>5089798000</v>
      </c>
      <c r="IB11" s="3">
        <v>93237000</v>
      </c>
      <c r="IC11" s="3">
        <v>4996561000</v>
      </c>
      <c r="ID11" s="3">
        <v>0</v>
      </c>
      <c r="IE11" s="3">
        <v>5089798000</v>
      </c>
      <c r="IZ11" s="3">
        <v>0</v>
      </c>
      <c r="JA11" s="3">
        <v>727799000</v>
      </c>
      <c r="JB11" s="3">
        <v>0</v>
      </c>
      <c r="JC11" s="3">
        <v>727799000</v>
      </c>
    </row>
    <row r="12" spans="1:267" x14ac:dyDescent="0.25">
      <c r="A12" t="s">
        <v>847</v>
      </c>
      <c r="B12" t="s">
        <v>848</v>
      </c>
      <c r="C12" t="s">
        <v>199</v>
      </c>
      <c r="D12" t="s">
        <v>200</v>
      </c>
      <c r="E12" t="s">
        <v>300</v>
      </c>
      <c r="F12" t="s">
        <v>620</v>
      </c>
      <c r="G12" t="s">
        <v>865</v>
      </c>
      <c r="H12" s="3">
        <v>25095000</v>
      </c>
      <c r="I12" s="3">
        <v>77513000</v>
      </c>
      <c r="J12" s="3">
        <v>0</v>
      </c>
      <c r="K12" s="3">
        <v>102608000</v>
      </c>
      <c r="L12" s="3">
        <v>25095000</v>
      </c>
      <c r="M12" s="3">
        <v>77513000</v>
      </c>
      <c r="N12" s="3">
        <v>0</v>
      </c>
      <c r="O12" s="3">
        <v>102608000</v>
      </c>
      <c r="P12" s="3">
        <v>25095000</v>
      </c>
      <c r="Q12" s="3">
        <v>77513000</v>
      </c>
      <c r="R12" s="3">
        <v>0</v>
      </c>
      <c r="S12" s="3">
        <v>102608000</v>
      </c>
      <c r="T12" s="3">
        <v>27822565</v>
      </c>
      <c r="U12" s="3">
        <v>74785435</v>
      </c>
      <c r="V12" s="3">
        <v>0</v>
      </c>
      <c r="W12" s="3">
        <v>102608000</v>
      </c>
      <c r="X12" s="3">
        <v>27822565</v>
      </c>
      <c r="Y12" s="3">
        <v>74785435</v>
      </c>
      <c r="Z12" s="3">
        <v>0</v>
      </c>
      <c r="AA12" s="3">
        <v>102608000</v>
      </c>
      <c r="AB12" s="3">
        <v>27786591.350000001</v>
      </c>
      <c r="AC12" s="3">
        <v>65013436.890000001</v>
      </c>
      <c r="AD12" s="3">
        <v>0</v>
      </c>
      <c r="AE12" s="3">
        <v>92800028.239999995</v>
      </c>
      <c r="AF12" s="3">
        <v>27280803.559999999</v>
      </c>
      <c r="AG12" s="3">
        <v>54557244.299999997</v>
      </c>
      <c r="AH12" s="3">
        <v>0</v>
      </c>
      <c r="AI12" s="3">
        <v>81838047.859999999</v>
      </c>
      <c r="AJ12" s="3">
        <v>27423000</v>
      </c>
      <c r="AK12" s="3">
        <v>77585000</v>
      </c>
      <c r="AL12" s="3">
        <v>0</v>
      </c>
      <c r="AM12" s="3">
        <v>105008000</v>
      </c>
      <c r="AN12" s="3">
        <v>27423000</v>
      </c>
      <c r="AO12" s="3">
        <v>77585000</v>
      </c>
      <c r="AP12" s="3">
        <v>0</v>
      </c>
      <c r="AQ12" s="3">
        <v>105008000</v>
      </c>
      <c r="AR12" s="3">
        <v>27423000</v>
      </c>
      <c r="AS12" s="3">
        <v>77585000</v>
      </c>
      <c r="AT12" s="3">
        <v>0</v>
      </c>
      <c r="AU12" s="3">
        <v>105008000</v>
      </c>
      <c r="AV12" s="3">
        <v>29078000</v>
      </c>
      <c r="AW12" s="3">
        <v>75930000</v>
      </c>
      <c r="AX12" s="3">
        <v>0</v>
      </c>
      <c r="AY12" s="3">
        <v>105008000</v>
      </c>
      <c r="AZ12" s="3">
        <v>29078000</v>
      </c>
      <c r="BA12" s="3">
        <v>75930000</v>
      </c>
      <c r="BB12" s="3">
        <v>0</v>
      </c>
      <c r="BC12" s="3">
        <v>105008000</v>
      </c>
      <c r="BD12" s="3">
        <v>29078000</v>
      </c>
      <c r="BE12" s="3">
        <v>64985818.850000001</v>
      </c>
      <c r="BF12" s="3">
        <v>0</v>
      </c>
      <c r="BG12" s="3">
        <v>94063818.849999994</v>
      </c>
      <c r="BH12" s="3">
        <v>29078000</v>
      </c>
      <c r="BI12" s="3">
        <v>58052872.840000004</v>
      </c>
      <c r="BJ12" s="3">
        <v>0</v>
      </c>
      <c r="BK12" s="3">
        <v>87130872.840000004</v>
      </c>
      <c r="BL12" s="3">
        <v>30697000</v>
      </c>
      <c r="BM12" s="3">
        <v>48415000</v>
      </c>
      <c r="BN12" s="3">
        <v>0</v>
      </c>
      <c r="BO12" s="3">
        <v>79112000</v>
      </c>
      <c r="BP12" s="3">
        <v>30697000</v>
      </c>
      <c r="BQ12" s="3">
        <v>48415000</v>
      </c>
      <c r="BR12" s="3">
        <v>0</v>
      </c>
      <c r="BS12" s="3">
        <v>79112000</v>
      </c>
      <c r="BT12" s="3">
        <v>30697000</v>
      </c>
      <c r="BU12" s="3">
        <v>48415000</v>
      </c>
      <c r="BV12" s="3">
        <v>0</v>
      </c>
      <c r="BW12" s="3">
        <v>79112000</v>
      </c>
      <c r="BX12" s="3">
        <v>33308870</v>
      </c>
      <c r="BY12" s="3">
        <v>40631354</v>
      </c>
      <c r="BZ12" s="3">
        <v>0</v>
      </c>
      <c r="CA12" s="3">
        <v>73940224</v>
      </c>
      <c r="CB12" s="3">
        <v>33308870</v>
      </c>
      <c r="CC12" s="3">
        <v>40631354</v>
      </c>
      <c r="CD12" s="3">
        <v>0</v>
      </c>
      <c r="CE12" s="3">
        <v>73940224</v>
      </c>
      <c r="CF12" s="3">
        <v>33308870</v>
      </c>
      <c r="CG12" s="3">
        <v>36784755.460000001</v>
      </c>
      <c r="CH12" s="3">
        <v>0</v>
      </c>
      <c r="CI12" s="3">
        <v>70093625.459999993</v>
      </c>
      <c r="CJ12" s="3">
        <v>32556884.469999999</v>
      </c>
      <c r="CK12" s="3">
        <v>27199894.510000002</v>
      </c>
      <c r="CL12" s="3">
        <v>0</v>
      </c>
      <c r="CM12" s="3">
        <v>59756778.979999997</v>
      </c>
      <c r="CN12" s="3">
        <v>32718000</v>
      </c>
      <c r="CO12" s="3">
        <v>53162000</v>
      </c>
      <c r="CP12" s="3">
        <v>0</v>
      </c>
      <c r="CQ12" s="3">
        <v>85880000</v>
      </c>
      <c r="CR12" s="3">
        <v>32718000</v>
      </c>
      <c r="CS12" s="3">
        <v>53162000</v>
      </c>
      <c r="CT12" s="3">
        <v>0</v>
      </c>
      <c r="CU12" s="3">
        <v>85880000</v>
      </c>
      <c r="CV12" s="3">
        <v>32718000</v>
      </c>
      <c r="CW12" s="3">
        <v>53162000</v>
      </c>
      <c r="CX12" s="3">
        <v>0</v>
      </c>
      <c r="CY12" s="3">
        <v>85880000</v>
      </c>
      <c r="CZ12" s="3">
        <v>34016500</v>
      </c>
      <c r="DA12" s="3">
        <v>51863500</v>
      </c>
      <c r="DB12" s="3">
        <v>0</v>
      </c>
      <c r="DC12" s="3">
        <v>85880000</v>
      </c>
      <c r="DD12" s="3">
        <v>34016500</v>
      </c>
      <c r="DE12" s="3">
        <v>51863500</v>
      </c>
      <c r="DF12" s="3">
        <v>0</v>
      </c>
      <c r="DG12" s="3">
        <v>85880000</v>
      </c>
      <c r="DH12" s="3">
        <v>34014778.799999997</v>
      </c>
      <c r="DI12" s="3">
        <v>41806129.189999998</v>
      </c>
      <c r="DJ12" s="3">
        <v>0</v>
      </c>
      <c r="DK12" s="3">
        <v>75820907.989999995</v>
      </c>
      <c r="DL12" s="3">
        <v>33099548.149999999</v>
      </c>
      <c r="DM12" s="3">
        <v>37903967.270000003</v>
      </c>
      <c r="DN12" s="3">
        <v>0</v>
      </c>
      <c r="DO12" s="3">
        <v>71003515.420000002</v>
      </c>
      <c r="DP12" s="3">
        <v>39694000</v>
      </c>
      <c r="DQ12" s="3">
        <v>53162000</v>
      </c>
      <c r="DR12" s="3">
        <v>0</v>
      </c>
      <c r="DS12" s="3">
        <v>92856000</v>
      </c>
      <c r="DT12" s="3">
        <v>39694000</v>
      </c>
      <c r="DU12" s="3">
        <v>42530000</v>
      </c>
      <c r="DV12" s="3">
        <v>0</v>
      </c>
      <c r="DW12" s="3">
        <v>82224000</v>
      </c>
      <c r="DX12" s="3">
        <v>39694000</v>
      </c>
      <c r="DY12" s="3">
        <v>42530000</v>
      </c>
      <c r="DZ12" s="3">
        <v>0</v>
      </c>
      <c r="EA12" s="3">
        <v>82224000</v>
      </c>
      <c r="EB12" s="3">
        <v>40952458.329999998</v>
      </c>
      <c r="EC12" s="3">
        <v>41271541.670000002</v>
      </c>
      <c r="ED12" s="3">
        <v>0</v>
      </c>
      <c r="EE12" s="3">
        <v>82224000</v>
      </c>
      <c r="EF12" s="3">
        <v>40952458.329999998</v>
      </c>
      <c r="EG12" s="3">
        <v>41271541.670000002</v>
      </c>
      <c r="EH12" s="3">
        <v>0</v>
      </c>
      <c r="EI12" s="3">
        <v>82224000</v>
      </c>
      <c r="EJ12" s="3">
        <v>40952458.329999998</v>
      </c>
      <c r="EK12" s="3">
        <v>32663699.800000001</v>
      </c>
      <c r="EL12" s="3">
        <v>0</v>
      </c>
      <c r="EM12" s="3">
        <v>73616158.129999995</v>
      </c>
      <c r="EN12" s="3">
        <v>40952458.329999998</v>
      </c>
      <c r="EO12" s="3">
        <v>28292188.48</v>
      </c>
      <c r="EP12" s="3">
        <v>0</v>
      </c>
      <c r="EQ12" s="3">
        <v>69244646.810000002</v>
      </c>
      <c r="ER12" s="3">
        <v>42498000</v>
      </c>
      <c r="ES12" s="3">
        <v>53162000</v>
      </c>
      <c r="ET12" s="3">
        <v>0</v>
      </c>
      <c r="EU12" s="3">
        <v>95660000</v>
      </c>
      <c r="EV12" s="3">
        <v>42498000</v>
      </c>
      <c r="EW12" s="3">
        <v>53162000</v>
      </c>
      <c r="EX12" s="3">
        <v>0</v>
      </c>
      <c r="EY12" s="3">
        <v>95660000</v>
      </c>
      <c r="EZ12" s="3">
        <v>42498000</v>
      </c>
      <c r="FA12" s="3">
        <v>53162000</v>
      </c>
      <c r="FB12" s="3">
        <v>0</v>
      </c>
      <c r="FC12" s="3">
        <v>95660000</v>
      </c>
      <c r="FD12" s="3">
        <v>46252500</v>
      </c>
      <c r="FE12" s="3">
        <v>49407500</v>
      </c>
      <c r="FF12" s="3">
        <v>0</v>
      </c>
      <c r="FG12" s="3">
        <v>95660000</v>
      </c>
      <c r="FH12" s="3">
        <v>46252500</v>
      </c>
      <c r="FI12" s="3">
        <v>49407500</v>
      </c>
      <c r="FJ12" s="3">
        <v>0</v>
      </c>
      <c r="FK12" s="3">
        <v>95660000</v>
      </c>
      <c r="FL12" s="3">
        <v>46227809.200000003</v>
      </c>
      <c r="FM12" s="3">
        <v>43287385.789999999</v>
      </c>
      <c r="FN12" s="3">
        <v>0</v>
      </c>
      <c r="FO12" s="3">
        <v>89515194.989999995</v>
      </c>
      <c r="FP12" s="3">
        <v>45965398.899999999</v>
      </c>
      <c r="FQ12" s="3">
        <v>39834019.560000002</v>
      </c>
      <c r="FR12" s="3">
        <v>0</v>
      </c>
      <c r="FS12" s="3">
        <v>85799418.459999993</v>
      </c>
      <c r="FT12" s="3">
        <v>32688000</v>
      </c>
      <c r="FU12" s="3">
        <v>42829000</v>
      </c>
      <c r="FV12" s="3">
        <v>0</v>
      </c>
      <c r="FW12" s="3">
        <v>75517000</v>
      </c>
      <c r="FX12" s="3">
        <v>32688000</v>
      </c>
      <c r="FY12" s="3">
        <v>42829000</v>
      </c>
      <c r="FZ12" s="3">
        <v>0</v>
      </c>
      <c r="GA12" s="3">
        <v>75517000</v>
      </c>
      <c r="GB12" s="3">
        <v>32688000</v>
      </c>
      <c r="GC12" s="3">
        <v>42829000</v>
      </c>
      <c r="GD12" s="3">
        <v>0</v>
      </c>
      <c r="GE12" s="3">
        <v>75517000</v>
      </c>
      <c r="GF12" s="3">
        <v>34346500</v>
      </c>
      <c r="GG12" s="3">
        <v>41170500</v>
      </c>
      <c r="GH12" s="3">
        <v>0</v>
      </c>
      <c r="GI12" s="3">
        <v>75517000</v>
      </c>
      <c r="GJ12" s="3">
        <v>34346500</v>
      </c>
      <c r="GK12" s="3">
        <v>41170500</v>
      </c>
      <c r="GL12" s="3">
        <v>0</v>
      </c>
      <c r="GM12" s="3">
        <v>75517000</v>
      </c>
      <c r="GN12" s="3">
        <v>34345020</v>
      </c>
      <c r="GO12" s="3">
        <v>37238707.789999999</v>
      </c>
      <c r="GP12" s="3">
        <v>0</v>
      </c>
      <c r="GQ12" s="3">
        <v>71583727.790000007</v>
      </c>
      <c r="GR12" s="10">
        <v>34345020</v>
      </c>
      <c r="GS12" s="10">
        <v>33931546.939999998</v>
      </c>
      <c r="GT12" s="3">
        <v>0</v>
      </c>
      <c r="GU12" s="10">
        <v>68276566.939999998</v>
      </c>
      <c r="GV12" s="3">
        <v>38007000</v>
      </c>
      <c r="GW12" s="3">
        <v>43600000</v>
      </c>
      <c r="GX12" s="3">
        <v>0</v>
      </c>
      <c r="GY12" s="3">
        <v>81607000</v>
      </c>
      <c r="GZ12" s="3">
        <v>38007000</v>
      </c>
      <c r="HA12" s="3">
        <v>43600000</v>
      </c>
      <c r="HB12" s="3">
        <v>0</v>
      </c>
      <c r="HC12" s="3">
        <v>81607000</v>
      </c>
      <c r="HD12" s="3">
        <v>38007000</v>
      </c>
      <c r="HE12" s="3">
        <v>43600000</v>
      </c>
      <c r="HF12" s="3">
        <v>0</v>
      </c>
      <c r="HG12" s="3">
        <v>81607000</v>
      </c>
      <c r="HH12" s="3">
        <v>39758745.380000003</v>
      </c>
      <c r="HI12" s="3">
        <v>41848254.619999997</v>
      </c>
      <c r="HJ12" s="3">
        <v>0</v>
      </c>
      <c r="HK12" s="3">
        <v>81607000</v>
      </c>
      <c r="HL12" s="3">
        <v>39758745.380000003</v>
      </c>
      <c r="HM12" s="3">
        <v>41848254.619999997</v>
      </c>
      <c r="HN12" s="3">
        <v>0</v>
      </c>
      <c r="HO12" s="3">
        <v>81607000</v>
      </c>
      <c r="HP12" s="3">
        <v>39758745.380000003</v>
      </c>
      <c r="HQ12" s="3">
        <v>37358408.609999999</v>
      </c>
      <c r="HR12" s="3">
        <v>0</v>
      </c>
      <c r="HS12" s="3">
        <v>77117153.989999995</v>
      </c>
      <c r="HT12" s="3">
        <v>39758745.380000003</v>
      </c>
      <c r="HU12" s="3">
        <v>31742457.690000001</v>
      </c>
      <c r="HV12" s="3">
        <v>0</v>
      </c>
      <c r="HW12" s="3">
        <v>71501203.069999993</v>
      </c>
      <c r="HX12" s="3">
        <v>48316000</v>
      </c>
      <c r="HY12" s="3">
        <v>45548000</v>
      </c>
      <c r="HZ12" s="3">
        <v>0</v>
      </c>
      <c r="IA12" s="3">
        <v>93864000</v>
      </c>
      <c r="IB12" s="3">
        <v>48316000</v>
      </c>
      <c r="IC12" s="3">
        <v>45548000</v>
      </c>
      <c r="ID12" s="3">
        <v>0</v>
      </c>
      <c r="IE12" s="3">
        <v>93864000</v>
      </c>
      <c r="IZ12" s="3">
        <v>49883000</v>
      </c>
      <c r="JA12" s="3">
        <v>47790000</v>
      </c>
      <c r="JB12" s="3">
        <v>0</v>
      </c>
      <c r="JC12" s="3">
        <v>97673000</v>
      </c>
    </row>
    <row r="13" spans="1:267" x14ac:dyDescent="0.25">
      <c r="A13" t="s">
        <v>847</v>
      </c>
      <c r="B13" t="s">
        <v>848</v>
      </c>
      <c r="C13" t="s">
        <v>199</v>
      </c>
      <c r="D13" t="s">
        <v>200</v>
      </c>
      <c r="E13" t="s">
        <v>300</v>
      </c>
      <c r="F13" t="s">
        <v>849</v>
      </c>
      <c r="G13" t="s">
        <v>866</v>
      </c>
      <c r="H13" s="3">
        <v>72980000</v>
      </c>
      <c r="I13" s="3">
        <v>181945000</v>
      </c>
      <c r="J13" s="3">
        <v>0</v>
      </c>
      <c r="K13" s="3">
        <v>254925000</v>
      </c>
      <c r="L13" s="3">
        <v>72980000</v>
      </c>
      <c r="M13" s="3">
        <v>181945000</v>
      </c>
      <c r="N13" s="3">
        <v>0</v>
      </c>
      <c r="O13" s="3">
        <v>254925000</v>
      </c>
      <c r="P13" s="3">
        <v>72980000</v>
      </c>
      <c r="Q13" s="3">
        <v>181945000</v>
      </c>
      <c r="R13" s="3">
        <v>0</v>
      </c>
      <c r="S13" s="3">
        <v>254925000</v>
      </c>
      <c r="T13" s="3">
        <v>89434840.25</v>
      </c>
      <c r="U13" s="3">
        <v>166156777.41999999</v>
      </c>
      <c r="V13" s="3">
        <v>0</v>
      </c>
      <c r="W13" s="3">
        <v>255591617.66999999</v>
      </c>
      <c r="X13" s="3">
        <v>89434840.25</v>
      </c>
      <c r="Y13" s="3">
        <v>166156777.41999999</v>
      </c>
      <c r="Z13" s="3">
        <v>0</v>
      </c>
      <c r="AA13" s="3">
        <v>255591617.66999999</v>
      </c>
      <c r="AB13" s="3">
        <v>88914125.689999998</v>
      </c>
      <c r="AC13" s="3">
        <v>148495465.22</v>
      </c>
      <c r="AD13" s="3">
        <v>0</v>
      </c>
      <c r="AE13" s="3">
        <v>237409590.91</v>
      </c>
      <c r="AF13" s="3">
        <v>87843166.319999993</v>
      </c>
      <c r="AG13" s="3">
        <v>136316329.22999999</v>
      </c>
      <c r="AH13" s="3">
        <v>0</v>
      </c>
      <c r="AI13" s="3">
        <v>224159495.55000001</v>
      </c>
      <c r="AJ13" s="3">
        <v>75397000</v>
      </c>
      <c r="AK13" s="3">
        <v>123432000</v>
      </c>
      <c r="AL13" s="3">
        <v>0</v>
      </c>
      <c r="AM13" s="3">
        <v>198829000</v>
      </c>
      <c r="AN13" s="3">
        <v>75397000</v>
      </c>
      <c r="AO13" s="3">
        <v>123432000</v>
      </c>
      <c r="AP13" s="3">
        <v>0</v>
      </c>
      <c r="AQ13" s="3">
        <v>198829000</v>
      </c>
      <c r="AR13" s="3">
        <v>75397000</v>
      </c>
      <c r="AS13" s="3">
        <v>123432000</v>
      </c>
      <c r="AT13" s="3">
        <v>0</v>
      </c>
      <c r="AU13" s="3">
        <v>198829000</v>
      </c>
      <c r="AV13" s="3">
        <v>83565056</v>
      </c>
      <c r="AW13" s="3">
        <v>115263944</v>
      </c>
      <c r="AX13" s="3">
        <v>0</v>
      </c>
      <c r="AY13" s="3">
        <v>198829000</v>
      </c>
      <c r="AZ13" s="3">
        <v>83565056</v>
      </c>
      <c r="BA13" s="3">
        <v>115263944</v>
      </c>
      <c r="BB13" s="3">
        <v>0</v>
      </c>
      <c r="BC13" s="3">
        <v>198829000</v>
      </c>
      <c r="BD13" s="3">
        <v>83324209.420000002</v>
      </c>
      <c r="BE13" s="3">
        <v>109389784.7</v>
      </c>
      <c r="BF13" s="3">
        <v>0</v>
      </c>
      <c r="BG13" s="3">
        <v>192713994.12</v>
      </c>
      <c r="BH13" s="3">
        <v>82473578.629999995</v>
      </c>
      <c r="BI13" s="3">
        <v>100683417</v>
      </c>
      <c r="BJ13" s="3">
        <v>0</v>
      </c>
      <c r="BK13" s="3">
        <v>183156995.63</v>
      </c>
      <c r="BL13" s="3">
        <v>75546000</v>
      </c>
      <c r="BM13" s="3">
        <v>141092000</v>
      </c>
      <c r="BN13" s="3">
        <v>0</v>
      </c>
      <c r="BO13" s="3">
        <v>216638000</v>
      </c>
      <c r="BP13" s="3">
        <v>75546000</v>
      </c>
      <c r="BQ13" s="3">
        <v>141092000</v>
      </c>
      <c r="BR13" s="3">
        <v>0</v>
      </c>
      <c r="BS13" s="3">
        <v>216638000</v>
      </c>
      <c r="BT13" s="3">
        <v>75546000</v>
      </c>
      <c r="BU13" s="3">
        <v>141092000</v>
      </c>
      <c r="BV13" s="3">
        <v>0</v>
      </c>
      <c r="BW13" s="3">
        <v>216638000</v>
      </c>
      <c r="BX13" s="3">
        <v>93523837.739999995</v>
      </c>
      <c r="BY13" s="3">
        <v>109127908.26000001</v>
      </c>
      <c r="BZ13" s="3">
        <v>0</v>
      </c>
      <c r="CA13" s="3">
        <v>202651746</v>
      </c>
      <c r="CB13" s="3">
        <v>93523837.739999995</v>
      </c>
      <c r="CC13" s="3">
        <v>109127908.26000001</v>
      </c>
      <c r="CD13" s="3">
        <v>0</v>
      </c>
      <c r="CE13" s="3">
        <v>202651746</v>
      </c>
      <c r="CF13" s="3">
        <v>93428642.230000004</v>
      </c>
      <c r="CG13" s="3">
        <v>102935369.13</v>
      </c>
      <c r="CH13" s="3">
        <v>0</v>
      </c>
      <c r="CI13" s="3">
        <v>196364011.36000001</v>
      </c>
      <c r="CJ13" s="3">
        <v>85050446.409999996</v>
      </c>
      <c r="CK13" s="3">
        <v>84353679.260000005</v>
      </c>
      <c r="CL13" s="3">
        <v>0</v>
      </c>
      <c r="CM13" s="3">
        <v>169404125.66999999</v>
      </c>
      <c r="CN13" s="3">
        <v>89822000</v>
      </c>
      <c r="CO13" s="3">
        <v>131207000</v>
      </c>
      <c r="CP13" s="3">
        <v>0</v>
      </c>
      <c r="CQ13" s="3">
        <v>221029000</v>
      </c>
      <c r="CR13" s="3">
        <v>89822000</v>
      </c>
      <c r="CS13" s="3">
        <v>131207000</v>
      </c>
      <c r="CT13" s="3">
        <v>0</v>
      </c>
      <c r="CU13" s="3">
        <v>221029000</v>
      </c>
      <c r="CV13" s="3">
        <v>89822000</v>
      </c>
      <c r="CW13" s="3">
        <v>131207000</v>
      </c>
      <c r="CX13" s="3">
        <v>0</v>
      </c>
      <c r="CY13" s="3">
        <v>221029000</v>
      </c>
      <c r="CZ13" s="3">
        <v>97946949.510000005</v>
      </c>
      <c r="DA13" s="3">
        <v>123082050.48999999</v>
      </c>
      <c r="DB13" s="3">
        <v>0</v>
      </c>
      <c r="DC13" s="3">
        <v>221029000</v>
      </c>
      <c r="DD13" s="3">
        <v>97946949.510000005</v>
      </c>
      <c r="DE13" s="3">
        <v>123082050.48999999</v>
      </c>
      <c r="DF13" s="3">
        <v>0</v>
      </c>
      <c r="DG13" s="3">
        <v>221029000</v>
      </c>
      <c r="DH13" s="3">
        <v>97923581.879999995</v>
      </c>
      <c r="DI13" s="3">
        <v>109958458.7</v>
      </c>
      <c r="DJ13" s="3">
        <v>0</v>
      </c>
      <c r="DK13" s="3">
        <v>207882040.58000001</v>
      </c>
      <c r="DL13" s="3">
        <v>96071260.060000002</v>
      </c>
      <c r="DM13" s="3">
        <v>101147953.22</v>
      </c>
      <c r="DN13" s="3">
        <v>0</v>
      </c>
      <c r="DO13" s="3">
        <v>197219213.28</v>
      </c>
      <c r="DP13" s="3">
        <v>94045000</v>
      </c>
      <c r="DQ13" s="3">
        <v>131207000</v>
      </c>
      <c r="DR13" s="3">
        <v>0</v>
      </c>
      <c r="DS13" s="3">
        <v>225252000</v>
      </c>
      <c r="DT13" s="3">
        <v>94045000</v>
      </c>
      <c r="DU13" s="3">
        <v>104961000</v>
      </c>
      <c r="DV13" s="3">
        <v>0</v>
      </c>
      <c r="DW13" s="3">
        <v>199006000</v>
      </c>
      <c r="DX13" s="3">
        <v>94045000</v>
      </c>
      <c r="DY13" s="3">
        <v>104961000</v>
      </c>
      <c r="DZ13" s="3">
        <v>0</v>
      </c>
      <c r="EA13" s="3">
        <v>199006000</v>
      </c>
      <c r="EB13" s="3">
        <v>101332796.47</v>
      </c>
      <c r="EC13" s="3">
        <v>97673203.530000001</v>
      </c>
      <c r="ED13" s="3">
        <v>0</v>
      </c>
      <c r="EE13" s="3">
        <v>199006000</v>
      </c>
      <c r="EF13" s="3">
        <v>101332796.47</v>
      </c>
      <c r="EG13" s="3">
        <v>97673203.530000001</v>
      </c>
      <c r="EH13" s="3">
        <v>0</v>
      </c>
      <c r="EI13" s="3">
        <v>199006000</v>
      </c>
      <c r="EJ13" s="3">
        <v>101294074.3</v>
      </c>
      <c r="EK13" s="3">
        <v>93590767.920000002</v>
      </c>
      <c r="EL13" s="3">
        <v>0</v>
      </c>
      <c r="EM13" s="3">
        <v>194884842.22</v>
      </c>
      <c r="EN13" s="3">
        <v>100765732.97</v>
      </c>
      <c r="EO13" s="3">
        <v>87039682.430000007</v>
      </c>
      <c r="EP13" s="3">
        <v>0</v>
      </c>
      <c r="EQ13" s="3">
        <v>187805415.40000001</v>
      </c>
      <c r="ER13" s="3">
        <v>91906000</v>
      </c>
      <c r="ES13" s="3">
        <v>131207000</v>
      </c>
      <c r="ET13" s="3">
        <v>0</v>
      </c>
      <c r="EU13" s="3">
        <v>223113000</v>
      </c>
      <c r="EV13" s="3">
        <v>91906000</v>
      </c>
      <c r="EW13" s="3">
        <v>131207000</v>
      </c>
      <c r="EX13" s="3">
        <v>0</v>
      </c>
      <c r="EY13" s="3">
        <v>223113000</v>
      </c>
      <c r="EZ13" s="3">
        <v>91906000</v>
      </c>
      <c r="FA13" s="3">
        <v>131207000</v>
      </c>
      <c r="FB13" s="3">
        <v>0</v>
      </c>
      <c r="FC13" s="3">
        <v>223113000</v>
      </c>
      <c r="FD13" s="3">
        <v>104633362.66</v>
      </c>
      <c r="FE13" s="3">
        <v>118479637.34</v>
      </c>
      <c r="FF13" s="3">
        <v>0</v>
      </c>
      <c r="FG13" s="3">
        <v>223113000</v>
      </c>
      <c r="FH13" s="3">
        <v>104633362.66</v>
      </c>
      <c r="FI13" s="3">
        <v>118479637.34</v>
      </c>
      <c r="FJ13" s="3">
        <v>0</v>
      </c>
      <c r="FK13" s="3">
        <v>223113000</v>
      </c>
      <c r="FL13" s="3">
        <v>104494239.98</v>
      </c>
      <c r="FM13" s="3">
        <v>110000012.87</v>
      </c>
      <c r="FN13" s="3">
        <v>0</v>
      </c>
      <c r="FO13" s="3">
        <v>214494252.84999999</v>
      </c>
      <c r="FP13" s="3">
        <v>103247745.59</v>
      </c>
      <c r="FQ13" s="3">
        <v>105468302.04000001</v>
      </c>
      <c r="FR13" s="3">
        <v>0</v>
      </c>
      <c r="FS13" s="3">
        <v>208716047.63</v>
      </c>
      <c r="FT13" s="3">
        <v>92328000</v>
      </c>
      <c r="FU13" s="3">
        <v>133569000</v>
      </c>
      <c r="FV13" s="3">
        <v>0</v>
      </c>
      <c r="FW13" s="3">
        <v>225897000</v>
      </c>
      <c r="FX13" s="3">
        <v>92328000</v>
      </c>
      <c r="FY13" s="3">
        <v>133569000</v>
      </c>
      <c r="FZ13" s="3">
        <v>0</v>
      </c>
      <c r="GA13" s="3">
        <v>225897000</v>
      </c>
      <c r="GB13" s="3">
        <v>92328000</v>
      </c>
      <c r="GC13" s="3">
        <v>133569000</v>
      </c>
      <c r="GD13" s="3">
        <v>0</v>
      </c>
      <c r="GE13" s="3">
        <v>225897000</v>
      </c>
      <c r="GF13" s="3">
        <v>109223607.89</v>
      </c>
      <c r="GG13" s="3">
        <v>116673392.11</v>
      </c>
      <c r="GH13" s="3">
        <v>0</v>
      </c>
      <c r="GI13" s="3">
        <v>225897000</v>
      </c>
      <c r="GJ13" s="3">
        <v>109223607.89</v>
      </c>
      <c r="GK13" s="3">
        <v>116673392.11</v>
      </c>
      <c r="GL13" s="3">
        <v>0</v>
      </c>
      <c r="GM13" s="3">
        <v>225897000</v>
      </c>
      <c r="GN13" s="3">
        <v>109148858.33</v>
      </c>
      <c r="GO13" s="3">
        <v>110387435.12</v>
      </c>
      <c r="GP13" s="3">
        <v>0</v>
      </c>
      <c r="GQ13" s="3">
        <v>219536293.44999999</v>
      </c>
      <c r="GR13" s="10">
        <v>108977350.8</v>
      </c>
      <c r="GS13" s="10">
        <v>102412646.84</v>
      </c>
      <c r="GT13" s="3">
        <v>0</v>
      </c>
      <c r="GU13" s="10">
        <v>211389997.63999999</v>
      </c>
      <c r="GV13" s="3">
        <v>93224000</v>
      </c>
      <c r="GW13" s="3">
        <v>135973000</v>
      </c>
      <c r="GX13" s="3">
        <v>0</v>
      </c>
      <c r="GY13" s="3">
        <v>229197000</v>
      </c>
      <c r="GZ13" s="3">
        <v>93224000</v>
      </c>
      <c r="HA13" s="3">
        <v>135973000</v>
      </c>
      <c r="HB13" s="3">
        <v>0</v>
      </c>
      <c r="HC13" s="3">
        <v>229197000</v>
      </c>
      <c r="HD13" s="3">
        <v>93224000</v>
      </c>
      <c r="HE13" s="3">
        <v>135973000</v>
      </c>
      <c r="HF13" s="3">
        <v>0</v>
      </c>
      <c r="HG13" s="3">
        <v>229197000</v>
      </c>
      <c r="HH13" s="3">
        <v>106982964.63</v>
      </c>
      <c r="HI13" s="3">
        <v>122214035.37</v>
      </c>
      <c r="HJ13" s="3">
        <v>0</v>
      </c>
      <c r="HK13" s="3">
        <v>229197000</v>
      </c>
      <c r="HL13" s="3">
        <v>106982964.63</v>
      </c>
      <c r="HM13" s="3">
        <v>122214035.37</v>
      </c>
      <c r="HN13" s="3">
        <v>0</v>
      </c>
      <c r="HO13" s="3">
        <v>229197000</v>
      </c>
      <c r="HP13" s="3">
        <v>106976334.31</v>
      </c>
      <c r="HQ13" s="3">
        <v>114724152.08</v>
      </c>
      <c r="HR13" s="3">
        <v>0</v>
      </c>
      <c r="HS13" s="3">
        <v>221700486.38999999</v>
      </c>
      <c r="HT13" s="3">
        <v>106418391.93000001</v>
      </c>
      <c r="HU13" s="3">
        <v>105773502.77</v>
      </c>
      <c r="HV13" s="3">
        <v>0</v>
      </c>
      <c r="HW13" s="3">
        <v>212191894.69999999</v>
      </c>
      <c r="HX13" s="3">
        <v>111907000</v>
      </c>
      <c r="HY13" s="3">
        <v>142169000</v>
      </c>
      <c r="HZ13" s="3">
        <v>0</v>
      </c>
      <c r="IA13" s="3">
        <v>254076000</v>
      </c>
      <c r="IB13" s="3">
        <v>111907000</v>
      </c>
      <c r="IC13" s="3">
        <v>142169000</v>
      </c>
      <c r="ID13" s="3">
        <v>0</v>
      </c>
      <c r="IE13" s="3">
        <v>254076000</v>
      </c>
      <c r="IZ13" s="3">
        <v>117964000</v>
      </c>
      <c r="JA13" s="3">
        <v>160663000</v>
      </c>
      <c r="JB13" s="3">
        <v>0</v>
      </c>
      <c r="JC13" s="3">
        <v>278627000</v>
      </c>
    </row>
    <row r="14" spans="1:267" x14ac:dyDescent="0.25">
      <c r="A14" t="s">
        <v>847</v>
      </c>
      <c r="B14" t="s">
        <v>848</v>
      </c>
      <c r="C14" t="s">
        <v>199</v>
      </c>
      <c r="D14" t="s">
        <v>200</v>
      </c>
      <c r="E14" t="s">
        <v>300</v>
      </c>
      <c r="F14" t="s">
        <v>850</v>
      </c>
      <c r="G14" t="s">
        <v>867</v>
      </c>
      <c r="H14" s="3">
        <v>0</v>
      </c>
      <c r="I14" s="3">
        <v>117881000</v>
      </c>
      <c r="J14" s="3">
        <v>0</v>
      </c>
      <c r="K14" s="3">
        <v>117881000</v>
      </c>
      <c r="L14" s="3">
        <v>0</v>
      </c>
      <c r="M14" s="3">
        <v>117881000</v>
      </c>
      <c r="N14" s="3">
        <v>0</v>
      </c>
      <c r="O14" s="3">
        <v>117881000</v>
      </c>
      <c r="P14" s="3">
        <v>0</v>
      </c>
      <c r="Q14" s="3">
        <v>117881000</v>
      </c>
      <c r="R14" s="3">
        <v>0</v>
      </c>
      <c r="S14" s="3">
        <v>117881000</v>
      </c>
      <c r="T14" s="3">
        <v>7077540</v>
      </c>
      <c r="U14" s="3">
        <v>110803460</v>
      </c>
      <c r="V14" s="3">
        <v>0</v>
      </c>
      <c r="W14" s="3">
        <v>117881000</v>
      </c>
      <c r="X14" s="3">
        <v>7077540</v>
      </c>
      <c r="Y14" s="3">
        <v>110803460</v>
      </c>
      <c r="Z14" s="3">
        <v>0</v>
      </c>
      <c r="AA14" s="3">
        <v>117881000</v>
      </c>
      <c r="AB14" s="3">
        <v>6923465.6699999999</v>
      </c>
      <c r="AC14" s="3">
        <v>91134636.040000007</v>
      </c>
      <c r="AD14" s="3">
        <v>0</v>
      </c>
      <c r="AE14" s="3">
        <v>98058101.709999993</v>
      </c>
      <c r="AF14" s="3">
        <v>6407004</v>
      </c>
      <c r="AG14" s="3">
        <v>80153509.969999999</v>
      </c>
      <c r="AH14" s="3">
        <v>0</v>
      </c>
      <c r="AI14" s="3">
        <v>86560513.969999999</v>
      </c>
      <c r="AJ14" s="3">
        <v>0</v>
      </c>
      <c r="AK14" s="3">
        <v>79971000</v>
      </c>
      <c r="AL14" s="3">
        <v>0</v>
      </c>
      <c r="AM14" s="3">
        <v>79971000</v>
      </c>
      <c r="AN14" s="3">
        <v>0</v>
      </c>
      <c r="AO14" s="3">
        <v>79971000</v>
      </c>
      <c r="AP14" s="3">
        <v>0</v>
      </c>
      <c r="AQ14" s="3">
        <v>79971000</v>
      </c>
      <c r="AR14" s="3">
        <v>0</v>
      </c>
      <c r="AS14" s="3">
        <v>79971000</v>
      </c>
      <c r="AT14" s="3">
        <v>0</v>
      </c>
      <c r="AU14" s="3">
        <v>79971000</v>
      </c>
      <c r="AV14" s="3">
        <v>2442130</v>
      </c>
      <c r="AW14" s="3">
        <v>77528870</v>
      </c>
      <c r="AX14" s="3">
        <v>0</v>
      </c>
      <c r="AY14" s="3">
        <v>79971000</v>
      </c>
      <c r="AZ14" s="3">
        <v>2442130</v>
      </c>
      <c r="BA14" s="3">
        <v>77528870</v>
      </c>
      <c r="BB14" s="3">
        <v>0</v>
      </c>
      <c r="BC14" s="3">
        <v>79971000</v>
      </c>
      <c r="BD14" s="3">
        <v>2424130</v>
      </c>
      <c r="BE14" s="3">
        <v>73301085.819999993</v>
      </c>
      <c r="BF14" s="3">
        <v>0</v>
      </c>
      <c r="BG14" s="3">
        <v>75725215.819999993</v>
      </c>
      <c r="BH14" s="3">
        <v>2285660</v>
      </c>
      <c r="BI14" s="3">
        <v>69005840.390000001</v>
      </c>
      <c r="BJ14" s="3">
        <v>0</v>
      </c>
      <c r="BK14" s="3">
        <v>71291500.390000001</v>
      </c>
      <c r="BL14" s="3">
        <v>0</v>
      </c>
      <c r="BM14" s="3">
        <v>68973000</v>
      </c>
      <c r="BN14" s="3">
        <v>0</v>
      </c>
      <c r="BO14" s="3">
        <v>68973000</v>
      </c>
      <c r="BP14" s="3">
        <v>0</v>
      </c>
      <c r="BQ14" s="3">
        <v>68973000</v>
      </c>
      <c r="BR14" s="3">
        <v>0</v>
      </c>
      <c r="BS14" s="3">
        <v>68973000</v>
      </c>
      <c r="BT14" s="3">
        <v>0</v>
      </c>
      <c r="BU14" s="3">
        <v>68973000</v>
      </c>
      <c r="BV14" s="3">
        <v>0</v>
      </c>
      <c r="BW14" s="3">
        <v>68973000</v>
      </c>
      <c r="BX14" s="3">
        <v>7288139.4699999997</v>
      </c>
      <c r="BY14" s="3">
        <v>54390122.530000001</v>
      </c>
      <c r="BZ14" s="3">
        <v>0</v>
      </c>
      <c r="CA14" s="3">
        <v>61678262</v>
      </c>
      <c r="CB14" s="3">
        <v>7288139.4699999997</v>
      </c>
      <c r="CC14" s="3">
        <v>54390122.530000001</v>
      </c>
      <c r="CD14" s="3">
        <v>0</v>
      </c>
      <c r="CE14" s="3">
        <v>61678262</v>
      </c>
      <c r="CF14" s="3">
        <v>7260889.4500000002</v>
      </c>
      <c r="CG14" s="3">
        <v>52371758.850000001</v>
      </c>
      <c r="CH14" s="3">
        <v>0</v>
      </c>
      <c r="CI14" s="3">
        <v>59632648.299999997</v>
      </c>
      <c r="CJ14" s="3">
        <v>4513550.8</v>
      </c>
      <c r="CK14" s="3">
        <v>45792683.880000003</v>
      </c>
      <c r="CL14" s="3">
        <v>0</v>
      </c>
      <c r="CM14" s="3">
        <v>50306234.68</v>
      </c>
      <c r="CN14" s="3">
        <v>0</v>
      </c>
      <c r="CO14" s="3">
        <v>78121000</v>
      </c>
      <c r="CP14" s="3">
        <v>0</v>
      </c>
      <c r="CQ14" s="3">
        <v>78121000</v>
      </c>
      <c r="CR14" s="3">
        <v>0</v>
      </c>
      <c r="CS14" s="3">
        <v>78121000</v>
      </c>
      <c r="CT14" s="3">
        <v>0</v>
      </c>
      <c r="CU14" s="3">
        <v>78121000</v>
      </c>
      <c r="CV14" s="3">
        <v>0</v>
      </c>
      <c r="CW14" s="3">
        <v>78121000</v>
      </c>
      <c r="CX14" s="3">
        <v>0</v>
      </c>
      <c r="CY14" s="3">
        <v>78121000</v>
      </c>
      <c r="CZ14" s="3">
        <v>4047575.54</v>
      </c>
      <c r="DA14" s="3">
        <v>74073424.459999993</v>
      </c>
      <c r="DB14" s="3">
        <v>0</v>
      </c>
      <c r="DC14" s="3">
        <v>78121000</v>
      </c>
      <c r="DD14" s="3">
        <v>4047575.54</v>
      </c>
      <c r="DE14" s="3">
        <v>74073424.459999993</v>
      </c>
      <c r="DF14" s="3">
        <v>0</v>
      </c>
      <c r="DG14" s="3">
        <v>78121000</v>
      </c>
      <c r="DH14" s="3">
        <v>4038973.39</v>
      </c>
      <c r="DI14" s="3">
        <v>67854798.670000002</v>
      </c>
      <c r="DJ14" s="3">
        <v>0</v>
      </c>
      <c r="DK14" s="3">
        <v>71893772.060000002</v>
      </c>
      <c r="DL14" s="3">
        <v>4038973.39</v>
      </c>
      <c r="DM14" s="3">
        <v>63866596.93</v>
      </c>
      <c r="DN14" s="3">
        <v>0</v>
      </c>
      <c r="DO14" s="3">
        <v>67905570.319999993</v>
      </c>
      <c r="DP14" s="3">
        <v>0</v>
      </c>
      <c r="DQ14" s="3">
        <v>78121000</v>
      </c>
      <c r="DR14" s="3">
        <v>0</v>
      </c>
      <c r="DS14" s="3">
        <v>78121000</v>
      </c>
      <c r="DT14" s="3">
        <v>0</v>
      </c>
      <c r="DU14" s="3">
        <v>62500000</v>
      </c>
      <c r="DV14" s="3">
        <v>0</v>
      </c>
      <c r="DW14" s="3">
        <v>62500000</v>
      </c>
      <c r="DX14" s="3">
        <v>0</v>
      </c>
      <c r="DY14" s="3">
        <v>62500000</v>
      </c>
      <c r="DZ14" s="3">
        <v>0</v>
      </c>
      <c r="EA14" s="3">
        <v>62500000</v>
      </c>
      <c r="EB14" s="3">
        <v>7726365.8499999996</v>
      </c>
      <c r="EC14" s="3">
        <v>54773634.149999999</v>
      </c>
      <c r="ED14" s="3">
        <v>0</v>
      </c>
      <c r="EE14" s="3">
        <v>62500000</v>
      </c>
      <c r="EF14" s="3">
        <v>7726365.8499999996</v>
      </c>
      <c r="EG14" s="3">
        <v>54773634.149999999</v>
      </c>
      <c r="EH14" s="3">
        <v>0</v>
      </c>
      <c r="EI14" s="3">
        <v>62500000</v>
      </c>
      <c r="EJ14" s="3">
        <v>7726365.8499999996</v>
      </c>
      <c r="EK14" s="3">
        <v>50574793.950000003</v>
      </c>
      <c r="EL14" s="3">
        <v>0</v>
      </c>
      <c r="EM14" s="3">
        <v>58301159.799999997</v>
      </c>
      <c r="EN14" s="3">
        <v>7726365.8499999996</v>
      </c>
      <c r="EO14" s="3">
        <v>47739600.579999998</v>
      </c>
      <c r="EP14" s="3">
        <v>0</v>
      </c>
      <c r="EQ14" s="3">
        <v>55465966.43</v>
      </c>
      <c r="ER14" s="3">
        <v>0</v>
      </c>
      <c r="ES14" s="3">
        <v>78121000</v>
      </c>
      <c r="ET14" s="3">
        <v>0</v>
      </c>
      <c r="EU14" s="3">
        <v>78121000</v>
      </c>
      <c r="EV14" s="3">
        <v>0</v>
      </c>
      <c r="EW14" s="3">
        <v>78121000</v>
      </c>
      <c r="EX14" s="3">
        <v>0</v>
      </c>
      <c r="EY14" s="3">
        <v>78121000</v>
      </c>
      <c r="EZ14" s="3">
        <v>0</v>
      </c>
      <c r="FA14" s="3">
        <v>78121000</v>
      </c>
      <c r="FB14" s="3">
        <v>0</v>
      </c>
      <c r="FC14" s="3">
        <v>78121000</v>
      </c>
      <c r="FD14" s="3">
        <v>9087246.4900000002</v>
      </c>
      <c r="FE14" s="3">
        <v>69033753.510000005</v>
      </c>
      <c r="FF14" s="3">
        <v>0</v>
      </c>
      <c r="FG14" s="3">
        <v>78121000</v>
      </c>
      <c r="FH14" s="3">
        <v>9087246.4900000002</v>
      </c>
      <c r="FI14" s="3">
        <v>69033753.510000005</v>
      </c>
      <c r="FJ14" s="3">
        <v>0</v>
      </c>
      <c r="FK14" s="3">
        <v>78121000</v>
      </c>
      <c r="FL14" s="3">
        <v>9087246.4900000002</v>
      </c>
      <c r="FM14" s="3">
        <v>66086021.289999999</v>
      </c>
      <c r="FN14" s="3">
        <v>0</v>
      </c>
      <c r="FO14" s="3">
        <v>75173267.780000001</v>
      </c>
      <c r="FP14" s="3">
        <v>8806543.4900000002</v>
      </c>
      <c r="FQ14" s="3">
        <v>61969434.93</v>
      </c>
      <c r="FR14" s="3">
        <v>0</v>
      </c>
      <c r="FS14" s="3">
        <v>70775978.420000002</v>
      </c>
      <c r="FT14" s="3">
        <v>0</v>
      </c>
      <c r="FU14" s="3">
        <v>73427000</v>
      </c>
      <c r="FV14" s="3">
        <v>0</v>
      </c>
      <c r="FW14" s="3">
        <v>73427000</v>
      </c>
      <c r="FX14" s="3">
        <v>0</v>
      </c>
      <c r="FY14" s="3">
        <v>73427000</v>
      </c>
      <c r="FZ14" s="3">
        <v>0</v>
      </c>
      <c r="GA14" s="3">
        <v>73427000</v>
      </c>
      <c r="GB14" s="3">
        <v>0</v>
      </c>
      <c r="GC14" s="3">
        <v>73427000</v>
      </c>
      <c r="GD14" s="3">
        <v>0</v>
      </c>
      <c r="GE14" s="3">
        <v>73427000</v>
      </c>
      <c r="GF14" s="3">
        <v>6720269.21</v>
      </c>
      <c r="GG14" s="3">
        <v>66706730.789999999</v>
      </c>
      <c r="GH14" s="3">
        <v>0</v>
      </c>
      <c r="GI14" s="3">
        <v>73427000</v>
      </c>
      <c r="GJ14" s="3">
        <v>6720269.21</v>
      </c>
      <c r="GK14" s="3">
        <v>66706730.789999999</v>
      </c>
      <c r="GL14" s="3">
        <v>0</v>
      </c>
      <c r="GM14" s="3">
        <v>73427000</v>
      </c>
      <c r="GN14" s="3">
        <v>6651194.21</v>
      </c>
      <c r="GO14" s="3">
        <v>63640201.979999997</v>
      </c>
      <c r="GP14" s="3">
        <v>0</v>
      </c>
      <c r="GQ14" s="3">
        <v>70291396.189999998</v>
      </c>
      <c r="GR14" s="10">
        <v>5889819.21</v>
      </c>
      <c r="GS14" s="10">
        <v>59438179.310000002</v>
      </c>
      <c r="GT14" s="3">
        <v>0</v>
      </c>
      <c r="GU14" s="10">
        <v>65327998.520000003</v>
      </c>
      <c r="GV14" s="3">
        <v>0</v>
      </c>
      <c r="GW14" s="3">
        <v>74749000</v>
      </c>
      <c r="GX14" s="3">
        <v>0</v>
      </c>
      <c r="GY14" s="3">
        <v>74749000</v>
      </c>
      <c r="GZ14" s="3">
        <v>0</v>
      </c>
      <c r="HA14" s="3">
        <v>74749000</v>
      </c>
      <c r="HB14" s="3">
        <v>0</v>
      </c>
      <c r="HC14" s="3">
        <v>74749000</v>
      </c>
      <c r="HD14" s="3">
        <v>0</v>
      </c>
      <c r="HE14" s="3">
        <v>74749000</v>
      </c>
      <c r="HF14" s="3">
        <v>0</v>
      </c>
      <c r="HG14" s="3">
        <v>74749000</v>
      </c>
      <c r="HH14" s="3">
        <v>9066907.6899999995</v>
      </c>
      <c r="HI14" s="3">
        <v>65682092.310000002</v>
      </c>
      <c r="HJ14" s="3">
        <v>0</v>
      </c>
      <c r="HK14" s="3">
        <v>74749000</v>
      </c>
      <c r="HL14" s="3">
        <v>9066907.6899999995</v>
      </c>
      <c r="HM14" s="3">
        <v>65682092.310000002</v>
      </c>
      <c r="HN14" s="3">
        <v>0</v>
      </c>
      <c r="HO14" s="3">
        <v>74749000</v>
      </c>
      <c r="HP14" s="3">
        <v>9059907.6899999995</v>
      </c>
      <c r="HQ14" s="3">
        <v>64685321.520000003</v>
      </c>
      <c r="HR14" s="3">
        <v>0</v>
      </c>
      <c r="HS14" s="3">
        <v>73745229.209999993</v>
      </c>
      <c r="HT14" s="3">
        <v>9059907.6899999995</v>
      </c>
      <c r="HU14" s="3">
        <v>59198082.159999996</v>
      </c>
      <c r="HV14" s="3">
        <v>0</v>
      </c>
      <c r="HW14" s="3">
        <v>68257989.849999994</v>
      </c>
      <c r="HX14" s="3">
        <v>0</v>
      </c>
      <c r="HY14" s="3">
        <v>81743000</v>
      </c>
      <c r="HZ14" s="3">
        <v>0</v>
      </c>
      <c r="IA14" s="3">
        <v>81743000</v>
      </c>
      <c r="IB14" s="3">
        <v>0</v>
      </c>
      <c r="IC14" s="3">
        <v>81743000</v>
      </c>
      <c r="ID14" s="3">
        <v>0</v>
      </c>
      <c r="IE14" s="3">
        <v>81743000</v>
      </c>
      <c r="IZ14" s="3">
        <v>0</v>
      </c>
      <c r="JA14" s="3">
        <v>90830000</v>
      </c>
      <c r="JB14" s="3">
        <v>0</v>
      </c>
      <c r="JC14" s="3">
        <v>90830000</v>
      </c>
    </row>
    <row r="15" spans="1:267" x14ac:dyDescent="0.25">
      <c r="A15" t="s">
        <v>847</v>
      </c>
      <c r="B15" t="s">
        <v>848</v>
      </c>
      <c r="C15" t="s">
        <v>199</v>
      </c>
      <c r="D15" t="s">
        <v>200</v>
      </c>
      <c r="E15" t="s">
        <v>300</v>
      </c>
      <c r="F15" t="s">
        <v>851</v>
      </c>
      <c r="G15" t="s">
        <v>868</v>
      </c>
      <c r="H15" s="3">
        <v>250824000</v>
      </c>
      <c r="I15" s="3">
        <v>209534000</v>
      </c>
      <c r="J15" s="3">
        <v>0</v>
      </c>
      <c r="K15" s="3">
        <v>460358000</v>
      </c>
      <c r="L15" s="3">
        <v>250824000</v>
      </c>
      <c r="M15" s="3">
        <v>209534000</v>
      </c>
      <c r="N15" s="3">
        <v>0</v>
      </c>
      <c r="O15" s="3">
        <v>460358000</v>
      </c>
      <c r="P15" s="3">
        <v>250824000</v>
      </c>
      <c r="Q15" s="3">
        <v>209534000</v>
      </c>
      <c r="R15" s="3">
        <v>0</v>
      </c>
      <c r="S15" s="3">
        <v>460358000</v>
      </c>
      <c r="T15" s="3">
        <v>274639535.98000002</v>
      </c>
      <c r="U15" s="3">
        <v>185357002.69</v>
      </c>
      <c r="V15" s="3">
        <v>0</v>
      </c>
      <c r="W15" s="3">
        <v>459996538.67000002</v>
      </c>
      <c r="X15" s="3">
        <v>274639535.98000002</v>
      </c>
      <c r="Y15" s="3">
        <v>185357002.69</v>
      </c>
      <c r="Z15" s="3">
        <v>0</v>
      </c>
      <c r="AA15" s="3">
        <v>459996538.67000002</v>
      </c>
      <c r="AB15" s="3">
        <v>272916190.77999997</v>
      </c>
      <c r="AC15" s="3">
        <v>172598560.72999999</v>
      </c>
      <c r="AD15" s="3">
        <v>0</v>
      </c>
      <c r="AE15" s="3">
        <v>445514751.50999999</v>
      </c>
      <c r="AF15" s="3">
        <v>269814557.91000003</v>
      </c>
      <c r="AG15" s="3">
        <v>157342679.66</v>
      </c>
      <c r="AH15" s="3">
        <v>0</v>
      </c>
      <c r="AI15" s="3">
        <v>427157237.56999999</v>
      </c>
      <c r="AJ15" s="3">
        <v>280096000</v>
      </c>
      <c r="AK15" s="3">
        <v>142148000</v>
      </c>
      <c r="AL15" s="3">
        <v>0</v>
      </c>
      <c r="AM15" s="3">
        <v>422244000</v>
      </c>
      <c r="AN15" s="3">
        <v>280096000</v>
      </c>
      <c r="AO15" s="3">
        <v>142148000</v>
      </c>
      <c r="AP15" s="3">
        <v>0</v>
      </c>
      <c r="AQ15" s="3">
        <v>422244000</v>
      </c>
      <c r="AR15" s="3">
        <v>280096000</v>
      </c>
      <c r="AS15" s="3">
        <v>142148000</v>
      </c>
      <c r="AT15" s="3">
        <v>0</v>
      </c>
      <c r="AU15" s="3">
        <v>422244000</v>
      </c>
      <c r="AV15" s="3">
        <v>292632275</v>
      </c>
      <c r="AW15" s="3">
        <v>129611725</v>
      </c>
      <c r="AX15" s="3">
        <v>0</v>
      </c>
      <c r="AY15" s="3">
        <v>422244000</v>
      </c>
      <c r="AZ15" s="3">
        <v>292632275</v>
      </c>
      <c r="BA15" s="3">
        <v>129611725</v>
      </c>
      <c r="BB15" s="3">
        <v>0</v>
      </c>
      <c r="BC15" s="3">
        <v>422244000</v>
      </c>
      <c r="BD15" s="3">
        <v>292492478.19999999</v>
      </c>
      <c r="BE15" s="3">
        <v>123221329.51000001</v>
      </c>
      <c r="BF15" s="3">
        <v>0</v>
      </c>
      <c r="BG15" s="3">
        <v>415713807.70999998</v>
      </c>
      <c r="BH15" s="3">
        <v>289205061.12</v>
      </c>
      <c r="BI15" s="3">
        <v>116073742.73</v>
      </c>
      <c r="BJ15" s="3">
        <v>0</v>
      </c>
      <c r="BK15" s="3">
        <v>405278803.86000001</v>
      </c>
      <c r="BL15" s="3">
        <v>311786000</v>
      </c>
      <c r="BM15" s="3">
        <v>137269000</v>
      </c>
      <c r="BN15" s="3">
        <v>0</v>
      </c>
      <c r="BO15" s="3">
        <v>449055000</v>
      </c>
      <c r="BP15" s="3">
        <v>311786000</v>
      </c>
      <c r="BQ15" s="3">
        <v>137269000</v>
      </c>
      <c r="BR15" s="3">
        <v>0</v>
      </c>
      <c r="BS15" s="3">
        <v>449055000</v>
      </c>
      <c r="BT15" s="3">
        <v>311786000</v>
      </c>
      <c r="BU15" s="3">
        <v>137269000</v>
      </c>
      <c r="BV15" s="3">
        <v>0</v>
      </c>
      <c r="BW15" s="3">
        <v>449055000</v>
      </c>
      <c r="BX15" s="3">
        <v>331127478.33999997</v>
      </c>
      <c r="BY15" s="3">
        <v>100195340.66</v>
      </c>
      <c r="BZ15" s="3">
        <v>0</v>
      </c>
      <c r="CA15" s="3">
        <v>431322819</v>
      </c>
      <c r="CB15" s="3">
        <v>331127478.33999997</v>
      </c>
      <c r="CC15" s="3">
        <v>100195340.66</v>
      </c>
      <c r="CD15" s="3">
        <v>0</v>
      </c>
      <c r="CE15" s="3">
        <v>431322819</v>
      </c>
      <c r="CF15" s="3">
        <v>330645778.51999998</v>
      </c>
      <c r="CG15" s="3">
        <v>96640394.409999996</v>
      </c>
      <c r="CH15" s="3">
        <v>0</v>
      </c>
      <c r="CI15" s="3">
        <v>427286172.93000001</v>
      </c>
      <c r="CJ15" s="3">
        <v>320269219.80000001</v>
      </c>
      <c r="CK15" s="3">
        <v>82158898.109999999</v>
      </c>
      <c r="CL15" s="3">
        <v>0</v>
      </c>
      <c r="CM15" s="3">
        <v>402428117.91000003</v>
      </c>
      <c r="CN15" s="3">
        <v>353820000</v>
      </c>
      <c r="CO15" s="3">
        <v>158579000</v>
      </c>
      <c r="CP15" s="3">
        <v>0</v>
      </c>
      <c r="CQ15" s="3">
        <v>512399000</v>
      </c>
      <c r="CR15" s="3">
        <v>353820000</v>
      </c>
      <c r="CS15" s="3">
        <v>158579000</v>
      </c>
      <c r="CT15" s="3">
        <v>0</v>
      </c>
      <c r="CU15" s="3">
        <v>512399000</v>
      </c>
      <c r="CV15" s="3">
        <v>353820000</v>
      </c>
      <c r="CW15" s="3">
        <v>158579000</v>
      </c>
      <c r="CX15" s="3">
        <v>0</v>
      </c>
      <c r="CY15" s="3">
        <v>512399000</v>
      </c>
      <c r="CZ15" s="3">
        <v>364259415.31</v>
      </c>
      <c r="DA15" s="3">
        <v>148020078.69</v>
      </c>
      <c r="DB15" s="3">
        <v>0</v>
      </c>
      <c r="DC15" s="3">
        <v>512279494</v>
      </c>
      <c r="DD15" s="3">
        <v>364259415.31</v>
      </c>
      <c r="DE15" s="3">
        <v>148020078.69</v>
      </c>
      <c r="DF15" s="3">
        <v>0</v>
      </c>
      <c r="DG15" s="3">
        <v>512279494</v>
      </c>
      <c r="DH15" s="3">
        <v>364251464.17000002</v>
      </c>
      <c r="DI15" s="3">
        <v>129005732.27</v>
      </c>
      <c r="DJ15" s="3">
        <v>0</v>
      </c>
      <c r="DK15" s="3">
        <v>493257196.44</v>
      </c>
      <c r="DL15" s="3">
        <v>358958681.31</v>
      </c>
      <c r="DM15" s="3">
        <v>117477192.43000001</v>
      </c>
      <c r="DN15" s="3">
        <v>0</v>
      </c>
      <c r="DO15" s="3">
        <v>476435873.74000001</v>
      </c>
      <c r="DP15" s="3">
        <v>355609000</v>
      </c>
      <c r="DQ15" s="3">
        <v>158579000</v>
      </c>
      <c r="DR15" s="3">
        <v>0</v>
      </c>
      <c r="DS15" s="3">
        <v>514188000</v>
      </c>
      <c r="DT15" s="3">
        <v>355609000</v>
      </c>
      <c r="DU15" s="3">
        <v>126859000</v>
      </c>
      <c r="DV15" s="3">
        <v>0</v>
      </c>
      <c r="DW15" s="3">
        <v>482468000</v>
      </c>
      <c r="DX15" s="3">
        <v>355609000</v>
      </c>
      <c r="DY15" s="3">
        <v>126859000</v>
      </c>
      <c r="DZ15" s="3">
        <v>0</v>
      </c>
      <c r="EA15" s="3">
        <v>482468000</v>
      </c>
      <c r="EB15" s="3">
        <v>374448252.73000002</v>
      </c>
      <c r="EC15" s="3">
        <v>108019747.27</v>
      </c>
      <c r="ED15" s="3">
        <v>0</v>
      </c>
      <c r="EE15" s="3">
        <v>482468000</v>
      </c>
      <c r="EF15" s="3">
        <v>374448252.73000002</v>
      </c>
      <c r="EG15" s="3">
        <v>108019747.27</v>
      </c>
      <c r="EH15" s="3">
        <v>0</v>
      </c>
      <c r="EI15" s="3">
        <v>482468000</v>
      </c>
      <c r="EJ15" s="3">
        <v>374362901.25999999</v>
      </c>
      <c r="EK15" s="3">
        <v>101811464.55</v>
      </c>
      <c r="EL15" s="3">
        <v>0</v>
      </c>
      <c r="EM15" s="3">
        <v>476174365.81</v>
      </c>
      <c r="EN15" s="3">
        <v>371087377.18000001</v>
      </c>
      <c r="EO15" s="3">
        <v>96514435.489999995</v>
      </c>
      <c r="EP15" s="3">
        <v>0</v>
      </c>
      <c r="EQ15" s="3">
        <v>467601812.67000002</v>
      </c>
      <c r="ER15" s="3">
        <v>359743000</v>
      </c>
      <c r="ES15" s="3">
        <v>158579000</v>
      </c>
      <c r="ET15" s="3">
        <v>0</v>
      </c>
      <c r="EU15" s="3">
        <v>518322000</v>
      </c>
      <c r="EV15" s="3">
        <v>359743000</v>
      </c>
      <c r="EW15" s="3">
        <v>158579000</v>
      </c>
      <c r="EX15" s="3">
        <v>0</v>
      </c>
      <c r="EY15" s="3">
        <v>518322000</v>
      </c>
      <c r="EZ15" s="3">
        <v>359743000</v>
      </c>
      <c r="FA15" s="3">
        <v>158579000</v>
      </c>
      <c r="FB15" s="3">
        <v>0</v>
      </c>
      <c r="FC15" s="3">
        <v>518322000</v>
      </c>
      <c r="FD15" s="3">
        <v>379428142.43000001</v>
      </c>
      <c r="FE15" s="3">
        <v>138893857.56999999</v>
      </c>
      <c r="FF15" s="3">
        <v>0</v>
      </c>
      <c r="FG15" s="3">
        <v>518322000</v>
      </c>
      <c r="FH15" s="3">
        <v>379428142.43000001</v>
      </c>
      <c r="FI15" s="3">
        <v>138893857.56999999</v>
      </c>
      <c r="FJ15" s="3">
        <v>0</v>
      </c>
      <c r="FK15" s="3">
        <v>518322000</v>
      </c>
      <c r="FL15" s="3">
        <v>378949016.63</v>
      </c>
      <c r="FM15" s="3">
        <v>133882464.26000001</v>
      </c>
      <c r="FN15" s="3">
        <v>0</v>
      </c>
      <c r="FO15" s="3">
        <v>512831480.88999999</v>
      </c>
      <c r="FP15" s="3">
        <v>376873245.13999999</v>
      </c>
      <c r="FQ15" s="3">
        <v>127244606.03</v>
      </c>
      <c r="FR15" s="3">
        <v>0</v>
      </c>
      <c r="FS15" s="3">
        <v>504117851.17000002</v>
      </c>
      <c r="FT15" s="3">
        <v>365666000</v>
      </c>
      <c r="FU15" s="3">
        <v>152151000</v>
      </c>
      <c r="FV15" s="3">
        <v>0</v>
      </c>
      <c r="FW15" s="3">
        <v>517817000</v>
      </c>
      <c r="FX15" s="3">
        <v>365666000</v>
      </c>
      <c r="FY15" s="3">
        <v>152151000</v>
      </c>
      <c r="FZ15" s="3">
        <v>0</v>
      </c>
      <c r="GA15" s="3">
        <v>517817000</v>
      </c>
      <c r="GB15" s="3">
        <v>365666000</v>
      </c>
      <c r="GC15" s="3">
        <v>152151000</v>
      </c>
      <c r="GD15" s="3">
        <v>0</v>
      </c>
      <c r="GE15" s="3">
        <v>517817000</v>
      </c>
      <c r="GF15" s="3">
        <v>384723668.54000002</v>
      </c>
      <c r="GG15" s="3">
        <v>133093331.45999999</v>
      </c>
      <c r="GH15" s="3">
        <v>0</v>
      </c>
      <c r="GI15" s="3">
        <v>517817000</v>
      </c>
      <c r="GJ15" s="3">
        <v>384723668.54000002</v>
      </c>
      <c r="GK15" s="3">
        <v>133093331.45999999</v>
      </c>
      <c r="GL15" s="3">
        <v>0</v>
      </c>
      <c r="GM15" s="3">
        <v>517817000</v>
      </c>
      <c r="GN15" s="3">
        <v>384713763.88</v>
      </c>
      <c r="GO15" s="3">
        <v>128099605.13</v>
      </c>
      <c r="GP15" s="3">
        <v>0</v>
      </c>
      <c r="GQ15" s="3">
        <v>512813369.00999999</v>
      </c>
      <c r="GR15" s="10">
        <v>383895580.49000001</v>
      </c>
      <c r="GS15" s="10">
        <v>117679699.05</v>
      </c>
      <c r="GT15" s="3">
        <v>0</v>
      </c>
      <c r="GU15" s="10">
        <v>501575279.54000002</v>
      </c>
      <c r="GV15" s="3">
        <v>373189000</v>
      </c>
      <c r="GW15" s="3">
        <v>154890000</v>
      </c>
      <c r="GX15" s="3">
        <v>0</v>
      </c>
      <c r="GY15" s="3">
        <v>528079000</v>
      </c>
      <c r="GZ15" s="3">
        <v>373189000</v>
      </c>
      <c r="HA15" s="3">
        <v>154890000</v>
      </c>
      <c r="HB15" s="3">
        <v>0</v>
      </c>
      <c r="HC15" s="3">
        <v>528079000</v>
      </c>
      <c r="HD15" s="3">
        <v>373189000</v>
      </c>
      <c r="HE15" s="3">
        <v>154890000</v>
      </c>
      <c r="HF15" s="3">
        <v>0</v>
      </c>
      <c r="HG15" s="3">
        <v>528079000</v>
      </c>
      <c r="HH15" s="3">
        <v>392114970.30000001</v>
      </c>
      <c r="HI15" s="3">
        <v>135964029.69999999</v>
      </c>
      <c r="HJ15" s="3">
        <v>0</v>
      </c>
      <c r="HK15" s="3">
        <v>528079000</v>
      </c>
      <c r="HL15" s="3">
        <v>392114970.30000001</v>
      </c>
      <c r="HM15" s="3">
        <v>135964029.69999999</v>
      </c>
      <c r="HN15" s="3">
        <v>0</v>
      </c>
      <c r="HO15" s="3">
        <v>528079000</v>
      </c>
      <c r="HP15" s="3">
        <v>392024585.32999998</v>
      </c>
      <c r="HQ15" s="3">
        <v>132620515.41</v>
      </c>
      <c r="HR15" s="3">
        <v>0</v>
      </c>
      <c r="HS15" s="3">
        <v>524645100.74000001</v>
      </c>
      <c r="HT15" s="3">
        <v>389725478.89999998</v>
      </c>
      <c r="HU15" s="3">
        <v>122626492.90000001</v>
      </c>
      <c r="HV15" s="3">
        <v>0</v>
      </c>
      <c r="HW15" s="3">
        <v>512351971.80000001</v>
      </c>
      <c r="HX15" s="3">
        <v>451305000</v>
      </c>
      <c r="HY15" s="3">
        <v>159809000</v>
      </c>
      <c r="HZ15" s="3">
        <v>0</v>
      </c>
      <c r="IA15" s="3">
        <v>611114000</v>
      </c>
      <c r="IB15" s="3">
        <v>451305000</v>
      </c>
      <c r="IC15" s="3">
        <v>159809000</v>
      </c>
      <c r="ID15" s="3">
        <v>0</v>
      </c>
      <c r="IE15" s="3">
        <v>611114000</v>
      </c>
      <c r="IZ15" s="3">
        <v>558584000</v>
      </c>
      <c r="JA15" s="3">
        <v>183771000</v>
      </c>
      <c r="JB15" s="3">
        <v>0</v>
      </c>
      <c r="JC15" s="3">
        <v>742355000</v>
      </c>
    </row>
    <row r="16" spans="1:267" x14ac:dyDescent="0.25">
      <c r="A16" t="s">
        <v>847</v>
      </c>
      <c r="B16" t="s">
        <v>848</v>
      </c>
      <c r="C16" t="s">
        <v>199</v>
      </c>
      <c r="D16" t="s">
        <v>200</v>
      </c>
      <c r="E16" t="s">
        <v>313</v>
      </c>
      <c r="F16" t="s">
        <v>621</v>
      </c>
      <c r="G16" t="s">
        <v>869</v>
      </c>
      <c r="H16" s="3">
        <v>49684000</v>
      </c>
      <c r="I16" s="3">
        <v>141200000</v>
      </c>
      <c r="J16" s="3">
        <v>0</v>
      </c>
      <c r="K16" s="3">
        <v>190884000</v>
      </c>
      <c r="L16" s="3">
        <v>49684000</v>
      </c>
      <c r="M16" s="3">
        <v>141200000</v>
      </c>
      <c r="N16" s="3">
        <v>0</v>
      </c>
      <c r="O16" s="3">
        <v>190884000</v>
      </c>
      <c r="P16" s="3">
        <v>49684000</v>
      </c>
      <c r="Q16" s="3">
        <v>141200000</v>
      </c>
      <c r="R16" s="3">
        <v>0</v>
      </c>
      <c r="S16" s="3">
        <v>190884000</v>
      </c>
      <c r="T16" s="3">
        <v>55989930.25</v>
      </c>
      <c r="U16" s="3">
        <v>135068466.75</v>
      </c>
      <c r="V16" s="3">
        <v>120000</v>
      </c>
      <c r="W16" s="3">
        <v>191178397</v>
      </c>
      <c r="X16" s="3">
        <v>55989930.25</v>
      </c>
      <c r="Y16" s="3">
        <v>135068466.75</v>
      </c>
      <c r="Z16" s="3">
        <v>120000</v>
      </c>
      <c r="AA16" s="3">
        <v>191178397</v>
      </c>
      <c r="AB16" s="3">
        <v>55871089.93</v>
      </c>
      <c r="AC16" s="3">
        <v>123161204.2</v>
      </c>
      <c r="AD16" s="3">
        <v>0</v>
      </c>
      <c r="AE16" s="3">
        <v>179032294.13</v>
      </c>
      <c r="AF16" s="3">
        <v>110274648.08</v>
      </c>
      <c r="AG16" s="3">
        <v>55285478.229999997</v>
      </c>
      <c r="AH16" s="3">
        <v>0</v>
      </c>
      <c r="AI16" s="3">
        <v>165560126.31</v>
      </c>
      <c r="AJ16" s="3">
        <v>52492000</v>
      </c>
      <c r="AK16" s="3">
        <v>100790000</v>
      </c>
      <c r="AL16" s="3">
        <v>0</v>
      </c>
      <c r="AM16" s="3">
        <v>153282000</v>
      </c>
      <c r="AN16" s="3">
        <v>52492000</v>
      </c>
      <c r="AO16" s="3">
        <v>100790000</v>
      </c>
      <c r="AP16" s="3">
        <v>0</v>
      </c>
      <c r="AQ16" s="3">
        <v>153282000</v>
      </c>
      <c r="AR16" s="3">
        <v>52492000</v>
      </c>
      <c r="AS16" s="3">
        <v>100790000</v>
      </c>
      <c r="AT16" s="3">
        <v>0</v>
      </c>
      <c r="AU16" s="3">
        <v>153282000</v>
      </c>
      <c r="AV16" s="3">
        <v>54892900</v>
      </c>
      <c r="AW16" s="3">
        <v>98389100</v>
      </c>
      <c r="AX16" s="3">
        <v>0</v>
      </c>
      <c r="AY16" s="3">
        <v>153282000</v>
      </c>
      <c r="AZ16" s="3">
        <v>54892900</v>
      </c>
      <c r="BA16" s="3">
        <v>98389100</v>
      </c>
      <c r="BB16" s="3">
        <v>0</v>
      </c>
      <c r="BC16" s="3">
        <v>153282000</v>
      </c>
      <c r="BD16" s="3">
        <v>54851400.149999999</v>
      </c>
      <c r="BE16" s="3">
        <v>89652141.840000004</v>
      </c>
      <c r="BF16" s="3">
        <v>0</v>
      </c>
      <c r="BG16" s="3">
        <v>144503541.99000001</v>
      </c>
      <c r="BH16" s="3">
        <v>54580079.030000001</v>
      </c>
      <c r="BI16" s="3">
        <v>82471779.590000004</v>
      </c>
      <c r="BJ16" s="3">
        <v>0</v>
      </c>
      <c r="BK16" s="3">
        <v>137051858.62</v>
      </c>
      <c r="BL16" s="3">
        <v>51280000</v>
      </c>
      <c r="BM16" s="3">
        <v>91152000</v>
      </c>
      <c r="BN16" s="3">
        <v>0</v>
      </c>
      <c r="BO16" s="3">
        <v>142432000</v>
      </c>
      <c r="BP16" s="3">
        <v>51280000</v>
      </c>
      <c r="BQ16" s="3">
        <v>91152000</v>
      </c>
      <c r="BR16" s="3">
        <v>0</v>
      </c>
      <c r="BS16" s="3">
        <v>142432000</v>
      </c>
      <c r="BT16" s="3">
        <v>51280000</v>
      </c>
      <c r="BU16" s="3">
        <v>91152000</v>
      </c>
      <c r="BV16" s="3">
        <v>0</v>
      </c>
      <c r="BW16" s="3">
        <v>142432000</v>
      </c>
      <c r="BX16" s="3">
        <v>58767322.509999998</v>
      </c>
      <c r="BY16" s="3">
        <v>81955427.489999995</v>
      </c>
      <c r="BZ16" s="3">
        <v>0</v>
      </c>
      <c r="CA16" s="3">
        <v>140722750</v>
      </c>
      <c r="CB16" s="3">
        <v>58767322.509999998</v>
      </c>
      <c r="CC16" s="3">
        <v>81955427.489999995</v>
      </c>
      <c r="CD16" s="3">
        <v>0</v>
      </c>
      <c r="CE16" s="3">
        <v>140722750</v>
      </c>
      <c r="CF16" s="3">
        <v>58594108.170000002</v>
      </c>
      <c r="CG16" s="3">
        <v>74484214</v>
      </c>
      <c r="CH16" s="3">
        <v>0</v>
      </c>
      <c r="CI16" s="3">
        <v>133078322.17</v>
      </c>
      <c r="CJ16" s="3">
        <v>55920136.159999996</v>
      </c>
      <c r="CK16" s="3">
        <v>56721639.509999998</v>
      </c>
      <c r="CL16" s="3">
        <v>0</v>
      </c>
      <c r="CM16" s="3">
        <v>112641775.67</v>
      </c>
      <c r="CN16" s="3">
        <v>50113000</v>
      </c>
      <c r="CO16" s="3">
        <v>93608000</v>
      </c>
      <c r="CP16" s="3">
        <v>0</v>
      </c>
      <c r="CQ16" s="3">
        <v>143721000</v>
      </c>
      <c r="CR16" s="3">
        <v>50113000</v>
      </c>
      <c r="CS16" s="3">
        <v>93608000</v>
      </c>
      <c r="CT16" s="3">
        <v>0</v>
      </c>
      <c r="CU16" s="3">
        <v>143721000</v>
      </c>
      <c r="CV16" s="3">
        <v>50113000</v>
      </c>
      <c r="CW16" s="3">
        <v>93608000</v>
      </c>
      <c r="CX16" s="3">
        <v>0</v>
      </c>
      <c r="CY16" s="3">
        <v>143721000</v>
      </c>
      <c r="CZ16" s="3">
        <v>55368581.579999998</v>
      </c>
      <c r="DA16" s="3">
        <v>88472418.420000002</v>
      </c>
      <c r="DB16" s="3">
        <v>0</v>
      </c>
      <c r="DC16" s="3">
        <v>143841000</v>
      </c>
      <c r="DD16" s="3">
        <v>55368581.579999998</v>
      </c>
      <c r="DE16" s="3">
        <v>88472418.420000002</v>
      </c>
      <c r="DF16" s="3">
        <v>0</v>
      </c>
      <c r="DG16" s="3">
        <v>143841000</v>
      </c>
      <c r="DH16" s="3">
        <v>55334663.549999997</v>
      </c>
      <c r="DI16" s="3">
        <v>81133610.879999995</v>
      </c>
      <c r="DJ16" s="3">
        <v>0</v>
      </c>
      <c r="DK16" s="3">
        <v>136468274.43000001</v>
      </c>
      <c r="DL16" s="3">
        <v>54156186.93</v>
      </c>
      <c r="DM16" s="3">
        <v>72784235.420000002</v>
      </c>
      <c r="DN16" s="3">
        <v>0</v>
      </c>
      <c r="DO16" s="3">
        <v>126940422.34999999</v>
      </c>
      <c r="DP16" s="3">
        <v>51023000</v>
      </c>
      <c r="DQ16" s="3">
        <v>93608000</v>
      </c>
      <c r="DR16" s="3">
        <v>0</v>
      </c>
      <c r="DS16" s="3">
        <v>144631000</v>
      </c>
      <c r="DT16" s="3">
        <v>51023000</v>
      </c>
      <c r="DU16" s="3">
        <v>74883000</v>
      </c>
      <c r="DV16" s="3">
        <v>0</v>
      </c>
      <c r="DW16" s="3">
        <v>125906000</v>
      </c>
      <c r="DX16" s="3">
        <v>51023000</v>
      </c>
      <c r="DY16" s="3">
        <v>74883000</v>
      </c>
      <c r="DZ16" s="3">
        <v>0</v>
      </c>
      <c r="EA16" s="3">
        <v>125906000</v>
      </c>
      <c r="EB16" s="3">
        <v>55213983.82</v>
      </c>
      <c r="EC16" s="3">
        <v>70692016.180000007</v>
      </c>
      <c r="ED16" s="3">
        <v>0</v>
      </c>
      <c r="EE16" s="3">
        <v>125906000</v>
      </c>
      <c r="EF16" s="3">
        <v>55213983.82</v>
      </c>
      <c r="EG16" s="3">
        <v>70692016.180000007</v>
      </c>
      <c r="EH16" s="3">
        <v>0</v>
      </c>
      <c r="EI16" s="3">
        <v>125906000</v>
      </c>
      <c r="EJ16" s="3">
        <v>55211356.340000004</v>
      </c>
      <c r="EK16" s="3">
        <v>67194233.709999993</v>
      </c>
      <c r="EL16" s="3">
        <v>0</v>
      </c>
      <c r="EM16" s="3">
        <v>122405590.05</v>
      </c>
      <c r="EN16" s="3">
        <v>55199274.369999997</v>
      </c>
      <c r="EO16" s="3">
        <v>60920098.359999999</v>
      </c>
      <c r="EP16" s="3">
        <v>0</v>
      </c>
      <c r="EQ16" s="3">
        <v>116119372.73</v>
      </c>
      <c r="ER16" s="3">
        <v>55973000</v>
      </c>
      <c r="ES16" s="3">
        <v>100608000</v>
      </c>
      <c r="ET16" s="3">
        <v>0</v>
      </c>
      <c r="EU16" s="3">
        <v>156581000</v>
      </c>
      <c r="EV16" s="3">
        <v>55973000</v>
      </c>
      <c r="EW16" s="3">
        <v>100608000</v>
      </c>
      <c r="EX16" s="3">
        <v>0</v>
      </c>
      <c r="EY16" s="3">
        <v>156581000</v>
      </c>
      <c r="EZ16" s="3">
        <v>55973000</v>
      </c>
      <c r="FA16" s="3">
        <v>100608000</v>
      </c>
      <c r="FB16" s="3">
        <v>0</v>
      </c>
      <c r="FC16" s="3">
        <v>156581000</v>
      </c>
      <c r="FD16" s="3">
        <v>66269435.149999999</v>
      </c>
      <c r="FE16" s="3">
        <v>90311564.849999994</v>
      </c>
      <c r="FF16" s="3">
        <v>0</v>
      </c>
      <c r="FG16" s="3">
        <v>156581000</v>
      </c>
      <c r="FH16" s="3">
        <v>66269435.149999999</v>
      </c>
      <c r="FI16" s="3">
        <v>90311564.849999994</v>
      </c>
      <c r="FJ16" s="3">
        <v>0</v>
      </c>
      <c r="FK16" s="3">
        <v>156581000</v>
      </c>
      <c r="FL16" s="3">
        <v>66240293.090000004</v>
      </c>
      <c r="FM16" s="3">
        <v>79724817.069999993</v>
      </c>
      <c r="FN16" s="3">
        <v>0</v>
      </c>
      <c r="FO16" s="3">
        <v>145965110.16</v>
      </c>
      <c r="FP16" s="3">
        <v>63824388.130000003</v>
      </c>
      <c r="FQ16" s="3">
        <v>70581046.700000003</v>
      </c>
      <c r="FR16" s="3">
        <v>0</v>
      </c>
      <c r="FS16" s="3">
        <v>134405434.83000001</v>
      </c>
      <c r="FT16" s="3">
        <v>45386000</v>
      </c>
      <c r="FU16" s="3">
        <v>102419000</v>
      </c>
      <c r="FV16" s="3">
        <v>0</v>
      </c>
      <c r="FW16" s="3">
        <v>147805000</v>
      </c>
      <c r="FX16" s="3">
        <v>45386000</v>
      </c>
      <c r="FY16" s="3">
        <v>102419000</v>
      </c>
      <c r="FZ16" s="3">
        <v>0</v>
      </c>
      <c r="GA16" s="3">
        <v>147805000</v>
      </c>
      <c r="GB16" s="3">
        <v>45386000</v>
      </c>
      <c r="GC16" s="3">
        <v>102419000</v>
      </c>
      <c r="GD16" s="3">
        <v>0</v>
      </c>
      <c r="GE16" s="3">
        <v>147805000</v>
      </c>
      <c r="GF16" s="3">
        <v>49751895.950000003</v>
      </c>
      <c r="GG16" s="3">
        <v>98053104.049999997</v>
      </c>
      <c r="GH16" s="3">
        <v>0</v>
      </c>
      <c r="GI16" s="3">
        <v>147805000</v>
      </c>
      <c r="GJ16" s="3">
        <v>49751895.950000003</v>
      </c>
      <c r="GK16" s="3">
        <v>98053104.049999997</v>
      </c>
      <c r="GL16" s="3">
        <v>0</v>
      </c>
      <c r="GM16" s="3">
        <v>147805000</v>
      </c>
      <c r="GN16" s="10">
        <v>49751890.710000001</v>
      </c>
      <c r="GO16" s="10">
        <v>90564168.620000005</v>
      </c>
      <c r="GP16" s="3">
        <v>0</v>
      </c>
      <c r="GQ16" s="10">
        <v>140316059.33000001</v>
      </c>
      <c r="GR16" s="10">
        <v>49711890.710000001</v>
      </c>
      <c r="GS16" s="10">
        <v>78648161.230000004</v>
      </c>
      <c r="GT16" s="10">
        <v>0</v>
      </c>
      <c r="GU16" s="10">
        <v>128360051.94</v>
      </c>
      <c r="GV16" s="3">
        <v>46655000</v>
      </c>
      <c r="GW16" s="3">
        <v>104263000</v>
      </c>
      <c r="GX16" s="3">
        <v>0</v>
      </c>
      <c r="GY16" s="3">
        <v>150918000</v>
      </c>
      <c r="GZ16" s="3">
        <v>46655000</v>
      </c>
      <c r="HA16" s="3">
        <v>104263000</v>
      </c>
      <c r="HB16" s="3">
        <v>0</v>
      </c>
      <c r="HC16" s="3">
        <v>150918000</v>
      </c>
      <c r="HD16" s="3">
        <v>46655000</v>
      </c>
      <c r="HE16" s="3">
        <v>104263000</v>
      </c>
      <c r="HF16" s="3">
        <v>0</v>
      </c>
      <c r="HG16" s="3">
        <v>150918000</v>
      </c>
      <c r="HH16" s="3">
        <v>55524100.560000002</v>
      </c>
      <c r="HI16" s="3">
        <v>95393899.439999998</v>
      </c>
      <c r="HJ16" s="3">
        <v>0</v>
      </c>
      <c r="HK16" s="3">
        <v>150918000</v>
      </c>
      <c r="HL16" s="3">
        <v>55524100.560000002</v>
      </c>
      <c r="HM16" s="3">
        <v>95393899.439999998</v>
      </c>
      <c r="HN16" s="3">
        <v>0</v>
      </c>
      <c r="HO16" s="3">
        <v>150918000</v>
      </c>
      <c r="HP16" s="3">
        <v>55520487.880000003</v>
      </c>
      <c r="HQ16" s="3">
        <v>90617470.459999993</v>
      </c>
      <c r="HR16" s="3">
        <v>0</v>
      </c>
      <c r="HS16" s="3">
        <v>146137958.34</v>
      </c>
      <c r="HT16" s="3">
        <v>53417214.490000002</v>
      </c>
      <c r="HU16" s="3">
        <v>78864414.540000007</v>
      </c>
      <c r="HV16" s="3">
        <v>0</v>
      </c>
      <c r="HW16" s="3">
        <v>132281629.03</v>
      </c>
      <c r="HX16" s="3">
        <v>57966000</v>
      </c>
      <c r="HY16" s="3">
        <v>106140000</v>
      </c>
      <c r="HZ16" s="3">
        <v>0</v>
      </c>
      <c r="IA16" s="3">
        <v>164106000</v>
      </c>
      <c r="IB16" s="3">
        <v>57966000</v>
      </c>
      <c r="IC16" s="3">
        <v>106140000</v>
      </c>
      <c r="ID16" s="3">
        <v>0</v>
      </c>
      <c r="IE16" s="3">
        <v>164106000</v>
      </c>
      <c r="IZ16" s="3">
        <v>61924000</v>
      </c>
      <c r="JA16" s="3">
        <v>108051000</v>
      </c>
      <c r="JB16" s="3">
        <v>0</v>
      </c>
      <c r="JC16" s="3">
        <v>169975000</v>
      </c>
    </row>
    <row r="17" spans="1:263" x14ac:dyDescent="0.25">
      <c r="A17" t="s">
        <v>847</v>
      </c>
      <c r="B17" t="s">
        <v>848</v>
      </c>
      <c r="C17" t="s">
        <v>199</v>
      </c>
      <c r="D17" t="s">
        <v>200</v>
      </c>
      <c r="E17" t="s">
        <v>313</v>
      </c>
      <c r="F17" t="s">
        <v>709</v>
      </c>
      <c r="G17" t="s">
        <v>870</v>
      </c>
      <c r="H17" s="3">
        <v>556809000</v>
      </c>
      <c r="I17" s="3">
        <v>165447000</v>
      </c>
      <c r="J17" s="3">
        <v>0</v>
      </c>
      <c r="K17" s="3">
        <v>722256000</v>
      </c>
      <c r="L17" s="3">
        <v>556809000</v>
      </c>
      <c r="M17" s="3">
        <v>165447000</v>
      </c>
      <c r="N17" s="3">
        <v>0</v>
      </c>
      <c r="O17" s="3">
        <v>722256000</v>
      </c>
      <c r="P17" s="3">
        <v>556809000</v>
      </c>
      <c r="Q17" s="3">
        <v>165447000</v>
      </c>
      <c r="R17" s="3">
        <v>0</v>
      </c>
      <c r="S17" s="3">
        <v>722256000</v>
      </c>
      <c r="T17" s="3">
        <v>564380741.13</v>
      </c>
      <c r="U17" s="3">
        <v>156579728.31</v>
      </c>
      <c r="V17" s="3">
        <v>0</v>
      </c>
      <c r="W17" s="3">
        <v>720960469.44000006</v>
      </c>
      <c r="X17" s="3">
        <v>564380741.13</v>
      </c>
      <c r="Y17" s="3">
        <v>156579728.31</v>
      </c>
      <c r="Z17" s="3">
        <v>0</v>
      </c>
      <c r="AA17" s="3">
        <v>720960469.44000006</v>
      </c>
      <c r="AB17" s="3">
        <v>562637266.99000001</v>
      </c>
      <c r="AC17" s="3">
        <v>152930122.22999999</v>
      </c>
      <c r="AD17" s="3">
        <v>0</v>
      </c>
      <c r="AE17" s="3">
        <v>715567389.22000003</v>
      </c>
      <c r="AF17" s="3">
        <v>556921381.91999996</v>
      </c>
      <c r="AG17" s="3">
        <v>144865723.81</v>
      </c>
      <c r="AH17" s="3">
        <v>0</v>
      </c>
      <c r="AI17" s="3">
        <v>701787105.73000002</v>
      </c>
      <c r="AJ17" s="3">
        <v>545950000</v>
      </c>
      <c r="AK17" s="3">
        <v>97614000</v>
      </c>
      <c r="AL17" s="3">
        <v>0</v>
      </c>
      <c r="AM17" s="3">
        <v>643564000</v>
      </c>
      <c r="AN17" s="3">
        <v>545950000</v>
      </c>
      <c r="AO17" s="3">
        <v>97614000</v>
      </c>
      <c r="AP17" s="3">
        <v>0</v>
      </c>
      <c r="AQ17" s="3">
        <v>643564000</v>
      </c>
      <c r="AR17" s="3">
        <v>545950000</v>
      </c>
      <c r="AS17" s="3">
        <v>97614000</v>
      </c>
      <c r="AT17" s="3">
        <v>0</v>
      </c>
      <c r="AU17" s="3">
        <v>643564000</v>
      </c>
      <c r="AV17" s="3">
        <v>547493054.78999996</v>
      </c>
      <c r="AW17" s="3">
        <v>94753394</v>
      </c>
      <c r="AX17" s="3">
        <v>0</v>
      </c>
      <c r="AY17" s="3">
        <v>642246448.78999996</v>
      </c>
      <c r="AZ17" s="3">
        <v>547493054.78999996</v>
      </c>
      <c r="BA17" s="3">
        <v>94753394</v>
      </c>
      <c r="BB17" s="3">
        <v>0</v>
      </c>
      <c r="BC17" s="3">
        <v>642246448.78999996</v>
      </c>
      <c r="BD17" s="3">
        <v>547414463.66999996</v>
      </c>
      <c r="BE17" s="3">
        <v>93823992.629999995</v>
      </c>
      <c r="BF17" s="3">
        <v>0</v>
      </c>
      <c r="BG17" s="3">
        <v>641238456.29999995</v>
      </c>
      <c r="BH17" s="3">
        <v>545482060.63999999</v>
      </c>
      <c r="BI17" s="3">
        <v>88293200.280000001</v>
      </c>
      <c r="BJ17" s="3">
        <v>0</v>
      </c>
      <c r="BK17" s="3">
        <v>633775260.91999996</v>
      </c>
      <c r="BL17" s="3">
        <v>549491000</v>
      </c>
      <c r="BM17" s="3">
        <v>114820000</v>
      </c>
      <c r="BN17" s="3">
        <v>0</v>
      </c>
      <c r="BO17" s="3">
        <v>664311000</v>
      </c>
      <c r="BP17" s="3">
        <v>549491000</v>
      </c>
      <c r="BQ17" s="3">
        <v>114820000</v>
      </c>
      <c r="BR17" s="3">
        <v>0</v>
      </c>
      <c r="BS17" s="3">
        <v>664311000</v>
      </c>
      <c r="BT17" s="3">
        <v>549491000</v>
      </c>
      <c r="BU17" s="3">
        <v>114820000</v>
      </c>
      <c r="BV17" s="3">
        <v>0</v>
      </c>
      <c r="BW17" s="3">
        <v>664311000</v>
      </c>
      <c r="BX17" s="3">
        <v>552852961.37</v>
      </c>
      <c r="BY17" s="3">
        <v>107872288.63</v>
      </c>
      <c r="BZ17" s="3">
        <v>0</v>
      </c>
      <c r="CA17" s="3">
        <v>660725250</v>
      </c>
      <c r="CB17" s="3">
        <v>552852961.37</v>
      </c>
      <c r="CC17" s="3">
        <v>107872288.63</v>
      </c>
      <c r="CD17" s="3">
        <v>0</v>
      </c>
      <c r="CE17" s="3">
        <v>660725250</v>
      </c>
      <c r="CF17" s="3">
        <v>552828394.60000002</v>
      </c>
      <c r="CG17" s="3">
        <v>105511207.22</v>
      </c>
      <c r="CH17" s="3">
        <v>0</v>
      </c>
      <c r="CI17" s="3">
        <v>658339601.82000005</v>
      </c>
      <c r="CJ17" s="3">
        <v>542715498.88</v>
      </c>
      <c r="CK17" s="3">
        <v>98798430.780000001</v>
      </c>
      <c r="CL17" s="3">
        <v>0</v>
      </c>
      <c r="CM17" s="3">
        <v>641513929.65999997</v>
      </c>
      <c r="CN17" s="3">
        <v>605705000</v>
      </c>
      <c r="CO17" s="3">
        <v>118145000</v>
      </c>
      <c r="CP17" s="3">
        <v>0</v>
      </c>
      <c r="CQ17" s="3">
        <v>723850000</v>
      </c>
      <c r="CR17" s="3">
        <v>605705000</v>
      </c>
      <c r="CS17" s="3">
        <v>118145000</v>
      </c>
      <c r="CT17" s="3">
        <v>0</v>
      </c>
      <c r="CU17" s="3">
        <v>723850000</v>
      </c>
      <c r="CV17" s="3">
        <v>605705000</v>
      </c>
      <c r="CW17" s="3">
        <v>118145000</v>
      </c>
      <c r="CX17" s="3">
        <v>0</v>
      </c>
      <c r="CY17" s="3">
        <v>723850000</v>
      </c>
      <c r="CZ17" s="3">
        <v>611267497</v>
      </c>
      <c r="DA17" s="3">
        <v>112582503</v>
      </c>
      <c r="DB17" s="3">
        <v>0</v>
      </c>
      <c r="DC17" s="3">
        <v>723850000</v>
      </c>
      <c r="DD17" s="3">
        <v>611267497</v>
      </c>
      <c r="DE17" s="3">
        <v>112582503</v>
      </c>
      <c r="DF17" s="3">
        <v>0</v>
      </c>
      <c r="DG17" s="3">
        <v>723850000</v>
      </c>
      <c r="DH17" s="3">
        <v>611265460.25</v>
      </c>
      <c r="DI17" s="3">
        <v>111108372.73</v>
      </c>
      <c r="DJ17" s="3">
        <v>0</v>
      </c>
      <c r="DK17" s="3">
        <v>722373832.98000002</v>
      </c>
      <c r="DL17" s="3">
        <v>599959927.04999995</v>
      </c>
      <c r="DM17" s="3">
        <v>100428974.01000001</v>
      </c>
      <c r="DN17" s="3">
        <v>0</v>
      </c>
      <c r="DO17" s="3">
        <v>700388901.05999994</v>
      </c>
      <c r="DP17" s="3">
        <v>601422000</v>
      </c>
      <c r="DQ17" s="3">
        <v>118145000</v>
      </c>
      <c r="DR17" s="3">
        <v>0</v>
      </c>
      <c r="DS17" s="3">
        <v>719567000</v>
      </c>
      <c r="DT17" s="3">
        <v>601422000</v>
      </c>
      <c r="DU17" s="3">
        <v>94518000</v>
      </c>
      <c r="DV17" s="3">
        <v>0</v>
      </c>
      <c r="DW17" s="3">
        <v>695940000</v>
      </c>
      <c r="DX17" s="3">
        <v>601422000</v>
      </c>
      <c r="DY17" s="3">
        <v>94518000</v>
      </c>
      <c r="DZ17" s="3">
        <v>0</v>
      </c>
      <c r="EA17" s="3">
        <v>695940000</v>
      </c>
      <c r="EB17" s="3">
        <v>607155901.29999995</v>
      </c>
      <c r="EC17" s="3">
        <v>88784098.700000003</v>
      </c>
      <c r="ED17" s="3">
        <v>0</v>
      </c>
      <c r="EE17" s="3">
        <v>695940000</v>
      </c>
      <c r="EF17" s="3">
        <v>607155901.29999995</v>
      </c>
      <c r="EG17" s="3">
        <v>88784098.700000003</v>
      </c>
      <c r="EH17" s="3">
        <v>0</v>
      </c>
      <c r="EI17" s="3">
        <v>695940000</v>
      </c>
      <c r="EJ17" s="3">
        <v>607106227.96000004</v>
      </c>
      <c r="EK17" s="3">
        <v>88196935.900000006</v>
      </c>
      <c r="EL17" s="3">
        <v>0</v>
      </c>
      <c r="EM17" s="3">
        <v>695303163.86000001</v>
      </c>
      <c r="EN17" s="3">
        <v>601137609.70000005</v>
      </c>
      <c r="EO17" s="3">
        <v>84112257.530000001</v>
      </c>
      <c r="EP17" s="3">
        <v>0</v>
      </c>
      <c r="EQ17" s="3">
        <v>685249867.23000002</v>
      </c>
      <c r="ER17" s="3">
        <v>645012000</v>
      </c>
      <c r="ES17" s="3">
        <v>118145000</v>
      </c>
      <c r="ET17" s="3">
        <v>0</v>
      </c>
      <c r="EU17" s="3">
        <v>763157000</v>
      </c>
      <c r="EV17" s="3">
        <v>645012000</v>
      </c>
      <c r="EW17" s="3">
        <v>118145000</v>
      </c>
      <c r="EX17" s="3">
        <v>0</v>
      </c>
      <c r="EY17" s="3">
        <v>763157000</v>
      </c>
      <c r="EZ17" s="3">
        <v>645012000</v>
      </c>
      <c r="FA17" s="3">
        <v>118145000</v>
      </c>
      <c r="FB17" s="3">
        <v>0</v>
      </c>
      <c r="FC17" s="3">
        <v>763157000</v>
      </c>
      <c r="FD17" s="3">
        <v>654108446.08000004</v>
      </c>
      <c r="FE17" s="3">
        <v>109048553.92</v>
      </c>
      <c r="FF17" s="3">
        <v>0</v>
      </c>
      <c r="FG17" s="3">
        <v>763157000</v>
      </c>
      <c r="FH17" s="3">
        <v>654108446.08000004</v>
      </c>
      <c r="FI17" s="3">
        <v>109048553.92</v>
      </c>
      <c r="FJ17" s="3">
        <v>0</v>
      </c>
      <c r="FK17" s="3">
        <v>763157000</v>
      </c>
      <c r="FL17" s="3">
        <v>653929712.57000005</v>
      </c>
      <c r="FM17" s="3">
        <v>106730824.26000001</v>
      </c>
      <c r="FN17" s="3">
        <v>0</v>
      </c>
      <c r="FO17" s="3">
        <v>760660536.83000004</v>
      </c>
      <c r="FP17" s="3">
        <v>648485330.16999996</v>
      </c>
      <c r="FQ17" s="3">
        <v>102372348.28</v>
      </c>
      <c r="FR17" s="3">
        <v>0</v>
      </c>
      <c r="FS17" s="3">
        <v>750857678.46000004</v>
      </c>
      <c r="FT17" s="3">
        <v>750613000</v>
      </c>
      <c r="FU17" s="3">
        <v>120272000</v>
      </c>
      <c r="FV17" s="3">
        <v>0</v>
      </c>
      <c r="FW17" s="3">
        <v>870885000</v>
      </c>
      <c r="FX17" s="3">
        <v>750613000</v>
      </c>
      <c r="FY17" s="3">
        <v>120272000</v>
      </c>
      <c r="FZ17" s="3">
        <v>0</v>
      </c>
      <c r="GA17" s="3">
        <v>870885000</v>
      </c>
      <c r="GB17" s="3">
        <v>750613000</v>
      </c>
      <c r="GC17" s="3">
        <v>120272000</v>
      </c>
      <c r="GD17" s="3">
        <v>0</v>
      </c>
      <c r="GE17" s="3">
        <v>870885000</v>
      </c>
      <c r="GF17" s="3">
        <v>758760312.41999996</v>
      </c>
      <c r="GG17" s="3">
        <v>112124687.58</v>
      </c>
      <c r="GH17" s="3">
        <v>0</v>
      </c>
      <c r="GI17" s="3">
        <v>870885000</v>
      </c>
      <c r="GJ17" s="3">
        <v>758760312.41999996</v>
      </c>
      <c r="GK17" s="3">
        <v>112124687.58</v>
      </c>
      <c r="GL17" s="3">
        <v>0</v>
      </c>
      <c r="GM17" s="3">
        <v>870885000</v>
      </c>
      <c r="GN17" s="10">
        <v>758604943.63</v>
      </c>
      <c r="GO17" s="10">
        <v>110704449.33</v>
      </c>
      <c r="GP17" s="3">
        <v>0</v>
      </c>
      <c r="GQ17" s="10">
        <v>869309392.96000004</v>
      </c>
      <c r="GR17" s="10">
        <v>756610135.46000004</v>
      </c>
      <c r="GS17" s="10">
        <v>103061694.34</v>
      </c>
      <c r="GT17" s="10">
        <v>0</v>
      </c>
      <c r="GU17" s="10">
        <v>859671829.79999995</v>
      </c>
      <c r="GV17" s="3">
        <v>790016000</v>
      </c>
      <c r="GW17" s="3">
        <v>122437000</v>
      </c>
      <c r="GX17" s="3">
        <v>0</v>
      </c>
      <c r="GY17" s="3">
        <v>912453000</v>
      </c>
      <c r="GZ17" s="3">
        <v>790016000</v>
      </c>
      <c r="HA17" s="3">
        <v>122437000</v>
      </c>
      <c r="HB17" s="3">
        <v>0</v>
      </c>
      <c r="HC17" s="3">
        <v>912453000</v>
      </c>
      <c r="HD17" s="3">
        <v>790016000</v>
      </c>
      <c r="HE17" s="3">
        <v>122437000</v>
      </c>
      <c r="HF17" s="3">
        <v>0</v>
      </c>
      <c r="HG17" s="3">
        <v>912453000</v>
      </c>
      <c r="HH17" s="3">
        <v>797538821.71000004</v>
      </c>
      <c r="HI17" s="3">
        <v>114914178.29000001</v>
      </c>
      <c r="HJ17" s="3">
        <v>0</v>
      </c>
      <c r="HK17" s="3">
        <v>912453000</v>
      </c>
      <c r="HL17" s="3">
        <v>797538821.71000004</v>
      </c>
      <c r="HM17" s="3">
        <v>114914178.29000001</v>
      </c>
      <c r="HN17" s="3">
        <v>0</v>
      </c>
      <c r="HO17" s="3">
        <v>912453000</v>
      </c>
      <c r="HP17" s="3">
        <v>797459260.04999995</v>
      </c>
      <c r="HQ17" s="3">
        <v>114432558.03</v>
      </c>
      <c r="HR17" s="3">
        <v>0</v>
      </c>
      <c r="HS17" s="3">
        <v>911891818.58000004</v>
      </c>
      <c r="HT17" s="3">
        <v>793276816.35000002</v>
      </c>
      <c r="HU17" s="3">
        <v>107545644.04000001</v>
      </c>
      <c r="HV17" s="3">
        <v>0</v>
      </c>
      <c r="HW17" s="3">
        <v>900822460.38999999</v>
      </c>
      <c r="HX17" s="3">
        <v>902237000</v>
      </c>
      <c r="HY17" s="3">
        <v>124641000</v>
      </c>
      <c r="HZ17" s="3">
        <v>0</v>
      </c>
      <c r="IA17" s="3">
        <v>1026878000</v>
      </c>
      <c r="IB17" s="3">
        <v>902237000</v>
      </c>
      <c r="IC17" s="3">
        <v>124641000</v>
      </c>
      <c r="ID17" s="3">
        <v>0</v>
      </c>
      <c r="IE17" s="3">
        <v>1026878000</v>
      </c>
      <c r="IZ17" s="3">
        <v>967528000</v>
      </c>
      <c r="JA17" s="3">
        <v>126885000</v>
      </c>
      <c r="JB17" s="3">
        <v>0</v>
      </c>
      <c r="JC17" s="3">
        <v>1094413000</v>
      </c>
    </row>
    <row r="18" spans="1:263" x14ac:dyDescent="0.25">
      <c r="A18" t="s">
        <v>847</v>
      </c>
      <c r="B18" t="s">
        <v>848</v>
      </c>
      <c r="C18" t="s">
        <v>199</v>
      </c>
      <c r="D18" t="s">
        <v>200</v>
      </c>
      <c r="E18" t="s">
        <v>313</v>
      </c>
      <c r="F18" t="s">
        <v>710</v>
      </c>
      <c r="G18" t="s">
        <v>871</v>
      </c>
      <c r="H18" s="3">
        <v>1762000</v>
      </c>
      <c r="I18" s="3">
        <v>361290000</v>
      </c>
      <c r="J18" s="3">
        <v>0</v>
      </c>
      <c r="K18" s="3">
        <v>363052000</v>
      </c>
      <c r="L18" s="3">
        <v>1762000</v>
      </c>
      <c r="M18" s="3">
        <v>361290000</v>
      </c>
      <c r="N18" s="3">
        <v>0</v>
      </c>
      <c r="O18" s="3">
        <v>363052000</v>
      </c>
      <c r="P18" s="3">
        <v>1762000</v>
      </c>
      <c r="Q18" s="3">
        <v>361290000</v>
      </c>
      <c r="R18" s="3">
        <v>0</v>
      </c>
      <c r="S18" s="3">
        <v>363052000</v>
      </c>
      <c r="T18" s="3">
        <v>9556199.4499999993</v>
      </c>
      <c r="U18" s="3">
        <v>353495800.55000001</v>
      </c>
      <c r="V18" s="3">
        <v>0</v>
      </c>
      <c r="W18" s="3">
        <v>363052000</v>
      </c>
      <c r="X18" s="3">
        <v>9556199.4499999993</v>
      </c>
      <c r="Y18" s="3">
        <v>353495800.55000001</v>
      </c>
      <c r="Z18" s="3">
        <v>0</v>
      </c>
      <c r="AA18" s="3">
        <v>363052000</v>
      </c>
      <c r="AB18" s="3">
        <v>9254305.8699999992</v>
      </c>
      <c r="AC18" s="3">
        <v>314440219.45999998</v>
      </c>
      <c r="AD18" s="3">
        <v>0</v>
      </c>
      <c r="AE18" s="3">
        <v>323694525.32999998</v>
      </c>
      <c r="AF18" s="3">
        <v>9097305.8699999992</v>
      </c>
      <c r="AG18" s="3">
        <v>260282601.13999999</v>
      </c>
      <c r="AH18" s="3">
        <v>0</v>
      </c>
      <c r="AI18" s="3">
        <v>269379907.00999999</v>
      </c>
      <c r="AJ18" s="3">
        <v>845000</v>
      </c>
      <c r="AK18" s="3">
        <v>352492000</v>
      </c>
      <c r="AL18" s="3">
        <v>500000</v>
      </c>
      <c r="AM18" s="3">
        <v>353837000</v>
      </c>
      <c r="AN18" s="3">
        <v>845000</v>
      </c>
      <c r="AO18" s="3">
        <v>352492000</v>
      </c>
      <c r="AP18" s="3">
        <v>500000</v>
      </c>
      <c r="AQ18" s="3">
        <v>353837000</v>
      </c>
      <c r="AR18" s="3">
        <v>845000</v>
      </c>
      <c r="AS18" s="3">
        <v>352492000</v>
      </c>
      <c r="AT18" s="3">
        <v>500000</v>
      </c>
      <c r="AU18" s="3">
        <v>353837000</v>
      </c>
      <c r="AV18" s="3">
        <v>8295462</v>
      </c>
      <c r="AW18" s="3">
        <v>345041538</v>
      </c>
      <c r="AX18" s="3">
        <v>500000</v>
      </c>
      <c r="AY18" s="3">
        <v>353837000</v>
      </c>
      <c r="AZ18" s="3">
        <v>8295462</v>
      </c>
      <c r="BA18" s="3">
        <v>345041538</v>
      </c>
      <c r="BB18" s="3">
        <v>500000</v>
      </c>
      <c r="BC18" s="3">
        <v>353837000</v>
      </c>
      <c r="BD18" s="3">
        <v>8172172.9400000004</v>
      </c>
      <c r="BE18" s="3">
        <v>277084117.63999999</v>
      </c>
      <c r="BF18" s="3">
        <v>0</v>
      </c>
      <c r="BG18" s="3">
        <v>285256290.57999998</v>
      </c>
      <c r="BH18" s="3">
        <v>7410387.9400000004</v>
      </c>
      <c r="BI18" s="3">
        <v>223905793.21000001</v>
      </c>
      <c r="BJ18" s="3">
        <v>0</v>
      </c>
      <c r="BK18" s="3">
        <v>231316181.15000001</v>
      </c>
      <c r="BL18" s="3">
        <v>0</v>
      </c>
      <c r="BM18" s="3">
        <v>224182000</v>
      </c>
      <c r="BN18" s="3">
        <v>0</v>
      </c>
      <c r="BO18" s="3">
        <v>224182000</v>
      </c>
      <c r="BP18" s="3">
        <v>0</v>
      </c>
      <c r="BQ18" s="3">
        <v>224182000</v>
      </c>
      <c r="BR18" s="3">
        <v>0</v>
      </c>
      <c r="BS18" s="3">
        <v>224182000</v>
      </c>
      <c r="BT18" s="3">
        <v>0</v>
      </c>
      <c r="BU18" s="3">
        <v>224182000</v>
      </c>
      <c r="BV18" s="3">
        <v>0</v>
      </c>
      <c r="BW18" s="3">
        <v>224182000</v>
      </c>
      <c r="BX18" s="3">
        <v>6055254.0499999998</v>
      </c>
      <c r="BY18" s="3">
        <v>217039245.94999999</v>
      </c>
      <c r="BZ18" s="3">
        <v>0</v>
      </c>
      <c r="CA18" s="3">
        <v>223094500</v>
      </c>
      <c r="CB18" s="3">
        <v>6055254.0499999998</v>
      </c>
      <c r="CC18" s="3">
        <v>217039245.94999999</v>
      </c>
      <c r="CD18" s="3">
        <v>0</v>
      </c>
      <c r="CE18" s="3">
        <v>223094500</v>
      </c>
      <c r="CF18" s="3">
        <v>6026874.8799999999</v>
      </c>
      <c r="CG18" s="3">
        <v>202876326.87</v>
      </c>
      <c r="CH18" s="3">
        <v>0</v>
      </c>
      <c r="CI18" s="3">
        <v>208903201.75</v>
      </c>
      <c r="CJ18" s="3">
        <v>4288791.88</v>
      </c>
      <c r="CK18" s="3">
        <v>163033801.41</v>
      </c>
      <c r="CL18" s="3">
        <v>0</v>
      </c>
      <c r="CM18" s="3">
        <v>167322593.28999999</v>
      </c>
      <c r="CN18" s="3">
        <v>0</v>
      </c>
      <c r="CO18" s="3">
        <v>228763000</v>
      </c>
      <c r="CP18" s="3">
        <v>0</v>
      </c>
      <c r="CQ18" s="3">
        <v>228763000</v>
      </c>
      <c r="CR18" s="3">
        <v>0</v>
      </c>
      <c r="CS18" s="3">
        <v>228763000</v>
      </c>
      <c r="CT18" s="3">
        <v>0</v>
      </c>
      <c r="CU18" s="3">
        <v>228763000</v>
      </c>
      <c r="CV18" s="3">
        <v>0</v>
      </c>
      <c r="CW18" s="3">
        <v>228763000</v>
      </c>
      <c r="CX18" s="3">
        <v>0</v>
      </c>
      <c r="CY18" s="3">
        <v>228763000</v>
      </c>
      <c r="CZ18" s="3">
        <v>9430483.6699999999</v>
      </c>
      <c r="DA18" s="3">
        <v>219332516.33000001</v>
      </c>
      <c r="DB18" s="3">
        <v>0</v>
      </c>
      <c r="DC18" s="3">
        <v>228763000</v>
      </c>
      <c r="DD18" s="3">
        <v>9430483.6699999999</v>
      </c>
      <c r="DE18" s="3">
        <v>219332516.33000001</v>
      </c>
      <c r="DF18" s="3">
        <v>0</v>
      </c>
      <c r="DG18" s="3">
        <v>228763000</v>
      </c>
      <c r="DH18" s="3">
        <v>9386317</v>
      </c>
      <c r="DI18" s="3">
        <v>207985959.91999999</v>
      </c>
      <c r="DJ18" s="3">
        <v>0</v>
      </c>
      <c r="DK18" s="3">
        <v>217372276.91999999</v>
      </c>
      <c r="DL18" s="3">
        <v>9386317</v>
      </c>
      <c r="DM18" s="3">
        <v>184560351.22</v>
      </c>
      <c r="DN18" s="3">
        <v>0</v>
      </c>
      <c r="DO18" s="3">
        <v>193946668.22</v>
      </c>
      <c r="DP18" s="3">
        <v>0</v>
      </c>
      <c r="DQ18" s="3">
        <v>228763000</v>
      </c>
      <c r="DR18" s="3">
        <v>0</v>
      </c>
      <c r="DS18" s="3">
        <v>228763000</v>
      </c>
      <c r="DT18" s="3">
        <v>0</v>
      </c>
      <c r="DU18" s="3">
        <v>183010000</v>
      </c>
      <c r="DV18" s="3">
        <v>0</v>
      </c>
      <c r="DW18" s="3">
        <v>183010000</v>
      </c>
      <c r="DX18" s="3">
        <v>0</v>
      </c>
      <c r="DY18" s="3">
        <v>183010000</v>
      </c>
      <c r="DZ18" s="3">
        <v>0</v>
      </c>
      <c r="EA18" s="3">
        <v>183010000</v>
      </c>
      <c r="EB18" s="3">
        <v>10047355.42</v>
      </c>
      <c r="EC18" s="3">
        <v>172962644.58000001</v>
      </c>
      <c r="ED18" s="3">
        <v>0</v>
      </c>
      <c r="EE18" s="3">
        <v>183010000</v>
      </c>
      <c r="EF18" s="3">
        <v>10047355.42</v>
      </c>
      <c r="EG18" s="3">
        <v>172962644.58000001</v>
      </c>
      <c r="EH18" s="3">
        <v>0</v>
      </c>
      <c r="EI18" s="3">
        <v>183010000</v>
      </c>
      <c r="EJ18" s="3">
        <v>10045594.41</v>
      </c>
      <c r="EK18" s="3">
        <v>168015157.28999999</v>
      </c>
      <c r="EL18" s="3">
        <v>0</v>
      </c>
      <c r="EM18" s="3">
        <v>178060751.69999999</v>
      </c>
      <c r="EN18" s="3">
        <v>10035179.41</v>
      </c>
      <c r="EO18" s="3">
        <v>151597114.91</v>
      </c>
      <c r="EP18" s="3">
        <v>0</v>
      </c>
      <c r="EQ18" s="3">
        <v>161632294.31999999</v>
      </c>
      <c r="ER18" s="3">
        <v>0</v>
      </c>
      <c r="ES18" s="3">
        <v>228763000</v>
      </c>
      <c r="ET18" s="3">
        <v>0</v>
      </c>
      <c r="EU18" s="3">
        <v>228763000</v>
      </c>
      <c r="EV18" s="3">
        <v>0</v>
      </c>
      <c r="EW18" s="3">
        <v>228763000</v>
      </c>
      <c r="EX18" s="3">
        <v>0</v>
      </c>
      <c r="EY18" s="3">
        <v>228763000</v>
      </c>
      <c r="EZ18" s="3">
        <v>0</v>
      </c>
      <c r="FA18" s="3">
        <v>228763000</v>
      </c>
      <c r="FB18" s="3">
        <v>0</v>
      </c>
      <c r="FC18" s="3">
        <v>228763000</v>
      </c>
      <c r="FD18" s="3">
        <v>18954587.84</v>
      </c>
      <c r="FE18" s="3">
        <v>209808412.16</v>
      </c>
      <c r="FF18" s="3">
        <v>0</v>
      </c>
      <c r="FG18" s="3">
        <v>228763000</v>
      </c>
      <c r="FH18" s="3">
        <v>18954587.84</v>
      </c>
      <c r="FI18" s="3">
        <v>209808412.16</v>
      </c>
      <c r="FJ18" s="3">
        <v>0</v>
      </c>
      <c r="FK18" s="3">
        <v>228763000</v>
      </c>
      <c r="FL18" s="3">
        <v>18915387.84</v>
      </c>
      <c r="FM18" s="3">
        <v>202788268.02000001</v>
      </c>
      <c r="FN18" s="3">
        <v>0</v>
      </c>
      <c r="FO18" s="3">
        <v>221703655.86000001</v>
      </c>
      <c r="FP18" s="3">
        <v>18847687.84</v>
      </c>
      <c r="FQ18" s="3">
        <v>186717632.24000001</v>
      </c>
      <c r="FR18" s="3">
        <v>0</v>
      </c>
      <c r="FS18" s="3">
        <v>205565320.08000001</v>
      </c>
      <c r="FT18" s="3">
        <v>0</v>
      </c>
      <c r="FU18" s="3">
        <v>232881000</v>
      </c>
      <c r="FV18" s="3">
        <v>0</v>
      </c>
      <c r="FW18" s="3">
        <v>232881000</v>
      </c>
      <c r="FX18" s="3">
        <v>0</v>
      </c>
      <c r="FY18" s="3">
        <v>232881000</v>
      </c>
      <c r="FZ18" s="3">
        <v>0</v>
      </c>
      <c r="GA18" s="3">
        <v>232881000</v>
      </c>
      <c r="GB18" s="3">
        <v>0</v>
      </c>
      <c r="GC18" s="3">
        <v>232881000</v>
      </c>
      <c r="GD18" s="3">
        <v>0</v>
      </c>
      <c r="GE18" s="3">
        <v>232881000</v>
      </c>
      <c r="GF18" s="3">
        <v>15694502.65</v>
      </c>
      <c r="GG18" s="3">
        <v>217186497.34999999</v>
      </c>
      <c r="GH18" s="3">
        <v>0</v>
      </c>
      <c r="GI18" s="3">
        <v>232881000</v>
      </c>
      <c r="GJ18" s="3">
        <v>15694502.65</v>
      </c>
      <c r="GK18" s="3">
        <v>217186497.34999999</v>
      </c>
      <c r="GL18" s="3">
        <v>0</v>
      </c>
      <c r="GM18" s="3">
        <v>232881000</v>
      </c>
      <c r="GN18" s="10">
        <v>15687002.65</v>
      </c>
      <c r="GO18" s="10">
        <v>206695265.97999999</v>
      </c>
      <c r="GP18" s="3">
        <v>0</v>
      </c>
      <c r="GQ18" s="10">
        <v>222382268.63</v>
      </c>
      <c r="GR18" s="10">
        <v>15422002.65</v>
      </c>
      <c r="GS18" s="10">
        <v>184813018.58000001</v>
      </c>
      <c r="GT18" s="10">
        <v>0</v>
      </c>
      <c r="GU18" s="10">
        <v>200235021.22999999</v>
      </c>
      <c r="GV18" s="3">
        <v>0</v>
      </c>
      <c r="GW18" s="3">
        <v>237073000</v>
      </c>
      <c r="GX18" s="3">
        <v>0</v>
      </c>
      <c r="GY18" s="3">
        <v>237073000</v>
      </c>
      <c r="GZ18" s="3">
        <v>0</v>
      </c>
      <c r="HA18" s="3">
        <v>237073000</v>
      </c>
      <c r="HB18" s="3">
        <v>0</v>
      </c>
      <c r="HC18" s="3">
        <v>237073000</v>
      </c>
      <c r="HD18" s="3">
        <v>0</v>
      </c>
      <c r="HE18" s="3">
        <v>237073000</v>
      </c>
      <c r="HF18" s="3">
        <v>0</v>
      </c>
      <c r="HG18" s="3">
        <v>237073000</v>
      </c>
      <c r="HH18" s="3">
        <v>17753985.84</v>
      </c>
      <c r="HI18" s="3">
        <v>219319014.16</v>
      </c>
      <c r="HJ18" s="3">
        <v>0</v>
      </c>
      <c r="HK18" s="3">
        <v>237073000</v>
      </c>
      <c r="HL18" s="3">
        <v>17753985.84</v>
      </c>
      <c r="HM18" s="3">
        <v>219319014.16</v>
      </c>
      <c r="HN18" s="3">
        <v>0</v>
      </c>
      <c r="HO18" s="3">
        <v>237073000</v>
      </c>
      <c r="HP18" s="3">
        <v>17753985.84</v>
      </c>
      <c r="HQ18" s="3">
        <v>214820829.80000001</v>
      </c>
      <c r="HR18" s="3">
        <v>0</v>
      </c>
      <c r="HS18" s="3">
        <v>232574815.63999999</v>
      </c>
      <c r="HT18" s="3">
        <v>17696485.84</v>
      </c>
      <c r="HU18" s="3">
        <v>193023581.44999999</v>
      </c>
      <c r="HV18" s="3">
        <v>0</v>
      </c>
      <c r="HW18" s="3">
        <v>210720067.28999999</v>
      </c>
      <c r="HX18" s="3">
        <v>0</v>
      </c>
      <c r="HY18" s="3">
        <v>241340000</v>
      </c>
      <c r="HZ18" s="3">
        <v>0</v>
      </c>
      <c r="IA18" s="3">
        <v>241340000</v>
      </c>
      <c r="IB18" s="3">
        <v>0</v>
      </c>
      <c r="IC18" s="3">
        <v>241340000</v>
      </c>
      <c r="ID18" s="3">
        <v>0</v>
      </c>
      <c r="IE18" s="3">
        <v>241340000</v>
      </c>
      <c r="IZ18" s="3">
        <v>0</v>
      </c>
      <c r="JA18" s="3">
        <v>262393000</v>
      </c>
      <c r="JB18" s="3">
        <v>0</v>
      </c>
      <c r="JC18" s="3">
        <v>262393000</v>
      </c>
    </row>
    <row r="19" spans="1:263" x14ac:dyDescent="0.25">
      <c r="A19" t="s">
        <v>847</v>
      </c>
      <c r="B19" t="s">
        <v>848</v>
      </c>
      <c r="C19" t="s">
        <v>199</v>
      </c>
      <c r="D19" t="s">
        <v>200</v>
      </c>
      <c r="E19" t="s">
        <v>313</v>
      </c>
      <c r="F19" t="s">
        <v>852</v>
      </c>
      <c r="G19" t="s">
        <v>872</v>
      </c>
      <c r="H19" s="3">
        <v>0</v>
      </c>
      <c r="I19" s="3">
        <v>602547000</v>
      </c>
      <c r="J19" s="3">
        <v>0</v>
      </c>
      <c r="K19" s="3">
        <v>602547000</v>
      </c>
      <c r="L19" s="3">
        <v>0</v>
      </c>
      <c r="M19" s="3">
        <v>602547000</v>
      </c>
      <c r="N19" s="3">
        <v>0</v>
      </c>
      <c r="O19" s="3">
        <v>602547000</v>
      </c>
      <c r="P19" s="3">
        <v>0</v>
      </c>
      <c r="Q19" s="3">
        <v>602547000</v>
      </c>
      <c r="R19" s="3">
        <v>0</v>
      </c>
      <c r="S19" s="3">
        <v>602547000</v>
      </c>
      <c r="T19" s="3">
        <v>1766988</v>
      </c>
      <c r="U19" s="3">
        <v>600780012</v>
      </c>
      <c r="V19" s="3">
        <v>0</v>
      </c>
      <c r="W19" s="3">
        <v>602547000</v>
      </c>
      <c r="X19" s="3">
        <v>1766988</v>
      </c>
      <c r="Y19" s="3">
        <v>600780012</v>
      </c>
      <c r="Z19" s="3">
        <v>0</v>
      </c>
      <c r="AA19" s="3">
        <v>602547000</v>
      </c>
      <c r="AB19" s="3">
        <v>1682738</v>
      </c>
      <c r="AC19" s="3">
        <v>429612539.91000003</v>
      </c>
      <c r="AD19" s="3">
        <v>0</v>
      </c>
      <c r="AE19" s="3">
        <v>431295277.91000003</v>
      </c>
      <c r="AF19" s="3">
        <v>1617054.57</v>
      </c>
      <c r="AG19" s="3">
        <v>136734415.63999999</v>
      </c>
      <c r="AH19" s="3">
        <v>0</v>
      </c>
      <c r="AI19" s="3">
        <v>138351470.31</v>
      </c>
      <c r="AJ19" s="3">
        <v>0</v>
      </c>
      <c r="AK19" s="3">
        <v>366000000</v>
      </c>
      <c r="AL19" s="3">
        <v>0</v>
      </c>
      <c r="AM19" s="3">
        <v>366000000</v>
      </c>
      <c r="AN19" s="3">
        <v>0</v>
      </c>
      <c r="AO19" s="3">
        <v>366000000</v>
      </c>
      <c r="AP19" s="3">
        <v>0</v>
      </c>
      <c r="AQ19" s="3">
        <v>366000000</v>
      </c>
      <c r="AR19" s="3">
        <v>0</v>
      </c>
      <c r="AS19" s="3">
        <v>366000000</v>
      </c>
      <c r="AT19" s="3">
        <v>0</v>
      </c>
      <c r="AU19" s="3">
        <v>366000000</v>
      </c>
      <c r="AV19" s="3">
        <v>1217960</v>
      </c>
      <c r="AW19" s="3">
        <v>364782040</v>
      </c>
      <c r="AX19" s="3">
        <v>0</v>
      </c>
      <c r="AY19" s="3">
        <v>366000000</v>
      </c>
      <c r="AZ19" s="3">
        <v>1217960</v>
      </c>
      <c r="BA19" s="3">
        <v>364782040</v>
      </c>
      <c r="BB19" s="3">
        <v>0</v>
      </c>
      <c r="BC19" s="3">
        <v>366000000</v>
      </c>
      <c r="BD19" s="3">
        <v>1114418.1399999999</v>
      </c>
      <c r="BE19" s="3">
        <v>343001029.91000003</v>
      </c>
      <c r="BF19" s="3">
        <v>0</v>
      </c>
      <c r="BG19" s="3">
        <v>344115448.05000001</v>
      </c>
      <c r="BH19" s="3">
        <v>1099834.81</v>
      </c>
      <c r="BI19" s="3">
        <v>263037445.56</v>
      </c>
      <c r="BJ19" s="3">
        <v>0</v>
      </c>
      <c r="BK19" s="3">
        <v>264137280.37</v>
      </c>
      <c r="BL19" s="3">
        <v>0</v>
      </c>
      <c r="BM19" s="3">
        <v>298423000</v>
      </c>
      <c r="BN19" s="3">
        <v>0</v>
      </c>
      <c r="BO19" s="3">
        <v>298423000</v>
      </c>
      <c r="BP19" s="3">
        <v>0</v>
      </c>
      <c r="BQ19" s="3">
        <v>298423000</v>
      </c>
      <c r="BR19" s="3">
        <v>0</v>
      </c>
      <c r="BS19" s="3">
        <v>298423000</v>
      </c>
      <c r="BT19" s="3">
        <v>0</v>
      </c>
      <c r="BU19" s="3">
        <v>298423000</v>
      </c>
      <c r="BV19" s="3">
        <v>0</v>
      </c>
      <c r="BW19" s="3">
        <v>298423000</v>
      </c>
      <c r="BX19" s="3">
        <v>8875653.25</v>
      </c>
      <c r="BY19" s="3">
        <v>278072346.75</v>
      </c>
      <c r="BZ19" s="3">
        <v>0</v>
      </c>
      <c r="CA19" s="3">
        <v>286948000</v>
      </c>
      <c r="CB19" s="3">
        <v>8875653.25</v>
      </c>
      <c r="CC19" s="3">
        <v>278072346.75</v>
      </c>
      <c r="CD19" s="3">
        <v>0</v>
      </c>
      <c r="CE19" s="3">
        <v>286948000</v>
      </c>
      <c r="CF19" s="3">
        <v>8765444.8699999992</v>
      </c>
      <c r="CG19" s="3">
        <v>261444746.97999999</v>
      </c>
      <c r="CH19" s="3">
        <v>0</v>
      </c>
      <c r="CI19" s="3">
        <v>270210191.85000002</v>
      </c>
      <c r="CJ19" s="3">
        <v>5284225.79</v>
      </c>
      <c r="CK19" s="3">
        <v>173994767.41999999</v>
      </c>
      <c r="CL19" s="3">
        <v>0</v>
      </c>
      <c r="CM19" s="3">
        <v>179278993.21000001</v>
      </c>
      <c r="CN19" s="3">
        <v>0</v>
      </c>
      <c r="CO19" s="3">
        <v>301012000</v>
      </c>
      <c r="CP19" s="3">
        <v>0</v>
      </c>
      <c r="CQ19" s="3">
        <v>301012000</v>
      </c>
      <c r="CR19" s="3">
        <v>0</v>
      </c>
      <c r="CS19" s="3">
        <v>301012000</v>
      </c>
      <c r="CT19" s="3">
        <v>0</v>
      </c>
      <c r="CU19" s="3">
        <v>301012000</v>
      </c>
      <c r="CV19" s="3">
        <v>0</v>
      </c>
      <c r="CW19" s="3">
        <v>301012000</v>
      </c>
      <c r="CX19" s="3">
        <v>0</v>
      </c>
      <c r="CY19" s="3">
        <v>301012000</v>
      </c>
      <c r="CZ19" s="3">
        <v>3758926</v>
      </c>
      <c r="DA19" s="3">
        <v>297253074</v>
      </c>
      <c r="DB19" s="3">
        <v>0</v>
      </c>
      <c r="DC19" s="3">
        <v>301012000</v>
      </c>
      <c r="DD19" s="3">
        <v>3758926</v>
      </c>
      <c r="DE19" s="3">
        <v>297253074</v>
      </c>
      <c r="DF19" s="3">
        <v>0</v>
      </c>
      <c r="DG19" s="3">
        <v>301012000</v>
      </c>
      <c r="DH19" s="3">
        <v>3626008.66</v>
      </c>
      <c r="DI19" s="3">
        <v>287556776.91000003</v>
      </c>
      <c r="DJ19" s="3">
        <v>0</v>
      </c>
      <c r="DK19" s="3">
        <v>291182785.56999999</v>
      </c>
      <c r="DL19" s="3">
        <v>3626008.66</v>
      </c>
      <c r="DM19" s="3">
        <v>261378142.62</v>
      </c>
      <c r="DN19" s="3">
        <v>0</v>
      </c>
      <c r="DO19" s="3">
        <v>265004151.28</v>
      </c>
      <c r="DP19" s="3">
        <v>0</v>
      </c>
      <c r="DQ19" s="3">
        <v>301012000</v>
      </c>
      <c r="DR19" s="3">
        <v>0</v>
      </c>
      <c r="DS19" s="3">
        <v>301012000</v>
      </c>
      <c r="DT19" s="3">
        <v>0</v>
      </c>
      <c r="DU19" s="3">
        <v>240810000</v>
      </c>
      <c r="DV19" s="3">
        <v>0</v>
      </c>
      <c r="DW19" s="3">
        <v>240810000</v>
      </c>
      <c r="DX19" s="3">
        <v>0</v>
      </c>
      <c r="DY19" s="3">
        <v>240810000</v>
      </c>
      <c r="DZ19" s="3">
        <v>0</v>
      </c>
      <c r="EA19" s="3">
        <v>240810000</v>
      </c>
      <c r="EB19" s="3">
        <v>8254408</v>
      </c>
      <c r="EC19" s="3">
        <v>232555592</v>
      </c>
      <c r="ED19" s="3">
        <v>0</v>
      </c>
      <c r="EE19" s="3">
        <v>240810000</v>
      </c>
      <c r="EF19" s="3">
        <v>8254408</v>
      </c>
      <c r="EG19" s="3">
        <v>232555592</v>
      </c>
      <c r="EH19" s="3">
        <v>0</v>
      </c>
      <c r="EI19" s="3">
        <v>240810000</v>
      </c>
      <c r="EJ19" s="3">
        <v>8187568.5599999996</v>
      </c>
      <c r="EK19" s="3">
        <v>226104072.84999999</v>
      </c>
      <c r="EL19" s="3">
        <v>0</v>
      </c>
      <c r="EM19" s="3">
        <v>234291641.41</v>
      </c>
      <c r="EN19" s="3">
        <v>8170818.5599999996</v>
      </c>
      <c r="EO19" s="3">
        <v>210078915.22</v>
      </c>
      <c r="EP19" s="3">
        <v>0</v>
      </c>
      <c r="EQ19" s="3">
        <v>218249733.78</v>
      </c>
      <c r="ER19" s="3">
        <v>0</v>
      </c>
      <c r="ES19" s="3">
        <v>418857000</v>
      </c>
      <c r="ET19" s="3">
        <v>0</v>
      </c>
      <c r="EU19" s="3">
        <v>418857000</v>
      </c>
      <c r="EV19" s="3">
        <v>0</v>
      </c>
      <c r="EW19" s="3">
        <v>418857000</v>
      </c>
      <c r="EX19" s="3">
        <v>0</v>
      </c>
      <c r="EY19" s="3">
        <v>418857000</v>
      </c>
      <c r="EZ19" s="3">
        <v>0</v>
      </c>
      <c r="FA19" s="3">
        <v>418857000</v>
      </c>
      <c r="FB19" s="3">
        <v>0</v>
      </c>
      <c r="FC19" s="3">
        <v>418857000</v>
      </c>
      <c r="FD19" s="3">
        <v>28310713.309999999</v>
      </c>
      <c r="FE19" s="3">
        <v>390546286.69</v>
      </c>
      <c r="FF19" s="3">
        <v>0</v>
      </c>
      <c r="FG19" s="3">
        <v>418857000</v>
      </c>
      <c r="FH19" s="3">
        <v>28310713.309999999</v>
      </c>
      <c r="FI19" s="3">
        <v>390546286.69</v>
      </c>
      <c r="FJ19" s="3">
        <v>0</v>
      </c>
      <c r="FK19" s="3">
        <v>418857000</v>
      </c>
      <c r="FL19" s="3">
        <v>28223805.960000001</v>
      </c>
      <c r="FM19" s="3">
        <v>314655535.39999998</v>
      </c>
      <c r="FN19" s="3">
        <v>0</v>
      </c>
      <c r="FO19" s="3">
        <v>342879341.36000001</v>
      </c>
      <c r="FP19" s="3">
        <v>28191305.960000001</v>
      </c>
      <c r="FQ19" s="3">
        <v>275631699.31999999</v>
      </c>
      <c r="FR19" s="3">
        <v>0</v>
      </c>
      <c r="FS19" s="3">
        <v>303823005.27999997</v>
      </c>
      <c r="FT19" s="3">
        <v>0</v>
      </c>
      <c r="FU19" s="3">
        <v>426396000</v>
      </c>
      <c r="FV19" s="3">
        <v>0</v>
      </c>
      <c r="FW19" s="3">
        <v>426396000</v>
      </c>
      <c r="FX19" s="3">
        <v>0</v>
      </c>
      <c r="FY19" s="3">
        <v>426396000</v>
      </c>
      <c r="FZ19" s="3">
        <v>0</v>
      </c>
      <c r="GA19" s="3">
        <v>426396000</v>
      </c>
      <c r="GB19" s="3">
        <v>0</v>
      </c>
      <c r="GC19" s="3">
        <v>426396000</v>
      </c>
      <c r="GD19" s="3">
        <v>0</v>
      </c>
      <c r="GE19" s="3">
        <v>426396000</v>
      </c>
      <c r="GF19" s="3">
        <v>11301880.57</v>
      </c>
      <c r="GG19" s="3">
        <v>415094119.43000001</v>
      </c>
      <c r="GH19" s="3">
        <v>0</v>
      </c>
      <c r="GI19" s="3">
        <v>426396000</v>
      </c>
      <c r="GJ19" s="3">
        <v>11301880.57</v>
      </c>
      <c r="GK19" s="3">
        <v>415094119.43000001</v>
      </c>
      <c r="GL19" s="3">
        <v>0</v>
      </c>
      <c r="GM19" s="3">
        <v>426396000</v>
      </c>
      <c r="GN19" s="10">
        <v>11271356.67</v>
      </c>
      <c r="GO19" s="10">
        <v>400750977.85000002</v>
      </c>
      <c r="GP19" s="3">
        <v>0</v>
      </c>
      <c r="GQ19" s="10">
        <v>412022334.51999998</v>
      </c>
      <c r="GR19" s="10">
        <v>11001356.67</v>
      </c>
      <c r="GS19" s="10">
        <v>362609559.13</v>
      </c>
      <c r="GT19" s="10">
        <v>0</v>
      </c>
      <c r="GU19" s="10">
        <v>373610915.80000001</v>
      </c>
      <c r="GV19" s="3">
        <v>0</v>
      </c>
      <c r="GW19" s="3">
        <v>434071000</v>
      </c>
      <c r="GX19" s="3">
        <v>0</v>
      </c>
      <c r="GY19" s="3">
        <v>434071000</v>
      </c>
      <c r="GZ19" s="3">
        <v>0</v>
      </c>
      <c r="HA19" s="3">
        <v>434071000</v>
      </c>
      <c r="HB19" s="3">
        <v>0</v>
      </c>
      <c r="HC19" s="3">
        <v>434071000</v>
      </c>
      <c r="HD19" s="3">
        <v>0</v>
      </c>
      <c r="HE19" s="3">
        <v>434071000</v>
      </c>
      <c r="HF19" s="3">
        <v>0</v>
      </c>
      <c r="HG19" s="3">
        <v>434071000</v>
      </c>
      <c r="HH19" s="3">
        <v>10835619.699999999</v>
      </c>
      <c r="HI19" s="3">
        <v>423235380.30000001</v>
      </c>
      <c r="HJ19" s="3">
        <v>0</v>
      </c>
      <c r="HK19" s="3">
        <v>434071000</v>
      </c>
      <c r="HL19" s="3">
        <v>10835619.699999999</v>
      </c>
      <c r="HM19" s="3">
        <v>423235380.30000001</v>
      </c>
      <c r="HN19" s="3">
        <v>0</v>
      </c>
      <c r="HO19" s="3">
        <v>434071000</v>
      </c>
      <c r="HP19" s="3">
        <v>10835619.699999999</v>
      </c>
      <c r="HQ19" s="3">
        <v>417884224.91000003</v>
      </c>
      <c r="HR19" s="3">
        <v>0</v>
      </c>
      <c r="HS19" s="3">
        <v>428719844.61000001</v>
      </c>
      <c r="HT19" s="3">
        <v>10835619.699999999</v>
      </c>
      <c r="HU19" s="3">
        <v>398931392.39999998</v>
      </c>
      <c r="HV19" s="3">
        <v>0</v>
      </c>
      <c r="HW19" s="3">
        <v>409767012.10000002</v>
      </c>
      <c r="HX19" s="3">
        <v>0</v>
      </c>
      <c r="HY19" s="3">
        <v>441883000</v>
      </c>
      <c r="HZ19" s="3">
        <v>0</v>
      </c>
      <c r="IA19" s="3">
        <v>441883000</v>
      </c>
      <c r="IB19" s="3">
        <v>0</v>
      </c>
      <c r="IC19" s="3">
        <v>441883000</v>
      </c>
      <c r="ID19" s="3">
        <v>435000000</v>
      </c>
      <c r="IE19" s="3">
        <v>876883000</v>
      </c>
      <c r="IZ19" s="3">
        <v>0</v>
      </c>
      <c r="JA19" s="3">
        <v>949837000</v>
      </c>
      <c r="JB19" s="3">
        <v>0</v>
      </c>
      <c r="JC19" s="3">
        <v>949837000</v>
      </c>
    </row>
    <row r="20" spans="1:263" x14ac:dyDescent="0.25">
      <c r="A20" t="s">
        <v>847</v>
      </c>
      <c r="B20" t="s">
        <v>848</v>
      </c>
      <c r="C20" t="s">
        <v>199</v>
      </c>
      <c r="D20" t="s">
        <v>200</v>
      </c>
      <c r="E20" t="s">
        <v>313</v>
      </c>
      <c r="F20" t="s">
        <v>711</v>
      </c>
      <c r="G20" t="s">
        <v>876</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v>0</v>
      </c>
      <c r="ES20" s="3">
        <v>0</v>
      </c>
      <c r="ET20" s="3">
        <v>0</v>
      </c>
      <c r="EU20" s="3">
        <v>0</v>
      </c>
      <c r="EV20" s="3">
        <v>0</v>
      </c>
      <c r="EW20" s="3">
        <v>0</v>
      </c>
      <c r="EX20" s="3">
        <v>20000000</v>
      </c>
      <c r="EY20" s="3">
        <v>20000000</v>
      </c>
      <c r="EZ20" s="3">
        <v>0</v>
      </c>
      <c r="FA20" s="3">
        <v>0</v>
      </c>
      <c r="FB20" s="3">
        <v>20000000</v>
      </c>
      <c r="FC20" s="3">
        <v>20000000</v>
      </c>
      <c r="FD20" s="3">
        <v>0</v>
      </c>
      <c r="FE20" s="3">
        <v>0</v>
      </c>
      <c r="FF20" s="3">
        <v>20000000</v>
      </c>
      <c r="FG20" s="3">
        <v>20000000</v>
      </c>
      <c r="FH20" s="3">
        <v>0</v>
      </c>
      <c r="FI20" s="3">
        <v>0</v>
      </c>
      <c r="FJ20" s="3">
        <v>0</v>
      </c>
      <c r="FK20" s="3">
        <v>0</v>
      </c>
      <c r="FL20" s="3">
        <v>0</v>
      </c>
      <c r="FM20" s="3">
        <v>0</v>
      </c>
      <c r="FN20" s="3">
        <v>0</v>
      </c>
      <c r="FO20" s="3">
        <v>0</v>
      </c>
      <c r="FP20" s="3">
        <v>0</v>
      </c>
      <c r="FQ20" s="3">
        <v>0</v>
      </c>
      <c r="FR20" s="3">
        <v>0</v>
      </c>
      <c r="FS20" s="3">
        <v>0</v>
      </c>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row>
    <row r="21" spans="1:263" x14ac:dyDescent="0.25">
      <c r="A21" t="s">
        <v>847</v>
      </c>
      <c r="B21" t="s">
        <v>848</v>
      </c>
      <c r="C21" t="s">
        <v>199</v>
      </c>
      <c r="D21" t="s">
        <v>200</v>
      </c>
      <c r="E21" t="s">
        <v>313</v>
      </c>
      <c r="F21" t="s">
        <v>712</v>
      </c>
      <c r="G21" t="s">
        <v>877</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v>0</v>
      </c>
      <c r="ES21" s="3">
        <v>0</v>
      </c>
      <c r="ET21" s="3">
        <v>0</v>
      </c>
      <c r="EU21" s="3">
        <v>0</v>
      </c>
      <c r="EV21" s="3">
        <v>0</v>
      </c>
      <c r="EW21" s="3">
        <v>0</v>
      </c>
      <c r="EX21" s="3">
        <v>6000000</v>
      </c>
      <c r="EY21" s="3">
        <v>6000000</v>
      </c>
      <c r="EZ21" s="3">
        <v>0</v>
      </c>
      <c r="FA21" s="3">
        <v>0</v>
      </c>
      <c r="FB21" s="3">
        <v>6000000</v>
      </c>
      <c r="FC21" s="3">
        <v>6000000</v>
      </c>
      <c r="FD21" s="3">
        <v>0</v>
      </c>
      <c r="FE21" s="3">
        <v>0</v>
      </c>
      <c r="FF21" s="3">
        <v>6000000</v>
      </c>
      <c r="FG21" s="3">
        <v>6000000</v>
      </c>
      <c r="FH21" s="3">
        <v>0</v>
      </c>
      <c r="FI21" s="3">
        <v>0</v>
      </c>
      <c r="FJ21" s="3">
        <v>6000000</v>
      </c>
      <c r="FK21" s="3">
        <v>6000000</v>
      </c>
      <c r="FL21" s="3">
        <v>0</v>
      </c>
      <c r="FM21" s="3">
        <v>0</v>
      </c>
      <c r="FN21" s="3">
        <v>5849843.7199999997</v>
      </c>
      <c r="FO21" s="3">
        <v>5849843.7199999997</v>
      </c>
      <c r="FP21" s="3">
        <v>0</v>
      </c>
      <c r="FQ21" s="3">
        <v>0</v>
      </c>
      <c r="FR21" s="3">
        <v>1803826.56</v>
      </c>
      <c r="FS21" s="3">
        <v>1803826.56</v>
      </c>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row>
    <row r="22" spans="1:263" x14ac:dyDescent="0.25">
      <c r="A22" t="s">
        <v>847</v>
      </c>
      <c r="B22" t="s">
        <v>848</v>
      </c>
      <c r="C22" t="s">
        <v>199</v>
      </c>
      <c r="D22" t="s">
        <v>200</v>
      </c>
      <c r="E22" t="s">
        <v>313</v>
      </c>
      <c r="F22" t="s">
        <v>853</v>
      </c>
      <c r="G22" t="s">
        <v>878</v>
      </c>
      <c r="H22" s="3">
        <v>0</v>
      </c>
      <c r="I22" s="3">
        <v>239976000</v>
      </c>
      <c r="J22" s="3">
        <v>24873000</v>
      </c>
      <c r="K22" s="3">
        <v>264849000</v>
      </c>
      <c r="L22" s="3">
        <v>0</v>
      </c>
      <c r="M22" s="3">
        <v>239976000</v>
      </c>
      <c r="N22" s="3">
        <v>24873000</v>
      </c>
      <c r="O22" s="3">
        <v>264849000</v>
      </c>
      <c r="P22" s="3"/>
      <c r="Q22" s="3"/>
      <c r="R22" s="3"/>
      <c r="S22" s="3"/>
      <c r="T22" s="3"/>
      <c r="U22" s="3"/>
      <c r="V22" s="3"/>
      <c r="W22" s="3"/>
      <c r="X22" s="3"/>
      <c r="Y22" s="3"/>
      <c r="Z22" s="3"/>
      <c r="AA22" s="3"/>
      <c r="AB22" s="3"/>
      <c r="AC22" s="3"/>
      <c r="AD22" s="3"/>
      <c r="AE22" s="3"/>
      <c r="AF22" s="3"/>
      <c r="AG22" s="3"/>
      <c r="AH22" s="3"/>
      <c r="AI22" s="3"/>
      <c r="AJ22" s="3">
        <v>0</v>
      </c>
      <c r="AK22" s="3">
        <v>29580000</v>
      </c>
      <c r="AL22" s="3">
        <v>191000</v>
      </c>
      <c r="AM22" s="3">
        <v>29771000</v>
      </c>
      <c r="AN22" s="3">
        <v>0</v>
      </c>
      <c r="AO22" s="3">
        <v>29580000</v>
      </c>
      <c r="AP22" s="3">
        <v>191000</v>
      </c>
      <c r="AQ22" s="3">
        <v>29771000</v>
      </c>
      <c r="AR22" s="3">
        <v>0</v>
      </c>
      <c r="AS22" s="3">
        <v>29580000</v>
      </c>
      <c r="AT22" s="3">
        <v>191000</v>
      </c>
      <c r="AU22" s="3">
        <v>29771000</v>
      </c>
      <c r="AV22" s="3">
        <v>0</v>
      </c>
      <c r="AW22" s="3">
        <v>29580000</v>
      </c>
      <c r="AX22" s="3">
        <v>191000</v>
      </c>
      <c r="AY22" s="3">
        <v>29771000</v>
      </c>
      <c r="AZ22" s="3">
        <v>0</v>
      </c>
      <c r="BA22" s="3">
        <v>29580000</v>
      </c>
      <c r="BB22" s="3">
        <v>191000</v>
      </c>
      <c r="BC22" s="3">
        <v>29771000</v>
      </c>
      <c r="BD22" s="3">
        <v>0</v>
      </c>
      <c r="BE22" s="3">
        <v>20337754.399999999</v>
      </c>
      <c r="BF22" s="3">
        <v>0</v>
      </c>
      <c r="BG22" s="3">
        <v>20337754.399999999</v>
      </c>
      <c r="BH22" s="3">
        <v>0</v>
      </c>
      <c r="BI22" s="3">
        <v>18218856.41</v>
      </c>
      <c r="BJ22" s="3">
        <v>0</v>
      </c>
      <c r="BK22" s="3">
        <v>18218856.41</v>
      </c>
      <c r="BL22" s="3">
        <v>0</v>
      </c>
      <c r="BM22" s="3">
        <v>339127000</v>
      </c>
      <c r="BN22" s="3">
        <v>37487000</v>
      </c>
      <c r="BO22" s="3">
        <v>376614000</v>
      </c>
      <c r="BP22" s="3">
        <v>0</v>
      </c>
      <c r="BQ22" s="3">
        <v>339127000</v>
      </c>
      <c r="BR22" s="3">
        <v>37487000</v>
      </c>
      <c r="BS22" s="3">
        <v>376614000</v>
      </c>
      <c r="BT22" s="3">
        <v>0</v>
      </c>
      <c r="BU22" s="3">
        <v>339127000</v>
      </c>
      <c r="BV22" s="3">
        <v>37487000</v>
      </c>
      <c r="BW22" s="3">
        <v>376614000</v>
      </c>
      <c r="BX22" s="3">
        <v>0</v>
      </c>
      <c r="BY22" s="3">
        <v>261108572</v>
      </c>
      <c r="BZ22" s="3">
        <v>0</v>
      </c>
      <c r="CA22" s="3">
        <v>261108572</v>
      </c>
      <c r="CB22" s="3">
        <v>0</v>
      </c>
      <c r="CC22" s="3">
        <v>261108572</v>
      </c>
      <c r="CD22" s="3">
        <v>0</v>
      </c>
      <c r="CE22" s="3">
        <v>261108572</v>
      </c>
      <c r="CF22" s="3">
        <v>0</v>
      </c>
      <c r="CG22" s="3">
        <v>70741371.599999994</v>
      </c>
      <c r="CH22" s="3">
        <v>0</v>
      </c>
      <c r="CI22" s="3">
        <v>70741371.599999994</v>
      </c>
      <c r="CJ22" s="3">
        <v>0</v>
      </c>
      <c r="CK22" s="3">
        <v>7495081.4800000004</v>
      </c>
      <c r="CL22" s="3">
        <v>0</v>
      </c>
      <c r="CM22" s="3">
        <v>7495081.4800000004</v>
      </c>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row>
    <row r="23" spans="1:263" x14ac:dyDescent="0.25">
      <c r="A23" t="s">
        <v>847</v>
      </c>
      <c r="B23" t="s">
        <v>848</v>
      </c>
      <c r="C23" t="s">
        <v>199</v>
      </c>
      <c r="D23" t="s">
        <v>200</v>
      </c>
      <c r="E23" t="s">
        <v>313</v>
      </c>
      <c r="F23" t="s">
        <v>854</v>
      </c>
      <c r="G23" t="s">
        <v>879</v>
      </c>
      <c r="H23" s="3">
        <v>2474000</v>
      </c>
      <c r="I23" s="3">
        <v>207641000</v>
      </c>
      <c r="J23" s="3">
        <v>870473000</v>
      </c>
      <c r="K23" s="3">
        <v>1080588000</v>
      </c>
      <c r="L23" s="3">
        <v>2474000</v>
      </c>
      <c r="M23" s="3">
        <v>207641000</v>
      </c>
      <c r="N23" s="3">
        <v>870473000</v>
      </c>
      <c r="O23" s="3">
        <v>1080588000</v>
      </c>
      <c r="P23" s="3"/>
      <c r="Q23" s="3"/>
      <c r="R23" s="3"/>
      <c r="S23" s="3"/>
      <c r="T23" s="3"/>
      <c r="U23" s="3"/>
      <c r="V23" s="3"/>
      <c r="W23" s="3"/>
      <c r="X23" s="3"/>
      <c r="Y23" s="3"/>
      <c r="Z23" s="3"/>
      <c r="AA23" s="3"/>
      <c r="AB23" s="3"/>
      <c r="AC23" s="3"/>
      <c r="AD23" s="3"/>
      <c r="AE23" s="3"/>
      <c r="AF23" s="3"/>
      <c r="AG23" s="3"/>
      <c r="AH23" s="3"/>
      <c r="AI23" s="3"/>
      <c r="AJ23" s="3">
        <v>2321000</v>
      </c>
      <c r="AK23" s="3">
        <v>76278000</v>
      </c>
      <c r="AL23" s="3">
        <v>0</v>
      </c>
      <c r="AM23" s="3">
        <v>78599000</v>
      </c>
      <c r="AN23" s="3">
        <v>2321000</v>
      </c>
      <c r="AO23" s="3">
        <v>76278000</v>
      </c>
      <c r="AP23" s="3">
        <v>0</v>
      </c>
      <c r="AQ23" s="3">
        <v>78599000</v>
      </c>
      <c r="AR23" s="3">
        <v>2321000</v>
      </c>
      <c r="AS23" s="3">
        <v>76278000</v>
      </c>
      <c r="AT23" s="3">
        <v>0</v>
      </c>
      <c r="AU23" s="3">
        <v>78599000</v>
      </c>
      <c r="AV23" s="3">
        <v>2321000</v>
      </c>
      <c r="AW23" s="3">
        <v>76278000</v>
      </c>
      <c r="AX23" s="3">
        <v>0</v>
      </c>
      <c r="AY23" s="3">
        <v>78599000</v>
      </c>
      <c r="AZ23" s="3">
        <v>2321000</v>
      </c>
      <c r="BA23" s="3">
        <v>76278000</v>
      </c>
      <c r="BB23" s="3">
        <v>0</v>
      </c>
      <c r="BC23" s="3">
        <v>78599000</v>
      </c>
      <c r="BD23" s="3">
        <v>2295957.14</v>
      </c>
      <c r="BE23" s="3">
        <v>72712399.680000007</v>
      </c>
      <c r="BF23" s="3">
        <v>0</v>
      </c>
      <c r="BG23" s="3">
        <v>75008356.819999993</v>
      </c>
      <c r="BH23" s="3">
        <v>1830957.14</v>
      </c>
      <c r="BI23" s="3">
        <v>69181744.040000007</v>
      </c>
      <c r="BJ23" s="3">
        <v>0</v>
      </c>
      <c r="BK23" s="3">
        <v>71012701.180000007</v>
      </c>
      <c r="BL23" s="3">
        <v>2474000</v>
      </c>
      <c r="BM23" s="3">
        <v>50000000</v>
      </c>
      <c r="BN23" s="3">
        <v>0</v>
      </c>
      <c r="BO23" s="3">
        <v>52474000</v>
      </c>
      <c r="BP23" s="3">
        <v>2474000</v>
      </c>
      <c r="BQ23" s="3">
        <v>50000000</v>
      </c>
      <c r="BR23" s="3">
        <v>0</v>
      </c>
      <c r="BS23" s="3">
        <v>52474000</v>
      </c>
      <c r="BT23" s="3">
        <v>2474000</v>
      </c>
      <c r="BU23" s="3">
        <v>50000000</v>
      </c>
      <c r="BV23" s="3">
        <v>0</v>
      </c>
      <c r="BW23" s="3">
        <v>52474000</v>
      </c>
      <c r="BX23" s="3">
        <v>2474000</v>
      </c>
      <c r="BY23" s="3">
        <v>50000000</v>
      </c>
      <c r="BZ23" s="3">
        <v>0</v>
      </c>
      <c r="CA23" s="3">
        <v>52474000</v>
      </c>
      <c r="CB23" s="3">
        <v>2474000</v>
      </c>
      <c r="CC23" s="3">
        <v>50000000</v>
      </c>
      <c r="CD23" s="3">
        <v>0</v>
      </c>
      <c r="CE23" s="3">
        <v>52474000</v>
      </c>
      <c r="CF23" s="3">
        <v>2349540</v>
      </c>
      <c r="CG23" s="3">
        <v>39128883.340000004</v>
      </c>
      <c r="CH23" s="3">
        <v>0</v>
      </c>
      <c r="CI23" s="3">
        <v>41478423.340000004</v>
      </c>
      <c r="CJ23" s="3">
        <v>2335440</v>
      </c>
      <c r="CK23" s="3">
        <v>38223097.119999997</v>
      </c>
      <c r="CL23" s="3">
        <v>0</v>
      </c>
      <c r="CM23" s="3">
        <v>40558537.119999997</v>
      </c>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row>
    <row r="24" spans="1:263" x14ac:dyDescent="0.25">
      <c r="A24" t="s">
        <v>847</v>
      </c>
      <c r="B24" t="s">
        <v>848</v>
      </c>
      <c r="C24" t="s">
        <v>199</v>
      </c>
      <c r="D24" t="s">
        <v>200</v>
      </c>
      <c r="E24" t="s">
        <v>313</v>
      </c>
      <c r="F24" t="s">
        <v>855</v>
      </c>
      <c r="G24" t="s">
        <v>875</v>
      </c>
      <c r="H24" s="3">
        <v>6174000</v>
      </c>
      <c r="I24" s="3">
        <v>75922000</v>
      </c>
      <c r="J24" s="3">
        <v>173539000</v>
      </c>
      <c r="K24" s="3">
        <v>255635000</v>
      </c>
      <c r="L24" s="3">
        <v>6174000</v>
      </c>
      <c r="M24" s="3">
        <v>75922000</v>
      </c>
      <c r="N24" s="3">
        <v>173539000</v>
      </c>
      <c r="O24" s="3">
        <v>255635000</v>
      </c>
      <c r="P24" s="3"/>
      <c r="Q24" s="3"/>
      <c r="R24" s="3"/>
      <c r="S24" s="3"/>
      <c r="T24" s="3"/>
      <c r="U24" s="3"/>
      <c r="V24" s="3"/>
      <c r="W24" s="3"/>
      <c r="X24" s="3"/>
      <c r="Y24" s="3"/>
      <c r="Z24" s="3"/>
      <c r="AA24" s="3"/>
      <c r="AB24" s="3"/>
      <c r="AC24" s="3"/>
      <c r="AD24" s="3"/>
      <c r="AE24" s="3"/>
      <c r="AF24" s="3"/>
      <c r="AG24" s="3"/>
      <c r="AH24" s="3"/>
      <c r="AI24" s="3"/>
      <c r="AJ24" s="3">
        <v>6719000</v>
      </c>
      <c r="AK24" s="3">
        <v>201535000</v>
      </c>
      <c r="AL24" s="3">
        <v>106565000</v>
      </c>
      <c r="AM24" s="3">
        <v>314819000</v>
      </c>
      <c r="AN24" s="3">
        <v>6719000</v>
      </c>
      <c r="AO24" s="3">
        <v>201535000</v>
      </c>
      <c r="AP24" s="3">
        <v>106565000</v>
      </c>
      <c r="AQ24" s="3">
        <v>314819000</v>
      </c>
      <c r="AR24" s="3">
        <v>6719000</v>
      </c>
      <c r="AS24" s="3">
        <v>201535000</v>
      </c>
      <c r="AT24" s="3">
        <v>106565000</v>
      </c>
      <c r="AU24" s="3">
        <v>314819000</v>
      </c>
      <c r="AV24" s="3">
        <v>6719000</v>
      </c>
      <c r="AW24" s="3">
        <v>201535000</v>
      </c>
      <c r="AX24" s="3">
        <v>106565000</v>
      </c>
      <c r="AY24" s="3">
        <v>314819000</v>
      </c>
      <c r="AZ24" s="3">
        <v>6719000</v>
      </c>
      <c r="BA24" s="3">
        <v>201535000</v>
      </c>
      <c r="BB24" s="3">
        <v>106565000</v>
      </c>
      <c r="BC24" s="3">
        <v>314819000</v>
      </c>
      <c r="BD24" s="3">
        <v>6100440</v>
      </c>
      <c r="BE24" s="3">
        <v>81064218.909999996</v>
      </c>
      <c r="BF24" s="3">
        <v>47607046.43</v>
      </c>
      <c r="BG24" s="3">
        <v>134771705.34</v>
      </c>
      <c r="BH24" s="3">
        <v>5998028</v>
      </c>
      <c r="BI24" s="3">
        <v>62799784.549999997</v>
      </c>
      <c r="BJ24" s="3">
        <v>6185192.8600000003</v>
      </c>
      <c r="BK24" s="3">
        <v>74983005.409999996</v>
      </c>
      <c r="BL24" s="3">
        <v>10001000</v>
      </c>
      <c r="BM24" s="3">
        <v>145040000</v>
      </c>
      <c r="BN24" s="3">
        <v>1392000</v>
      </c>
      <c r="BO24" s="3">
        <v>156433000</v>
      </c>
      <c r="BP24" s="3">
        <v>10001000</v>
      </c>
      <c r="BQ24" s="3">
        <v>145040000</v>
      </c>
      <c r="BR24" s="3">
        <v>1392000</v>
      </c>
      <c r="BS24" s="3">
        <v>156433000</v>
      </c>
      <c r="BT24" s="3">
        <v>10001000</v>
      </c>
      <c r="BU24" s="3">
        <v>145040000</v>
      </c>
      <c r="BV24" s="3">
        <v>1392000</v>
      </c>
      <c r="BW24" s="3">
        <v>156433000</v>
      </c>
      <c r="BX24" s="3">
        <v>10001000</v>
      </c>
      <c r="BY24" s="3">
        <v>135040000</v>
      </c>
      <c r="BZ24" s="3">
        <v>1392000</v>
      </c>
      <c r="CA24" s="3">
        <v>146433000</v>
      </c>
      <c r="CB24" s="3">
        <v>10001000</v>
      </c>
      <c r="CC24" s="3">
        <v>134040000</v>
      </c>
      <c r="CD24" s="3">
        <v>1392000</v>
      </c>
      <c r="CE24" s="3">
        <v>145433000</v>
      </c>
      <c r="CF24" s="3">
        <v>6035348</v>
      </c>
      <c r="CG24" s="3">
        <v>44344681.460000001</v>
      </c>
      <c r="CH24" s="3">
        <v>1168824.28</v>
      </c>
      <c r="CI24" s="3">
        <v>51548853.740000002</v>
      </c>
      <c r="CJ24" s="3">
        <v>5979848</v>
      </c>
      <c r="CK24" s="3">
        <v>36676382.399999999</v>
      </c>
      <c r="CL24" s="3">
        <v>800522.4</v>
      </c>
      <c r="CM24" s="3">
        <v>43456752.799999997</v>
      </c>
      <c r="CN24" s="3">
        <v>6667000</v>
      </c>
      <c r="CO24" s="3">
        <v>99643000</v>
      </c>
      <c r="CP24" s="3">
        <v>7050000</v>
      </c>
      <c r="CQ24" s="3">
        <v>113360000</v>
      </c>
      <c r="CR24" s="3">
        <v>6667000</v>
      </c>
      <c r="CS24" s="3">
        <v>99643000</v>
      </c>
      <c r="CT24" s="3">
        <v>7050000</v>
      </c>
      <c r="CU24" s="3">
        <v>113360000</v>
      </c>
      <c r="CV24" s="3">
        <v>6667000</v>
      </c>
      <c r="CW24" s="3">
        <v>99643000</v>
      </c>
      <c r="CX24" s="3">
        <v>7050000</v>
      </c>
      <c r="CY24" s="3">
        <v>113360000</v>
      </c>
      <c r="CZ24" s="3">
        <v>6667000</v>
      </c>
      <c r="DA24" s="3">
        <v>76936400</v>
      </c>
      <c r="DB24" s="3">
        <v>29756600</v>
      </c>
      <c r="DC24" s="3">
        <v>113360000</v>
      </c>
      <c r="DD24" s="3">
        <v>6667000</v>
      </c>
      <c r="DE24" s="3">
        <v>76936400</v>
      </c>
      <c r="DF24" s="3">
        <v>29756600</v>
      </c>
      <c r="DG24" s="3">
        <v>113360000</v>
      </c>
      <c r="DH24" s="3">
        <v>4069581.33</v>
      </c>
      <c r="DI24" s="3">
        <v>47510467.200000003</v>
      </c>
      <c r="DJ24" s="3">
        <v>28198842.050000001</v>
      </c>
      <c r="DK24" s="3">
        <v>79778890.579999998</v>
      </c>
      <c r="DL24" s="3">
        <v>3942941.33</v>
      </c>
      <c r="DM24" s="3">
        <v>41722395.759999998</v>
      </c>
      <c r="DN24" s="3">
        <v>18223617.199999999</v>
      </c>
      <c r="DO24" s="3">
        <v>63888954.289999999</v>
      </c>
      <c r="DP24" s="3">
        <v>3300000</v>
      </c>
      <c r="DQ24" s="3">
        <v>54691000</v>
      </c>
      <c r="DR24" s="3">
        <v>10200000</v>
      </c>
      <c r="DS24" s="3">
        <v>68191000</v>
      </c>
      <c r="DT24" s="3">
        <v>3300000</v>
      </c>
      <c r="DU24" s="3">
        <v>54691000</v>
      </c>
      <c r="DV24" s="3">
        <v>10200000</v>
      </c>
      <c r="DW24" s="3">
        <v>68191000</v>
      </c>
      <c r="DX24" s="3">
        <v>3300000</v>
      </c>
      <c r="DY24" s="3">
        <v>54691000</v>
      </c>
      <c r="DZ24" s="3">
        <v>10200000</v>
      </c>
      <c r="EA24" s="3">
        <v>68191000</v>
      </c>
      <c r="EB24" s="3">
        <v>3300000</v>
      </c>
      <c r="EC24" s="3">
        <v>54146157</v>
      </c>
      <c r="ED24" s="3">
        <v>10744843</v>
      </c>
      <c r="EE24" s="3">
        <v>68191000</v>
      </c>
      <c r="EF24" s="3">
        <v>3300000</v>
      </c>
      <c r="EG24" s="3">
        <v>54146157</v>
      </c>
      <c r="EH24" s="3">
        <v>10744843</v>
      </c>
      <c r="EI24" s="3">
        <v>68191000</v>
      </c>
      <c r="EJ24" s="3">
        <v>3274930</v>
      </c>
      <c r="EK24" s="3">
        <v>51951648.18</v>
      </c>
      <c r="EL24" s="3">
        <v>10189093.84</v>
      </c>
      <c r="EM24" s="3">
        <v>65415672.020000003</v>
      </c>
      <c r="EN24" s="3">
        <v>3257530</v>
      </c>
      <c r="EO24" s="3">
        <v>45440618.079999998</v>
      </c>
      <c r="EP24" s="3">
        <v>7421238.21</v>
      </c>
      <c r="EQ24" s="3">
        <v>56119386.289999999</v>
      </c>
      <c r="ER24" s="3">
        <v>1500000</v>
      </c>
      <c r="ES24" s="3">
        <v>5384000</v>
      </c>
      <c r="ET24" s="3">
        <v>0</v>
      </c>
      <c r="EU24" s="3">
        <v>6884000</v>
      </c>
      <c r="EV24" s="3">
        <v>1500000</v>
      </c>
      <c r="EW24" s="3">
        <v>3266000</v>
      </c>
      <c r="EX24" s="3">
        <v>0</v>
      </c>
      <c r="EY24" s="3">
        <v>4766000</v>
      </c>
      <c r="EZ24" s="3">
        <v>1500000</v>
      </c>
      <c r="FA24" s="3">
        <v>3266000</v>
      </c>
      <c r="FB24" s="3">
        <v>0</v>
      </c>
      <c r="FC24" s="3">
        <v>4766000</v>
      </c>
      <c r="FD24" s="3">
        <v>1500000</v>
      </c>
      <c r="FE24" s="3">
        <v>3266000</v>
      </c>
      <c r="FF24" s="3">
        <v>0</v>
      </c>
      <c r="FG24" s="3">
        <v>4766000</v>
      </c>
      <c r="FH24" s="3">
        <v>1500000</v>
      </c>
      <c r="FI24" s="3">
        <v>3266000</v>
      </c>
      <c r="FJ24" s="3">
        <v>0</v>
      </c>
      <c r="FK24" s="3">
        <v>4766000</v>
      </c>
      <c r="FL24" s="3">
        <v>1500000</v>
      </c>
      <c r="FM24" s="3">
        <v>3266000</v>
      </c>
      <c r="FN24" s="3">
        <v>0</v>
      </c>
      <c r="FO24" s="3">
        <v>4766000</v>
      </c>
      <c r="FP24" s="3">
        <v>1488000</v>
      </c>
      <c r="FQ24" s="3">
        <v>3266000</v>
      </c>
      <c r="FR24" s="3">
        <v>0</v>
      </c>
      <c r="FS24" s="3">
        <v>4754000</v>
      </c>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row>
    <row r="25" spans="1:263" x14ac:dyDescent="0.25">
      <c r="A25" t="s">
        <v>847</v>
      </c>
      <c r="B25" t="s">
        <v>848</v>
      </c>
      <c r="C25" t="s">
        <v>199</v>
      </c>
      <c r="D25" t="s">
        <v>200</v>
      </c>
      <c r="E25" t="s">
        <v>313</v>
      </c>
      <c r="F25" t="s">
        <v>856</v>
      </c>
      <c r="G25" t="s">
        <v>880</v>
      </c>
      <c r="H25" s="3">
        <v>17884000</v>
      </c>
      <c r="I25" s="3">
        <v>164276000</v>
      </c>
      <c r="J25" s="3">
        <v>176341000</v>
      </c>
      <c r="K25" s="3">
        <v>358501000</v>
      </c>
      <c r="L25" s="3">
        <v>17884000</v>
      </c>
      <c r="M25" s="3">
        <v>164276000</v>
      </c>
      <c r="N25" s="3">
        <v>176341000</v>
      </c>
      <c r="O25" s="3">
        <v>358501000</v>
      </c>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row>
    <row r="26" spans="1:263" x14ac:dyDescent="0.25">
      <c r="A26" t="s">
        <v>847</v>
      </c>
      <c r="B26" t="s">
        <v>848</v>
      </c>
      <c r="C26" t="s">
        <v>199</v>
      </c>
      <c r="D26" t="s">
        <v>200</v>
      </c>
      <c r="E26" t="s">
        <v>313</v>
      </c>
      <c r="F26" t="s">
        <v>857</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row>
    <row r="27" spans="1:263" x14ac:dyDescent="0.25">
      <c r="A27" t="s">
        <v>847</v>
      </c>
      <c r="B27" t="s">
        <v>848</v>
      </c>
      <c r="C27" t="s">
        <v>199</v>
      </c>
      <c r="D27" t="s">
        <v>200</v>
      </c>
      <c r="E27" t="s">
        <v>313</v>
      </c>
      <c r="F27" t="s">
        <v>858</v>
      </c>
      <c r="G27" t="s">
        <v>873</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v>7777000</v>
      </c>
      <c r="GW27" s="3">
        <v>368905000</v>
      </c>
      <c r="GX27" s="3">
        <v>33869000</v>
      </c>
      <c r="GY27" s="3">
        <v>410551000</v>
      </c>
      <c r="GZ27" s="3">
        <v>7777000</v>
      </c>
      <c r="HA27" s="3">
        <v>368905000</v>
      </c>
      <c r="HB27" s="3">
        <v>33869000</v>
      </c>
      <c r="HC27" s="3">
        <v>410551000</v>
      </c>
      <c r="HD27" s="3">
        <f>7777000+0</f>
        <v>7777000</v>
      </c>
      <c r="HE27" s="3">
        <f>44949000+323956000</f>
        <v>368905000</v>
      </c>
      <c r="HF27" s="3">
        <f>5845000+28024000</f>
        <v>33869000</v>
      </c>
      <c r="HG27" s="3">
        <f>58571000+351980000</f>
        <v>410551000</v>
      </c>
      <c r="HH27" s="3">
        <f>7777000+0</f>
        <v>7777000</v>
      </c>
      <c r="HI27" s="3">
        <f>44949000+323956000</f>
        <v>368905000</v>
      </c>
      <c r="HJ27" s="3">
        <f>5845000+28024000</f>
        <v>33869000</v>
      </c>
      <c r="HK27" s="3">
        <f>58571000+351980000</f>
        <v>410551000</v>
      </c>
      <c r="HL27" s="3">
        <f>7777000+0</f>
        <v>7777000</v>
      </c>
      <c r="HM27" s="3">
        <f>44949000+323956000</f>
        <v>368905000</v>
      </c>
      <c r="HN27" s="3">
        <f>5845000+28024000</f>
        <v>33869000</v>
      </c>
      <c r="HO27" s="3">
        <f>58571000+351980000</f>
        <v>410551000</v>
      </c>
      <c r="HP27" s="3">
        <f>7653600+0</f>
        <v>7653600</v>
      </c>
      <c r="HQ27" s="3">
        <f>35867118.13+86073892.47</f>
        <v>121941010.59999999</v>
      </c>
      <c r="HR27" s="3">
        <f>3598040.28+16994185.66</f>
        <v>20592225.940000001</v>
      </c>
      <c r="HS27" s="3">
        <f>47118758.41+103068078.13</f>
        <v>150186836.53999999</v>
      </c>
      <c r="HT27" s="3">
        <f>7140165.09+0</f>
        <v>7140165.0899999999</v>
      </c>
      <c r="HU27" s="3">
        <f>18974626.15+30869431.15</f>
        <v>49844057.299999997</v>
      </c>
      <c r="HV27" s="3">
        <f>3294090+16082910</f>
        <v>19377000</v>
      </c>
      <c r="HW27" s="3">
        <f>29408881.24+46952341.15</f>
        <v>76361222.390000001</v>
      </c>
      <c r="HX27" s="3">
        <v>8011000</v>
      </c>
      <c r="HY27" s="3">
        <v>796416000</v>
      </c>
      <c r="HZ27" s="3">
        <v>414423000</v>
      </c>
      <c r="IA27" s="3">
        <v>1218850000</v>
      </c>
      <c r="IB27" s="3">
        <v>8011000</v>
      </c>
      <c r="IC27" s="3">
        <v>796416000</v>
      </c>
      <c r="ID27" s="3">
        <v>414423000</v>
      </c>
      <c r="IE27" s="3">
        <v>1218850000</v>
      </c>
      <c r="IZ27" s="3">
        <v>8251000</v>
      </c>
      <c r="JA27" s="3">
        <v>906374000</v>
      </c>
      <c r="JB27" s="3">
        <v>1083098000</v>
      </c>
      <c r="JC27" s="3">
        <v>1997723000</v>
      </c>
    </row>
    <row r="28" spans="1:263" x14ac:dyDescent="0.25">
      <c r="A28" t="s">
        <v>847</v>
      </c>
      <c r="B28" t="s">
        <v>848</v>
      </c>
      <c r="C28" t="s">
        <v>199</v>
      </c>
      <c r="D28" t="s">
        <v>200</v>
      </c>
      <c r="E28" t="s">
        <v>313</v>
      </c>
      <c r="F28" s="4" t="s">
        <v>1344</v>
      </c>
      <c r="G28" t="s">
        <v>1345</v>
      </c>
      <c r="P28" s="10"/>
      <c r="AR28" s="3"/>
      <c r="AS28" s="3"/>
      <c r="AT28" s="3"/>
      <c r="AU28" s="3"/>
      <c r="AV28" s="3"/>
      <c r="AW28" s="3"/>
      <c r="AX28" s="3"/>
      <c r="AY28" s="3"/>
      <c r="AZ28" s="3"/>
      <c r="BA28" s="3"/>
      <c r="BB28" s="3"/>
      <c r="BC28" s="3"/>
      <c r="BD28" s="3"/>
      <c r="BE28" s="3"/>
      <c r="BF28" s="3"/>
      <c r="BG28" s="3"/>
      <c r="BH28" s="3"/>
      <c r="BI28" s="3"/>
      <c r="BJ28" s="3"/>
      <c r="BK28" s="3"/>
      <c r="BT28" s="3"/>
      <c r="BU28" s="3"/>
      <c r="BV28" s="3"/>
      <c r="BW28" s="3"/>
      <c r="BX28" s="3"/>
      <c r="BY28" s="3"/>
      <c r="BZ28" s="3"/>
      <c r="CA28" s="3"/>
      <c r="CB28" s="3"/>
      <c r="CC28" s="3"/>
      <c r="CD28" s="3"/>
      <c r="CE28" s="3"/>
      <c r="CF28" s="3"/>
      <c r="CG28" s="3"/>
      <c r="CH28" s="3"/>
      <c r="CI28" s="3"/>
      <c r="CJ28" s="3"/>
      <c r="CK28" s="3"/>
      <c r="CL28" s="3"/>
      <c r="CM28" s="3"/>
      <c r="CV28" s="3"/>
      <c r="CW28" s="3"/>
      <c r="CX28" s="3"/>
      <c r="CY28" s="3"/>
      <c r="CZ28" s="3"/>
      <c r="DA28" s="3"/>
      <c r="DB28" s="3"/>
      <c r="DC28" s="3"/>
      <c r="DD28" s="3"/>
      <c r="DE28" s="3"/>
      <c r="DF28" s="3"/>
      <c r="DG28" s="3"/>
      <c r="DH28" s="3"/>
      <c r="DI28" s="3"/>
      <c r="DJ28" s="3"/>
      <c r="DK28" s="3"/>
      <c r="DL28" s="3"/>
      <c r="DM28" s="3"/>
      <c r="DN28" s="3"/>
      <c r="DO28" s="3"/>
      <c r="DX28" s="3"/>
      <c r="DY28" s="3"/>
      <c r="DZ28" s="3"/>
      <c r="EA28" s="3"/>
      <c r="EB28" s="3"/>
      <c r="EC28" s="3"/>
      <c r="ED28" s="3"/>
      <c r="EE28" s="3"/>
      <c r="EF28" s="3"/>
      <c r="EZ28" s="3"/>
      <c r="FA28" s="3"/>
      <c r="FB28" s="3"/>
      <c r="FC28" s="3"/>
      <c r="FD28" s="3"/>
      <c r="FE28" s="3"/>
      <c r="FF28" s="3"/>
      <c r="FG28" s="3"/>
      <c r="FH28" s="3"/>
      <c r="FI28" s="3"/>
      <c r="FJ28" s="3"/>
      <c r="FK28" s="3"/>
      <c r="FL28" s="3"/>
      <c r="FM28" s="3"/>
      <c r="FN28" s="3"/>
      <c r="FO28" s="3"/>
      <c r="FP28" s="3"/>
      <c r="FQ28" s="3"/>
      <c r="FR28" s="3"/>
      <c r="FS28" s="3"/>
      <c r="GF28" s="10"/>
      <c r="GG28" s="10"/>
      <c r="GH28" s="10"/>
      <c r="GI28" s="10"/>
      <c r="IZ28" s="3">
        <v>8601000</v>
      </c>
      <c r="JA28" s="3">
        <v>1249128000</v>
      </c>
      <c r="JB28" s="3">
        <v>165499000</v>
      </c>
      <c r="JC28" s="3">
        <v>1423228000</v>
      </c>
    </row>
    <row r="29" spans="1:263" x14ac:dyDescent="0.25">
      <c r="P29" s="10"/>
      <c r="AR29" s="3"/>
      <c r="AS29" s="3"/>
      <c r="AT29" s="3"/>
      <c r="AU29" s="3"/>
      <c r="AV29" s="3"/>
      <c r="AW29" s="3"/>
      <c r="AX29" s="3"/>
      <c r="AY29" s="3"/>
      <c r="AZ29" s="3"/>
      <c r="BA29" s="3"/>
      <c r="BB29" s="3"/>
      <c r="BC29" s="3"/>
      <c r="BD29" s="3"/>
      <c r="BE29" s="3"/>
      <c r="BF29" s="3"/>
      <c r="BG29" s="3"/>
      <c r="BH29" s="3"/>
      <c r="BI29" s="3"/>
      <c r="BJ29" s="3"/>
      <c r="BK29" s="3"/>
      <c r="BT29" s="3"/>
      <c r="BU29" s="3"/>
      <c r="BV29" s="3"/>
      <c r="BW29" s="3"/>
      <c r="BX29" s="3"/>
      <c r="BY29" s="3"/>
      <c r="BZ29" s="3"/>
      <c r="CA29" s="3"/>
      <c r="CB29" s="3"/>
      <c r="CC29" s="3"/>
      <c r="CD29" s="3"/>
      <c r="CE29" s="3"/>
      <c r="CF29" s="3"/>
      <c r="CG29" s="3"/>
      <c r="CH29" s="3"/>
      <c r="CI29" s="3"/>
      <c r="CJ29" s="3"/>
      <c r="CK29" s="3"/>
      <c r="CL29" s="3"/>
      <c r="CM29" s="3"/>
      <c r="CV29" s="3"/>
      <c r="CW29" s="3"/>
      <c r="CX29" s="3"/>
      <c r="CY29" s="3"/>
      <c r="CZ29" s="3"/>
      <c r="DA29" s="3"/>
      <c r="DB29" s="3"/>
      <c r="DC29" s="3"/>
      <c r="DD29" s="3"/>
      <c r="DE29" s="3"/>
      <c r="DF29" s="3"/>
      <c r="DG29" s="3"/>
      <c r="DH29" s="3"/>
      <c r="DI29" s="3"/>
      <c r="DJ29" s="3"/>
      <c r="DK29" s="3"/>
      <c r="DL29" s="3"/>
      <c r="DM29" s="3"/>
      <c r="DN29" s="3"/>
      <c r="DO29" s="3"/>
      <c r="DX29" s="3"/>
      <c r="DY29" s="3"/>
      <c r="DZ29" s="3"/>
      <c r="EA29" s="3"/>
      <c r="EB29" s="3"/>
      <c r="EC29" s="3"/>
      <c r="ED29" s="3"/>
      <c r="EE29" s="3"/>
      <c r="EF29" s="3"/>
      <c r="EZ29" s="3"/>
      <c r="FA29" s="3"/>
      <c r="FB29" s="3"/>
      <c r="FC29" s="3"/>
      <c r="FD29" s="3"/>
      <c r="FE29" s="3"/>
      <c r="FF29" s="3"/>
      <c r="FG29" s="3"/>
      <c r="FH29" s="3"/>
      <c r="FI29" s="3"/>
      <c r="FJ29" s="3"/>
      <c r="FK29" s="3"/>
      <c r="FL29" s="3"/>
      <c r="FM29" s="3"/>
      <c r="FN29" s="3"/>
      <c r="FO29" s="3"/>
      <c r="FP29" s="3"/>
      <c r="FQ29" s="3"/>
      <c r="FR29" s="3"/>
      <c r="FS29" s="3"/>
      <c r="GF29" s="10"/>
      <c r="GG29" s="10"/>
      <c r="GH29" s="10"/>
      <c r="GI29" s="10"/>
    </row>
    <row r="30" spans="1:263" x14ac:dyDescent="0.25">
      <c r="P30" s="10"/>
      <c r="Q30" s="10"/>
      <c r="AR30" s="3"/>
      <c r="AS30" s="3"/>
      <c r="AT30" s="3"/>
      <c r="AU30" s="3"/>
      <c r="AV30" s="3"/>
      <c r="AW30" s="3"/>
      <c r="AX30" s="3"/>
      <c r="AY30" s="3"/>
      <c r="AZ30" s="3"/>
      <c r="BA30" s="3"/>
      <c r="BB30" s="3"/>
      <c r="BC30" s="3"/>
      <c r="BD30" s="3"/>
      <c r="BE30" s="3"/>
      <c r="BF30" s="3"/>
      <c r="BG30" s="3"/>
      <c r="BH30" s="3"/>
      <c r="BI30" s="3"/>
      <c r="BJ30" s="3"/>
      <c r="BK30" s="3"/>
      <c r="BT30" s="3"/>
      <c r="BU30" s="3"/>
      <c r="BV30" s="3"/>
      <c r="BW30" s="3"/>
      <c r="BX30" s="3"/>
      <c r="BY30" s="3"/>
      <c r="BZ30" s="3"/>
      <c r="CA30" s="3"/>
      <c r="CB30" s="3"/>
      <c r="CC30" s="3"/>
      <c r="CD30" s="3"/>
      <c r="CE30" s="3"/>
      <c r="CF30" s="3"/>
      <c r="CG30" s="3"/>
      <c r="CH30" s="3"/>
      <c r="CI30" s="3"/>
      <c r="CJ30" s="3"/>
      <c r="CK30" s="3"/>
      <c r="CL30" s="3"/>
      <c r="CM30" s="3"/>
      <c r="CV30" s="3"/>
      <c r="CW30" s="3"/>
      <c r="CX30" s="3"/>
      <c r="CY30" s="3"/>
      <c r="CZ30" s="3"/>
      <c r="DA30" s="3"/>
      <c r="DB30" s="3"/>
      <c r="DC30" s="3"/>
      <c r="DD30" s="3"/>
      <c r="DE30" s="3"/>
      <c r="DF30" s="3"/>
      <c r="DG30" s="3"/>
      <c r="DH30" s="3"/>
      <c r="DI30" s="3"/>
      <c r="DJ30" s="3"/>
      <c r="DK30" s="3"/>
      <c r="DL30" s="3"/>
      <c r="DM30" s="3"/>
      <c r="DN30" s="3"/>
      <c r="DO30" s="3"/>
      <c r="DX30" s="3"/>
      <c r="DY30" s="3"/>
      <c r="DZ30" s="3"/>
      <c r="EA30" s="3"/>
      <c r="EB30" s="3"/>
      <c r="EC30" s="3"/>
      <c r="ED30" s="3"/>
      <c r="EE30" s="3"/>
      <c r="EF30" s="3"/>
      <c r="EZ30" s="3"/>
      <c r="FA30" s="3"/>
      <c r="FB30" s="3"/>
      <c r="FC30" s="3"/>
      <c r="FD30" s="3"/>
      <c r="FE30" s="3"/>
      <c r="FF30" s="3"/>
      <c r="FG30" s="3"/>
      <c r="FH30" s="3"/>
      <c r="FI30" s="3"/>
      <c r="FJ30" s="3"/>
      <c r="FK30" s="3"/>
      <c r="FL30" s="3"/>
      <c r="FM30" s="3"/>
      <c r="FN30" s="3"/>
      <c r="FO30" s="3"/>
      <c r="FP30" s="3"/>
      <c r="FQ30" s="3"/>
      <c r="FR30" s="3"/>
      <c r="FS30" s="3"/>
      <c r="GF30" s="3"/>
      <c r="GG30" s="3"/>
      <c r="GH30" s="3"/>
      <c r="GI30" s="3"/>
    </row>
    <row r="31" spans="1:263" x14ac:dyDescent="0.25">
      <c r="P31" s="10"/>
      <c r="AR31" s="3"/>
      <c r="AS31" s="3"/>
      <c r="AT31" s="3"/>
      <c r="AU31" s="3"/>
      <c r="AV31" s="3"/>
      <c r="AW31" s="3"/>
      <c r="AX31" s="3"/>
      <c r="AY31" s="3"/>
      <c r="AZ31" s="3"/>
      <c r="BA31" s="3"/>
      <c r="BB31" s="3"/>
      <c r="BC31" s="3"/>
      <c r="BD31" s="3"/>
      <c r="BE31" s="3"/>
      <c r="BF31" s="3"/>
      <c r="BG31" s="3"/>
      <c r="BH31" s="3"/>
      <c r="BI31" s="3"/>
      <c r="BJ31" s="3"/>
      <c r="BK31" s="3"/>
      <c r="BT31" s="3"/>
      <c r="BU31" s="3"/>
      <c r="BV31" s="3"/>
      <c r="BW31" s="3"/>
      <c r="BX31" s="3"/>
      <c r="BY31" s="3"/>
      <c r="BZ31" s="3"/>
      <c r="CA31" s="3"/>
      <c r="CB31" s="3"/>
      <c r="CC31" s="3"/>
      <c r="CD31" s="3"/>
      <c r="CE31" s="3"/>
      <c r="CF31" s="3"/>
      <c r="CG31" s="3"/>
      <c r="CH31" s="3"/>
      <c r="CI31" s="3"/>
      <c r="CJ31" s="3"/>
      <c r="CK31" s="3"/>
      <c r="CL31" s="3"/>
      <c r="CM31" s="3"/>
      <c r="CV31" s="3"/>
      <c r="CW31" s="3"/>
      <c r="CX31" s="3"/>
      <c r="CY31" s="3"/>
      <c r="CZ31" s="3"/>
      <c r="DA31" s="3"/>
      <c r="DB31" s="3"/>
      <c r="DC31" s="3"/>
      <c r="DD31" s="3"/>
      <c r="DE31" s="3"/>
      <c r="DF31" s="3"/>
      <c r="DG31" s="3"/>
      <c r="DH31" s="3"/>
      <c r="DI31" s="3"/>
      <c r="DJ31" s="3"/>
      <c r="DK31" s="3"/>
      <c r="DL31" s="3"/>
      <c r="DM31" s="3"/>
      <c r="DN31" s="3"/>
      <c r="DO31" s="3"/>
      <c r="DX31" s="3"/>
      <c r="DY31" s="3"/>
      <c r="DZ31" s="3"/>
      <c r="EA31" s="3"/>
      <c r="EB31" s="3"/>
      <c r="EC31" s="3"/>
      <c r="ED31" s="3"/>
      <c r="EE31" s="3"/>
      <c r="EF31" s="3"/>
      <c r="EZ31" s="3"/>
      <c r="FA31" s="3"/>
      <c r="FB31" s="3"/>
      <c r="FC31" s="3"/>
      <c r="FD31" s="3"/>
      <c r="FE31" s="3"/>
      <c r="FF31" s="3"/>
      <c r="FG31" s="3"/>
      <c r="FH31" s="3"/>
      <c r="FI31" s="3"/>
      <c r="FJ31" s="3"/>
      <c r="FK31" s="3"/>
      <c r="FL31" s="3"/>
      <c r="FM31" s="3"/>
      <c r="FN31" s="3"/>
      <c r="FO31" s="3"/>
      <c r="FP31" s="3"/>
      <c r="FQ31" s="3"/>
      <c r="FR31" s="3"/>
      <c r="FS31" s="3"/>
      <c r="GF31" s="10"/>
      <c r="GG31" s="10"/>
      <c r="GH31" s="10"/>
      <c r="GI31" s="10"/>
    </row>
    <row r="32" spans="1:263" x14ac:dyDescent="0.25">
      <c r="P32" s="10"/>
      <c r="AR32" s="3"/>
      <c r="AS32" s="3"/>
      <c r="AT32" s="3"/>
      <c r="AU32" s="3"/>
      <c r="AV32" s="3"/>
      <c r="AW32" s="3"/>
      <c r="AX32" s="3"/>
      <c r="AY32" s="3"/>
      <c r="AZ32" s="3"/>
      <c r="BA32" s="3"/>
      <c r="BB32" s="3"/>
      <c r="BC32" s="3"/>
      <c r="BD32" s="3"/>
      <c r="BE32" s="3"/>
      <c r="BF32" s="3"/>
      <c r="BG32" s="3"/>
      <c r="BH32" s="3"/>
      <c r="BI32" s="3"/>
      <c r="BJ32" s="3"/>
      <c r="BK32" s="3"/>
      <c r="BT32" s="3"/>
      <c r="BU32" s="3"/>
      <c r="BV32" s="3"/>
      <c r="BW32" s="3"/>
      <c r="BX32" s="3"/>
      <c r="BY32" s="3"/>
      <c r="BZ32" s="3"/>
      <c r="CA32" s="3"/>
      <c r="CB32" s="3"/>
      <c r="CC32" s="3"/>
      <c r="CD32" s="3"/>
      <c r="CE32" s="3"/>
      <c r="CF32" s="3"/>
      <c r="CG32" s="3"/>
      <c r="CH32" s="3"/>
      <c r="CI32" s="3"/>
      <c r="CJ32" s="3"/>
      <c r="CK32" s="3"/>
      <c r="CL32" s="3"/>
      <c r="CM32" s="3"/>
      <c r="CV32" s="3"/>
      <c r="CW32" s="3"/>
      <c r="CX32" s="3"/>
      <c r="CY32" s="3"/>
      <c r="CZ32" s="3"/>
      <c r="DA32" s="3"/>
      <c r="DB32" s="3"/>
      <c r="DC32" s="3"/>
      <c r="DD32" s="3"/>
      <c r="DE32" s="3"/>
      <c r="DF32" s="3"/>
      <c r="DG32" s="3"/>
      <c r="DH32" s="3"/>
      <c r="DI32" s="3"/>
      <c r="DJ32" s="3"/>
      <c r="DK32" s="3"/>
      <c r="DL32" s="3"/>
      <c r="DM32" s="3"/>
      <c r="DN32" s="3"/>
      <c r="DO32" s="3"/>
      <c r="DX32" s="3"/>
      <c r="DY32" s="3"/>
      <c r="DZ32" s="3"/>
      <c r="EA32" s="3"/>
      <c r="EB32" s="3"/>
      <c r="EC32" s="3"/>
      <c r="ED32" s="3"/>
      <c r="EE32" s="3"/>
      <c r="EF32" s="3"/>
      <c r="EZ32" s="3"/>
      <c r="FA32" s="3"/>
      <c r="FB32" s="3"/>
      <c r="FC32" s="3"/>
      <c r="FD32" s="3"/>
      <c r="FE32" s="3"/>
      <c r="FF32" s="3"/>
      <c r="FG32" s="3"/>
      <c r="FH32" s="3"/>
      <c r="FI32" s="3"/>
      <c r="FJ32" s="3"/>
      <c r="FK32" s="3"/>
      <c r="FL32" s="3"/>
      <c r="FM32" s="3"/>
      <c r="FN32" s="3"/>
      <c r="FO32" s="3"/>
      <c r="FP32" s="3"/>
      <c r="FQ32" s="3"/>
      <c r="FR32" s="3"/>
      <c r="FS32" s="3"/>
      <c r="GF32" s="10"/>
      <c r="GG32" s="10"/>
      <c r="GH32" s="10"/>
      <c r="GI32" s="10"/>
    </row>
    <row r="33" spans="16:191" x14ac:dyDescent="0.25">
      <c r="P33" s="10"/>
      <c r="AR33" s="3"/>
      <c r="AS33" s="3"/>
      <c r="AT33" s="3"/>
      <c r="AU33" s="3"/>
      <c r="AV33" s="3"/>
      <c r="AW33" s="3"/>
      <c r="AX33" s="3"/>
      <c r="AY33" s="3"/>
      <c r="AZ33" s="3"/>
      <c r="BA33" s="3"/>
      <c r="BB33" s="3"/>
      <c r="BC33" s="3"/>
      <c r="BD33" s="3"/>
      <c r="BE33" s="3"/>
      <c r="BF33" s="3"/>
      <c r="BG33" s="3"/>
      <c r="BH33" s="3"/>
      <c r="BI33" s="3"/>
      <c r="BJ33" s="3"/>
      <c r="BK33" s="3"/>
      <c r="BT33" s="3"/>
      <c r="BU33" s="3"/>
      <c r="BV33" s="3"/>
      <c r="BW33" s="3"/>
      <c r="BX33" s="3"/>
      <c r="BY33" s="3"/>
      <c r="BZ33" s="3"/>
      <c r="CA33" s="3"/>
      <c r="CB33" s="3"/>
      <c r="CC33" s="3"/>
      <c r="CD33" s="3"/>
      <c r="CE33" s="3"/>
      <c r="CF33" s="3"/>
      <c r="CG33" s="3"/>
      <c r="CH33" s="3"/>
      <c r="CI33" s="3"/>
      <c r="CJ33" s="3"/>
      <c r="CK33" s="3"/>
      <c r="CL33" s="3"/>
      <c r="CM33" s="3"/>
      <c r="CV33" s="3"/>
      <c r="CW33" s="3"/>
      <c r="CX33" s="3"/>
      <c r="CY33" s="3"/>
      <c r="CZ33" s="3"/>
      <c r="DA33" s="3"/>
      <c r="DB33" s="3"/>
      <c r="DC33" s="3"/>
      <c r="DD33" s="3"/>
      <c r="DE33" s="3"/>
      <c r="DF33" s="3"/>
      <c r="DG33" s="3"/>
      <c r="DH33" s="3"/>
      <c r="DI33" s="3"/>
      <c r="DJ33" s="3"/>
      <c r="DK33" s="3"/>
      <c r="DL33" s="3"/>
      <c r="DM33" s="3"/>
      <c r="DN33" s="3"/>
      <c r="DO33" s="3"/>
      <c r="DX33" s="3"/>
      <c r="DY33" s="3"/>
      <c r="DZ33" s="3"/>
      <c r="EA33" s="3"/>
      <c r="EB33" s="3"/>
      <c r="EC33" s="3"/>
      <c r="ED33" s="3"/>
      <c r="EE33" s="3"/>
      <c r="EF33" s="3"/>
      <c r="EZ33" s="3"/>
      <c r="FA33" s="3"/>
      <c r="FB33" s="3"/>
      <c r="FC33" s="3"/>
      <c r="FD33" s="3"/>
      <c r="FE33" s="3"/>
      <c r="FF33" s="3"/>
      <c r="FG33" s="3"/>
      <c r="FH33" s="3"/>
      <c r="FI33" s="3"/>
      <c r="FJ33" s="3"/>
      <c r="FK33" s="3"/>
      <c r="FL33" s="3"/>
      <c r="FM33" s="3"/>
      <c r="FN33" s="3"/>
      <c r="FO33" s="3"/>
      <c r="FP33" s="3"/>
      <c r="FQ33" s="3"/>
      <c r="FR33" s="3"/>
      <c r="FS33" s="3"/>
      <c r="GF33" s="10"/>
      <c r="GG33" s="10"/>
      <c r="GH33" s="10"/>
      <c r="GI33" s="10"/>
    </row>
    <row r="34" spans="16:191" x14ac:dyDescent="0.25">
      <c r="P34" s="10"/>
      <c r="AR34" s="3"/>
      <c r="AS34" s="3"/>
      <c r="AT34" s="3"/>
      <c r="AU34" s="3"/>
      <c r="AV34" s="3"/>
      <c r="AW34" s="3"/>
      <c r="AX34" s="3"/>
      <c r="AY34" s="3"/>
      <c r="AZ34" s="3"/>
      <c r="BA34" s="3"/>
      <c r="BB34" s="3"/>
      <c r="BC34" s="3"/>
      <c r="BD34" s="3"/>
      <c r="BE34" s="3"/>
      <c r="BF34" s="3"/>
      <c r="BG34" s="3"/>
      <c r="BH34" s="3"/>
      <c r="BI34" s="3"/>
      <c r="BJ34" s="3"/>
      <c r="BK34" s="3"/>
      <c r="BT34" s="3"/>
      <c r="BU34" s="3"/>
      <c r="BV34" s="3"/>
      <c r="BW34" s="3"/>
      <c r="BX34" s="3"/>
      <c r="BY34" s="3"/>
      <c r="BZ34" s="3"/>
      <c r="CA34" s="3"/>
      <c r="CB34" s="3"/>
      <c r="CC34" s="3"/>
      <c r="CD34" s="3"/>
      <c r="CE34" s="3"/>
      <c r="CF34" s="3"/>
      <c r="CG34" s="3"/>
      <c r="CH34" s="3"/>
      <c r="CI34" s="3"/>
      <c r="CJ34" s="3"/>
      <c r="CK34" s="3"/>
      <c r="CL34" s="3"/>
      <c r="CM34" s="3"/>
      <c r="CV34" s="3"/>
      <c r="CW34" s="3"/>
      <c r="CX34" s="3"/>
      <c r="CY34" s="3"/>
      <c r="CZ34" s="3"/>
      <c r="DA34" s="3"/>
      <c r="DB34" s="3"/>
      <c r="DC34" s="3"/>
      <c r="DD34" s="3"/>
      <c r="DE34" s="3"/>
      <c r="DF34" s="3"/>
      <c r="DG34" s="3"/>
      <c r="DH34" s="3"/>
      <c r="DI34" s="3"/>
      <c r="DJ34" s="3"/>
      <c r="DK34" s="3"/>
      <c r="DL34" s="3"/>
      <c r="DM34" s="3"/>
      <c r="DN34" s="3"/>
      <c r="DO34" s="3"/>
      <c r="DX34" s="3"/>
      <c r="DY34" s="3"/>
      <c r="DZ34" s="3"/>
      <c r="EA34" s="3"/>
      <c r="EB34" s="3"/>
      <c r="EC34" s="3"/>
      <c r="ED34" s="3"/>
      <c r="EE34" s="3"/>
      <c r="EF34" s="3"/>
      <c r="EZ34" s="3"/>
      <c r="FA34" s="3"/>
      <c r="FB34" s="3"/>
      <c r="FC34" s="3"/>
      <c r="FD34" s="3"/>
      <c r="FE34" s="3"/>
      <c r="FF34" s="3"/>
      <c r="FG34" s="3"/>
      <c r="FH34" s="3"/>
      <c r="FI34" s="3"/>
      <c r="FJ34" s="3"/>
      <c r="FK34" s="3"/>
      <c r="FL34" s="3"/>
      <c r="FM34" s="3"/>
      <c r="FN34" s="3"/>
      <c r="FO34" s="3"/>
      <c r="FP34" s="3"/>
      <c r="FQ34" s="3"/>
      <c r="FR34" s="3"/>
      <c r="FS34" s="3"/>
      <c r="GF34" s="10"/>
      <c r="GG34" s="10"/>
      <c r="GH34" s="10"/>
      <c r="GI34" s="10"/>
    </row>
    <row r="35" spans="16:191" x14ac:dyDescent="0.25">
      <c r="AR35" s="3"/>
      <c r="AS35" s="3"/>
      <c r="AT35" s="3"/>
      <c r="AU35" s="3"/>
      <c r="AV35" s="3"/>
      <c r="AW35" s="3"/>
      <c r="AX35" s="3"/>
      <c r="AY35" s="3"/>
      <c r="AZ35" s="3"/>
      <c r="BA35" s="3"/>
      <c r="BB35" s="3"/>
      <c r="BC35" s="3"/>
      <c r="BD35" s="3"/>
      <c r="BE35" s="3"/>
      <c r="BF35" s="3"/>
      <c r="BG35" s="3"/>
      <c r="BH35" s="3"/>
      <c r="BI35" s="3"/>
      <c r="BJ35" s="3"/>
      <c r="BK35" s="3"/>
      <c r="BT35" s="3"/>
      <c r="BU35" s="3"/>
      <c r="BV35" s="3"/>
      <c r="BW35" s="3"/>
      <c r="BX35" s="3"/>
      <c r="BY35" s="3"/>
      <c r="BZ35" s="3"/>
      <c r="CA35" s="3"/>
      <c r="CB35" s="3"/>
      <c r="CC35" s="3"/>
      <c r="CD35" s="3"/>
      <c r="CE35" s="3"/>
      <c r="CF35" s="3"/>
      <c r="CG35" s="3"/>
      <c r="CH35" s="3"/>
      <c r="CI35" s="3"/>
      <c r="CJ35" s="3"/>
      <c r="CK35" s="3"/>
      <c r="CL35" s="3"/>
      <c r="CM35" s="3"/>
      <c r="CV35" s="3"/>
      <c r="CW35" s="3"/>
      <c r="CX35" s="3"/>
      <c r="CY35" s="3"/>
      <c r="CZ35" s="3"/>
      <c r="DA35" s="3"/>
      <c r="DB35" s="3"/>
      <c r="DC35" s="3"/>
      <c r="DD35" s="3"/>
      <c r="DE35" s="3"/>
      <c r="DF35" s="3"/>
      <c r="DG35" s="3"/>
      <c r="DH35" s="3"/>
      <c r="DI35" s="3"/>
      <c r="DJ35" s="3"/>
      <c r="DK35" s="3"/>
      <c r="DL35" s="3"/>
      <c r="DM35" s="3"/>
      <c r="DN35" s="3"/>
      <c r="DO35" s="3"/>
      <c r="DX35" s="3"/>
      <c r="DY35" s="3"/>
      <c r="DZ35" s="3"/>
      <c r="EA35" s="3"/>
      <c r="EB35" s="3"/>
      <c r="EC35" s="3"/>
      <c r="ED35" s="3"/>
      <c r="EE35" s="3"/>
      <c r="EF35" s="3"/>
      <c r="EZ35" s="3"/>
      <c r="FA35" s="3"/>
      <c r="FB35" s="3"/>
      <c r="FC35" s="3"/>
      <c r="FD35" s="3"/>
      <c r="FE35" s="3"/>
      <c r="FF35" s="3"/>
      <c r="FG35" s="3"/>
      <c r="FH35" s="3"/>
      <c r="FI35" s="3"/>
      <c r="FJ35" s="3"/>
      <c r="FK35" s="3"/>
      <c r="FL35" s="3"/>
      <c r="FM35" s="3"/>
      <c r="FN35" s="3"/>
      <c r="FO35" s="3"/>
      <c r="FP35" s="3"/>
      <c r="FQ35" s="3"/>
      <c r="FR35" s="3"/>
      <c r="FS35" s="3"/>
      <c r="GF35" s="10"/>
      <c r="GG35" s="10"/>
      <c r="GH35" s="10"/>
      <c r="GI35" s="10"/>
    </row>
    <row r="36" spans="16:191" x14ac:dyDescent="0.25">
      <c r="AR36" s="3"/>
      <c r="AS36" s="3"/>
      <c r="AT36" s="3"/>
      <c r="AU36" s="3"/>
      <c r="AV36" s="3"/>
      <c r="AW36" s="3"/>
      <c r="AX36" s="3"/>
      <c r="AY36" s="3"/>
      <c r="AZ36" s="3"/>
      <c r="BA36" s="3"/>
      <c r="BB36" s="3"/>
      <c r="BC36" s="3"/>
      <c r="BD36" s="3"/>
      <c r="BE36" s="3"/>
      <c r="BF36" s="3"/>
      <c r="BG36" s="3"/>
      <c r="BH36" s="3"/>
      <c r="BI36" s="3"/>
      <c r="BJ36" s="3"/>
      <c r="BK36" s="3"/>
      <c r="BT36" s="3"/>
      <c r="BU36" s="3"/>
      <c r="BV36" s="3"/>
      <c r="BW36" s="3"/>
      <c r="BX36" s="3"/>
      <c r="BY36" s="3"/>
      <c r="BZ36" s="3"/>
      <c r="CA36" s="3"/>
      <c r="CB36" s="3"/>
      <c r="CC36" s="3"/>
      <c r="CD36" s="3"/>
      <c r="CE36" s="3"/>
      <c r="CF36" s="3"/>
      <c r="CG36" s="3"/>
      <c r="CH36" s="3"/>
      <c r="CI36" s="3"/>
      <c r="CJ36" s="3"/>
      <c r="CK36" s="3"/>
      <c r="CL36" s="3"/>
      <c r="CM36" s="3"/>
      <c r="CV36" s="3"/>
      <c r="CW36" s="3"/>
      <c r="CX36" s="3"/>
      <c r="CY36" s="3"/>
      <c r="CZ36" s="3"/>
      <c r="DA36" s="3"/>
      <c r="DB36" s="3"/>
      <c r="DC36" s="3"/>
      <c r="DD36" s="3"/>
      <c r="DE36" s="3"/>
      <c r="DF36" s="3"/>
      <c r="DG36" s="3"/>
      <c r="DH36" s="3"/>
      <c r="DI36" s="3"/>
      <c r="DJ36" s="3"/>
      <c r="DK36" s="3"/>
      <c r="DL36" s="3"/>
      <c r="DM36" s="3"/>
      <c r="DN36" s="3"/>
      <c r="DO36" s="3"/>
      <c r="DX36" s="3"/>
      <c r="DY36" s="3"/>
      <c r="DZ36" s="3"/>
      <c r="EA36" s="3"/>
      <c r="EB36" s="3"/>
      <c r="EC36" s="3"/>
      <c r="ED36" s="3"/>
      <c r="EE36" s="3"/>
      <c r="EF36" s="3"/>
      <c r="EZ36" s="3"/>
      <c r="FA36" s="3"/>
      <c r="FB36" s="3"/>
      <c r="FC36" s="3"/>
      <c r="FD36" s="3"/>
      <c r="FE36" s="3"/>
      <c r="FF36" s="3"/>
      <c r="FG36" s="3"/>
      <c r="FH36" s="3"/>
      <c r="FI36" s="3"/>
      <c r="FJ36" s="3"/>
      <c r="FK36" s="3"/>
      <c r="FL36" s="3"/>
      <c r="FM36" s="3"/>
      <c r="FN36" s="3"/>
      <c r="FO36" s="3"/>
      <c r="FP36" s="3"/>
      <c r="FQ36" s="3"/>
      <c r="FR36" s="3"/>
      <c r="FS36" s="3"/>
    </row>
    <row r="37" spans="16:191" x14ac:dyDescent="0.25">
      <c r="AR37" s="3"/>
      <c r="AS37" s="3"/>
      <c r="AT37" s="3"/>
      <c r="AU37" s="3"/>
      <c r="AV37" s="3"/>
      <c r="AW37" s="3"/>
      <c r="AX37" s="3"/>
      <c r="AY37" s="3"/>
      <c r="AZ37" s="3"/>
      <c r="BA37" s="3"/>
      <c r="BB37" s="3"/>
      <c r="BC37" s="3"/>
      <c r="BD37" s="3"/>
      <c r="BE37" s="3"/>
      <c r="BF37" s="3"/>
      <c r="BG37" s="3"/>
      <c r="BH37" s="3"/>
      <c r="BI37" s="3"/>
      <c r="BJ37" s="3"/>
      <c r="BK37" s="3"/>
      <c r="BT37" s="3"/>
      <c r="BU37" s="3"/>
      <c r="BV37" s="3"/>
      <c r="BW37" s="3"/>
      <c r="BX37" s="3"/>
      <c r="BY37" s="3"/>
      <c r="BZ37" s="3"/>
      <c r="CA37" s="3"/>
      <c r="CB37" s="3"/>
      <c r="CC37" s="3"/>
      <c r="CD37" s="3"/>
      <c r="CE37" s="3"/>
      <c r="CF37" s="3"/>
      <c r="CG37" s="3"/>
      <c r="CH37" s="3"/>
      <c r="CI37" s="3"/>
      <c r="CJ37" s="3"/>
      <c r="CK37" s="3"/>
      <c r="CL37" s="3"/>
      <c r="CM37" s="3"/>
      <c r="CV37" s="3"/>
      <c r="CW37" s="3"/>
      <c r="CX37" s="3"/>
      <c r="CY37" s="3"/>
      <c r="CZ37" s="3"/>
      <c r="DA37" s="3"/>
      <c r="DB37" s="3"/>
      <c r="DC37" s="3"/>
      <c r="DD37" s="3"/>
      <c r="DE37" s="3"/>
      <c r="DF37" s="3"/>
      <c r="DG37" s="3"/>
      <c r="DH37" s="3"/>
      <c r="DI37" s="3"/>
      <c r="DJ37" s="3"/>
      <c r="DK37" s="3"/>
      <c r="DL37" s="3"/>
      <c r="DM37" s="3"/>
      <c r="DN37" s="3"/>
      <c r="DO37" s="3"/>
      <c r="DX37" s="3"/>
      <c r="DY37" s="3"/>
      <c r="DZ37" s="3"/>
      <c r="EA37" s="3"/>
      <c r="EB37" s="3"/>
      <c r="EC37" s="3"/>
      <c r="ED37" s="3"/>
      <c r="EE37" s="3"/>
      <c r="EF37" s="3"/>
      <c r="EZ37" s="3"/>
      <c r="FA37" s="3"/>
      <c r="FB37" s="3"/>
      <c r="FC37" s="3"/>
      <c r="FD37" s="3"/>
      <c r="FE37" s="3"/>
      <c r="FF37" s="3"/>
      <c r="FG37" s="3"/>
      <c r="FH37" s="3"/>
      <c r="FI37" s="3"/>
      <c r="FJ37" s="3"/>
      <c r="FK37" s="3"/>
      <c r="FL37" s="3"/>
      <c r="FM37" s="3"/>
      <c r="FN37" s="3"/>
      <c r="FO37" s="3"/>
      <c r="FP37" s="3"/>
      <c r="FQ37" s="3"/>
      <c r="FR37" s="3"/>
      <c r="FS37" s="3"/>
    </row>
    <row r="38" spans="16:191" x14ac:dyDescent="0.25">
      <c r="AR38" s="3"/>
      <c r="AS38" s="3"/>
      <c r="AT38" s="3"/>
      <c r="AU38" s="3"/>
      <c r="AV38" s="3"/>
      <c r="AW38" s="3"/>
      <c r="AX38" s="3"/>
      <c r="AY38" s="3"/>
      <c r="AZ38" s="3"/>
      <c r="BA38" s="3"/>
      <c r="BB38" s="3"/>
      <c r="BC38" s="3"/>
      <c r="BD38" s="3"/>
      <c r="BE38" s="3"/>
      <c r="BF38" s="3"/>
      <c r="BG38" s="3"/>
      <c r="BH38" s="3"/>
      <c r="BI38" s="3"/>
      <c r="BJ38" s="3"/>
      <c r="BK38" s="3"/>
      <c r="BT38" s="3"/>
      <c r="BU38" s="3"/>
      <c r="BV38" s="3"/>
      <c r="BW38" s="3"/>
      <c r="BX38" s="3"/>
      <c r="BY38" s="3"/>
      <c r="BZ38" s="3"/>
      <c r="CA38" s="3"/>
      <c r="CB38" s="3"/>
      <c r="CC38" s="3"/>
      <c r="CD38" s="3"/>
      <c r="CE38" s="3"/>
      <c r="CF38" s="3"/>
      <c r="CG38" s="3"/>
      <c r="CH38" s="3"/>
      <c r="CI38" s="3"/>
      <c r="CJ38" s="3"/>
      <c r="CK38" s="3"/>
      <c r="CL38" s="3"/>
      <c r="CM38" s="3"/>
      <c r="CV38" s="3"/>
      <c r="CW38" s="3"/>
      <c r="CX38" s="3"/>
      <c r="CY38" s="3"/>
      <c r="CZ38" s="3"/>
      <c r="DA38" s="3"/>
      <c r="DB38" s="3"/>
      <c r="DC38" s="3"/>
      <c r="DD38" s="3"/>
      <c r="DE38" s="3"/>
      <c r="DF38" s="3"/>
      <c r="DG38" s="3"/>
      <c r="DH38" s="3"/>
      <c r="DI38" s="3"/>
      <c r="DJ38" s="3"/>
      <c r="DK38" s="3"/>
      <c r="DL38" s="3"/>
      <c r="DM38" s="3"/>
      <c r="DN38" s="3"/>
      <c r="DO38" s="3"/>
      <c r="DX38" s="3"/>
      <c r="DY38" s="3"/>
      <c r="DZ38" s="3"/>
      <c r="EA38" s="3"/>
      <c r="EB38" s="3"/>
      <c r="EC38" s="3"/>
      <c r="ED38" s="3"/>
      <c r="EE38" s="3"/>
      <c r="EF38" s="3"/>
      <c r="EZ38" s="3"/>
      <c r="FA38" s="3"/>
      <c r="FB38" s="3"/>
      <c r="FC38" s="3"/>
      <c r="FD38" s="3"/>
      <c r="FE38" s="3"/>
      <c r="FF38" s="3"/>
      <c r="FG38" s="3"/>
      <c r="FH38" s="3"/>
      <c r="FI38" s="3"/>
      <c r="FJ38" s="3"/>
      <c r="FK38" s="3"/>
      <c r="FL38" s="3"/>
      <c r="FM38" s="3"/>
      <c r="FN38" s="3"/>
      <c r="FO38" s="3"/>
      <c r="FP38" s="3"/>
      <c r="FQ38" s="3"/>
      <c r="FR38" s="3"/>
      <c r="FS38" s="3"/>
    </row>
    <row r="39" spans="16:191" x14ac:dyDescent="0.25">
      <c r="AR39" s="3"/>
      <c r="AS39" s="3"/>
      <c r="AT39" s="3"/>
      <c r="AU39" s="3"/>
      <c r="AV39" s="3"/>
      <c r="AW39" s="3"/>
      <c r="AX39" s="3"/>
      <c r="AY39" s="3"/>
      <c r="AZ39" s="3"/>
      <c r="BA39" s="3"/>
      <c r="BB39" s="3"/>
      <c r="BC39" s="3"/>
      <c r="BD39" s="3"/>
      <c r="BE39" s="3"/>
      <c r="BF39" s="3"/>
      <c r="BG39" s="3"/>
      <c r="BH39" s="3"/>
      <c r="BI39" s="3"/>
      <c r="BJ39" s="3"/>
      <c r="BK39" s="3"/>
      <c r="BT39" s="3"/>
      <c r="BU39" s="3"/>
      <c r="BV39" s="3"/>
      <c r="BW39" s="3"/>
      <c r="BX39" s="3"/>
      <c r="BY39" s="3"/>
      <c r="BZ39" s="3"/>
      <c r="CA39" s="3"/>
      <c r="CB39" s="3"/>
      <c r="CC39" s="3"/>
      <c r="CD39" s="3"/>
      <c r="CE39" s="3"/>
      <c r="CF39" s="3"/>
      <c r="CG39" s="3"/>
      <c r="CH39" s="3"/>
      <c r="CI39" s="3"/>
      <c r="CJ39" s="3"/>
      <c r="CK39" s="3"/>
      <c r="CL39" s="3"/>
      <c r="CM39" s="3"/>
      <c r="CV39" s="3"/>
      <c r="CW39" s="3"/>
      <c r="CX39" s="3"/>
      <c r="CY39" s="3"/>
      <c r="CZ39" s="3"/>
      <c r="DA39" s="3"/>
      <c r="DB39" s="3"/>
      <c r="DC39" s="3"/>
      <c r="DD39" s="3"/>
      <c r="DE39" s="3"/>
      <c r="DF39" s="3"/>
      <c r="DG39" s="3"/>
      <c r="DH39" s="3"/>
      <c r="DI39" s="3"/>
      <c r="DJ39" s="3"/>
      <c r="DK39" s="3"/>
      <c r="DL39" s="3"/>
      <c r="DM39" s="3"/>
      <c r="DN39" s="3"/>
      <c r="DO39" s="3"/>
      <c r="DX39" s="3"/>
      <c r="DY39" s="3"/>
      <c r="DZ39" s="3"/>
      <c r="EA39" s="3"/>
      <c r="EB39" s="3"/>
      <c r="EC39" s="3"/>
      <c r="ED39" s="3"/>
      <c r="EE39" s="3"/>
      <c r="EF39" s="3"/>
      <c r="EZ39" s="3"/>
      <c r="FA39" s="3"/>
      <c r="FB39" s="3"/>
      <c r="FC39" s="3"/>
      <c r="FD39" s="3"/>
      <c r="FE39" s="3"/>
      <c r="FF39" s="3"/>
      <c r="FG39" s="3"/>
      <c r="FH39" s="3"/>
      <c r="FI39" s="3"/>
      <c r="FJ39" s="3"/>
      <c r="FK39" s="3"/>
      <c r="FL39" s="3"/>
      <c r="FM39" s="3"/>
      <c r="FN39" s="3"/>
      <c r="FO39" s="3"/>
      <c r="FP39" s="3"/>
      <c r="FQ39" s="3"/>
      <c r="FR39" s="3"/>
      <c r="FS39" s="3"/>
    </row>
    <row r="40" spans="16:191" x14ac:dyDescent="0.25">
      <c r="AR40" s="3"/>
      <c r="AS40" s="3"/>
      <c r="AT40" s="3"/>
      <c r="AU40" s="3"/>
      <c r="AV40" s="3"/>
      <c r="AW40" s="3"/>
      <c r="AX40" s="3"/>
      <c r="AY40" s="3"/>
      <c r="AZ40" s="3"/>
      <c r="BA40" s="3"/>
      <c r="BB40" s="3"/>
      <c r="BC40" s="3"/>
      <c r="BD40" s="3"/>
      <c r="BE40" s="3"/>
      <c r="BF40" s="3"/>
      <c r="BG40" s="3"/>
      <c r="BH40" s="3"/>
      <c r="BI40" s="3"/>
      <c r="BJ40" s="3"/>
      <c r="BK40" s="3"/>
      <c r="BT40" s="3"/>
      <c r="BU40" s="3"/>
      <c r="BV40" s="3"/>
      <c r="BW40" s="3"/>
      <c r="BX40" s="3"/>
      <c r="BY40" s="3"/>
      <c r="BZ40" s="3"/>
      <c r="CA40" s="3"/>
      <c r="CB40" s="3"/>
      <c r="CC40" s="3"/>
      <c r="CD40" s="3"/>
      <c r="CE40" s="3"/>
      <c r="CF40" s="3"/>
      <c r="CG40" s="3"/>
      <c r="CH40" s="3"/>
      <c r="CI40" s="3"/>
      <c r="CJ40" s="3"/>
      <c r="CK40" s="3"/>
      <c r="CL40" s="3"/>
      <c r="CM40" s="3"/>
      <c r="CV40" s="3"/>
      <c r="CW40" s="3"/>
      <c r="CX40" s="3"/>
      <c r="CY40" s="3"/>
      <c r="CZ40" s="3"/>
      <c r="DA40" s="3"/>
      <c r="DB40" s="3"/>
      <c r="DC40" s="3"/>
      <c r="DD40" s="3"/>
      <c r="DE40" s="3"/>
      <c r="DF40" s="3"/>
      <c r="DG40" s="3"/>
      <c r="DH40" s="3"/>
      <c r="DI40" s="3"/>
      <c r="DJ40" s="3"/>
      <c r="DK40" s="3"/>
      <c r="DL40" s="3"/>
      <c r="DM40" s="3"/>
      <c r="DN40" s="3"/>
      <c r="DO40" s="3"/>
      <c r="DX40" s="3"/>
      <c r="DY40" s="3"/>
      <c r="DZ40" s="3"/>
      <c r="EA40" s="3"/>
      <c r="EB40" s="3"/>
      <c r="EC40" s="3"/>
      <c r="ED40" s="3"/>
      <c r="EE40" s="3"/>
      <c r="EF40" s="3"/>
      <c r="EZ40" s="3"/>
      <c r="FA40" s="3"/>
      <c r="FB40" s="3"/>
      <c r="FC40" s="3"/>
      <c r="FD40" s="3"/>
      <c r="FE40" s="3"/>
      <c r="FF40" s="3"/>
      <c r="FG40" s="3"/>
      <c r="FH40" s="3"/>
      <c r="FI40" s="3"/>
      <c r="FJ40" s="3"/>
      <c r="FK40" s="3"/>
      <c r="FL40" s="3"/>
      <c r="FM40" s="3"/>
      <c r="FN40" s="3"/>
      <c r="FO40" s="3"/>
      <c r="FP40" s="3"/>
      <c r="FQ40" s="3"/>
      <c r="FR40" s="3"/>
      <c r="FS40" s="3"/>
    </row>
    <row r="41" spans="16:191" x14ac:dyDescent="0.25">
      <c r="AR41" s="3"/>
      <c r="AS41" s="3"/>
      <c r="AT41" s="3"/>
      <c r="AU41" s="3"/>
      <c r="AV41" s="3"/>
      <c r="AW41" s="3"/>
      <c r="AX41" s="3"/>
      <c r="AY41" s="3"/>
      <c r="AZ41" s="3"/>
      <c r="BA41" s="3"/>
      <c r="BB41" s="3"/>
      <c r="BC41" s="3"/>
      <c r="BD41" s="3"/>
      <c r="BE41" s="3"/>
      <c r="BF41" s="3"/>
      <c r="BG41" s="3"/>
      <c r="BH41" s="3"/>
      <c r="BI41" s="3"/>
      <c r="BJ41" s="3"/>
      <c r="BK41" s="3"/>
      <c r="BT41" s="3"/>
      <c r="BU41" s="3"/>
      <c r="BV41" s="3"/>
      <c r="BW41" s="3"/>
      <c r="BX41" s="3"/>
      <c r="BY41" s="3"/>
      <c r="BZ41" s="3"/>
      <c r="CA41" s="3"/>
      <c r="CB41" s="3"/>
      <c r="CC41" s="3"/>
      <c r="CD41" s="3"/>
      <c r="CE41" s="3"/>
      <c r="CF41" s="3"/>
      <c r="CG41" s="3"/>
      <c r="CH41" s="3"/>
      <c r="CI41" s="3"/>
      <c r="CJ41" s="3"/>
      <c r="CK41" s="3"/>
      <c r="CL41" s="3"/>
      <c r="CM41" s="3"/>
      <c r="CV41" s="3"/>
      <c r="CW41" s="3"/>
      <c r="CX41" s="3"/>
      <c r="CY41" s="3"/>
      <c r="CZ41" s="3"/>
      <c r="DA41" s="3"/>
      <c r="DB41" s="3"/>
      <c r="DC41" s="3"/>
      <c r="DD41" s="3"/>
      <c r="DE41" s="3"/>
      <c r="DF41" s="3"/>
      <c r="DG41" s="3"/>
      <c r="DH41" s="3"/>
      <c r="DI41" s="3"/>
      <c r="DJ41" s="3"/>
      <c r="DK41" s="3"/>
      <c r="DL41" s="3"/>
      <c r="DM41" s="3"/>
      <c r="DN41" s="3"/>
      <c r="DO41" s="3"/>
      <c r="DX41" s="3"/>
      <c r="DY41" s="3"/>
      <c r="DZ41" s="3"/>
      <c r="EA41" s="3"/>
      <c r="EB41" s="3"/>
      <c r="EC41" s="3"/>
      <c r="ED41" s="3"/>
      <c r="EE41" s="3"/>
      <c r="EF41" s="3"/>
      <c r="EZ41" s="3"/>
      <c r="FA41" s="3"/>
      <c r="FB41" s="3"/>
      <c r="FC41" s="3"/>
      <c r="FD41" s="3"/>
      <c r="FE41" s="3"/>
      <c r="FF41" s="3"/>
      <c r="FG41" s="3"/>
      <c r="FH41" s="3"/>
      <c r="FI41" s="3"/>
      <c r="FJ41" s="3"/>
      <c r="FK41" s="3"/>
      <c r="FL41" s="3"/>
      <c r="FM41" s="3"/>
      <c r="FN41" s="3"/>
      <c r="FO41" s="3"/>
      <c r="FP41" s="3"/>
      <c r="FQ41" s="3"/>
      <c r="FR41" s="3"/>
      <c r="FS41" s="3"/>
    </row>
    <row r="42" spans="16:191" x14ac:dyDescent="0.25">
      <c r="AR42" s="3"/>
      <c r="AS42" s="3"/>
      <c r="AT42" s="3"/>
      <c r="AU42" s="3"/>
      <c r="AV42" s="3"/>
      <c r="AW42" s="3"/>
      <c r="AX42" s="3"/>
      <c r="AY42" s="3"/>
      <c r="AZ42" s="3"/>
      <c r="BA42" s="3"/>
      <c r="BB42" s="3"/>
      <c r="BC42" s="3"/>
      <c r="BD42" s="3"/>
      <c r="BE42" s="3"/>
      <c r="BF42" s="3"/>
      <c r="BG42" s="3"/>
      <c r="BH42" s="3"/>
      <c r="BI42" s="3"/>
      <c r="BJ42" s="3"/>
      <c r="BK42" s="3"/>
      <c r="BT42" s="3"/>
      <c r="BU42" s="3"/>
      <c r="BV42" s="3"/>
      <c r="BW42" s="3"/>
      <c r="BX42" s="3"/>
      <c r="BY42" s="3"/>
      <c r="BZ42" s="3"/>
      <c r="CA42" s="3"/>
      <c r="CB42" s="3"/>
      <c r="CC42" s="3"/>
      <c r="CD42" s="3"/>
      <c r="CE42" s="3"/>
      <c r="CF42" s="3"/>
      <c r="CG42" s="3"/>
      <c r="CH42" s="3"/>
      <c r="CI42" s="3"/>
      <c r="CJ42" s="3"/>
      <c r="CK42" s="3"/>
      <c r="CL42" s="3"/>
      <c r="CM42" s="3"/>
      <c r="CV42" s="3"/>
      <c r="CW42" s="3"/>
      <c r="CX42" s="3"/>
      <c r="CY42" s="3"/>
      <c r="CZ42" s="3"/>
      <c r="DA42" s="3"/>
      <c r="DB42" s="3"/>
      <c r="DC42" s="3"/>
      <c r="DD42" s="3"/>
      <c r="DE42" s="3"/>
      <c r="DF42" s="3"/>
      <c r="DG42" s="3"/>
      <c r="DH42" s="3"/>
      <c r="DI42" s="3"/>
      <c r="DJ42" s="3"/>
      <c r="DK42" s="3"/>
      <c r="DL42" s="3"/>
      <c r="DM42" s="3"/>
      <c r="DN42" s="3"/>
      <c r="DO42" s="3"/>
      <c r="DX42" s="3"/>
      <c r="DY42" s="3"/>
      <c r="DZ42" s="3"/>
      <c r="EA42" s="3"/>
      <c r="EB42" s="3"/>
      <c r="EC42" s="3"/>
      <c r="ED42" s="3"/>
      <c r="EE42" s="3"/>
      <c r="EF42" s="3"/>
      <c r="EZ42" s="3"/>
      <c r="FA42" s="3"/>
      <c r="FB42" s="3"/>
      <c r="FC42" s="3"/>
      <c r="FD42" s="3"/>
      <c r="FE42" s="3"/>
      <c r="FF42" s="3"/>
      <c r="FG42" s="3"/>
      <c r="FH42" s="3"/>
      <c r="FI42" s="3"/>
      <c r="FJ42" s="3"/>
      <c r="FK42" s="3"/>
      <c r="FL42" s="3"/>
      <c r="FM42" s="3"/>
      <c r="FN42" s="3"/>
      <c r="FO42" s="3"/>
      <c r="FP42" s="3"/>
      <c r="FQ42" s="3"/>
      <c r="FR42" s="3"/>
      <c r="FS42" s="3"/>
    </row>
    <row r="43" spans="16:191" x14ac:dyDescent="0.25">
      <c r="AR43" s="3"/>
      <c r="AS43" s="3"/>
      <c r="AT43" s="3"/>
      <c r="AU43" s="3"/>
      <c r="AV43" s="3"/>
      <c r="AW43" s="3"/>
      <c r="AX43" s="3"/>
      <c r="AY43" s="3"/>
      <c r="AZ43" s="3"/>
      <c r="BA43" s="3"/>
      <c r="BB43" s="3"/>
      <c r="BC43" s="3"/>
      <c r="BD43" s="3"/>
      <c r="BE43" s="3"/>
      <c r="BF43" s="3"/>
      <c r="BG43" s="3"/>
      <c r="BH43" s="3"/>
      <c r="BI43" s="3"/>
      <c r="BJ43" s="3"/>
      <c r="BK43" s="3"/>
      <c r="BT43" s="3"/>
      <c r="BU43" s="3"/>
      <c r="BV43" s="3"/>
      <c r="BW43" s="3"/>
      <c r="BX43" s="3"/>
      <c r="BY43" s="3"/>
      <c r="BZ43" s="3"/>
      <c r="CA43" s="3"/>
      <c r="CB43" s="3"/>
      <c r="CC43" s="3"/>
      <c r="CD43" s="3"/>
      <c r="CE43" s="3"/>
      <c r="CF43" s="3"/>
      <c r="CG43" s="3"/>
      <c r="CH43" s="3"/>
      <c r="CI43" s="3"/>
      <c r="CJ43" s="3"/>
      <c r="CK43" s="3"/>
      <c r="CL43" s="3"/>
      <c r="CM43" s="3"/>
      <c r="CV43" s="3"/>
      <c r="CW43" s="3"/>
      <c r="CX43" s="3"/>
      <c r="CY43" s="3"/>
      <c r="CZ43" s="3"/>
      <c r="DA43" s="3"/>
      <c r="DB43" s="3"/>
      <c r="DC43" s="3"/>
      <c r="DD43" s="3"/>
      <c r="DE43" s="3"/>
      <c r="DF43" s="3"/>
      <c r="DG43" s="3"/>
      <c r="DH43" s="3"/>
      <c r="DI43" s="3"/>
      <c r="DJ43" s="3"/>
      <c r="DK43" s="3"/>
      <c r="DL43" s="3"/>
      <c r="DM43" s="3"/>
      <c r="DN43" s="3"/>
      <c r="DO43" s="3"/>
      <c r="DX43" s="3"/>
      <c r="DY43" s="3"/>
      <c r="DZ43" s="3"/>
      <c r="EA43" s="3"/>
      <c r="EB43" s="3"/>
      <c r="EC43" s="3"/>
      <c r="ED43" s="3"/>
      <c r="EE43" s="3"/>
      <c r="EF43" s="3"/>
      <c r="EZ43" s="3"/>
      <c r="FA43" s="3"/>
      <c r="FB43" s="3"/>
      <c r="FC43" s="3"/>
      <c r="FD43" s="3"/>
      <c r="FE43" s="3"/>
      <c r="FF43" s="3"/>
      <c r="FG43" s="3"/>
      <c r="FH43" s="3"/>
      <c r="FI43" s="3"/>
      <c r="FJ43" s="3"/>
      <c r="FK43" s="3"/>
      <c r="FL43" s="3"/>
      <c r="FM43" s="3"/>
      <c r="FN43" s="3"/>
      <c r="FO43" s="3"/>
      <c r="FP43" s="3"/>
      <c r="FQ43" s="3"/>
      <c r="FR43" s="3"/>
      <c r="FS43" s="3"/>
    </row>
    <row r="44" spans="16:191" x14ac:dyDescent="0.25">
      <c r="AR44" s="3"/>
      <c r="AS44" s="3"/>
      <c r="AT44" s="3"/>
      <c r="AU44" s="3"/>
      <c r="AV44" s="3"/>
      <c r="AW44" s="3"/>
      <c r="AX44" s="3"/>
      <c r="AY44" s="3"/>
      <c r="AZ44" s="3"/>
      <c r="BA44" s="3"/>
      <c r="BB44" s="3"/>
      <c r="BC44" s="3"/>
      <c r="BD44" s="3"/>
      <c r="BE44" s="3"/>
      <c r="BF44" s="3"/>
      <c r="BG44" s="3"/>
      <c r="BH44" s="3"/>
      <c r="BI44" s="3"/>
      <c r="BJ44" s="3"/>
      <c r="BK44" s="3"/>
      <c r="BT44" s="3"/>
      <c r="BU44" s="3"/>
      <c r="BV44" s="3"/>
      <c r="BW44" s="3"/>
      <c r="BX44" s="3"/>
      <c r="BY44" s="3"/>
      <c r="BZ44" s="3"/>
      <c r="CA44" s="3"/>
      <c r="CB44" s="3"/>
      <c r="CC44" s="3"/>
      <c r="CD44" s="3"/>
      <c r="CE44" s="3"/>
      <c r="CF44" s="3"/>
      <c r="CG44" s="3"/>
      <c r="CH44" s="3"/>
      <c r="CI44" s="3"/>
      <c r="CJ44" s="3"/>
      <c r="CK44" s="3"/>
      <c r="CL44" s="3"/>
      <c r="CM44" s="3"/>
      <c r="CV44" s="3"/>
      <c r="CW44" s="3"/>
      <c r="CX44" s="3"/>
      <c r="CY44" s="3"/>
      <c r="CZ44" s="3"/>
      <c r="DA44" s="3"/>
      <c r="DB44" s="3"/>
      <c r="DC44" s="3"/>
      <c r="DD44" s="3"/>
      <c r="DE44" s="3"/>
      <c r="DF44" s="3"/>
      <c r="DG44" s="3"/>
      <c r="DH44" s="3"/>
      <c r="DI44" s="3"/>
      <c r="DJ44" s="3"/>
      <c r="DK44" s="3"/>
      <c r="DL44" s="3"/>
      <c r="DM44" s="3"/>
      <c r="DN44" s="3"/>
      <c r="DO44" s="3"/>
      <c r="DX44" s="3"/>
      <c r="DY44" s="3"/>
      <c r="DZ44" s="3"/>
      <c r="EA44" s="3"/>
      <c r="EB44" s="3"/>
      <c r="EC44" s="3"/>
      <c r="ED44" s="3"/>
      <c r="EE44" s="3"/>
      <c r="EF44" s="3"/>
      <c r="EZ44" s="3"/>
      <c r="FA44" s="3"/>
      <c r="FB44" s="3"/>
      <c r="FC44" s="3"/>
      <c r="FD44" s="3"/>
      <c r="FE44" s="3"/>
      <c r="FF44" s="3"/>
      <c r="FG44" s="3"/>
      <c r="FH44" s="3"/>
      <c r="FI44" s="3"/>
      <c r="FJ44" s="3"/>
      <c r="FK44" s="3"/>
      <c r="FL44" s="3"/>
      <c r="FM44" s="3"/>
      <c r="FN44" s="3"/>
      <c r="FO44" s="3"/>
      <c r="FP44" s="3"/>
      <c r="FQ44" s="3"/>
      <c r="FR44" s="3"/>
      <c r="FS44" s="3"/>
    </row>
    <row r="45" spans="16:191" x14ac:dyDescent="0.25">
      <c r="AR45" s="3"/>
      <c r="AS45" s="3"/>
      <c r="AT45" s="3"/>
      <c r="AU45" s="3"/>
      <c r="AV45" s="3"/>
      <c r="AW45" s="3"/>
      <c r="AX45" s="3"/>
      <c r="AY45" s="3"/>
      <c r="AZ45" s="3"/>
      <c r="BA45" s="3"/>
      <c r="BB45" s="3"/>
      <c r="BC45" s="3"/>
      <c r="BD45" s="3"/>
      <c r="BE45" s="3"/>
      <c r="BF45" s="3"/>
      <c r="BG45" s="3"/>
      <c r="BH45" s="3"/>
      <c r="BI45" s="3"/>
      <c r="BJ45" s="3"/>
      <c r="BK45" s="3"/>
      <c r="BT45" s="3"/>
      <c r="BU45" s="3"/>
      <c r="BV45" s="3"/>
      <c r="BW45" s="3"/>
      <c r="BX45" s="3"/>
      <c r="BY45" s="3"/>
      <c r="BZ45" s="3"/>
      <c r="CA45" s="3"/>
      <c r="CB45" s="3"/>
      <c r="CC45" s="3"/>
      <c r="CD45" s="3"/>
      <c r="CE45" s="3"/>
      <c r="CF45" s="3"/>
      <c r="CG45" s="3"/>
      <c r="CH45" s="3"/>
      <c r="CI45" s="3"/>
      <c r="CJ45" s="3"/>
      <c r="CK45" s="3"/>
      <c r="CL45" s="3"/>
      <c r="CM45" s="3"/>
      <c r="CV45" s="3"/>
      <c r="CW45" s="3"/>
      <c r="CX45" s="3"/>
      <c r="CY45" s="3"/>
      <c r="CZ45" s="3"/>
      <c r="DA45" s="3"/>
      <c r="DB45" s="3"/>
      <c r="DC45" s="3"/>
      <c r="DD45" s="3"/>
      <c r="DE45" s="3"/>
      <c r="DF45" s="3"/>
      <c r="DG45" s="3"/>
      <c r="DH45" s="3"/>
      <c r="DI45" s="3"/>
      <c r="DJ45" s="3"/>
      <c r="DK45" s="3"/>
      <c r="DL45" s="3"/>
      <c r="DM45" s="3"/>
      <c r="DN45" s="3"/>
      <c r="DO45" s="3"/>
      <c r="EZ45" s="3"/>
      <c r="FA45" s="3"/>
      <c r="FB45" s="3"/>
      <c r="FC45" s="3"/>
      <c r="FD45" s="3"/>
      <c r="FE45" s="3"/>
      <c r="FF45" s="3"/>
      <c r="FG45" s="3"/>
      <c r="FH45" s="3"/>
      <c r="FI45" s="3"/>
      <c r="FJ45" s="3"/>
      <c r="FK45" s="3"/>
      <c r="FL45" s="3"/>
      <c r="FM45" s="3"/>
      <c r="FN45" s="3"/>
      <c r="FO45" s="3"/>
      <c r="FP45" s="3"/>
      <c r="FQ45" s="3"/>
      <c r="FR45" s="3"/>
      <c r="FS45" s="3"/>
    </row>
    <row r="46" spans="16:191" x14ac:dyDescent="0.25">
      <c r="AR46" s="3"/>
      <c r="AS46" s="3"/>
      <c r="AT46" s="3"/>
      <c r="AU46" s="3"/>
      <c r="AV46" s="3"/>
      <c r="AW46" s="3"/>
      <c r="AX46" s="3"/>
      <c r="AY46" s="3"/>
      <c r="AZ46" s="3"/>
      <c r="BA46" s="3"/>
      <c r="BB46" s="3"/>
      <c r="BC46" s="3"/>
      <c r="BD46" s="3"/>
      <c r="BE46" s="3"/>
      <c r="BF46" s="3"/>
      <c r="BG46" s="3"/>
      <c r="BH46" s="3"/>
      <c r="BI46" s="3"/>
      <c r="BJ46" s="3"/>
      <c r="BK46" s="3"/>
      <c r="BT46" s="3"/>
      <c r="BU46" s="3"/>
      <c r="BV46" s="3"/>
      <c r="BW46" s="3"/>
      <c r="BX46" s="3"/>
      <c r="BY46" s="3"/>
      <c r="BZ46" s="3"/>
      <c r="CA46" s="3"/>
      <c r="CB46" s="3"/>
      <c r="CC46" s="3"/>
      <c r="CD46" s="3"/>
      <c r="CE46" s="3"/>
      <c r="CF46" s="3"/>
      <c r="CG46" s="3"/>
      <c r="CH46" s="3"/>
      <c r="CI46" s="3"/>
      <c r="CJ46" s="3"/>
      <c r="CK46" s="3"/>
      <c r="CL46" s="3"/>
      <c r="CM46" s="3"/>
      <c r="CV46" s="3"/>
      <c r="CW46" s="3"/>
      <c r="CX46" s="3"/>
      <c r="CY46" s="3"/>
      <c r="CZ46" s="3"/>
      <c r="DA46" s="3"/>
      <c r="DB46" s="3"/>
      <c r="DC46" s="3"/>
      <c r="DD46" s="3"/>
      <c r="DE46" s="3"/>
      <c r="DF46" s="3"/>
      <c r="DG46" s="3"/>
      <c r="DH46" s="3"/>
      <c r="DI46" s="3"/>
      <c r="DJ46" s="3"/>
      <c r="DK46" s="3"/>
      <c r="DL46" s="3"/>
      <c r="DM46" s="3"/>
      <c r="DN46" s="3"/>
      <c r="DO46" s="3"/>
      <c r="EZ46" s="3"/>
      <c r="FA46" s="3"/>
      <c r="FB46" s="3"/>
      <c r="FC46" s="3"/>
      <c r="FD46" s="3"/>
      <c r="FE46" s="3"/>
      <c r="FF46" s="3"/>
      <c r="FG46" s="3"/>
      <c r="FH46" s="3"/>
      <c r="FI46" s="3"/>
      <c r="FJ46" s="3"/>
      <c r="FK46" s="3"/>
      <c r="FL46" s="3"/>
      <c r="FM46" s="3"/>
      <c r="FN46" s="3"/>
      <c r="FO46" s="3"/>
      <c r="FP46" s="3"/>
      <c r="FQ46" s="3"/>
      <c r="FR46" s="3"/>
      <c r="FS46" s="3"/>
    </row>
    <row r="47" spans="16:191" x14ac:dyDescent="0.25">
      <c r="AR47" s="3"/>
      <c r="AS47" s="3"/>
      <c r="AT47" s="3"/>
      <c r="AU47" s="3"/>
      <c r="AV47" s="3"/>
      <c r="AW47" s="3"/>
      <c r="AX47" s="3"/>
      <c r="AY47" s="3"/>
      <c r="AZ47" s="3"/>
      <c r="BA47" s="3"/>
      <c r="BB47" s="3"/>
      <c r="BC47" s="3"/>
      <c r="BD47" s="3"/>
      <c r="BE47" s="3"/>
      <c r="BF47" s="3"/>
      <c r="BG47" s="3"/>
      <c r="BH47" s="3"/>
      <c r="BI47" s="3"/>
      <c r="BJ47" s="3"/>
      <c r="BK47" s="3"/>
      <c r="BT47" s="3"/>
      <c r="BU47" s="3"/>
      <c r="BV47" s="3"/>
      <c r="BW47" s="3"/>
      <c r="BX47" s="3"/>
      <c r="BY47" s="3"/>
      <c r="BZ47" s="3"/>
      <c r="CA47" s="3"/>
      <c r="CB47" s="3"/>
      <c r="CC47" s="3"/>
      <c r="CD47" s="3"/>
      <c r="CE47" s="3"/>
      <c r="CF47" s="3"/>
      <c r="CG47" s="3"/>
      <c r="CH47" s="3"/>
      <c r="CI47" s="3"/>
      <c r="CJ47" s="3"/>
      <c r="CK47" s="3"/>
      <c r="CL47" s="3"/>
      <c r="CM47" s="3"/>
      <c r="CV47" s="3"/>
      <c r="CW47" s="3"/>
      <c r="CX47" s="3"/>
      <c r="CY47" s="3"/>
      <c r="CZ47" s="3"/>
      <c r="DA47" s="3"/>
      <c r="DB47" s="3"/>
      <c r="DC47" s="3"/>
      <c r="DD47" s="3"/>
      <c r="DE47" s="3"/>
      <c r="DF47" s="3"/>
      <c r="DG47" s="3"/>
      <c r="DH47" s="3"/>
      <c r="DI47" s="3"/>
      <c r="DJ47" s="3"/>
      <c r="DK47" s="3"/>
      <c r="DL47" s="3"/>
      <c r="DM47" s="3"/>
      <c r="DN47" s="3"/>
      <c r="DO47" s="3"/>
      <c r="EZ47" s="3"/>
      <c r="FA47" s="3"/>
      <c r="FB47" s="3"/>
      <c r="FC47" s="3"/>
      <c r="FD47" s="3"/>
      <c r="FE47" s="3"/>
      <c r="FF47" s="3"/>
      <c r="FG47" s="3"/>
      <c r="FH47" s="3"/>
      <c r="FI47" s="3"/>
      <c r="FJ47" s="3"/>
      <c r="FK47" s="3"/>
      <c r="FL47" s="3"/>
      <c r="FM47" s="3"/>
      <c r="FN47" s="3"/>
      <c r="FO47" s="3"/>
      <c r="FP47" s="3"/>
      <c r="FQ47" s="3"/>
      <c r="FR47" s="3"/>
      <c r="FS47" s="3"/>
    </row>
    <row r="48" spans="16:191" x14ac:dyDescent="0.25">
      <c r="AR48" s="3"/>
      <c r="AS48" s="3"/>
      <c r="AT48" s="3"/>
      <c r="AU48" s="3"/>
      <c r="AV48" s="3"/>
      <c r="AW48" s="3"/>
      <c r="AX48" s="3"/>
      <c r="AY48" s="3"/>
      <c r="AZ48" s="3"/>
      <c r="BA48" s="3"/>
      <c r="BB48" s="3"/>
      <c r="BC48" s="3"/>
      <c r="BD48" s="3"/>
      <c r="BE48" s="3"/>
      <c r="BF48" s="3"/>
      <c r="BG48" s="3"/>
      <c r="BH48" s="3"/>
      <c r="BI48" s="3"/>
      <c r="BJ48" s="3"/>
      <c r="BK48" s="3"/>
      <c r="BT48" s="3"/>
      <c r="BU48" s="3"/>
      <c r="BV48" s="3"/>
      <c r="BW48" s="3"/>
      <c r="BX48" s="3"/>
      <c r="BY48" s="3"/>
      <c r="BZ48" s="3"/>
      <c r="CA48" s="3"/>
      <c r="CB48" s="3"/>
      <c r="CC48" s="3"/>
      <c r="CD48" s="3"/>
      <c r="CE48" s="3"/>
      <c r="CF48" s="3"/>
      <c r="CG48" s="3"/>
      <c r="CH48" s="3"/>
      <c r="CI48" s="3"/>
      <c r="CJ48" s="3"/>
      <c r="CK48" s="3"/>
      <c r="CL48" s="3"/>
      <c r="CM48" s="3"/>
      <c r="CV48" s="3"/>
      <c r="CW48" s="3"/>
      <c r="CX48" s="3"/>
      <c r="CY48" s="3"/>
      <c r="CZ48" s="3"/>
      <c r="DA48" s="3"/>
      <c r="DB48" s="3"/>
      <c r="DC48" s="3"/>
      <c r="DD48" s="3"/>
      <c r="DE48" s="3"/>
      <c r="DF48" s="3"/>
      <c r="DG48" s="3"/>
      <c r="DH48" s="3"/>
      <c r="DI48" s="3"/>
      <c r="DJ48" s="3"/>
      <c r="DK48" s="3"/>
      <c r="DL48" s="3"/>
      <c r="DM48" s="3"/>
      <c r="DN48" s="3"/>
      <c r="DO48" s="3"/>
      <c r="EZ48" s="3"/>
      <c r="FA48" s="3"/>
      <c r="FB48" s="3"/>
      <c r="FC48" s="3"/>
      <c r="FD48" s="3"/>
      <c r="FE48" s="3"/>
      <c r="FF48" s="3"/>
      <c r="FG48" s="3"/>
      <c r="FH48" s="3"/>
      <c r="FI48" s="3"/>
      <c r="FJ48" s="3"/>
      <c r="FK48" s="3"/>
      <c r="FL48" s="3"/>
      <c r="FM48" s="3"/>
      <c r="FN48" s="3"/>
      <c r="FO48" s="3"/>
      <c r="FP48" s="3"/>
      <c r="FQ48" s="3"/>
      <c r="FR48" s="3"/>
      <c r="FS48" s="3"/>
    </row>
    <row r="49" spans="44:175" x14ac:dyDescent="0.25">
      <c r="AR49" s="3"/>
      <c r="AS49" s="3"/>
      <c r="AT49" s="3"/>
      <c r="AU49" s="3"/>
      <c r="AV49" s="3"/>
      <c r="AW49" s="3"/>
      <c r="AX49" s="3"/>
      <c r="AY49" s="3"/>
      <c r="AZ49" s="3"/>
      <c r="BA49" s="3"/>
      <c r="BB49" s="3"/>
      <c r="BC49" s="3"/>
      <c r="BD49" s="3"/>
      <c r="BE49" s="3"/>
      <c r="BF49" s="3"/>
      <c r="BG49" s="3"/>
      <c r="BH49" s="3"/>
      <c r="BI49" s="3"/>
      <c r="BJ49" s="3"/>
      <c r="BK49" s="3"/>
      <c r="BT49" s="3"/>
      <c r="BU49" s="3"/>
      <c r="BV49" s="3"/>
      <c r="BW49" s="3"/>
      <c r="BX49" s="3"/>
      <c r="BY49" s="3"/>
      <c r="BZ49" s="3"/>
      <c r="CA49" s="3"/>
      <c r="CB49" s="3"/>
      <c r="CC49" s="3"/>
      <c r="CD49" s="3"/>
      <c r="CE49" s="3"/>
      <c r="CF49" s="3"/>
      <c r="CG49" s="3"/>
      <c r="CH49" s="3"/>
      <c r="CI49" s="3"/>
      <c r="CJ49" s="3"/>
      <c r="CK49" s="3"/>
      <c r="CL49" s="3"/>
      <c r="CM49" s="3"/>
      <c r="CV49" s="3"/>
      <c r="CW49" s="3"/>
      <c r="CX49" s="3"/>
      <c r="CY49" s="3"/>
      <c r="CZ49" s="3"/>
      <c r="DA49" s="3"/>
      <c r="DB49" s="3"/>
      <c r="DC49" s="3"/>
      <c r="DD49" s="3"/>
      <c r="DE49" s="3"/>
      <c r="DF49" s="3"/>
      <c r="DG49" s="3"/>
      <c r="DH49" s="3"/>
      <c r="DI49" s="3"/>
      <c r="DJ49" s="3"/>
      <c r="DK49" s="3"/>
      <c r="DL49" s="3"/>
      <c r="DM49" s="3"/>
      <c r="DN49" s="3"/>
      <c r="DO49" s="3"/>
      <c r="EZ49" s="3"/>
      <c r="FA49" s="3"/>
      <c r="FB49" s="3"/>
      <c r="FC49" s="3"/>
      <c r="FD49" s="3"/>
      <c r="FE49" s="3"/>
      <c r="FF49" s="3"/>
      <c r="FG49" s="3"/>
      <c r="FH49" s="3"/>
      <c r="FI49" s="3"/>
      <c r="FJ49" s="3"/>
      <c r="FK49" s="3"/>
      <c r="FL49" s="3"/>
      <c r="FM49" s="3"/>
      <c r="FN49" s="3"/>
      <c r="FO49" s="3"/>
      <c r="FP49" s="3"/>
      <c r="FQ49" s="3"/>
      <c r="FR49" s="3"/>
      <c r="FS49" s="3"/>
    </row>
    <row r="50" spans="44:175" x14ac:dyDescent="0.25">
      <c r="AR50" s="3"/>
      <c r="AS50" s="3"/>
      <c r="AT50" s="3"/>
      <c r="AU50" s="3"/>
      <c r="AV50" s="3"/>
      <c r="AW50" s="3"/>
      <c r="AX50" s="3"/>
      <c r="AY50" s="3"/>
      <c r="AZ50" s="3"/>
      <c r="BA50" s="3"/>
      <c r="BB50" s="3"/>
      <c r="BC50" s="3"/>
      <c r="BD50" s="3"/>
      <c r="BE50" s="3"/>
      <c r="BF50" s="3"/>
      <c r="BG50" s="3"/>
      <c r="BH50" s="3"/>
      <c r="BI50" s="3"/>
      <c r="BJ50" s="3"/>
      <c r="BK50" s="3"/>
      <c r="BT50" s="3"/>
      <c r="BU50" s="3"/>
      <c r="BV50" s="3"/>
      <c r="BW50" s="3"/>
      <c r="BX50" s="3"/>
      <c r="BY50" s="3"/>
      <c r="BZ50" s="3"/>
      <c r="CA50" s="3"/>
      <c r="CB50" s="3"/>
      <c r="CC50" s="3"/>
      <c r="CD50" s="3"/>
      <c r="CE50" s="3"/>
      <c r="CF50" s="3"/>
      <c r="CG50" s="3"/>
      <c r="CH50" s="3"/>
      <c r="CI50" s="3"/>
      <c r="CJ50" s="3"/>
      <c r="CK50" s="3"/>
      <c r="CL50" s="3"/>
      <c r="CM50" s="3"/>
      <c r="CV50" s="3"/>
      <c r="CW50" s="3"/>
      <c r="CX50" s="3"/>
      <c r="CY50" s="3"/>
      <c r="CZ50" s="3"/>
      <c r="DA50" s="3"/>
      <c r="DB50" s="3"/>
      <c r="DC50" s="3"/>
      <c r="DD50" s="3"/>
      <c r="DE50" s="3"/>
      <c r="DF50" s="3"/>
      <c r="DG50" s="3"/>
      <c r="DH50" s="3"/>
      <c r="DI50" s="3"/>
      <c r="DJ50" s="3"/>
      <c r="DK50" s="3"/>
      <c r="DL50" s="3"/>
      <c r="DM50" s="3"/>
      <c r="DN50" s="3"/>
      <c r="DO50" s="3"/>
      <c r="EZ50" s="3"/>
      <c r="FA50" s="3"/>
      <c r="FB50" s="3"/>
      <c r="FC50" s="3"/>
      <c r="FD50" s="3"/>
      <c r="FE50" s="3"/>
      <c r="FF50" s="3"/>
      <c r="FG50" s="3"/>
      <c r="FH50" s="3"/>
      <c r="FI50" s="3"/>
      <c r="FJ50" s="3"/>
      <c r="FK50" s="3"/>
      <c r="FL50" s="3"/>
      <c r="FM50" s="3"/>
      <c r="FN50" s="3"/>
      <c r="FO50" s="3"/>
      <c r="FP50" s="3"/>
      <c r="FQ50" s="3"/>
      <c r="FR50" s="3"/>
      <c r="FS50" s="3"/>
    </row>
    <row r="51" spans="44:175" x14ac:dyDescent="0.25">
      <c r="AR51" s="3"/>
      <c r="AS51" s="3"/>
      <c r="AT51" s="3"/>
      <c r="AU51" s="3"/>
      <c r="AV51" s="3"/>
      <c r="AW51" s="3"/>
      <c r="AX51" s="3"/>
      <c r="AY51" s="3"/>
      <c r="AZ51" s="3"/>
      <c r="BA51" s="3"/>
      <c r="BB51" s="3"/>
      <c r="BC51" s="3"/>
      <c r="BD51" s="3"/>
      <c r="BE51" s="3"/>
      <c r="BF51" s="3"/>
      <c r="BG51" s="3"/>
      <c r="BH51" s="3"/>
      <c r="BI51" s="3"/>
      <c r="BJ51" s="3"/>
      <c r="BK51" s="3"/>
      <c r="BT51" s="3"/>
      <c r="BU51" s="3"/>
      <c r="BV51" s="3"/>
      <c r="BW51" s="3"/>
      <c r="BX51" s="3"/>
      <c r="BY51" s="3"/>
      <c r="BZ51" s="3"/>
      <c r="CA51" s="3"/>
      <c r="CB51" s="3"/>
      <c r="CC51" s="3"/>
      <c r="CD51" s="3"/>
      <c r="CE51" s="3"/>
      <c r="CF51" s="3"/>
      <c r="CG51" s="3"/>
      <c r="CH51" s="3"/>
      <c r="CI51" s="3"/>
      <c r="CJ51" s="3"/>
      <c r="CK51" s="3"/>
      <c r="CL51" s="3"/>
      <c r="CM51" s="3"/>
      <c r="CV51" s="3"/>
      <c r="CW51" s="3"/>
      <c r="CX51" s="3"/>
      <c r="CY51" s="3"/>
      <c r="CZ51" s="3"/>
      <c r="DA51" s="3"/>
      <c r="DB51" s="3"/>
      <c r="DC51" s="3"/>
      <c r="DD51" s="3"/>
      <c r="DE51" s="3"/>
      <c r="DF51" s="3"/>
      <c r="DG51" s="3"/>
      <c r="DH51" s="3"/>
      <c r="DI51" s="3"/>
      <c r="DJ51" s="3"/>
      <c r="DK51" s="3"/>
      <c r="DL51" s="3"/>
      <c r="DM51" s="3"/>
      <c r="DN51" s="3"/>
      <c r="DO51" s="3"/>
      <c r="EZ51" s="3"/>
      <c r="FA51" s="3"/>
      <c r="FB51" s="3"/>
      <c r="FC51" s="3"/>
      <c r="FD51" s="3"/>
      <c r="FE51" s="3"/>
      <c r="FF51" s="3"/>
      <c r="FG51" s="3"/>
      <c r="FH51" s="3"/>
      <c r="FI51" s="3"/>
      <c r="FJ51" s="3"/>
      <c r="FK51" s="3"/>
      <c r="FL51" s="3"/>
      <c r="FM51" s="3"/>
      <c r="FN51" s="3"/>
      <c r="FO51" s="3"/>
      <c r="FP51" s="3"/>
      <c r="FQ51" s="3"/>
      <c r="FR51" s="3"/>
      <c r="FS51" s="3"/>
    </row>
    <row r="52" spans="44:175" x14ac:dyDescent="0.25">
      <c r="AR52" s="3"/>
      <c r="AS52" s="3"/>
      <c r="AT52" s="3"/>
      <c r="AU52" s="3"/>
      <c r="AV52" s="3"/>
      <c r="AW52" s="3"/>
      <c r="AX52" s="3"/>
      <c r="AY52" s="3"/>
      <c r="AZ52" s="3"/>
      <c r="BA52" s="3"/>
      <c r="BB52" s="3"/>
      <c r="BC52" s="3"/>
      <c r="BD52" s="3"/>
      <c r="BE52" s="3"/>
      <c r="BF52" s="3"/>
      <c r="BG52" s="3"/>
      <c r="BH52" s="3"/>
      <c r="BI52" s="3"/>
      <c r="BJ52" s="3"/>
      <c r="BK52" s="3"/>
      <c r="BT52" s="3"/>
      <c r="BU52" s="3"/>
      <c r="BV52" s="3"/>
      <c r="BW52" s="3"/>
      <c r="BX52" s="3"/>
      <c r="BY52" s="3"/>
      <c r="BZ52" s="3"/>
      <c r="CA52" s="3"/>
      <c r="CB52" s="3"/>
      <c r="CC52" s="3"/>
      <c r="CD52" s="3"/>
      <c r="CE52" s="3"/>
      <c r="CF52" s="3"/>
      <c r="CG52" s="3"/>
      <c r="CH52" s="3"/>
      <c r="CI52" s="3"/>
      <c r="CJ52" s="3"/>
      <c r="CK52" s="3"/>
      <c r="CL52" s="3"/>
      <c r="CM52" s="3"/>
      <c r="CV52" s="3"/>
      <c r="CW52" s="3"/>
      <c r="CX52" s="3"/>
      <c r="CY52" s="3"/>
      <c r="CZ52" s="3"/>
      <c r="DA52" s="3"/>
      <c r="DB52" s="3"/>
      <c r="DC52" s="3"/>
      <c r="DD52" s="3"/>
      <c r="DE52" s="3"/>
      <c r="DF52" s="3"/>
      <c r="DG52" s="3"/>
      <c r="DH52" s="3"/>
      <c r="DI52" s="3"/>
      <c r="DJ52" s="3"/>
      <c r="DK52" s="3"/>
      <c r="DL52" s="3"/>
      <c r="DM52" s="3"/>
      <c r="DN52" s="3"/>
      <c r="DO52" s="3"/>
      <c r="EZ52" s="3"/>
      <c r="FA52" s="3"/>
      <c r="FB52" s="3"/>
      <c r="FC52" s="3"/>
      <c r="FD52" s="3"/>
      <c r="FE52" s="3"/>
      <c r="FF52" s="3"/>
      <c r="FG52" s="3"/>
      <c r="FH52" s="3"/>
      <c r="FI52" s="3"/>
      <c r="FJ52" s="3"/>
      <c r="FK52" s="3"/>
      <c r="FL52" s="3"/>
      <c r="FM52" s="3"/>
      <c r="FN52" s="3"/>
      <c r="FO52" s="3"/>
      <c r="FP52" s="3"/>
      <c r="FQ52" s="3"/>
      <c r="FR52" s="3"/>
      <c r="FS52" s="3"/>
    </row>
    <row r="53" spans="44:175" x14ac:dyDescent="0.25">
      <c r="AR53" s="3"/>
      <c r="AS53" s="3"/>
      <c r="AT53" s="3"/>
      <c r="AU53" s="3"/>
      <c r="AV53" s="3"/>
      <c r="AW53" s="3"/>
      <c r="AX53" s="3"/>
      <c r="AY53" s="3"/>
      <c r="AZ53" s="3"/>
      <c r="BA53" s="3"/>
      <c r="BB53" s="3"/>
      <c r="BC53" s="3"/>
      <c r="BD53" s="3"/>
      <c r="BE53" s="3"/>
      <c r="BF53" s="3"/>
      <c r="BG53" s="3"/>
      <c r="BH53" s="3"/>
      <c r="BI53" s="3"/>
      <c r="BJ53" s="3"/>
      <c r="BK53" s="3"/>
      <c r="BT53" s="3"/>
      <c r="BU53" s="3"/>
      <c r="BV53" s="3"/>
      <c r="BW53" s="3"/>
      <c r="BX53" s="3"/>
      <c r="BY53" s="3"/>
      <c r="BZ53" s="3"/>
      <c r="CA53" s="3"/>
      <c r="CB53" s="3"/>
      <c r="CC53" s="3"/>
      <c r="CD53" s="3"/>
      <c r="CE53" s="3"/>
      <c r="CF53" s="3"/>
      <c r="CG53" s="3"/>
      <c r="CH53" s="3"/>
      <c r="CI53" s="3"/>
      <c r="CJ53" s="3"/>
      <c r="CK53" s="3"/>
      <c r="CL53" s="3"/>
      <c r="CM53" s="3"/>
      <c r="CV53" s="3"/>
      <c r="CW53" s="3"/>
      <c r="CX53" s="3"/>
      <c r="CY53" s="3"/>
      <c r="CZ53" s="3"/>
      <c r="DA53" s="3"/>
      <c r="DB53" s="3"/>
      <c r="DC53" s="3"/>
      <c r="DD53" s="3"/>
      <c r="DE53" s="3"/>
      <c r="DF53" s="3"/>
      <c r="DG53" s="3"/>
      <c r="DH53" s="3"/>
      <c r="DI53" s="3"/>
      <c r="DJ53" s="3"/>
      <c r="DK53" s="3"/>
      <c r="DL53" s="3"/>
      <c r="DM53" s="3"/>
      <c r="DN53" s="3"/>
      <c r="DO53" s="3"/>
      <c r="EZ53" s="3"/>
      <c r="FA53" s="3"/>
      <c r="FB53" s="3"/>
      <c r="FC53" s="3"/>
      <c r="FD53" s="3"/>
      <c r="FE53" s="3"/>
      <c r="FF53" s="3"/>
      <c r="FG53" s="3"/>
      <c r="FH53" s="3"/>
      <c r="FI53" s="3"/>
      <c r="FJ53" s="3"/>
      <c r="FK53" s="3"/>
      <c r="FL53" s="3"/>
      <c r="FM53" s="3"/>
      <c r="FN53" s="3"/>
      <c r="FO53" s="3"/>
      <c r="FP53" s="3"/>
      <c r="FQ53" s="3"/>
      <c r="FR53" s="3"/>
      <c r="FS53" s="3"/>
    </row>
    <row r="54" spans="44:175" x14ac:dyDescent="0.25">
      <c r="AR54" s="3"/>
      <c r="AS54" s="3"/>
      <c r="AT54" s="3"/>
      <c r="AU54" s="3"/>
      <c r="AV54" s="3"/>
      <c r="AW54" s="3"/>
      <c r="AX54" s="3"/>
      <c r="AY54" s="3"/>
      <c r="AZ54" s="3"/>
      <c r="BA54" s="3"/>
      <c r="BB54" s="3"/>
      <c r="BC54" s="3"/>
      <c r="BD54" s="3"/>
      <c r="BE54" s="3"/>
      <c r="BF54" s="3"/>
      <c r="BG54" s="3"/>
      <c r="BH54" s="3"/>
      <c r="BI54" s="3"/>
      <c r="BJ54" s="3"/>
      <c r="BK54" s="3"/>
      <c r="EZ54" s="3"/>
      <c r="FA54" s="3"/>
      <c r="FB54" s="3"/>
      <c r="FC54" s="3"/>
      <c r="FD54" s="3"/>
      <c r="FE54" s="3"/>
      <c r="FF54" s="3"/>
      <c r="FG54" s="3"/>
      <c r="FH54" s="3"/>
      <c r="FI54" s="3"/>
      <c r="FJ54" s="3"/>
      <c r="FK54" s="3"/>
      <c r="FL54" s="3"/>
      <c r="FM54" s="3"/>
      <c r="FN54" s="3"/>
      <c r="FO54" s="3"/>
      <c r="FP54" s="3"/>
      <c r="FQ54" s="3"/>
      <c r="FR54" s="3"/>
      <c r="FS54" s="3"/>
    </row>
    <row r="55" spans="44:175" x14ac:dyDescent="0.25">
      <c r="AR55" s="3"/>
      <c r="AS55" s="3"/>
      <c r="AT55" s="3"/>
      <c r="AU55" s="3"/>
      <c r="AV55" s="3"/>
      <c r="AW55" s="3"/>
      <c r="AX55" s="3"/>
      <c r="AY55" s="3"/>
      <c r="AZ55" s="3"/>
      <c r="BA55" s="3"/>
      <c r="BB55" s="3"/>
      <c r="BC55" s="3"/>
      <c r="BD55" s="3"/>
      <c r="BE55" s="3"/>
      <c r="BF55" s="3"/>
      <c r="BG55" s="3"/>
      <c r="BH55" s="3"/>
      <c r="BI55" s="3"/>
      <c r="BJ55" s="3"/>
      <c r="BK55" s="3"/>
      <c r="EZ55" s="3"/>
      <c r="FA55" s="3"/>
      <c r="FB55" s="3"/>
      <c r="FC55" s="3"/>
      <c r="FD55" s="3"/>
      <c r="FE55" s="3"/>
      <c r="FF55" s="3"/>
      <c r="FG55" s="3"/>
      <c r="FH55" s="3"/>
      <c r="FI55" s="3"/>
      <c r="FJ55" s="3"/>
      <c r="FK55" s="3"/>
      <c r="FL55" s="3"/>
      <c r="FM55" s="3"/>
      <c r="FN55" s="3"/>
      <c r="FO55" s="3"/>
      <c r="FP55" s="3"/>
      <c r="FQ55" s="3"/>
      <c r="FR55" s="3"/>
      <c r="FS55" s="3"/>
    </row>
    <row r="56" spans="44:175" x14ac:dyDescent="0.25">
      <c r="AR56" s="3"/>
      <c r="AS56" s="3"/>
      <c r="AT56" s="3"/>
      <c r="AU56" s="3"/>
      <c r="AV56" s="3"/>
      <c r="AW56" s="3"/>
      <c r="AX56" s="3"/>
      <c r="AY56" s="3"/>
      <c r="AZ56" s="3"/>
      <c r="BA56" s="3"/>
      <c r="BB56" s="3"/>
      <c r="BC56" s="3"/>
      <c r="BD56" s="3"/>
      <c r="BE56" s="3"/>
      <c r="BF56" s="3"/>
      <c r="BG56" s="3"/>
      <c r="BH56" s="3"/>
      <c r="BI56" s="3"/>
      <c r="BJ56" s="3"/>
      <c r="BK56" s="3"/>
      <c r="EZ56" s="3"/>
      <c r="FA56" s="3"/>
      <c r="FB56" s="3"/>
      <c r="FC56" s="3"/>
      <c r="FD56" s="3"/>
      <c r="FE56" s="3"/>
      <c r="FF56" s="3"/>
      <c r="FG56" s="3"/>
      <c r="FH56" s="3"/>
      <c r="FI56" s="3"/>
      <c r="FJ56" s="3"/>
      <c r="FK56" s="3"/>
      <c r="FL56" s="3"/>
      <c r="FM56" s="3"/>
      <c r="FN56" s="3"/>
      <c r="FO56" s="3"/>
      <c r="FP56" s="3"/>
      <c r="FQ56" s="3"/>
      <c r="FR56" s="3"/>
      <c r="FS56" s="3"/>
    </row>
    <row r="57" spans="44:175" x14ac:dyDescent="0.25">
      <c r="AR57" s="3"/>
      <c r="AS57" s="3"/>
      <c r="AT57" s="3"/>
      <c r="AU57" s="3"/>
      <c r="AV57" s="3"/>
      <c r="AW57" s="3"/>
      <c r="AX57" s="3"/>
      <c r="AY57" s="3"/>
      <c r="AZ57" s="3"/>
      <c r="BA57" s="3"/>
      <c r="BB57" s="3"/>
      <c r="BC57" s="3"/>
      <c r="BD57" s="3"/>
      <c r="BE57" s="3"/>
      <c r="BF57" s="3"/>
      <c r="BG57" s="3"/>
      <c r="BH57" s="3"/>
      <c r="BI57" s="3"/>
      <c r="BJ57" s="3"/>
      <c r="BK57" s="3"/>
      <c r="EZ57" s="3"/>
      <c r="FA57" s="3"/>
      <c r="FB57" s="3"/>
      <c r="FC57" s="3"/>
      <c r="FD57" s="3"/>
      <c r="FE57" s="3"/>
      <c r="FF57" s="3"/>
      <c r="FG57" s="3"/>
      <c r="FH57" s="3"/>
      <c r="FI57" s="3"/>
      <c r="FJ57" s="3"/>
      <c r="FK57" s="3"/>
      <c r="FL57" s="3"/>
      <c r="FM57" s="3"/>
      <c r="FN57" s="3"/>
      <c r="FO57" s="3"/>
      <c r="FP57" s="3"/>
      <c r="FQ57" s="3"/>
      <c r="FR57" s="3"/>
      <c r="FS57" s="3"/>
    </row>
    <row r="58" spans="44:175" x14ac:dyDescent="0.25">
      <c r="AR58" s="3"/>
      <c r="AS58" s="3"/>
      <c r="AT58" s="3"/>
      <c r="AU58" s="3"/>
      <c r="AV58" s="3"/>
      <c r="AW58" s="3"/>
      <c r="AX58" s="3"/>
      <c r="AY58" s="3"/>
      <c r="AZ58" s="3"/>
      <c r="BA58" s="3"/>
      <c r="BB58" s="3"/>
      <c r="BC58" s="3"/>
      <c r="BD58" s="3"/>
      <c r="BE58" s="3"/>
      <c r="BF58" s="3"/>
      <c r="BG58" s="3"/>
      <c r="BH58" s="3"/>
      <c r="BI58" s="3"/>
      <c r="BJ58" s="3"/>
      <c r="BK58" s="3"/>
      <c r="EZ58" s="3"/>
      <c r="FA58" s="3"/>
      <c r="FB58" s="3"/>
      <c r="FC58" s="3"/>
      <c r="FD58" s="3"/>
      <c r="FE58" s="3"/>
      <c r="FF58" s="3"/>
      <c r="FG58" s="3"/>
      <c r="FH58" s="3"/>
      <c r="FI58" s="3"/>
      <c r="FJ58" s="3"/>
      <c r="FK58" s="3"/>
      <c r="FL58" s="3"/>
      <c r="FM58" s="3"/>
      <c r="FN58" s="3"/>
      <c r="FO58" s="3"/>
      <c r="FP58" s="3"/>
      <c r="FQ58" s="3"/>
      <c r="FR58" s="3"/>
      <c r="FS58" s="3"/>
    </row>
    <row r="59" spans="44:175" x14ac:dyDescent="0.25">
      <c r="AR59" s="3"/>
      <c r="AS59" s="3"/>
      <c r="AT59" s="3"/>
      <c r="AU59" s="3"/>
      <c r="AV59" s="3"/>
      <c r="AW59" s="3"/>
      <c r="AX59" s="3"/>
      <c r="AY59" s="3"/>
      <c r="AZ59" s="3"/>
      <c r="BA59" s="3"/>
      <c r="BB59" s="3"/>
      <c r="BC59" s="3"/>
      <c r="BD59" s="3"/>
      <c r="BE59" s="3"/>
      <c r="BF59" s="3"/>
      <c r="BG59" s="3"/>
      <c r="BH59" s="3"/>
      <c r="BI59" s="3"/>
      <c r="BJ59" s="3"/>
      <c r="BK59" s="3"/>
      <c r="EZ59" s="3"/>
      <c r="FA59" s="3"/>
      <c r="FB59" s="3"/>
      <c r="FC59" s="3"/>
      <c r="FD59" s="3"/>
      <c r="FE59" s="3"/>
      <c r="FF59" s="3"/>
      <c r="FG59" s="3"/>
      <c r="FH59" s="3"/>
      <c r="FI59" s="3"/>
      <c r="FJ59" s="3"/>
      <c r="FK59" s="3"/>
      <c r="FL59" s="3"/>
      <c r="FM59" s="3"/>
      <c r="FN59" s="3"/>
      <c r="FO59" s="3"/>
      <c r="FP59" s="3"/>
      <c r="FQ59" s="3"/>
      <c r="FR59" s="3"/>
      <c r="FS59" s="3"/>
    </row>
    <row r="60" spans="44:175" x14ac:dyDescent="0.25">
      <c r="AR60" s="3"/>
      <c r="AS60" s="3"/>
      <c r="AT60" s="3"/>
      <c r="AU60" s="3"/>
      <c r="AV60" s="3"/>
      <c r="AW60" s="3"/>
      <c r="AX60" s="3"/>
      <c r="AY60" s="3"/>
      <c r="AZ60" s="3"/>
      <c r="BA60" s="3"/>
      <c r="BB60" s="3"/>
      <c r="BC60" s="3"/>
      <c r="BD60" s="3"/>
      <c r="BE60" s="3"/>
      <c r="BF60" s="3"/>
      <c r="BG60" s="3"/>
      <c r="BH60" s="3"/>
      <c r="BI60" s="3"/>
      <c r="BJ60" s="3"/>
      <c r="BK60" s="3"/>
      <c r="EZ60" s="3"/>
      <c r="FA60" s="3"/>
      <c r="FB60" s="3"/>
      <c r="FC60" s="3"/>
      <c r="FD60" s="3"/>
      <c r="FE60" s="3"/>
      <c r="FF60" s="3"/>
      <c r="FG60" s="3"/>
      <c r="FH60" s="3"/>
      <c r="FI60" s="3"/>
      <c r="FJ60" s="3"/>
      <c r="FK60" s="3"/>
      <c r="FL60" s="3"/>
      <c r="FM60" s="3"/>
      <c r="FN60" s="3"/>
      <c r="FO60" s="3"/>
      <c r="FP60" s="3"/>
      <c r="FQ60" s="3"/>
      <c r="FR60" s="3"/>
      <c r="FS60" s="3"/>
    </row>
    <row r="61" spans="44:175" x14ac:dyDescent="0.25">
      <c r="AR61" s="3"/>
      <c r="AS61" s="3"/>
      <c r="AT61" s="3"/>
      <c r="AU61" s="3"/>
      <c r="AV61" s="3"/>
      <c r="AW61" s="3"/>
      <c r="AX61" s="3"/>
      <c r="AY61" s="3"/>
      <c r="AZ61" s="3"/>
      <c r="BA61" s="3"/>
      <c r="BB61" s="3"/>
      <c r="BC61" s="3"/>
      <c r="BD61" s="3"/>
      <c r="BE61" s="3"/>
      <c r="BF61" s="3"/>
      <c r="BG61" s="3"/>
      <c r="BH61" s="3"/>
      <c r="BI61" s="3"/>
      <c r="BJ61" s="3"/>
      <c r="BK61" s="3"/>
    </row>
    <row r="62" spans="44:175" x14ac:dyDescent="0.25">
      <c r="AR62" s="3"/>
      <c r="AS62" s="3"/>
      <c r="AT62" s="3"/>
      <c r="AU62" s="3"/>
      <c r="AV62" s="3"/>
      <c r="AW62" s="3"/>
      <c r="AX62" s="3"/>
      <c r="AY62" s="3"/>
      <c r="AZ62" s="3"/>
      <c r="BA62" s="3"/>
      <c r="BB62" s="3"/>
      <c r="BC62" s="3"/>
      <c r="BD62" s="3"/>
      <c r="BE62" s="3"/>
      <c r="BF62" s="3"/>
      <c r="BG62" s="3"/>
      <c r="BH62" s="3"/>
      <c r="BI62" s="3"/>
      <c r="BJ62" s="3"/>
      <c r="BK62" s="3"/>
    </row>
    <row r="63" spans="44:175" x14ac:dyDescent="0.25">
      <c r="AR63" s="3"/>
      <c r="AS63" s="3"/>
      <c r="AT63" s="3"/>
      <c r="AU63" s="3"/>
      <c r="AV63" s="3"/>
      <c r="AW63" s="3"/>
      <c r="AX63" s="3"/>
      <c r="AY63" s="3"/>
      <c r="AZ63" s="3"/>
      <c r="BA63" s="3"/>
      <c r="BB63" s="3"/>
      <c r="BC63" s="3"/>
      <c r="BD63" s="3"/>
      <c r="BE63" s="3"/>
      <c r="BF63" s="3"/>
      <c r="BG63" s="3"/>
      <c r="BH63" s="3"/>
      <c r="BI63" s="3"/>
      <c r="BJ63" s="3"/>
      <c r="BK63" s="3"/>
    </row>
    <row r="64" spans="44:175" x14ac:dyDescent="0.25">
      <c r="AR64" s="3"/>
      <c r="AS64" s="3"/>
      <c r="AT64" s="3"/>
      <c r="AU64" s="3"/>
      <c r="AV64" s="3"/>
      <c r="AW64" s="3"/>
      <c r="AX64" s="3"/>
      <c r="AY64" s="3"/>
      <c r="AZ64" s="3"/>
      <c r="BA64" s="3"/>
      <c r="BB64" s="3"/>
      <c r="BC64" s="3"/>
      <c r="BD64" s="3"/>
      <c r="BE64" s="3"/>
      <c r="BF64" s="3"/>
      <c r="BG64" s="3"/>
      <c r="BH64" s="3"/>
      <c r="BI64" s="3"/>
      <c r="BJ64" s="3"/>
      <c r="BK64" s="3"/>
    </row>
    <row r="65" spans="44:63" x14ac:dyDescent="0.25">
      <c r="AR65" s="3"/>
      <c r="AS65" s="3"/>
      <c r="AT65" s="3"/>
      <c r="AU65" s="3"/>
      <c r="AV65" s="3"/>
      <c r="AW65" s="3"/>
      <c r="AX65" s="3"/>
      <c r="AY65" s="3"/>
      <c r="AZ65" s="3"/>
      <c r="BA65" s="3"/>
      <c r="BB65" s="3"/>
      <c r="BC65" s="3"/>
      <c r="BD65" s="3"/>
      <c r="BE65" s="3"/>
      <c r="BF65" s="3"/>
      <c r="BG65" s="3"/>
      <c r="BH65" s="3"/>
      <c r="BI65" s="3"/>
      <c r="BJ65" s="3"/>
      <c r="BK65" s="3"/>
    </row>
    <row r="66" spans="44:63" x14ac:dyDescent="0.25">
      <c r="AR66" s="3"/>
      <c r="AS66" s="3"/>
      <c r="AT66" s="3"/>
      <c r="AU66" s="3"/>
      <c r="AV66" s="3"/>
      <c r="AW66" s="3"/>
      <c r="AX66" s="3"/>
      <c r="AY66" s="3"/>
      <c r="AZ66" s="3"/>
      <c r="BA66" s="3"/>
      <c r="BB66" s="3"/>
      <c r="BC66" s="3"/>
      <c r="BD66" s="3"/>
      <c r="BE66" s="3"/>
      <c r="BF66" s="3"/>
      <c r="BG66" s="3"/>
      <c r="BH66" s="3"/>
      <c r="BI66" s="3"/>
      <c r="BJ66" s="3"/>
      <c r="BK66" s="3"/>
    </row>
    <row r="67" spans="44:63" x14ac:dyDescent="0.25">
      <c r="AR67" s="3"/>
      <c r="AS67" s="3"/>
      <c r="AT67" s="3"/>
      <c r="AU67" s="3"/>
      <c r="AV67" s="3"/>
      <c r="AW67" s="3"/>
      <c r="AX67" s="3"/>
      <c r="AY67" s="3"/>
      <c r="AZ67" s="3"/>
      <c r="BA67" s="3"/>
      <c r="BB67" s="3"/>
      <c r="BC67" s="3"/>
      <c r="BD67" s="3"/>
      <c r="BE67" s="3"/>
      <c r="BF67" s="3"/>
      <c r="BG67" s="3"/>
      <c r="BH67" s="3"/>
      <c r="BI67" s="3"/>
      <c r="BJ67" s="3"/>
      <c r="BK67" s="3"/>
    </row>
    <row r="68" spans="44:63" x14ac:dyDescent="0.25">
      <c r="AR68" s="3"/>
      <c r="AS68" s="3"/>
      <c r="AT68" s="3"/>
      <c r="AU68" s="3"/>
      <c r="AV68" s="3"/>
      <c r="AW68" s="3"/>
      <c r="AX68" s="3"/>
      <c r="AY68" s="3"/>
      <c r="AZ68" s="3"/>
      <c r="BA68" s="3"/>
      <c r="BB68" s="3"/>
      <c r="BC68" s="3"/>
      <c r="BD68" s="3"/>
      <c r="BE68" s="3"/>
      <c r="BF68" s="3"/>
      <c r="BG68" s="3"/>
      <c r="BH68" s="3"/>
      <c r="BI68" s="3"/>
      <c r="BJ68" s="3"/>
      <c r="BK68" s="3"/>
    </row>
    <row r="69" spans="44:63" x14ac:dyDescent="0.25">
      <c r="AR69" s="3"/>
      <c r="AS69" s="3"/>
      <c r="AT69" s="3"/>
      <c r="AU69" s="3"/>
      <c r="AV69" s="3"/>
      <c r="AW69" s="3"/>
      <c r="AX69" s="3"/>
      <c r="AY69" s="3"/>
      <c r="AZ69" s="3"/>
      <c r="BA69" s="3"/>
      <c r="BB69" s="3"/>
      <c r="BC69" s="3"/>
      <c r="BD69" s="3"/>
      <c r="BE69" s="3"/>
      <c r="BF69" s="3"/>
      <c r="BG69" s="3"/>
      <c r="BH69" s="3"/>
      <c r="BI69" s="3"/>
      <c r="BJ69" s="3"/>
      <c r="BK69" s="3"/>
    </row>
    <row r="70" spans="44:63" x14ac:dyDescent="0.25">
      <c r="AR70" s="3"/>
      <c r="AS70" s="3"/>
      <c r="AT70" s="3"/>
      <c r="AU70" s="3"/>
      <c r="AV70" s="3"/>
      <c r="AW70" s="3"/>
      <c r="AX70" s="3"/>
      <c r="AY70" s="3"/>
      <c r="AZ70" s="3"/>
      <c r="BA70" s="3"/>
      <c r="BB70" s="3"/>
      <c r="BC70" s="3"/>
      <c r="BD70" s="3"/>
      <c r="BE70" s="3"/>
      <c r="BF70" s="3"/>
      <c r="BG70" s="3"/>
      <c r="BH70" s="3"/>
      <c r="BI70" s="3"/>
      <c r="BJ70" s="3"/>
      <c r="BK70" s="3"/>
    </row>
    <row r="71" spans="44:63" x14ac:dyDescent="0.25">
      <c r="AR71" s="3"/>
      <c r="AS71" s="3"/>
      <c r="AT71" s="3"/>
      <c r="AU71" s="3"/>
      <c r="AV71" s="3"/>
      <c r="AW71" s="3"/>
      <c r="AX71" s="3"/>
      <c r="AY71" s="3"/>
      <c r="AZ71" s="3"/>
      <c r="BA71" s="3"/>
      <c r="BB71" s="3"/>
      <c r="BC71" s="3"/>
      <c r="BD71" s="3"/>
      <c r="BE71" s="3"/>
      <c r="BF71" s="3"/>
      <c r="BG71" s="3"/>
      <c r="BH71" s="3"/>
      <c r="BI71" s="3"/>
      <c r="BJ71" s="3"/>
      <c r="BK71" s="3"/>
    </row>
    <row r="72" spans="44:63" x14ac:dyDescent="0.25">
      <c r="AR72" s="3"/>
      <c r="AS72" s="3"/>
      <c r="AT72" s="3"/>
      <c r="AU72" s="3"/>
      <c r="AV72" s="3"/>
      <c r="AW72" s="3"/>
      <c r="AX72" s="3"/>
      <c r="AY72" s="3"/>
      <c r="AZ72" s="3"/>
      <c r="BA72" s="3"/>
      <c r="BB72" s="3"/>
      <c r="BC72" s="3"/>
      <c r="BD72" s="3"/>
      <c r="BE72" s="3"/>
      <c r="BF72" s="3"/>
      <c r="BG72" s="3"/>
      <c r="BH72" s="3"/>
      <c r="BI72" s="3"/>
      <c r="BJ72" s="3"/>
      <c r="BK72" s="3"/>
    </row>
    <row r="73" spans="44:63" x14ac:dyDescent="0.25">
      <c r="AR73" s="3"/>
      <c r="AS73" s="3"/>
      <c r="AT73" s="3"/>
      <c r="AU73" s="3"/>
      <c r="AV73" s="3"/>
      <c r="AW73" s="3"/>
      <c r="AX73" s="3"/>
      <c r="AY73" s="3"/>
      <c r="AZ73" s="3"/>
      <c r="BA73" s="3"/>
      <c r="BB73" s="3"/>
      <c r="BC73" s="3"/>
      <c r="BD73" s="3"/>
      <c r="BE73" s="3"/>
      <c r="BF73" s="3"/>
      <c r="BG73" s="3"/>
      <c r="BH73" s="3"/>
      <c r="BI73" s="3"/>
      <c r="BJ73" s="3"/>
      <c r="BK73" s="3"/>
    </row>
    <row r="74" spans="44:63" x14ac:dyDescent="0.25">
      <c r="AR74" s="3"/>
      <c r="AS74" s="3"/>
      <c r="AT74" s="3"/>
      <c r="AU74" s="3"/>
      <c r="AV74" s="3"/>
      <c r="AW74" s="3"/>
      <c r="AX74" s="3"/>
      <c r="AY74" s="3"/>
      <c r="AZ74" s="3"/>
      <c r="BA74" s="3"/>
      <c r="BB74" s="3"/>
      <c r="BC74" s="3"/>
      <c r="BD74" s="3"/>
      <c r="BE74" s="3"/>
      <c r="BF74" s="3"/>
      <c r="BG74" s="3"/>
      <c r="BH74" s="3"/>
      <c r="BI74" s="3"/>
      <c r="BJ74" s="3"/>
      <c r="BK74" s="3"/>
    </row>
    <row r="75" spans="44:63" x14ac:dyDescent="0.25">
      <c r="AR75" s="3"/>
      <c r="AS75" s="3"/>
      <c r="AT75" s="3"/>
      <c r="AU75" s="3"/>
      <c r="AV75" s="3"/>
      <c r="AW75" s="3"/>
      <c r="AX75" s="3"/>
      <c r="AY75" s="3"/>
      <c r="AZ75" s="3"/>
      <c r="BA75" s="3"/>
      <c r="BB75" s="3"/>
      <c r="BC75" s="3"/>
      <c r="BD75" s="3"/>
      <c r="BE75" s="3"/>
      <c r="BF75" s="3"/>
      <c r="BG75" s="3"/>
      <c r="BH75" s="3"/>
      <c r="BI75" s="3"/>
      <c r="BJ75" s="3"/>
      <c r="BK75" s="3"/>
    </row>
    <row r="76" spans="44:63" x14ac:dyDescent="0.25">
      <c r="AR76" s="3"/>
      <c r="AS76" s="3"/>
      <c r="AT76" s="3"/>
      <c r="AU76" s="3"/>
      <c r="AV76" s="3"/>
      <c r="AW76" s="3"/>
      <c r="AX76" s="3"/>
      <c r="AY76" s="3"/>
      <c r="AZ76" s="3"/>
      <c r="BA76" s="3"/>
      <c r="BB76" s="3"/>
      <c r="BC76" s="3"/>
      <c r="BD76" s="3"/>
      <c r="BE76" s="3"/>
      <c r="BF76" s="3"/>
      <c r="BG76" s="3"/>
      <c r="BH76" s="3"/>
      <c r="BI76" s="3"/>
      <c r="BJ76" s="3"/>
      <c r="BK76" s="3"/>
    </row>
    <row r="77" spans="44:63" x14ac:dyDescent="0.25">
      <c r="AR77" s="3"/>
      <c r="AS77" s="3"/>
      <c r="AT77" s="3"/>
      <c r="AU77" s="3"/>
      <c r="AV77" s="3"/>
      <c r="AW77" s="3"/>
      <c r="AX77" s="3"/>
      <c r="AY77" s="3"/>
      <c r="AZ77" s="3"/>
      <c r="BA77" s="3"/>
      <c r="BB77" s="3"/>
      <c r="BC77" s="3"/>
      <c r="BD77" s="3"/>
      <c r="BE77" s="3"/>
      <c r="BF77" s="3"/>
      <c r="BG77" s="3"/>
      <c r="BH77" s="3"/>
      <c r="BI77" s="3"/>
      <c r="BJ77" s="3"/>
      <c r="BK77" s="3"/>
    </row>
    <row r="78" spans="44:63" x14ac:dyDescent="0.25">
      <c r="AR78" s="3"/>
      <c r="AS78" s="3"/>
      <c r="AT78" s="3"/>
      <c r="AU78" s="3"/>
      <c r="AV78" s="3"/>
      <c r="AW78" s="3"/>
      <c r="AX78" s="3"/>
      <c r="AY78" s="3"/>
      <c r="AZ78" s="3"/>
      <c r="BA78" s="3"/>
      <c r="BB78" s="3"/>
      <c r="BC78" s="3"/>
      <c r="BD78" s="3"/>
      <c r="BE78" s="3"/>
      <c r="BF78" s="3"/>
      <c r="BG78" s="3"/>
      <c r="BH78" s="3"/>
      <c r="BI78" s="3"/>
      <c r="BJ78" s="3"/>
      <c r="BK78" s="3"/>
    </row>
    <row r="79" spans="44:63" x14ac:dyDescent="0.25">
      <c r="AR79" s="3"/>
      <c r="AS79" s="3"/>
      <c r="AT79" s="3"/>
      <c r="AU79" s="3"/>
      <c r="AV79" s="3"/>
      <c r="AW79" s="3"/>
      <c r="AX79" s="3"/>
      <c r="AY79" s="3"/>
      <c r="AZ79" s="3"/>
      <c r="BA79" s="3"/>
      <c r="BB79" s="3"/>
      <c r="BC79" s="3"/>
      <c r="BD79" s="3"/>
      <c r="BE79" s="3"/>
      <c r="BF79" s="3"/>
      <c r="BG79" s="3"/>
      <c r="BH79" s="3"/>
      <c r="BI79" s="3"/>
      <c r="BJ79" s="3"/>
      <c r="BK79" s="3"/>
    </row>
    <row r="80" spans="44:63" x14ac:dyDescent="0.25">
      <c r="AR80" s="3"/>
      <c r="AS80" s="3"/>
      <c r="AT80" s="3"/>
      <c r="AU80" s="3"/>
      <c r="AV80" s="3"/>
      <c r="AW80" s="3"/>
      <c r="AX80" s="3"/>
      <c r="AY80" s="3"/>
      <c r="AZ80" s="3"/>
      <c r="BA80" s="3"/>
      <c r="BB80" s="3"/>
      <c r="BC80" s="3"/>
      <c r="BD80" s="3"/>
      <c r="BE80" s="3"/>
      <c r="BF80" s="3"/>
      <c r="BG80" s="3"/>
      <c r="BH80" s="3"/>
      <c r="BI80" s="3"/>
      <c r="BJ80" s="3"/>
      <c r="BK80" s="3"/>
    </row>
    <row r="81" spans="44:63" x14ac:dyDescent="0.25">
      <c r="AR81" s="3"/>
      <c r="AS81" s="3"/>
      <c r="AT81" s="3"/>
      <c r="AU81" s="3"/>
      <c r="AV81" s="3"/>
      <c r="AW81" s="3"/>
      <c r="AX81" s="3"/>
      <c r="AY81" s="3"/>
      <c r="AZ81" s="3"/>
      <c r="BA81" s="3"/>
      <c r="BB81" s="3"/>
      <c r="BC81" s="3"/>
      <c r="BD81" s="3"/>
      <c r="BE81" s="3"/>
      <c r="BF81" s="3"/>
      <c r="BG81" s="3"/>
      <c r="BH81" s="3"/>
      <c r="BI81" s="3"/>
      <c r="BJ81" s="3"/>
      <c r="BK81" s="3"/>
    </row>
    <row r="82" spans="44:63" x14ac:dyDescent="0.25">
      <c r="AR82" s="3"/>
      <c r="AS82" s="3"/>
      <c r="AT82" s="3"/>
      <c r="AU82" s="3"/>
      <c r="AV82" s="3"/>
      <c r="AW82" s="3"/>
      <c r="AX82" s="3"/>
      <c r="AY82" s="3"/>
      <c r="AZ82" s="3"/>
      <c r="BA82" s="3"/>
      <c r="BB82" s="3"/>
      <c r="BC82" s="3"/>
      <c r="BD82" s="3"/>
      <c r="BE82" s="3"/>
      <c r="BF82" s="3"/>
      <c r="BG82" s="3"/>
      <c r="BH82" s="3"/>
      <c r="BI82" s="3"/>
      <c r="BJ82" s="3"/>
      <c r="BK82" s="3"/>
    </row>
    <row r="83" spans="44:63" x14ac:dyDescent="0.25">
      <c r="AR83" s="3"/>
      <c r="AS83" s="3"/>
      <c r="AT83" s="3"/>
      <c r="AU83" s="3"/>
      <c r="AV83" s="3"/>
      <c r="AW83" s="3"/>
      <c r="AX83" s="3"/>
      <c r="AY83" s="3"/>
      <c r="AZ83" s="3"/>
      <c r="BA83" s="3"/>
      <c r="BB83" s="3"/>
      <c r="BC83" s="3"/>
      <c r="BD83" s="3"/>
      <c r="BE83" s="3"/>
      <c r="BF83" s="3"/>
      <c r="BG83" s="3"/>
      <c r="BH83" s="3"/>
      <c r="BI83" s="3"/>
      <c r="BJ83" s="3"/>
      <c r="BK83" s="3"/>
    </row>
    <row r="84" spans="44:63" x14ac:dyDescent="0.25">
      <c r="AR84" s="3"/>
      <c r="AS84" s="3"/>
      <c r="AT84" s="3"/>
      <c r="AU84" s="3"/>
      <c r="AV84" s="3"/>
      <c r="AW84" s="3"/>
      <c r="AX84" s="3"/>
      <c r="AY84" s="3"/>
      <c r="AZ84" s="3"/>
      <c r="BA84" s="3"/>
      <c r="BB84" s="3"/>
      <c r="BC84" s="3"/>
      <c r="BD84" s="3"/>
      <c r="BE84" s="3"/>
      <c r="BF84" s="3"/>
      <c r="BG84" s="3"/>
      <c r="BH84" s="3"/>
      <c r="BI84" s="3"/>
      <c r="BJ84" s="3"/>
      <c r="BK84" s="3"/>
    </row>
    <row r="85" spans="44:63" x14ac:dyDescent="0.25">
      <c r="AR85" s="3"/>
      <c r="AS85" s="3"/>
      <c r="AT85" s="3"/>
      <c r="AU85" s="3"/>
      <c r="AV85" s="3"/>
      <c r="AW85" s="3"/>
      <c r="AX85" s="3"/>
      <c r="AY85" s="3"/>
      <c r="AZ85" s="3"/>
      <c r="BA85" s="3"/>
      <c r="BB85" s="3"/>
      <c r="BC85" s="3"/>
      <c r="BD85" s="3"/>
      <c r="BE85" s="3"/>
      <c r="BF85" s="3"/>
      <c r="BG85" s="3"/>
      <c r="BH85" s="3"/>
      <c r="BI85" s="3"/>
      <c r="BJ85" s="3"/>
      <c r="BK85" s="3"/>
    </row>
    <row r="86" spans="44:63" x14ac:dyDescent="0.25">
      <c r="AR86" s="3"/>
      <c r="AS86" s="3"/>
      <c r="AT86" s="3"/>
      <c r="AU86" s="3"/>
      <c r="AV86" s="3"/>
      <c r="AW86" s="3"/>
      <c r="AX86" s="3"/>
      <c r="AY86" s="3"/>
      <c r="AZ86" s="3"/>
      <c r="BA86" s="3"/>
      <c r="BB86" s="3"/>
      <c r="BC86" s="3"/>
      <c r="BD86" s="3"/>
      <c r="BE86" s="3"/>
      <c r="BF86" s="3"/>
      <c r="BG86" s="3"/>
      <c r="BH86" s="3"/>
      <c r="BI86" s="3"/>
      <c r="BJ86" s="3"/>
      <c r="BK86" s="3"/>
    </row>
    <row r="87" spans="44:63" x14ac:dyDescent="0.25">
      <c r="AR87" s="3"/>
      <c r="AS87" s="3"/>
      <c r="AT87" s="3"/>
      <c r="AU87" s="3"/>
      <c r="AV87" s="3"/>
      <c r="AW87" s="3"/>
      <c r="AX87" s="3"/>
      <c r="AY87" s="3"/>
      <c r="AZ87" s="3"/>
      <c r="BA87" s="3"/>
      <c r="BB87" s="3"/>
      <c r="BC87" s="3"/>
      <c r="BD87" s="3"/>
      <c r="BE87" s="3"/>
      <c r="BF87" s="3"/>
      <c r="BG87" s="3"/>
      <c r="BH87" s="3"/>
      <c r="BI87" s="3"/>
      <c r="BJ87" s="3"/>
      <c r="BK87" s="3"/>
    </row>
    <row r="88" spans="44:63" x14ac:dyDescent="0.25">
      <c r="AR88" s="3"/>
      <c r="AS88" s="3"/>
      <c r="AT88" s="3"/>
      <c r="AU88" s="3"/>
      <c r="AV88" s="3"/>
      <c r="AW88" s="3"/>
      <c r="AX88" s="3"/>
      <c r="AY88" s="3"/>
      <c r="AZ88" s="3"/>
      <c r="BA88" s="3"/>
      <c r="BB88" s="3"/>
      <c r="BC88" s="3"/>
      <c r="BD88" s="3"/>
      <c r="BE88" s="3"/>
      <c r="BF88" s="3"/>
      <c r="BG88" s="3"/>
      <c r="BH88" s="3"/>
      <c r="BI88" s="3"/>
      <c r="BJ88" s="3"/>
      <c r="BK88" s="3"/>
    </row>
    <row r="89" spans="44:63" x14ac:dyDescent="0.25">
      <c r="AR89" s="3"/>
      <c r="AS89" s="3"/>
      <c r="AT89" s="3"/>
      <c r="AU89" s="3"/>
      <c r="AV89" s="3"/>
      <c r="AW89" s="3"/>
      <c r="AX89" s="3"/>
      <c r="AY89" s="3"/>
      <c r="AZ89" s="3"/>
      <c r="BA89" s="3"/>
      <c r="BB89" s="3"/>
      <c r="BC89" s="3"/>
      <c r="BD89" s="3"/>
      <c r="BE89" s="3"/>
      <c r="BF89" s="3"/>
      <c r="BG89" s="3"/>
      <c r="BH89" s="3"/>
      <c r="BI89" s="3"/>
      <c r="BJ89" s="3"/>
      <c r="BK89" s="3"/>
    </row>
    <row r="90" spans="44:63" x14ac:dyDescent="0.25">
      <c r="AR90" s="3"/>
      <c r="AS90" s="3"/>
      <c r="AT90" s="3"/>
      <c r="AU90" s="3"/>
      <c r="AV90" s="3"/>
      <c r="AW90" s="3"/>
      <c r="AX90" s="3"/>
      <c r="AY90" s="3"/>
      <c r="AZ90" s="3"/>
      <c r="BA90" s="3"/>
      <c r="BB90" s="3"/>
      <c r="BC90" s="3"/>
      <c r="BD90" s="3"/>
      <c r="BE90" s="3"/>
      <c r="BF90" s="3"/>
      <c r="BG90" s="3"/>
      <c r="BH90" s="3"/>
      <c r="BI90" s="3"/>
      <c r="BJ90" s="3"/>
      <c r="BK90" s="3"/>
    </row>
    <row r="91" spans="44:63" x14ac:dyDescent="0.25">
      <c r="AR91" s="3"/>
      <c r="AS91" s="3"/>
      <c r="AT91" s="3"/>
      <c r="AU91" s="3"/>
      <c r="AV91" s="3"/>
      <c r="AW91" s="3"/>
      <c r="AX91" s="3"/>
      <c r="AY91" s="3"/>
      <c r="AZ91" s="3"/>
      <c r="BA91" s="3"/>
      <c r="BB91" s="3"/>
      <c r="BC91" s="3"/>
      <c r="BD91" s="3"/>
      <c r="BE91" s="3"/>
      <c r="BF91" s="3"/>
      <c r="BG91" s="3"/>
      <c r="BH91" s="3"/>
      <c r="BI91" s="3"/>
      <c r="BJ91" s="3"/>
      <c r="BK91" s="3"/>
    </row>
    <row r="92" spans="44:63" x14ac:dyDescent="0.25">
      <c r="AR92" s="3"/>
      <c r="AS92" s="3"/>
      <c r="AT92" s="3"/>
      <c r="AU92" s="3"/>
      <c r="AV92" s="3"/>
      <c r="AW92" s="3"/>
      <c r="AX92" s="3"/>
      <c r="AY92" s="3"/>
      <c r="AZ92" s="3"/>
      <c r="BA92" s="3"/>
      <c r="BB92" s="3"/>
      <c r="BC92" s="3"/>
      <c r="BD92" s="3"/>
      <c r="BE92" s="3"/>
      <c r="BF92" s="3"/>
      <c r="BG92" s="3"/>
      <c r="BH92" s="3"/>
      <c r="BI92" s="3"/>
      <c r="BJ92" s="3"/>
      <c r="BK92" s="3"/>
    </row>
    <row r="93" spans="44:63" x14ac:dyDescent="0.25">
      <c r="AR93" s="3"/>
      <c r="AS93" s="3"/>
      <c r="AT93" s="3"/>
      <c r="AU93" s="3"/>
      <c r="AV93" s="3"/>
      <c r="AW93" s="3"/>
      <c r="AX93" s="3"/>
      <c r="AY93" s="3"/>
      <c r="AZ93" s="3"/>
      <c r="BA93" s="3"/>
      <c r="BB93" s="3"/>
      <c r="BC93" s="3"/>
      <c r="BD93" s="3"/>
      <c r="BE93" s="3"/>
      <c r="BF93" s="3"/>
      <c r="BG93" s="3"/>
      <c r="BH93" s="3"/>
      <c r="BI93" s="3"/>
      <c r="BJ93" s="3"/>
      <c r="BK93" s="3"/>
    </row>
    <row r="94" spans="44:63" x14ac:dyDescent="0.25">
      <c r="AR94" s="3"/>
      <c r="AS94" s="3"/>
      <c r="AT94" s="3"/>
      <c r="AU94" s="3"/>
      <c r="AV94" s="3"/>
      <c r="AW94" s="3"/>
      <c r="AX94" s="3"/>
      <c r="AY94" s="3"/>
      <c r="AZ94" s="3"/>
      <c r="BA94" s="3"/>
      <c r="BB94" s="3"/>
      <c r="BC94" s="3"/>
      <c r="BD94" s="3"/>
      <c r="BE94" s="3"/>
      <c r="BF94" s="3"/>
      <c r="BG94" s="3"/>
      <c r="BH94" s="3"/>
      <c r="BI94" s="3"/>
      <c r="BJ94" s="3"/>
      <c r="BK94" s="3"/>
    </row>
    <row r="95" spans="44:63" x14ac:dyDescent="0.25">
      <c r="AR95" s="3"/>
      <c r="AS95" s="3"/>
      <c r="AT95" s="3"/>
      <c r="AU95" s="3"/>
      <c r="AV95" s="3"/>
      <c r="AW95" s="3"/>
      <c r="AX95" s="3"/>
      <c r="AY95" s="3"/>
      <c r="AZ95" s="3"/>
      <c r="BA95" s="3"/>
      <c r="BB95" s="3"/>
      <c r="BC95" s="3"/>
      <c r="BD95" s="3"/>
      <c r="BE95" s="3"/>
      <c r="BF95" s="3"/>
      <c r="BG95" s="3"/>
      <c r="BH95" s="3"/>
      <c r="BI95" s="3"/>
      <c r="BJ95" s="3"/>
      <c r="BK95" s="3"/>
    </row>
    <row r="96" spans="44:63" x14ac:dyDescent="0.25">
      <c r="AR96" s="3"/>
      <c r="AS96" s="3"/>
      <c r="AT96" s="3"/>
      <c r="AU96" s="3"/>
      <c r="AV96" s="3"/>
      <c r="AW96" s="3"/>
      <c r="AX96" s="3"/>
      <c r="AY96" s="3"/>
      <c r="AZ96" s="3"/>
      <c r="BA96" s="3"/>
      <c r="BB96" s="3"/>
      <c r="BC96" s="3"/>
      <c r="BD96" s="3"/>
      <c r="BE96" s="3"/>
      <c r="BF96" s="3"/>
      <c r="BG96" s="3"/>
      <c r="BH96" s="3"/>
      <c r="BI96" s="3"/>
      <c r="BJ96" s="3"/>
      <c r="BK96" s="3"/>
    </row>
    <row r="97" spans="44:63" x14ac:dyDescent="0.25">
      <c r="AR97" s="3"/>
      <c r="AS97" s="3"/>
      <c r="AT97" s="3"/>
      <c r="AU97" s="3"/>
      <c r="AV97" s="3"/>
      <c r="AW97" s="3"/>
      <c r="AX97" s="3"/>
      <c r="AY97" s="3"/>
      <c r="AZ97" s="3"/>
      <c r="BA97" s="3"/>
      <c r="BB97" s="3"/>
      <c r="BC97" s="3"/>
      <c r="BD97" s="3"/>
      <c r="BE97" s="3"/>
      <c r="BF97" s="3"/>
      <c r="BG97" s="3"/>
      <c r="BH97" s="3"/>
      <c r="BI97" s="3"/>
      <c r="BJ97" s="3"/>
      <c r="BK97" s="3"/>
    </row>
    <row r="98" spans="44:63" x14ac:dyDescent="0.25">
      <c r="AR98" s="3"/>
      <c r="AS98" s="3"/>
      <c r="AT98" s="3"/>
      <c r="AU98" s="3"/>
      <c r="AV98" s="3"/>
      <c r="AW98" s="3"/>
      <c r="AX98" s="3"/>
      <c r="AY98" s="3"/>
      <c r="AZ98" s="3"/>
      <c r="BA98" s="3"/>
      <c r="BB98" s="3"/>
      <c r="BC98" s="3"/>
      <c r="BD98" s="3"/>
      <c r="BE98" s="3"/>
      <c r="BF98" s="3"/>
      <c r="BG98" s="3"/>
      <c r="BH98" s="3"/>
      <c r="BI98" s="3"/>
      <c r="BJ98" s="3"/>
      <c r="BK98" s="3"/>
    </row>
    <row r="99" spans="44:63" x14ac:dyDescent="0.25">
      <c r="AR99" s="3"/>
      <c r="AS99" s="3"/>
      <c r="AT99" s="3"/>
      <c r="AU99" s="3"/>
      <c r="AV99" s="3"/>
      <c r="AW99" s="3"/>
      <c r="AX99" s="3"/>
      <c r="AY99" s="3"/>
      <c r="AZ99" s="3"/>
      <c r="BA99" s="3"/>
      <c r="BB99" s="3"/>
      <c r="BC99" s="3"/>
      <c r="BD99" s="3"/>
      <c r="BE99" s="3"/>
      <c r="BF99" s="3"/>
      <c r="BG99" s="3"/>
      <c r="BH99" s="3"/>
      <c r="BI99" s="3"/>
      <c r="BJ99" s="3"/>
      <c r="BK99" s="3"/>
    </row>
    <row r="100" spans="44:63" x14ac:dyDescent="0.25">
      <c r="AR100" s="3"/>
      <c r="AS100" s="3"/>
      <c r="AT100" s="3"/>
      <c r="AU100" s="3"/>
      <c r="AV100" s="3"/>
      <c r="AW100" s="3"/>
      <c r="AX100" s="3"/>
      <c r="AY100" s="3"/>
      <c r="AZ100" s="3"/>
      <c r="BA100" s="3"/>
      <c r="BB100" s="3"/>
      <c r="BC100" s="3"/>
      <c r="BD100" s="3"/>
      <c r="BE100" s="3"/>
      <c r="BF100" s="3"/>
      <c r="BG100" s="3"/>
      <c r="BH100" s="3"/>
      <c r="BI100" s="3"/>
      <c r="BJ100" s="3"/>
      <c r="BK100" s="3"/>
    </row>
    <row r="101" spans="44:63" x14ac:dyDescent="0.25">
      <c r="AR101" s="3"/>
      <c r="AS101" s="3"/>
      <c r="AT101" s="3"/>
      <c r="AU101" s="3"/>
      <c r="AV101" s="3"/>
      <c r="AW101" s="3"/>
      <c r="AX101" s="3"/>
      <c r="AY101" s="3"/>
      <c r="AZ101" s="3"/>
      <c r="BA101" s="3"/>
      <c r="BB101" s="3"/>
      <c r="BC101" s="3"/>
      <c r="BD101" s="3"/>
      <c r="BE101" s="3"/>
      <c r="BF101" s="3"/>
      <c r="BG101" s="3"/>
      <c r="BH101" s="3"/>
      <c r="BI101" s="3"/>
      <c r="BJ101" s="3"/>
      <c r="BK101" s="3"/>
    </row>
    <row r="102" spans="44:63" x14ac:dyDescent="0.25">
      <c r="AR102" s="3"/>
      <c r="AS102" s="3"/>
      <c r="AT102" s="3"/>
      <c r="AU102" s="3"/>
      <c r="AV102" s="3"/>
      <c r="AW102" s="3"/>
      <c r="AX102" s="3"/>
      <c r="AY102" s="3"/>
      <c r="AZ102" s="3"/>
      <c r="BA102" s="3"/>
      <c r="BB102" s="3"/>
      <c r="BC102" s="3"/>
      <c r="BD102" s="3"/>
      <c r="BE102" s="3"/>
      <c r="BF102" s="3"/>
      <c r="BG102" s="3"/>
      <c r="BH102" s="3"/>
      <c r="BI102" s="3"/>
      <c r="BJ102" s="3"/>
      <c r="BK102" s="3"/>
    </row>
    <row r="103" spans="44:63" x14ac:dyDescent="0.25">
      <c r="AR103" s="3"/>
      <c r="AS103" s="3"/>
      <c r="AT103" s="3"/>
      <c r="AU103" s="3"/>
      <c r="AV103" s="3"/>
      <c r="AW103" s="3"/>
      <c r="AX103" s="3"/>
      <c r="AY103" s="3"/>
      <c r="AZ103" s="3"/>
      <c r="BA103" s="3"/>
      <c r="BB103" s="3"/>
      <c r="BC103" s="3"/>
      <c r="BD103" s="3"/>
      <c r="BE103" s="3"/>
      <c r="BF103" s="3"/>
      <c r="BG103" s="3"/>
      <c r="BH103" s="3"/>
      <c r="BI103" s="3"/>
      <c r="BJ103" s="3"/>
      <c r="BK103" s="3"/>
    </row>
    <row r="104" spans="44:63" x14ac:dyDescent="0.25">
      <c r="AR104" s="3"/>
      <c r="AS104" s="3"/>
      <c r="AT104" s="3"/>
      <c r="AU104" s="3"/>
      <c r="AV104" s="3"/>
      <c r="AW104" s="3"/>
      <c r="AX104" s="3"/>
      <c r="AY104" s="3"/>
      <c r="AZ104" s="3"/>
      <c r="BA104" s="3"/>
      <c r="BB104" s="3"/>
      <c r="BC104" s="3"/>
      <c r="BD104" s="3"/>
      <c r="BE104" s="3"/>
      <c r="BF104" s="3"/>
      <c r="BG104" s="3"/>
      <c r="BH104" s="3"/>
      <c r="BI104" s="3"/>
      <c r="BJ104" s="3"/>
      <c r="BK104" s="3"/>
    </row>
    <row r="105" spans="44:63" x14ac:dyDescent="0.25">
      <c r="AR105" s="3"/>
      <c r="AS105" s="3"/>
      <c r="AT105" s="3"/>
      <c r="AU105" s="3"/>
      <c r="AV105" s="3"/>
      <c r="AW105" s="3"/>
      <c r="AX105" s="3"/>
      <c r="AY105" s="3"/>
      <c r="AZ105" s="3"/>
      <c r="BA105" s="3"/>
      <c r="BB105" s="3"/>
      <c r="BC105" s="3"/>
      <c r="BD105" s="3"/>
      <c r="BE105" s="3"/>
      <c r="BF105" s="3"/>
      <c r="BG105" s="3"/>
      <c r="BH105" s="3"/>
      <c r="BI105" s="3"/>
      <c r="BJ105" s="3"/>
      <c r="BK105" s="3"/>
    </row>
    <row r="106" spans="44:63" x14ac:dyDescent="0.25">
      <c r="AR106" s="3"/>
      <c r="AS106" s="3"/>
      <c r="AT106" s="3"/>
      <c r="AU106" s="3"/>
      <c r="AV106" s="3"/>
      <c r="AW106" s="3"/>
      <c r="AX106" s="3"/>
      <c r="AY106" s="3"/>
      <c r="AZ106" s="3"/>
      <c r="BA106" s="3"/>
      <c r="BB106" s="3"/>
      <c r="BC106" s="3"/>
      <c r="BD106" s="3"/>
      <c r="BE106" s="3"/>
      <c r="BF106" s="3"/>
      <c r="BG106" s="3"/>
      <c r="BH106" s="3"/>
      <c r="BI106" s="3"/>
      <c r="BJ106" s="3"/>
      <c r="BK106" s="3"/>
    </row>
    <row r="107" spans="44:63" x14ac:dyDescent="0.25">
      <c r="AR107" s="3"/>
      <c r="AS107" s="3"/>
      <c r="AT107" s="3"/>
      <c r="AU107" s="3"/>
      <c r="AV107" s="3"/>
      <c r="AW107" s="3"/>
      <c r="AX107" s="3"/>
      <c r="AY107" s="3"/>
      <c r="AZ107" s="3"/>
      <c r="BA107" s="3"/>
      <c r="BB107" s="3"/>
      <c r="BC107" s="3"/>
      <c r="BD107" s="3"/>
      <c r="BE107" s="3"/>
      <c r="BF107" s="3"/>
      <c r="BG107" s="3"/>
      <c r="BH107" s="3"/>
      <c r="BI107" s="3"/>
      <c r="BJ107" s="3"/>
      <c r="BK107" s="3"/>
    </row>
    <row r="108" spans="44:63" x14ac:dyDescent="0.25">
      <c r="AR108" s="3"/>
      <c r="AS108" s="3"/>
      <c r="AT108" s="3"/>
      <c r="AU108" s="3"/>
      <c r="AV108" s="3"/>
      <c r="AW108" s="3"/>
      <c r="AX108" s="3"/>
      <c r="AY108" s="3"/>
      <c r="AZ108" s="3"/>
      <c r="BA108" s="3"/>
      <c r="BB108" s="3"/>
      <c r="BC108" s="3"/>
      <c r="BD108" s="3"/>
      <c r="BE108" s="3"/>
      <c r="BF108" s="3"/>
      <c r="BG108" s="3"/>
      <c r="BH108" s="3"/>
      <c r="BI108" s="3"/>
      <c r="BJ108" s="3"/>
      <c r="BK108" s="3"/>
    </row>
    <row r="109" spans="44:63" x14ac:dyDescent="0.25">
      <c r="AR109" s="3"/>
      <c r="AS109" s="3"/>
      <c r="AT109" s="3"/>
      <c r="AU109" s="3"/>
      <c r="AV109" s="3"/>
      <c r="AW109" s="3"/>
      <c r="AX109" s="3"/>
      <c r="AY109" s="3"/>
      <c r="AZ109" s="3"/>
      <c r="BA109" s="3"/>
      <c r="BB109" s="3"/>
      <c r="BC109" s="3"/>
      <c r="BD109" s="3"/>
      <c r="BE109" s="3"/>
      <c r="BF109" s="3"/>
      <c r="BG109" s="3"/>
      <c r="BH109" s="3"/>
      <c r="BI109" s="3"/>
      <c r="BJ109" s="3"/>
      <c r="BK109" s="3"/>
    </row>
    <row r="110" spans="44:63" x14ac:dyDescent="0.25">
      <c r="AR110" s="3"/>
      <c r="AS110" s="3"/>
      <c r="AT110" s="3"/>
      <c r="AU110" s="3"/>
      <c r="AV110" s="3"/>
      <c r="AW110" s="3"/>
      <c r="AX110" s="3"/>
      <c r="AY110" s="3"/>
      <c r="AZ110" s="3"/>
      <c r="BA110" s="3"/>
      <c r="BB110" s="3"/>
      <c r="BC110" s="3"/>
      <c r="BD110" s="3"/>
      <c r="BE110" s="3"/>
      <c r="BF110" s="3"/>
      <c r="BG110" s="3"/>
      <c r="BH110" s="3"/>
      <c r="BI110" s="3"/>
      <c r="BJ110" s="3"/>
      <c r="BK110" s="3"/>
    </row>
    <row r="111" spans="44:63" x14ac:dyDescent="0.25">
      <c r="AR111" s="3"/>
      <c r="AS111" s="3"/>
      <c r="AT111" s="3"/>
      <c r="AU111" s="3"/>
      <c r="AV111" s="3"/>
      <c r="AW111" s="3"/>
      <c r="AX111" s="3"/>
      <c r="AY111" s="3"/>
      <c r="AZ111" s="3"/>
      <c r="BA111" s="3"/>
      <c r="BB111" s="3"/>
      <c r="BC111" s="3"/>
      <c r="BD111" s="3"/>
      <c r="BE111" s="3"/>
      <c r="BF111" s="3"/>
      <c r="BG111" s="3"/>
      <c r="BH111" s="3"/>
      <c r="BI111" s="3"/>
      <c r="BJ111" s="3"/>
      <c r="BK111" s="3"/>
    </row>
    <row r="112" spans="44:63" x14ac:dyDescent="0.25">
      <c r="AR112" s="3"/>
      <c r="AS112" s="3"/>
      <c r="AT112" s="3"/>
      <c r="AU112" s="3"/>
      <c r="AV112" s="3"/>
      <c r="AW112" s="3"/>
      <c r="AX112" s="3"/>
      <c r="AY112" s="3"/>
      <c r="AZ112" s="3"/>
      <c r="BA112" s="3"/>
      <c r="BB112" s="3"/>
      <c r="BC112" s="3"/>
      <c r="BD112" s="3"/>
      <c r="BE112" s="3"/>
      <c r="BF112" s="3"/>
      <c r="BG112" s="3"/>
      <c r="BH112" s="3"/>
      <c r="BI112" s="3"/>
      <c r="BJ112" s="3"/>
      <c r="BK112" s="3"/>
    </row>
    <row r="113" spans="44:63" x14ac:dyDescent="0.25">
      <c r="AR113" s="3"/>
      <c r="AS113" s="3"/>
      <c r="AT113" s="3"/>
      <c r="AU113" s="3"/>
      <c r="AV113" s="3"/>
      <c r="AW113" s="3"/>
      <c r="AX113" s="3"/>
      <c r="AY113" s="3"/>
      <c r="AZ113" s="3"/>
      <c r="BA113" s="3"/>
      <c r="BB113" s="3"/>
      <c r="BC113" s="3"/>
      <c r="BD113" s="3"/>
      <c r="BE113" s="3"/>
      <c r="BF113" s="3"/>
      <c r="BG113" s="3"/>
      <c r="BH113" s="3"/>
      <c r="BI113" s="3"/>
      <c r="BJ113" s="3"/>
      <c r="BK113" s="3"/>
    </row>
    <row r="114" spans="44:63" x14ac:dyDescent="0.25">
      <c r="AR114" s="3"/>
      <c r="AS114" s="3"/>
      <c r="AT114" s="3"/>
      <c r="AU114" s="3"/>
      <c r="AV114" s="3"/>
      <c r="AW114" s="3"/>
      <c r="AX114" s="3"/>
      <c r="AY114" s="3"/>
      <c r="AZ114" s="3"/>
      <c r="BA114" s="3"/>
      <c r="BB114" s="3"/>
      <c r="BC114" s="3"/>
      <c r="BD114" s="3"/>
      <c r="BE114" s="3"/>
      <c r="BF114" s="3"/>
      <c r="BG114" s="3"/>
      <c r="BH114" s="3"/>
      <c r="BI114" s="3"/>
      <c r="BJ114" s="3"/>
      <c r="BK114" s="3"/>
    </row>
    <row r="115" spans="44:63" x14ac:dyDescent="0.25">
      <c r="AR115" s="3"/>
      <c r="AS115" s="3"/>
      <c r="AT115" s="3"/>
      <c r="AU115" s="3"/>
      <c r="AV115" s="3"/>
      <c r="AW115" s="3"/>
      <c r="AX115" s="3"/>
      <c r="AY115" s="3"/>
      <c r="AZ115" s="3"/>
      <c r="BA115" s="3"/>
      <c r="BB115" s="3"/>
      <c r="BC115" s="3"/>
      <c r="BD115" s="3"/>
      <c r="BE115" s="3"/>
      <c r="BF115" s="3"/>
      <c r="BG115" s="3"/>
      <c r="BH115" s="3"/>
      <c r="BI115" s="3"/>
      <c r="BJ115" s="3"/>
      <c r="BK115" s="3"/>
    </row>
    <row r="116" spans="44:63" x14ac:dyDescent="0.25">
      <c r="AR116" s="3"/>
      <c r="AS116" s="3"/>
      <c r="AT116" s="3"/>
      <c r="AU116" s="3"/>
      <c r="AV116" s="3"/>
      <c r="AW116" s="3"/>
      <c r="AX116" s="3"/>
      <c r="AY116" s="3"/>
      <c r="AZ116" s="3"/>
      <c r="BA116" s="3"/>
      <c r="BB116" s="3"/>
      <c r="BC116" s="3"/>
      <c r="BD116" s="3"/>
      <c r="BE116" s="3"/>
      <c r="BF116" s="3"/>
      <c r="BG116" s="3"/>
      <c r="BH116" s="3"/>
      <c r="BI116" s="3"/>
      <c r="BJ116" s="3"/>
      <c r="BK116" s="3"/>
    </row>
    <row r="117" spans="44:63" x14ac:dyDescent="0.25">
      <c r="AR117" s="3"/>
      <c r="AS117" s="3"/>
      <c r="AT117" s="3"/>
      <c r="AU117" s="3"/>
      <c r="AV117" s="3"/>
      <c r="AW117" s="3"/>
      <c r="AX117" s="3"/>
      <c r="AY117" s="3"/>
      <c r="AZ117" s="3"/>
      <c r="BA117" s="3"/>
      <c r="BB117" s="3"/>
      <c r="BC117" s="3"/>
      <c r="BD117" s="3"/>
      <c r="BE117" s="3"/>
      <c r="BF117" s="3"/>
      <c r="BG117" s="3"/>
      <c r="BH117" s="3"/>
      <c r="BI117" s="3"/>
      <c r="BJ117" s="3"/>
      <c r="BK117" s="3"/>
    </row>
    <row r="118" spans="44:63" x14ac:dyDescent="0.25">
      <c r="AR118" s="3"/>
      <c r="AS118" s="3"/>
      <c r="AT118" s="3"/>
      <c r="AU118" s="3"/>
      <c r="AV118" s="3"/>
      <c r="AW118" s="3"/>
      <c r="AX118" s="3"/>
      <c r="AY118" s="3"/>
      <c r="AZ118" s="3"/>
      <c r="BA118" s="3"/>
      <c r="BB118" s="3"/>
      <c r="BC118" s="3"/>
      <c r="BD118" s="3"/>
      <c r="BE118" s="3"/>
      <c r="BF118" s="3"/>
      <c r="BG118" s="3"/>
      <c r="BH118" s="3"/>
      <c r="BI118" s="3"/>
      <c r="BJ118" s="3"/>
      <c r="BK118" s="3"/>
    </row>
    <row r="119" spans="44:63" x14ac:dyDescent="0.25">
      <c r="AR119" s="3"/>
      <c r="AS119" s="3"/>
      <c r="AT119" s="3"/>
      <c r="AU119" s="3"/>
      <c r="AV119" s="3"/>
      <c r="AW119" s="3"/>
      <c r="AX119" s="3"/>
      <c r="AY119" s="3"/>
      <c r="AZ119" s="3"/>
      <c r="BA119" s="3"/>
      <c r="BB119" s="3"/>
      <c r="BC119" s="3"/>
      <c r="BD119" s="3"/>
      <c r="BE119" s="3"/>
      <c r="BF119" s="3"/>
      <c r="BG119" s="3"/>
      <c r="BH119" s="3"/>
      <c r="BI119" s="3"/>
      <c r="BJ119" s="3"/>
      <c r="BK119" s="3"/>
    </row>
    <row r="120" spans="44:63" x14ac:dyDescent="0.25">
      <c r="AR120" s="3"/>
      <c r="AS120" s="3"/>
      <c r="AT120" s="3"/>
      <c r="AU120" s="3"/>
      <c r="AV120" s="3"/>
      <c r="AW120" s="3"/>
      <c r="AX120" s="3"/>
      <c r="AY120" s="3"/>
      <c r="AZ120" s="3"/>
      <c r="BA120" s="3"/>
      <c r="BB120" s="3"/>
      <c r="BC120" s="3"/>
      <c r="BD120" s="3"/>
      <c r="BE120" s="3"/>
      <c r="BF120" s="3"/>
      <c r="BG120" s="3"/>
      <c r="BH120" s="3"/>
      <c r="BI120" s="3"/>
      <c r="BJ120" s="3"/>
      <c r="BK120" s="3"/>
    </row>
    <row r="121" spans="44:63" x14ac:dyDescent="0.25">
      <c r="AR121" s="3"/>
      <c r="AS121" s="3"/>
      <c r="AT121" s="3"/>
      <c r="AU121" s="3"/>
      <c r="AV121" s="3"/>
      <c r="AW121" s="3"/>
      <c r="AX121" s="3"/>
      <c r="AY121" s="3"/>
      <c r="AZ121" s="3"/>
      <c r="BA121" s="3"/>
      <c r="BB121" s="3"/>
      <c r="BC121" s="3"/>
      <c r="BD121" s="3"/>
      <c r="BE121" s="3"/>
      <c r="BF121" s="3"/>
      <c r="BG121" s="3"/>
      <c r="BH121" s="3"/>
      <c r="BI121" s="3"/>
      <c r="BJ121" s="3"/>
      <c r="BK121" s="3"/>
    </row>
    <row r="122" spans="44:63" x14ac:dyDescent="0.25">
      <c r="AR122" s="3"/>
      <c r="AS122" s="3"/>
      <c r="AT122" s="3"/>
      <c r="AU122" s="3"/>
      <c r="AV122" s="3"/>
      <c r="AW122" s="3"/>
      <c r="AX122" s="3"/>
      <c r="AY122" s="3"/>
      <c r="AZ122" s="3"/>
      <c r="BA122" s="3"/>
      <c r="BB122" s="3"/>
      <c r="BC122" s="3"/>
      <c r="BD122" s="3"/>
      <c r="BE122" s="3"/>
      <c r="BF122" s="3"/>
      <c r="BG122" s="3"/>
      <c r="BH122" s="3"/>
      <c r="BI122" s="3"/>
      <c r="BJ122" s="3"/>
      <c r="BK122" s="3"/>
    </row>
    <row r="123" spans="44:63" x14ac:dyDescent="0.25">
      <c r="AR123" s="3"/>
      <c r="AS123" s="3"/>
      <c r="AT123" s="3"/>
      <c r="AU123" s="3"/>
      <c r="AV123" s="3"/>
      <c r="AW123" s="3"/>
      <c r="AX123" s="3"/>
      <c r="AY123" s="3"/>
      <c r="AZ123" s="3"/>
      <c r="BA123" s="3"/>
      <c r="BB123" s="3"/>
      <c r="BC123" s="3"/>
      <c r="BD123" s="3"/>
      <c r="BE123" s="3"/>
      <c r="BF123" s="3"/>
      <c r="BG123" s="3"/>
      <c r="BH123" s="3"/>
      <c r="BI123" s="3"/>
      <c r="BJ123" s="3"/>
      <c r="BK12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B8FB6-BA62-4C6D-A1C2-1DE7B47CAEED}">
  <dimension ref="A1:LT176"/>
  <sheetViews>
    <sheetView zoomScale="85" zoomScaleNormal="85" workbookViewId="0">
      <pane xSplit="7" ySplit="1" topLeftCell="LK148" activePane="bottomRight" state="frozen"/>
      <selection pane="topRight" activeCell="H1" sqref="H1"/>
      <selection pane="bottomLeft" activeCell="A2" sqref="A2"/>
      <selection pane="bottomRight" activeCell="LO177" sqref="LO177"/>
    </sheetView>
  </sheetViews>
  <sheetFormatPr defaultRowHeight="15" x14ac:dyDescent="0.25"/>
  <cols>
    <col min="1" max="6" width="9.140625" customWidth="1"/>
    <col min="7" max="71" width="15.7109375" customWidth="1"/>
    <col min="72" max="72" width="15.7109375" style="3" customWidth="1"/>
    <col min="73" max="76" width="15.7109375" customWidth="1"/>
    <col min="77" max="77" width="15.7109375" style="3" customWidth="1"/>
    <col min="78" max="106" width="15.7109375" customWidth="1"/>
    <col min="107" max="107" width="15.7109375" style="3" customWidth="1"/>
    <col min="108" max="111" width="15.7109375" customWidth="1"/>
    <col min="112" max="112" width="15.7109375" style="10" customWidth="1"/>
    <col min="113" max="146" width="15.7109375" customWidth="1"/>
    <col min="147" max="147" width="15.7109375" style="3" customWidth="1"/>
    <col min="148" max="201" width="15.7109375" customWidth="1"/>
    <col min="202" max="202" width="15.7109375" style="3" customWidth="1"/>
    <col min="203" max="211" width="15.7109375" customWidth="1"/>
    <col min="212" max="212" width="15.7109375" style="3" customWidth="1"/>
    <col min="213" max="216" width="15.7109375" customWidth="1"/>
    <col min="217" max="217" width="15.7109375" style="3" customWidth="1"/>
    <col min="218" max="236" width="15.7109375" customWidth="1"/>
    <col min="237" max="237" width="15.7109375" style="3" customWidth="1"/>
    <col min="238" max="241" width="15.7109375" customWidth="1"/>
    <col min="242" max="252" width="15.7109375" style="3" customWidth="1"/>
    <col min="253" max="332" width="15.7109375" customWidth="1"/>
  </cols>
  <sheetData>
    <row r="1" spans="1:332" s="1" customFormat="1" x14ac:dyDescent="0.25">
      <c r="A1" s="1" t="s">
        <v>0</v>
      </c>
      <c r="B1" s="1" t="s">
        <v>1</v>
      </c>
      <c r="C1" s="1" t="s">
        <v>2</v>
      </c>
      <c r="D1" s="1" t="s">
        <v>3</v>
      </c>
      <c r="E1" s="1" t="s">
        <v>4</v>
      </c>
      <c r="F1" s="7" t="s">
        <v>5</v>
      </c>
      <c r="G1" s="7" t="s">
        <v>6</v>
      </c>
      <c r="H1" s="11" t="s">
        <v>610</v>
      </c>
      <c r="I1" s="11" t="s">
        <v>611</v>
      </c>
      <c r="J1" s="11" t="s">
        <v>926</v>
      </c>
      <c r="K1" s="11" t="s">
        <v>612</v>
      </c>
      <c r="L1" s="11" t="s">
        <v>7</v>
      </c>
      <c r="M1" s="11" t="s">
        <v>613</v>
      </c>
      <c r="N1" s="11" t="s">
        <v>614</v>
      </c>
      <c r="O1" s="11" t="s">
        <v>927</v>
      </c>
      <c r="P1" s="11" t="s">
        <v>615</v>
      </c>
      <c r="Q1" s="11" t="s">
        <v>8</v>
      </c>
      <c r="R1" s="12" t="s">
        <v>649</v>
      </c>
      <c r="S1" s="12" t="s">
        <v>650</v>
      </c>
      <c r="T1" s="12" t="s">
        <v>932</v>
      </c>
      <c r="U1" s="12" t="s">
        <v>651</v>
      </c>
      <c r="V1" s="12" t="s">
        <v>9</v>
      </c>
      <c r="W1" s="12" t="s">
        <v>652</v>
      </c>
      <c r="X1" s="12" t="s">
        <v>653</v>
      </c>
      <c r="Y1" s="12" t="s">
        <v>931</v>
      </c>
      <c r="Z1" s="12" t="s">
        <v>654</v>
      </c>
      <c r="AA1" s="12" t="s">
        <v>10</v>
      </c>
      <c r="AB1" s="12" t="s">
        <v>655</v>
      </c>
      <c r="AC1" s="12" t="s">
        <v>656</v>
      </c>
      <c r="AD1" s="12" t="s">
        <v>930</v>
      </c>
      <c r="AE1" s="12" t="s">
        <v>657</v>
      </c>
      <c r="AF1" s="12" t="s">
        <v>11</v>
      </c>
      <c r="AG1" s="12" t="s">
        <v>658</v>
      </c>
      <c r="AH1" s="12" t="s">
        <v>659</v>
      </c>
      <c r="AI1" s="12" t="s">
        <v>929</v>
      </c>
      <c r="AJ1" s="12" t="s">
        <v>660</v>
      </c>
      <c r="AK1" s="12" t="s">
        <v>12</v>
      </c>
      <c r="AL1" s="12" t="s">
        <v>661</v>
      </c>
      <c r="AM1" s="12" t="s">
        <v>662</v>
      </c>
      <c r="AN1" s="12" t="s">
        <v>928</v>
      </c>
      <c r="AO1" s="12" t="s">
        <v>663</v>
      </c>
      <c r="AP1" s="12" t="s">
        <v>13</v>
      </c>
      <c r="AQ1" s="13" t="s">
        <v>604</v>
      </c>
      <c r="AR1" s="13" t="s">
        <v>605</v>
      </c>
      <c r="AS1" s="13" t="s">
        <v>941</v>
      </c>
      <c r="AT1" s="13" t="s">
        <v>606</v>
      </c>
      <c r="AU1" s="13" t="s">
        <v>14</v>
      </c>
      <c r="AV1" s="13" t="s">
        <v>607</v>
      </c>
      <c r="AW1" s="13" t="s">
        <v>608</v>
      </c>
      <c r="AX1" s="13" t="s">
        <v>940</v>
      </c>
      <c r="AY1" s="13" t="s">
        <v>609</v>
      </c>
      <c r="AZ1" s="13" t="s">
        <v>15</v>
      </c>
      <c r="BA1" s="14" t="s">
        <v>664</v>
      </c>
      <c r="BB1" s="14" t="s">
        <v>665</v>
      </c>
      <c r="BC1" s="14" t="s">
        <v>939</v>
      </c>
      <c r="BD1" s="14" t="s">
        <v>666</v>
      </c>
      <c r="BE1" s="14" t="s">
        <v>16</v>
      </c>
      <c r="BF1" s="14" t="s">
        <v>667</v>
      </c>
      <c r="BG1" s="14" t="s">
        <v>668</v>
      </c>
      <c r="BH1" s="14" t="s">
        <v>938</v>
      </c>
      <c r="BI1" s="14" t="s">
        <v>669</v>
      </c>
      <c r="BJ1" s="14" t="s">
        <v>17</v>
      </c>
      <c r="BK1" s="14" t="s">
        <v>670</v>
      </c>
      <c r="BL1" s="14" t="s">
        <v>671</v>
      </c>
      <c r="BM1" s="14" t="s">
        <v>937</v>
      </c>
      <c r="BN1" s="14" t="s">
        <v>672</v>
      </c>
      <c r="BO1" s="14" t="s">
        <v>18</v>
      </c>
      <c r="BP1" s="14" t="s">
        <v>673</v>
      </c>
      <c r="BQ1" s="14" t="s">
        <v>674</v>
      </c>
      <c r="BR1" s="14" t="s">
        <v>936</v>
      </c>
      <c r="BS1" s="14" t="s">
        <v>675</v>
      </c>
      <c r="BT1" s="14" t="s">
        <v>19</v>
      </c>
      <c r="BU1" s="14" t="s">
        <v>676</v>
      </c>
      <c r="BV1" s="14" t="s">
        <v>677</v>
      </c>
      <c r="BW1" s="14" t="s">
        <v>935</v>
      </c>
      <c r="BX1" s="14" t="s">
        <v>678</v>
      </c>
      <c r="BY1" s="14" t="s">
        <v>20</v>
      </c>
      <c r="BZ1" s="13" t="s">
        <v>21</v>
      </c>
      <c r="CA1" s="13" t="s">
        <v>22</v>
      </c>
      <c r="CB1" s="13" t="s">
        <v>882</v>
      </c>
      <c r="CC1" s="13" t="s">
        <v>23</v>
      </c>
      <c r="CD1" s="13" t="s">
        <v>24</v>
      </c>
      <c r="CE1" s="13" t="s">
        <v>25</v>
      </c>
      <c r="CF1" s="13" t="s">
        <v>26</v>
      </c>
      <c r="CG1" s="13" t="s">
        <v>883</v>
      </c>
      <c r="CH1" s="13" t="s">
        <v>27</v>
      </c>
      <c r="CI1" s="13" t="s">
        <v>28</v>
      </c>
      <c r="CJ1" s="14" t="s">
        <v>29</v>
      </c>
      <c r="CK1" s="14" t="s">
        <v>30</v>
      </c>
      <c r="CL1" s="14" t="s">
        <v>899</v>
      </c>
      <c r="CM1" s="14" t="s">
        <v>31</v>
      </c>
      <c r="CN1" s="14" t="s">
        <v>32</v>
      </c>
      <c r="CO1" s="14" t="s">
        <v>33</v>
      </c>
      <c r="CP1" s="14" t="s">
        <v>34</v>
      </c>
      <c r="CQ1" s="14" t="s">
        <v>898</v>
      </c>
      <c r="CR1" s="14" t="s">
        <v>35</v>
      </c>
      <c r="CS1" s="14" t="s">
        <v>36</v>
      </c>
      <c r="CT1" s="14" t="s">
        <v>37</v>
      </c>
      <c r="CU1" s="14" t="s">
        <v>38</v>
      </c>
      <c r="CV1" s="14" t="s">
        <v>897</v>
      </c>
      <c r="CW1" s="14" t="s">
        <v>39</v>
      </c>
      <c r="CX1" s="14" t="s">
        <v>40</v>
      </c>
      <c r="CY1" s="14" t="s">
        <v>41</v>
      </c>
      <c r="CZ1" s="14" t="s">
        <v>42</v>
      </c>
      <c r="DA1" s="14" t="s">
        <v>896</v>
      </c>
      <c r="DB1" s="14" t="s">
        <v>43</v>
      </c>
      <c r="DC1" s="14" t="s">
        <v>44</v>
      </c>
      <c r="DD1" s="14" t="s">
        <v>45</v>
      </c>
      <c r="DE1" s="14" t="s">
        <v>46</v>
      </c>
      <c r="DF1" s="14" t="s">
        <v>895</v>
      </c>
      <c r="DG1" s="14" t="s">
        <v>47</v>
      </c>
      <c r="DH1" s="16" t="s">
        <v>48</v>
      </c>
      <c r="DI1" s="13" t="s">
        <v>49</v>
      </c>
      <c r="DJ1" s="13" t="s">
        <v>50</v>
      </c>
      <c r="DK1" s="13" t="s">
        <v>884</v>
      </c>
      <c r="DL1" s="13" t="s">
        <v>51</v>
      </c>
      <c r="DM1" s="13" t="s">
        <v>52</v>
      </c>
      <c r="DN1" s="13" t="s">
        <v>53</v>
      </c>
      <c r="DO1" s="13" t="s">
        <v>54</v>
      </c>
      <c r="DP1" s="13" t="s">
        <v>885</v>
      </c>
      <c r="DQ1" s="13" t="s">
        <v>55</v>
      </c>
      <c r="DR1" s="13" t="s">
        <v>56</v>
      </c>
      <c r="DS1" s="14" t="s">
        <v>57</v>
      </c>
      <c r="DT1" s="14" t="s">
        <v>58</v>
      </c>
      <c r="DU1" s="14" t="s">
        <v>904</v>
      </c>
      <c r="DV1" s="14" t="s">
        <v>59</v>
      </c>
      <c r="DW1" s="14" t="s">
        <v>60</v>
      </c>
      <c r="DX1" s="14" t="s">
        <v>61</v>
      </c>
      <c r="DY1" s="14" t="s">
        <v>62</v>
      </c>
      <c r="DZ1" s="14" t="s">
        <v>903</v>
      </c>
      <c r="EA1" s="14" t="s">
        <v>63</v>
      </c>
      <c r="EB1" s="14" t="s">
        <v>64</v>
      </c>
      <c r="EC1" s="14" t="s">
        <v>65</v>
      </c>
      <c r="ED1" s="14" t="s">
        <v>66</v>
      </c>
      <c r="EE1" s="14" t="s">
        <v>902</v>
      </c>
      <c r="EF1" s="14" t="s">
        <v>67</v>
      </c>
      <c r="EG1" s="14" t="s">
        <v>68</v>
      </c>
      <c r="EH1" s="14" t="s">
        <v>69</v>
      </c>
      <c r="EI1" s="14" t="s">
        <v>70</v>
      </c>
      <c r="EJ1" s="14" t="s">
        <v>901</v>
      </c>
      <c r="EK1" s="14" t="s">
        <v>71</v>
      </c>
      <c r="EL1" s="14" t="s">
        <v>72</v>
      </c>
      <c r="EM1" s="14" t="s">
        <v>73</v>
      </c>
      <c r="EN1" s="14" t="s">
        <v>74</v>
      </c>
      <c r="EO1" s="14" t="s">
        <v>900</v>
      </c>
      <c r="EP1" s="14" t="s">
        <v>75</v>
      </c>
      <c r="EQ1" s="14" t="s">
        <v>76</v>
      </c>
      <c r="ER1" s="13" t="s">
        <v>77</v>
      </c>
      <c r="ES1" s="13" t="s">
        <v>78</v>
      </c>
      <c r="ET1" s="13" t="s">
        <v>886</v>
      </c>
      <c r="EU1" s="13" t="s">
        <v>79</v>
      </c>
      <c r="EV1" s="13" t="s">
        <v>80</v>
      </c>
      <c r="EW1" s="13" t="s">
        <v>81</v>
      </c>
      <c r="EX1" s="13" t="s">
        <v>82</v>
      </c>
      <c r="EY1" s="13" t="s">
        <v>887</v>
      </c>
      <c r="EZ1" s="13" t="s">
        <v>83</v>
      </c>
      <c r="FA1" s="13" t="s">
        <v>84</v>
      </c>
      <c r="FB1" s="14" t="s">
        <v>85</v>
      </c>
      <c r="FC1" s="14" t="s">
        <v>86</v>
      </c>
      <c r="FD1" s="14" t="s">
        <v>909</v>
      </c>
      <c r="FE1" s="14" t="s">
        <v>87</v>
      </c>
      <c r="FF1" s="14" t="s">
        <v>88</v>
      </c>
      <c r="FG1" s="14" t="s">
        <v>89</v>
      </c>
      <c r="FH1" s="14" t="s">
        <v>90</v>
      </c>
      <c r="FI1" s="14" t="s">
        <v>908</v>
      </c>
      <c r="FJ1" s="14" t="s">
        <v>91</v>
      </c>
      <c r="FK1" s="14" t="s">
        <v>92</v>
      </c>
      <c r="FL1" s="14" t="s">
        <v>93</v>
      </c>
      <c r="FM1" s="14" t="s">
        <v>94</v>
      </c>
      <c r="FN1" s="14" t="s">
        <v>907</v>
      </c>
      <c r="FO1" s="14" t="s">
        <v>95</v>
      </c>
      <c r="FP1" s="14" t="s">
        <v>96</v>
      </c>
      <c r="FQ1" s="14" t="s">
        <v>97</v>
      </c>
      <c r="FR1" s="14" t="s">
        <v>98</v>
      </c>
      <c r="FS1" s="14" t="s">
        <v>906</v>
      </c>
      <c r="FT1" s="14" t="s">
        <v>99</v>
      </c>
      <c r="FU1" s="14" t="s">
        <v>100</v>
      </c>
      <c r="FV1" s="14" t="s">
        <v>101</v>
      </c>
      <c r="FW1" s="14" t="s">
        <v>102</v>
      </c>
      <c r="FX1" s="14" t="s">
        <v>905</v>
      </c>
      <c r="FY1" s="14" t="s">
        <v>103</v>
      </c>
      <c r="FZ1" s="14" t="s">
        <v>104</v>
      </c>
      <c r="GA1" s="13" t="s">
        <v>105</v>
      </c>
      <c r="GB1" s="13" t="s">
        <v>106</v>
      </c>
      <c r="GC1" s="13" t="s">
        <v>888</v>
      </c>
      <c r="GD1" s="13" t="s">
        <v>107</v>
      </c>
      <c r="GE1" s="13" t="s">
        <v>108</v>
      </c>
      <c r="GF1" s="13" t="s">
        <v>109</v>
      </c>
      <c r="GG1" s="13" t="s">
        <v>110</v>
      </c>
      <c r="GH1" s="13" t="s">
        <v>889</v>
      </c>
      <c r="GI1" s="13" t="s">
        <v>111</v>
      </c>
      <c r="GJ1" s="13" t="s">
        <v>112</v>
      </c>
      <c r="GK1" s="14" t="s">
        <v>113</v>
      </c>
      <c r="GL1" s="14" t="s">
        <v>114</v>
      </c>
      <c r="GM1" s="14" t="s">
        <v>914</v>
      </c>
      <c r="GN1" s="14" t="s">
        <v>115</v>
      </c>
      <c r="GO1" s="14" t="s">
        <v>116</v>
      </c>
      <c r="GP1" s="14" t="s">
        <v>117</v>
      </c>
      <c r="GQ1" s="14" t="s">
        <v>118</v>
      </c>
      <c r="GR1" s="14" t="s">
        <v>913</v>
      </c>
      <c r="GS1" s="14" t="s">
        <v>119</v>
      </c>
      <c r="GT1" s="14" t="s">
        <v>120</v>
      </c>
      <c r="GU1" s="14" t="s">
        <v>121</v>
      </c>
      <c r="GV1" s="14" t="s">
        <v>122</v>
      </c>
      <c r="GW1" s="14" t="s">
        <v>912</v>
      </c>
      <c r="GX1" s="14" t="s">
        <v>123</v>
      </c>
      <c r="GY1" s="14" t="s">
        <v>124</v>
      </c>
      <c r="GZ1" s="14" t="s">
        <v>125</v>
      </c>
      <c r="HA1" s="14" t="s">
        <v>126</v>
      </c>
      <c r="HB1" s="14" t="s">
        <v>911</v>
      </c>
      <c r="HC1" s="14" t="s">
        <v>127</v>
      </c>
      <c r="HD1" s="14" t="s">
        <v>128</v>
      </c>
      <c r="HE1" s="14" t="s">
        <v>129</v>
      </c>
      <c r="HF1" s="14" t="s">
        <v>130</v>
      </c>
      <c r="HG1" s="14" t="s">
        <v>910</v>
      </c>
      <c r="HH1" s="14" t="s">
        <v>131</v>
      </c>
      <c r="HI1" s="14" t="s">
        <v>132</v>
      </c>
      <c r="HJ1" s="13" t="s">
        <v>133</v>
      </c>
      <c r="HK1" s="13" t="s">
        <v>134</v>
      </c>
      <c r="HL1" s="13" t="s">
        <v>890</v>
      </c>
      <c r="HM1" s="13" t="s">
        <v>135</v>
      </c>
      <c r="HN1" s="13" t="s">
        <v>136</v>
      </c>
      <c r="HO1" s="13" t="s">
        <v>137</v>
      </c>
      <c r="HP1" s="13" t="s">
        <v>138</v>
      </c>
      <c r="HQ1" s="13" t="s">
        <v>891</v>
      </c>
      <c r="HR1" s="13" t="s">
        <v>139</v>
      </c>
      <c r="HS1" s="13" t="s">
        <v>140</v>
      </c>
      <c r="HT1" s="14" t="s">
        <v>141</v>
      </c>
      <c r="HU1" s="14" t="s">
        <v>142</v>
      </c>
      <c r="HV1" s="14" t="s">
        <v>919</v>
      </c>
      <c r="HW1" s="14" t="s">
        <v>143</v>
      </c>
      <c r="HX1" s="14" t="s">
        <v>144</v>
      </c>
      <c r="HY1" s="14" t="s">
        <v>145</v>
      </c>
      <c r="HZ1" s="14" t="s">
        <v>146</v>
      </c>
      <c r="IA1" s="14" t="s">
        <v>918</v>
      </c>
      <c r="IB1" s="14" t="s">
        <v>147</v>
      </c>
      <c r="IC1" s="14" t="s">
        <v>148</v>
      </c>
      <c r="ID1" s="14" t="s">
        <v>149</v>
      </c>
      <c r="IE1" s="14" t="s">
        <v>150</v>
      </c>
      <c r="IF1" s="14" t="s">
        <v>917</v>
      </c>
      <c r="IG1" s="14" t="s">
        <v>151</v>
      </c>
      <c r="IH1" s="14" t="s">
        <v>152</v>
      </c>
      <c r="II1" s="14" t="s">
        <v>153</v>
      </c>
      <c r="IJ1" s="14" t="s">
        <v>154</v>
      </c>
      <c r="IK1" s="14" t="s">
        <v>916</v>
      </c>
      <c r="IL1" s="14" t="s">
        <v>155</v>
      </c>
      <c r="IM1" s="14" t="s">
        <v>156</v>
      </c>
      <c r="IN1" s="14" t="s">
        <v>157</v>
      </c>
      <c r="IO1" s="14" t="s">
        <v>158</v>
      </c>
      <c r="IP1" s="14" t="s">
        <v>915</v>
      </c>
      <c r="IQ1" s="14" t="s">
        <v>159</v>
      </c>
      <c r="IR1" s="14" t="s">
        <v>160</v>
      </c>
      <c r="IS1" s="13" t="s">
        <v>161</v>
      </c>
      <c r="IT1" s="13" t="s">
        <v>162</v>
      </c>
      <c r="IU1" s="13" t="s">
        <v>892</v>
      </c>
      <c r="IV1" s="13" t="s">
        <v>163</v>
      </c>
      <c r="IW1" s="13" t="s">
        <v>164</v>
      </c>
      <c r="IX1" s="13" t="s">
        <v>165</v>
      </c>
      <c r="IY1" s="13" t="s">
        <v>166</v>
      </c>
      <c r="IZ1" s="13" t="s">
        <v>920</v>
      </c>
      <c r="JA1" s="13" t="s">
        <v>167</v>
      </c>
      <c r="JB1" s="13" t="s">
        <v>168</v>
      </c>
      <c r="JC1" s="14" t="s">
        <v>169</v>
      </c>
      <c r="JD1" s="14" t="s">
        <v>170</v>
      </c>
      <c r="JE1" s="14" t="s">
        <v>925</v>
      </c>
      <c r="JF1" s="14" t="s">
        <v>171</v>
      </c>
      <c r="JG1" s="14" t="s">
        <v>172</v>
      </c>
      <c r="JH1" s="14" t="s">
        <v>173</v>
      </c>
      <c r="JI1" s="14" t="s">
        <v>174</v>
      </c>
      <c r="JJ1" s="14" t="s">
        <v>924</v>
      </c>
      <c r="JK1" s="14" t="s">
        <v>175</v>
      </c>
      <c r="JL1" s="14" t="s">
        <v>176</v>
      </c>
      <c r="JM1" s="14" t="s">
        <v>177</v>
      </c>
      <c r="JN1" s="14" t="s">
        <v>178</v>
      </c>
      <c r="JO1" s="14" t="s">
        <v>923</v>
      </c>
      <c r="JP1" s="14" t="s">
        <v>179</v>
      </c>
      <c r="JQ1" s="14" t="s">
        <v>180</v>
      </c>
      <c r="JR1" s="14" t="s">
        <v>181</v>
      </c>
      <c r="JS1" s="14" t="s">
        <v>182</v>
      </c>
      <c r="JT1" s="14" t="s">
        <v>922</v>
      </c>
      <c r="JU1" s="14" t="s">
        <v>183</v>
      </c>
      <c r="JV1" s="14" t="s">
        <v>184</v>
      </c>
      <c r="JW1" s="14" t="s">
        <v>185</v>
      </c>
      <c r="JX1" s="14" t="s">
        <v>186</v>
      </c>
      <c r="JY1" s="14" t="s">
        <v>921</v>
      </c>
      <c r="JZ1" s="14" t="s">
        <v>187</v>
      </c>
      <c r="KA1" s="14" t="s">
        <v>188</v>
      </c>
      <c r="KB1" s="13" t="s">
        <v>189</v>
      </c>
      <c r="KC1" s="13" t="s">
        <v>190</v>
      </c>
      <c r="KD1" s="13" t="s">
        <v>893</v>
      </c>
      <c r="KE1" s="13" t="s">
        <v>191</v>
      </c>
      <c r="KF1" s="13" t="s">
        <v>192</v>
      </c>
      <c r="KG1" s="13" t="s">
        <v>193</v>
      </c>
      <c r="KH1" s="13" t="s">
        <v>194</v>
      </c>
      <c r="KI1" s="13" t="s">
        <v>894</v>
      </c>
      <c r="KJ1" s="13" t="s">
        <v>195</v>
      </c>
      <c r="KK1" s="13" t="s">
        <v>196</v>
      </c>
      <c r="KL1" s="14" t="s">
        <v>1309</v>
      </c>
      <c r="KM1" s="14" t="s">
        <v>1310</v>
      </c>
      <c r="KN1" s="14" t="s">
        <v>1311</v>
      </c>
      <c r="KO1" s="14" t="s">
        <v>1312</v>
      </c>
      <c r="KP1" s="14" t="s">
        <v>1313</v>
      </c>
      <c r="KQ1" s="14" t="s">
        <v>1314</v>
      </c>
      <c r="KR1" s="14" t="s">
        <v>1315</v>
      </c>
      <c r="KS1" s="14" t="s">
        <v>1316</v>
      </c>
      <c r="KT1" s="14" t="s">
        <v>1317</v>
      </c>
      <c r="KU1" s="14" t="s">
        <v>1318</v>
      </c>
      <c r="KV1" s="14" t="s">
        <v>1319</v>
      </c>
      <c r="KW1" s="14" t="s">
        <v>1320</v>
      </c>
      <c r="KX1" s="14" t="s">
        <v>1321</v>
      </c>
      <c r="KY1" s="14" t="s">
        <v>1322</v>
      </c>
      <c r="KZ1" s="14" t="s">
        <v>1323</v>
      </c>
      <c r="LA1" s="14" t="s">
        <v>1324</v>
      </c>
      <c r="LB1" s="14" t="s">
        <v>1325</v>
      </c>
      <c r="LC1" s="14" t="s">
        <v>1326</v>
      </c>
      <c r="LD1" s="14" t="s">
        <v>1327</v>
      </c>
      <c r="LE1" s="14" t="s">
        <v>1328</v>
      </c>
      <c r="LF1" s="14" t="s">
        <v>1329</v>
      </c>
      <c r="LG1" s="14" t="s">
        <v>1330</v>
      </c>
      <c r="LH1" s="14" t="s">
        <v>1331</v>
      </c>
      <c r="LI1" s="14" t="s">
        <v>1332</v>
      </c>
      <c r="LJ1" s="14" t="s">
        <v>1333</v>
      </c>
      <c r="LK1" s="13" t="s">
        <v>1334</v>
      </c>
      <c r="LL1" s="13" t="s">
        <v>1335</v>
      </c>
      <c r="LM1" s="13" t="s">
        <v>1336</v>
      </c>
      <c r="LN1" s="13" t="s">
        <v>1337</v>
      </c>
      <c r="LO1" s="13" t="s">
        <v>1338</v>
      </c>
      <c r="LP1" s="13" t="s">
        <v>1339</v>
      </c>
      <c r="LQ1" s="13" t="s">
        <v>1340</v>
      </c>
      <c r="LR1" s="13" t="s">
        <v>1341</v>
      </c>
      <c r="LS1" s="13" t="s">
        <v>1342</v>
      </c>
      <c r="LT1" s="13" t="s">
        <v>1343</v>
      </c>
    </row>
    <row r="2" spans="1:332" x14ac:dyDescent="0.25">
      <c r="A2" t="s">
        <v>943</v>
      </c>
      <c r="B2" t="s">
        <v>944</v>
      </c>
      <c r="C2" t="s">
        <v>199</v>
      </c>
      <c r="D2" t="s">
        <v>200</v>
      </c>
      <c r="E2" t="s">
        <v>201</v>
      </c>
      <c r="F2" t="s">
        <v>202</v>
      </c>
      <c r="G2" t="s">
        <v>203</v>
      </c>
      <c r="H2" s="3">
        <v>589249000</v>
      </c>
      <c r="I2" s="3">
        <v>549042000</v>
      </c>
      <c r="J2" s="3">
        <v>1250000</v>
      </c>
      <c r="K2" s="3">
        <v>402014000</v>
      </c>
      <c r="L2" s="3">
        <v>1541555000</v>
      </c>
      <c r="M2" s="3">
        <v>589249000</v>
      </c>
      <c r="N2" s="3">
        <v>549042000</v>
      </c>
      <c r="O2" s="3">
        <v>1250000</v>
      </c>
      <c r="P2" s="3">
        <v>402014000</v>
      </c>
      <c r="Q2" s="3">
        <v>1541555000</v>
      </c>
      <c r="R2" s="3">
        <v>589249000</v>
      </c>
      <c r="S2" s="3">
        <v>549042000</v>
      </c>
      <c r="T2" s="3">
        <v>1250000</v>
      </c>
      <c r="U2" s="3">
        <v>402014000</v>
      </c>
      <c r="V2" s="3">
        <v>1541555000</v>
      </c>
      <c r="W2" s="3">
        <v>777752800.31999993</v>
      </c>
      <c r="X2" s="3">
        <v>520540848</v>
      </c>
      <c r="Y2" s="3">
        <v>1250000</v>
      </c>
      <c r="Z2" s="3">
        <v>404938326</v>
      </c>
      <c r="AA2" s="3">
        <v>1704481974.3199999</v>
      </c>
      <c r="AB2" s="3">
        <v>777752800.31999993</v>
      </c>
      <c r="AC2" s="3">
        <v>520540848</v>
      </c>
      <c r="AD2" s="3">
        <v>1250000</v>
      </c>
      <c r="AE2" s="3">
        <v>404938326</v>
      </c>
      <c r="AF2" s="3">
        <v>1704481974.3199999</v>
      </c>
      <c r="AG2" s="3">
        <v>770494908.53999996</v>
      </c>
      <c r="AH2" s="3">
        <v>490408445.69</v>
      </c>
      <c r="AI2" s="3">
        <v>427616.5</v>
      </c>
      <c r="AJ2" s="3">
        <v>376027404.34999996</v>
      </c>
      <c r="AK2" s="3">
        <v>1637358375.0799999</v>
      </c>
      <c r="AL2" s="3">
        <v>755447109.38999999</v>
      </c>
      <c r="AM2" s="3">
        <v>420195032.21000004</v>
      </c>
      <c r="AN2" s="3">
        <v>378002.5</v>
      </c>
      <c r="AO2" s="3">
        <v>256173548.86999997</v>
      </c>
      <c r="AP2" s="3">
        <v>1432193692.97</v>
      </c>
      <c r="AQ2" s="3">
        <v>645545000</v>
      </c>
      <c r="AR2" s="3">
        <v>472297000</v>
      </c>
      <c r="AS2" s="3">
        <v>1040000</v>
      </c>
      <c r="AT2" s="3">
        <v>70044000</v>
      </c>
      <c r="AU2" s="3">
        <v>1188926000</v>
      </c>
      <c r="AV2" s="3">
        <v>645545000</v>
      </c>
      <c r="AW2" s="3">
        <v>472297000</v>
      </c>
      <c r="AX2" s="3">
        <v>1040000</v>
      </c>
      <c r="AY2" s="3">
        <v>70044000</v>
      </c>
      <c r="AZ2" s="3">
        <v>1188926000</v>
      </c>
      <c r="BA2" s="3">
        <v>645545000</v>
      </c>
      <c r="BB2" s="3">
        <v>472297000</v>
      </c>
      <c r="BC2" s="3">
        <v>1040000</v>
      </c>
      <c r="BD2" s="3">
        <v>70044000</v>
      </c>
      <c r="BE2" s="3">
        <v>1188926000</v>
      </c>
      <c r="BF2" s="3">
        <v>824070151.83000004</v>
      </c>
      <c r="BG2" s="3">
        <v>443610544</v>
      </c>
      <c r="BH2" s="3">
        <v>1040000</v>
      </c>
      <c r="BI2" s="3">
        <v>68044000</v>
      </c>
      <c r="BJ2" s="3">
        <v>1336764695.8299999</v>
      </c>
      <c r="BK2" s="3">
        <v>824070151.83000004</v>
      </c>
      <c r="BL2" s="3">
        <v>443610544</v>
      </c>
      <c r="BM2" s="3">
        <v>1040000</v>
      </c>
      <c r="BN2" s="3">
        <v>68044000</v>
      </c>
      <c r="BO2" s="3">
        <v>1336764695.8299999</v>
      </c>
      <c r="BP2" s="3">
        <v>820111471.71000004</v>
      </c>
      <c r="BQ2" s="3">
        <v>397989590.16000003</v>
      </c>
      <c r="BR2" s="3">
        <v>328483.83</v>
      </c>
      <c r="BS2" s="3">
        <v>57448460.369999997</v>
      </c>
      <c r="BT2" s="3">
        <v>1275878006.0699999</v>
      </c>
      <c r="BU2" s="3">
        <v>789290137.69000006</v>
      </c>
      <c r="BV2" s="3">
        <v>354020055.75999999</v>
      </c>
      <c r="BW2" s="3">
        <v>260238.54</v>
      </c>
      <c r="BX2" s="3">
        <v>7959858.8799999999</v>
      </c>
      <c r="BY2" s="3">
        <v>1151530290.8699999</v>
      </c>
      <c r="BZ2" s="3">
        <v>628361000</v>
      </c>
      <c r="CA2" s="3">
        <v>464291000</v>
      </c>
      <c r="CB2" s="3">
        <v>973000</v>
      </c>
      <c r="CC2" s="3">
        <v>60000000</v>
      </c>
      <c r="CD2" s="3">
        <v>1153625000</v>
      </c>
      <c r="CE2" s="3">
        <v>628361000</v>
      </c>
      <c r="CF2" s="3">
        <v>464291000</v>
      </c>
      <c r="CG2" s="3">
        <v>973000</v>
      </c>
      <c r="CH2" s="3">
        <v>60000000</v>
      </c>
      <c r="CI2" s="3">
        <v>1153625000</v>
      </c>
      <c r="CJ2" s="3">
        <v>628361000</v>
      </c>
      <c r="CK2" s="3">
        <v>464291000</v>
      </c>
      <c r="CL2" s="3">
        <v>973000</v>
      </c>
      <c r="CM2" s="3">
        <v>60000000</v>
      </c>
      <c r="CN2" s="3">
        <v>1153625000</v>
      </c>
      <c r="CO2" s="3">
        <v>828627145.96000004</v>
      </c>
      <c r="CP2" s="3">
        <v>418526807</v>
      </c>
      <c r="CQ2" s="3">
        <v>973000</v>
      </c>
      <c r="CR2" s="3">
        <v>13500000</v>
      </c>
      <c r="CS2" s="3">
        <v>1261626952.96</v>
      </c>
      <c r="CT2" s="3">
        <v>828627145.96000004</v>
      </c>
      <c r="CU2" s="3">
        <v>418526807</v>
      </c>
      <c r="CV2" s="3">
        <v>973000</v>
      </c>
      <c r="CW2" s="3">
        <v>13500000</v>
      </c>
      <c r="CX2" s="3">
        <v>1261626952.96</v>
      </c>
      <c r="CY2" s="3">
        <v>825064480.97000003</v>
      </c>
      <c r="CZ2" s="3">
        <v>377220044.39999998</v>
      </c>
      <c r="DA2" s="3">
        <v>261447.74000000002</v>
      </c>
      <c r="DB2" s="3">
        <v>13316347.199999999</v>
      </c>
      <c r="DC2" s="3">
        <v>1215862320.3099999</v>
      </c>
      <c r="DD2" s="3">
        <v>771125604.42000008</v>
      </c>
      <c r="DE2" s="3">
        <v>320538229.27999997</v>
      </c>
      <c r="DF2" s="3">
        <v>261447.74</v>
      </c>
      <c r="DG2" s="3">
        <v>2623568.37</v>
      </c>
      <c r="DH2" s="10">
        <v>1094548849.8099999</v>
      </c>
      <c r="DI2" s="3">
        <v>738125000</v>
      </c>
      <c r="DJ2" s="3">
        <v>462704000</v>
      </c>
      <c r="DK2" s="3">
        <v>973000</v>
      </c>
      <c r="DL2" s="3">
        <v>47075000</v>
      </c>
      <c r="DM2" s="3">
        <v>1248877000</v>
      </c>
      <c r="DN2" s="3">
        <v>738125000</v>
      </c>
      <c r="DO2" s="3">
        <v>462704000</v>
      </c>
      <c r="DP2" s="3">
        <v>973000</v>
      </c>
      <c r="DQ2" s="3">
        <v>47075000</v>
      </c>
      <c r="DR2" s="3">
        <v>1248877000</v>
      </c>
      <c r="DS2" s="3">
        <v>738125000</v>
      </c>
      <c r="DT2" s="3">
        <v>462704000</v>
      </c>
      <c r="DU2" s="3">
        <v>973000</v>
      </c>
      <c r="DV2" s="3">
        <v>47075000</v>
      </c>
      <c r="DW2" s="3">
        <v>1248877000</v>
      </c>
      <c r="DX2" s="3">
        <v>999119553.66999996</v>
      </c>
      <c r="DY2" s="3">
        <v>441750104</v>
      </c>
      <c r="DZ2" s="3">
        <v>0</v>
      </c>
      <c r="EA2" s="3">
        <v>51183269</v>
      </c>
      <c r="EB2" s="3">
        <v>1492052926.6700001</v>
      </c>
      <c r="EC2" s="3">
        <v>999119553.66999996</v>
      </c>
      <c r="ED2" s="3">
        <v>441750104</v>
      </c>
      <c r="EE2" s="3">
        <v>0</v>
      </c>
      <c r="EF2" s="3">
        <v>51183269</v>
      </c>
      <c r="EG2" s="3">
        <v>1492052926.6700001</v>
      </c>
      <c r="EH2" s="3">
        <v>998662153.3900001</v>
      </c>
      <c r="EI2" s="3">
        <v>406565535.98000002</v>
      </c>
      <c r="EJ2" s="3">
        <v>0</v>
      </c>
      <c r="EK2" s="3">
        <v>47450000</v>
      </c>
      <c r="EL2" s="3">
        <v>1452677689.3700001</v>
      </c>
      <c r="EM2" s="3">
        <v>921174884.05999994</v>
      </c>
      <c r="EN2" s="3">
        <v>352292550.69</v>
      </c>
      <c r="EO2" s="3">
        <v>0</v>
      </c>
      <c r="EP2" s="3">
        <v>23119980.82</v>
      </c>
      <c r="EQ2" s="3">
        <v>1296587415.5699999</v>
      </c>
      <c r="ER2" s="3">
        <v>799905000</v>
      </c>
      <c r="ES2" s="3">
        <v>463677000</v>
      </c>
      <c r="ET2" s="3">
        <v>0</v>
      </c>
      <c r="EU2" s="3">
        <v>0</v>
      </c>
      <c r="EV2" s="3">
        <v>1263582000</v>
      </c>
      <c r="EW2" s="3">
        <v>799905000</v>
      </c>
      <c r="EX2" s="3">
        <v>463677000</v>
      </c>
      <c r="EY2" s="3">
        <v>0</v>
      </c>
      <c r="EZ2" s="3">
        <v>0</v>
      </c>
      <c r="FA2" s="3">
        <v>1263582000</v>
      </c>
      <c r="FB2" s="3">
        <v>799905000</v>
      </c>
      <c r="FC2" s="3">
        <v>463677000</v>
      </c>
      <c r="FD2" s="3">
        <v>0</v>
      </c>
      <c r="FE2" s="3">
        <v>0</v>
      </c>
      <c r="FF2" s="3">
        <v>1263582000</v>
      </c>
      <c r="FG2" s="3">
        <v>1015222496.41</v>
      </c>
      <c r="FH2" s="3">
        <v>445840592.70999998</v>
      </c>
      <c r="FI2" s="3">
        <v>0</v>
      </c>
      <c r="FJ2" s="3">
        <v>0</v>
      </c>
      <c r="FK2" s="3">
        <v>1461063089.1199999</v>
      </c>
      <c r="FL2" s="3">
        <v>1015222496.41</v>
      </c>
      <c r="FM2" s="3">
        <v>445840592.70999998</v>
      </c>
      <c r="FN2" s="3">
        <v>0</v>
      </c>
      <c r="FO2" s="3">
        <v>0</v>
      </c>
      <c r="FP2" s="3">
        <v>1461063089.1199999</v>
      </c>
      <c r="FQ2" s="3">
        <v>1013475777.5700001</v>
      </c>
      <c r="FR2" s="3">
        <v>435683859.44</v>
      </c>
      <c r="FS2" s="3">
        <v>0</v>
      </c>
      <c r="FT2" s="3">
        <v>0</v>
      </c>
      <c r="FU2" s="3">
        <v>1449159637.01</v>
      </c>
      <c r="FV2" s="3">
        <v>961650443.05999994</v>
      </c>
      <c r="FW2" s="3">
        <v>382477163.23000002</v>
      </c>
      <c r="FX2" s="3">
        <v>0</v>
      </c>
      <c r="FY2" s="3">
        <v>0</v>
      </c>
      <c r="FZ2" s="3">
        <v>1344127606.29</v>
      </c>
      <c r="GA2" s="3">
        <v>811479000</v>
      </c>
      <c r="GB2" s="3">
        <v>710274000</v>
      </c>
      <c r="GC2" s="3">
        <v>0</v>
      </c>
      <c r="GD2" s="3">
        <v>195837000</v>
      </c>
      <c r="GE2" s="3">
        <v>1717590000</v>
      </c>
      <c r="GF2" s="3">
        <v>811479000</v>
      </c>
      <c r="GG2" s="3">
        <v>720274000</v>
      </c>
      <c r="GH2" s="3">
        <v>0</v>
      </c>
      <c r="GI2" s="3">
        <v>195837000</v>
      </c>
      <c r="GJ2" s="3">
        <v>1727590000</v>
      </c>
      <c r="GK2" s="3">
        <v>811479000</v>
      </c>
      <c r="GL2" s="3">
        <v>720274000</v>
      </c>
      <c r="GM2" s="3">
        <v>0</v>
      </c>
      <c r="GN2" s="3">
        <v>195837000</v>
      </c>
      <c r="GO2" s="3">
        <v>1727590000</v>
      </c>
      <c r="GP2" s="3">
        <v>1115262371.29</v>
      </c>
      <c r="GQ2" s="3">
        <v>691514777.12</v>
      </c>
      <c r="GR2" s="3">
        <v>0</v>
      </c>
      <c r="GS2" s="3">
        <v>195837000</v>
      </c>
      <c r="GT2" s="3">
        <v>2002614148.4100001</v>
      </c>
      <c r="GU2" s="3">
        <v>1115262371.29</v>
      </c>
      <c r="GV2" s="3">
        <v>691514777.12</v>
      </c>
      <c r="GW2" s="3">
        <v>0</v>
      </c>
      <c r="GX2" s="3">
        <v>195837000</v>
      </c>
      <c r="GY2" s="3">
        <v>2002614148.4100001</v>
      </c>
      <c r="GZ2" s="3">
        <v>1106359166.1900001</v>
      </c>
      <c r="HA2" s="3">
        <v>679234761.25</v>
      </c>
      <c r="HB2" s="3">
        <v>0</v>
      </c>
      <c r="HC2" s="3">
        <v>172931013.77000001</v>
      </c>
      <c r="HD2" s="3">
        <v>1958524941.21</v>
      </c>
      <c r="HE2" s="3">
        <v>1079223353.25</v>
      </c>
      <c r="HF2" s="3">
        <v>611145112.25</v>
      </c>
      <c r="HG2" s="3">
        <v>0</v>
      </c>
      <c r="HH2" s="3">
        <v>154284942.5</v>
      </c>
      <c r="HI2" s="3">
        <v>1844653408</v>
      </c>
      <c r="HJ2" s="3">
        <v>846313000</v>
      </c>
      <c r="HK2" s="3">
        <v>720274000</v>
      </c>
      <c r="HL2" s="3">
        <v>0</v>
      </c>
      <c r="HM2" s="3">
        <v>328375000</v>
      </c>
      <c r="HN2" s="3">
        <v>1894962000</v>
      </c>
      <c r="HO2" s="3">
        <v>846313000</v>
      </c>
      <c r="HP2" s="3">
        <v>720274000</v>
      </c>
      <c r="HQ2" s="3">
        <v>0</v>
      </c>
      <c r="HR2" s="3">
        <v>328375000</v>
      </c>
      <c r="HS2" s="3">
        <v>1894962000</v>
      </c>
      <c r="HT2" s="3">
        <v>846313000</v>
      </c>
      <c r="HU2" s="3">
        <v>720274000</v>
      </c>
      <c r="HV2" s="3">
        <v>0</v>
      </c>
      <c r="HW2" s="3">
        <v>328375000</v>
      </c>
      <c r="HX2" s="3">
        <v>1894962000</v>
      </c>
      <c r="HY2" s="3">
        <v>1173505741.6700001</v>
      </c>
      <c r="HZ2" s="3">
        <v>697125146</v>
      </c>
      <c r="IA2" s="3">
        <v>0</v>
      </c>
      <c r="IB2" s="3">
        <v>328375000</v>
      </c>
      <c r="IC2" s="3">
        <v>2199005887.6700001</v>
      </c>
      <c r="ID2" s="3">
        <v>1173505741.6700001</v>
      </c>
      <c r="IE2" s="3">
        <v>697125146</v>
      </c>
      <c r="IF2" s="3">
        <v>0</v>
      </c>
      <c r="IG2" s="3">
        <v>328375000</v>
      </c>
      <c r="IH2" s="3">
        <v>2199005887.6700001</v>
      </c>
      <c r="II2" s="3">
        <v>1154851028.6500001</v>
      </c>
      <c r="IJ2" s="3">
        <v>671144839.41999996</v>
      </c>
      <c r="IK2" s="3">
        <v>0</v>
      </c>
      <c r="IL2" s="3">
        <v>302918481.20999998</v>
      </c>
      <c r="IM2" s="3">
        <v>2128914349.28</v>
      </c>
      <c r="IN2" s="3">
        <v>1096727997.51</v>
      </c>
      <c r="IO2" s="3">
        <v>606590790.41999996</v>
      </c>
      <c r="IP2" s="3">
        <v>0</v>
      </c>
      <c r="IQ2" s="3">
        <v>127256843.89</v>
      </c>
      <c r="IR2" s="3">
        <v>1830575631.8199999</v>
      </c>
      <c r="IS2" s="3">
        <v>866918000</v>
      </c>
      <c r="IT2" s="3">
        <v>775216000</v>
      </c>
      <c r="IU2" s="3">
        <v>0</v>
      </c>
      <c r="IV2" s="3">
        <v>167700000</v>
      </c>
      <c r="IW2" s="3">
        <v>1809834000</v>
      </c>
      <c r="IX2" s="3">
        <v>866918000</v>
      </c>
      <c r="IY2" s="3">
        <v>775216000</v>
      </c>
      <c r="IZ2" s="3">
        <v>0</v>
      </c>
      <c r="JA2" s="3">
        <v>167700000</v>
      </c>
      <c r="JB2" s="3">
        <v>1809834000</v>
      </c>
      <c r="JC2" s="3">
        <v>866918000</v>
      </c>
      <c r="JD2" s="3">
        <v>775216000</v>
      </c>
      <c r="JE2" s="3">
        <v>0</v>
      </c>
      <c r="JF2" s="3">
        <v>167700000</v>
      </c>
      <c r="JG2" s="3">
        <v>1809834000</v>
      </c>
      <c r="JH2" s="3">
        <v>1140602853.45</v>
      </c>
      <c r="JI2" s="3">
        <v>759155786.00999999</v>
      </c>
      <c r="JJ2" s="3">
        <v>0</v>
      </c>
      <c r="JK2" s="3">
        <v>167700000</v>
      </c>
      <c r="JL2" s="3">
        <v>2067458639.46</v>
      </c>
      <c r="JM2" s="3">
        <v>1140602853.45</v>
      </c>
      <c r="JN2" s="3">
        <v>759155786.00999999</v>
      </c>
      <c r="JO2" s="3">
        <v>0</v>
      </c>
      <c r="JP2" s="3">
        <v>167700000</v>
      </c>
      <c r="JQ2" s="3">
        <v>2067458639.46</v>
      </c>
      <c r="JR2" s="3">
        <v>1139334439.45</v>
      </c>
      <c r="JS2" s="3">
        <v>738140620.84000003</v>
      </c>
      <c r="JT2" s="3">
        <v>0</v>
      </c>
      <c r="JU2" s="3">
        <v>141740699.77000001</v>
      </c>
      <c r="JV2" s="3">
        <v>2019215760.0599999</v>
      </c>
      <c r="JW2" s="3">
        <v>1096932407.8499999</v>
      </c>
      <c r="JX2" s="3">
        <v>640720825.71000004</v>
      </c>
      <c r="JY2" s="3">
        <v>0</v>
      </c>
      <c r="JZ2" s="3">
        <v>127913807.81</v>
      </c>
      <c r="KA2" s="3">
        <v>1865567041.3699999</v>
      </c>
      <c r="KB2" s="3">
        <v>1029631000</v>
      </c>
      <c r="KC2" s="3">
        <v>823729000</v>
      </c>
      <c r="KD2" s="3">
        <v>0</v>
      </c>
      <c r="KE2" s="3">
        <v>521523000</v>
      </c>
      <c r="KF2" s="3">
        <v>2374883000</v>
      </c>
      <c r="KG2" s="3">
        <v>1029631000</v>
      </c>
      <c r="KH2" s="3">
        <v>823729000</v>
      </c>
      <c r="KI2" s="3">
        <v>0</v>
      </c>
      <c r="KJ2" s="3">
        <v>521523000</v>
      </c>
      <c r="KK2" s="3">
        <v>2374883000</v>
      </c>
      <c r="KL2" s="3"/>
      <c r="KM2" s="3"/>
      <c r="KN2" s="3"/>
      <c r="KO2" s="3"/>
      <c r="KP2" s="3"/>
      <c r="KQ2" s="3"/>
      <c r="KR2" s="3"/>
      <c r="KS2" s="3"/>
      <c r="KT2" s="3"/>
      <c r="KU2" s="3"/>
      <c r="KV2" s="3"/>
      <c r="KW2" s="3"/>
      <c r="KX2" s="3"/>
      <c r="KY2" s="3"/>
      <c r="KZ2" s="3"/>
      <c r="LA2" s="3"/>
      <c r="LB2" s="3"/>
      <c r="LC2" s="3"/>
      <c r="LD2" s="3"/>
      <c r="LE2" s="3"/>
      <c r="LF2" s="3"/>
      <c r="LG2" s="3"/>
      <c r="LH2" s="3"/>
      <c r="LI2" s="3"/>
      <c r="LJ2" s="3"/>
      <c r="LK2" s="3">
        <v>966436000</v>
      </c>
      <c r="LL2" s="3">
        <v>1152509000</v>
      </c>
      <c r="LM2">
        <v>0</v>
      </c>
      <c r="LN2" s="3">
        <v>480729000</v>
      </c>
      <c r="LO2" s="3">
        <v>2599674000</v>
      </c>
    </row>
    <row r="3" spans="1:332" x14ac:dyDescent="0.25">
      <c r="A3" t="s">
        <v>943</v>
      </c>
      <c r="B3" t="s">
        <v>944</v>
      </c>
      <c r="C3" t="s">
        <v>199</v>
      </c>
      <c r="D3" t="s">
        <v>200</v>
      </c>
      <c r="E3" t="s">
        <v>201</v>
      </c>
      <c r="F3" t="s">
        <v>204</v>
      </c>
      <c r="G3" t="s">
        <v>205</v>
      </c>
      <c r="H3" s="3">
        <v>64024000</v>
      </c>
      <c r="I3" s="3">
        <v>0</v>
      </c>
      <c r="J3" s="3">
        <v>0</v>
      </c>
      <c r="K3" s="3">
        <v>0</v>
      </c>
      <c r="L3" s="3">
        <v>64024000</v>
      </c>
      <c r="M3" s="3">
        <v>64024000</v>
      </c>
      <c r="N3" s="3">
        <v>0</v>
      </c>
      <c r="O3" s="3">
        <v>0</v>
      </c>
      <c r="P3" s="3">
        <v>0</v>
      </c>
      <c r="Q3" s="3">
        <v>64024000</v>
      </c>
      <c r="R3" s="3">
        <v>64024000</v>
      </c>
      <c r="S3" s="3">
        <v>0</v>
      </c>
      <c r="T3" s="3">
        <v>0</v>
      </c>
      <c r="U3" s="3">
        <v>0</v>
      </c>
      <c r="V3" s="3">
        <v>64024000</v>
      </c>
      <c r="W3" s="3">
        <v>65454682</v>
      </c>
      <c r="X3" s="3">
        <v>0</v>
      </c>
      <c r="Y3" s="3">
        <v>0</v>
      </c>
      <c r="Z3" s="3">
        <v>0</v>
      </c>
      <c r="AA3" s="3">
        <v>65454682</v>
      </c>
      <c r="AB3" s="3">
        <v>38258578</v>
      </c>
      <c r="AC3" s="3">
        <v>0</v>
      </c>
      <c r="AD3" s="3">
        <v>0</v>
      </c>
      <c r="AE3" s="3">
        <v>0</v>
      </c>
      <c r="AF3" s="3">
        <v>38258578</v>
      </c>
      <c r="AG3" s="3">
        <v>38258552.980000004</v>
      </c>
      <c r="AH3" s="3">
        <v>0</v>
      </c>
      <c r="AI3" s="3">
        <v>0</v>
      </c>
      <c r="AJ3" s="3">
        <v>0</v>
      </c>
      <c r="AK3" s="3">
        <v>38258552.980000004</v>
      </c>
      <c r="AL3" s="3">
        <v>37005319.07</v>
      </c>
      <c r="AM3" s="3">
        <v>0</v>
      </c>
      <c r="AN3" s="3">
        <v>0</v>
      </c>
      <c r="AO3" s="3">
        <v>0</v>
      </c>
      <c r="AP3" s="3">
        <v>37005319.07</v>
      </c>
      <c r="AQ3" s="3">
        <v>89323000</v>
      </c>
      <c r="AR3" s="3">
        <v>0</v>
      </c>
      <c r="AS3" s="3">
        <v>0</v>
      </c>
      <c r="AT3" s="3">
        <v>0</v>
      </c>
      <c r="AU3" s="3">
        <v>89323000</v>
      </c>
      <c r="AV3" s="3">
        <v>89323000</v>
      </c>
      <c r="AW3" s="3">
        <v>0</v>
      </c>
      <c r="AX3" s="3">
        <v>0</v>
      </c>
      <c r="AY3" s="3">
        <v>0</v>
      </c>
      <c r="AZ3" s="3">
        <v>89323000</v>
      </c>
      <c r="BA3" s="3">
        <v>89323000</v>
      </c>
      <c r="BB3" s="3">
        <v>0</v>
      </c>
      <c r="BC3" s="3">
        <v>0</v>
      </c>
      <c r="BD3" s="3">
        <v>0</v>
      </c>
      <c r="BE3" s="3">
        <v>89323000</v>
      </c>
      <c r="BF3" s="3">
        <v>89323000</v>
      </c>
      <c r="BG3" s="3">
        <v>0</v>
      </c>
      <c r="BH3" s="3">
        <v>0</v>
      </c>
      <c r="BI3" s="3">
        <v>0</v>
      </c>
      <c r="BJ3" s="3">
        <v>89323000</v>
      </c>
      <c r="BK3" s="3">
        <v>48192732</v>
      </c>
      <c r="BL3" s="3">
        <v>0</v>
      </c>
      <c r="BM3" s="3">
        <v>0</v>
      </c>
      <c r="BN3" s="3">
        <v>0</v>
      </c>
      <c r="BO3" s="3">
        <v>48192732</v>
      </c>
      <c r="BP3" s="3">
        <v>48189620.259999998</v>
      </c>
      <c r="BQ3" s="3">
        <v>0</v>
      </c>
      <c r="BR3" s="3">
        <v>0</v>
      </c>
      <c r="BS3" s="3">
        <v>0</v>
      </c>
      <c r="BT3" s="3">
        <v>48189620.259999998</v>
      </c>
      <c r="BU3" s="3">
        <v>40751368.32</v>
      </c>
      <c r="BV3" s="3">
        <v>0</v>
      </c>
      <c r="BW3" s="3">
        <v>0</v>
      </c>
      <c r="BX3" s="3">
        <v>0</v>
      </c>
      <c r="BY3" s="3">
        <v>40751368.32</v>
      </c>
      <c r="BZ3" s="3">
        <v>86930000</v>
      </c>
      <c r="CA3" s="3">
        <v>0</v>
      </c>
      <c r="CB3" s="3">
        <v>0</v>
      </c>
      <c r="CC3" s="3">
        <v>0</v>
      </c>
      <c r="CD3" s="3">
        <v>86930000</v>
      </c>
      <c r="CE3" s="3">
        <v>86930000</v>
      </c>
      <c r="CF3" s="3">
        <v>0</v>
      </c>
      <c r="CG3" s="3">
        <v>0</v>
      </c>
      <c r="CH3" s="3">
        <v>0</v>
      </c>
      <c r="CI3" s="3">
        <v>86930000</v>
      </c>
      <c r="CJ3" s="3">
        <v>86930000</v>
      </c>
      <c r="CK3" s="3">
        <v>0</v>
      </c>
      <c r="CL3" s="3">
        <v>0</v>
      </c>
      <c r="CM3" s="3">
        <v>0</v>
      </c>
      <c r="CN3" s="3">
        <v>86930000</v>
      </c>
      <c r="CO3" s="3">
        <v>86975973</v>
      </c>
      <c r="CP3" s="3">
        <v>0</v>
      </c>
      <c r="CQ3" s="3">
        <v>0</v>
      </c>
      <c r="CR3" s="3">
        <v>0</v>
      </c>
      <c r="CS3" s="3">
        <v>86975973</v>
      </c>
      <c r="CT3" s="3">
        <v>86975973</v>
      </c>
      <c r="CU3" s="3">
        <v>0</v>
      </c>
      <c r="CV3" s="3">
        <v>0</v>
      </c>
      <c r="CW3" s="3">
        <v>0</v>
      </c>
      <c r="CX3" s="3">
        <v>86975973</v>
      </c>
      <c r="CY3" s="3">
        <v>81750628.860000014</v>
      </c>
      <c r="CZ3" s="3">
        <v>0</v>
      </c>
      <c r="DA3" s="3">
        <v>0</v>
      </c>
      <c r="DB3" s="3">
        <v>0</v>
      </c>
      <c r="DC3" s="3">
        <v>81750628.860000014</v>
      </c>
      <c r="DD3" s="3">
        <v>74487803.63000001</v>
      </c>
      <c r="DE3" s="3">
        <v>0</v>
      </c>
      <c r="DF3" s="3">
        <v>0</v>
      </c>
      <c r="DG3" s="3">
        <v>0</v>
      </c>
      <c r="DH3" s="10">
        <v>74487803.63000001</v>
      </c>
      <c r="DI3" s="3">
        <v>105246000</v>
      </c>
      <c r="DJ3" s="3">
        <v>0</v>
      </c>
      <c r="DK3" s="3">
        <v>0</v>
      </c>
      <c r="DL3" s="3">
        <v>0</v>
      </c>
      <c r="DM3" s="3">
        <v>105246000</v>
      </c>
      <c r="DN3" s="3">
        <v>105246000</v>
      </c>
      <c r="DO3" s="3">
        <v>0</v>
      </c>
      <c r="DP3" s="3">
        <v>0</v>
      </c>
      <c r="DQ3" s="3">
        <v>0</v>
      </c>
      <c r="DR3" s="3">
        <v>105246000</v>
      </c>
      <c r="DS3" s="3">
        <v>105246000</v>
      </c>
      <c r="DT3" s="3">
        <v>0</v>
      </c>
      <c r="DU3" s="3">
        <v>0</v>
      </c>
      <c r="DV3" s="3">
        <v>0</v>
      </c>
      <c r="DW3" s="3">
        <v>105246000</v>
      </c>
      <c r="DX3" s="3">
        <v>99205107.030000001</v>
      </c>
      <c r="DY3" s="3">
        <v>0</v>
      </c>
      <c r="DZ3" s="3">
        <v>0</v>
      </c>
      <c r="EA3" s="3">
        <v>0</v>
      </c>
      <c r="EB3" s="3">
        <v>99205107.030000001</v>
      </c>
      <c r="EC3" s="3">
        <v>99205107.030000001</v>
      </c>
      <c r="ED3" s="3">
        <v>0</v>
      </c>
      <c r="EE3" s="3">
        <v>0</v>
      </c>
      <c r="EF3" s="3">
        <v>0</v>
      </c>
      <c r="EG3" s="3">
        <v>99205107.030000001</v>
      </c>
      <c r="EH3" s="3">
        <v>99204568.13000001</v>
      </c>
      <c r="EI3" s="3">
        <v>0</v>
      </c>
      <c r="EJ3" s="3">
        <v>0</v>
      </c>
      <c r="EK3" s="3">
        <v>0</v>
      </c>
      <c r="EL3" s="3">
        <v>99204568.13000001</v>
      </c>
      <c r="EM3" s="3">
        <v>95096928.280000001</v>
      </c>
      <c r="EN3" s="3">
        <v>0</v>
      </c>
      <c r="EO3" s="3">
        <v>0</v>
      </c>
      <c r="EP3" s="3">
        <v>0</v>
      </c>
      <c r="EQ3" s="3">
        <v>95096928.280000001</v>
      </c>
      <c r="ER3" s="3">
        <v>120727000</v>
      </c>
      <c r="ES3" s="3">
        <v>0</v>
      </c>
      <c r="ET3" s="3">
        <v>0</v>
      </c>
      <c r="EU3" s="3">
        <v>0</v>
      </c>
      <c r="EV3" s="3">
        <v>120727000</v>
      </c>
      <c r="EW3" s="3">
        <v>120727000</v>
      </c>
      <c r="EX3" s="3">
        <v>0</v>
      </c>
      <c r="EY3" s="3">
        <v>0</v>
      </c>
      <c r="EZ3" s="3">
        <v>0</v>
      </c>
      <c r="FA3" s="3">
        <v>120727000</v>
      </c>
      <c r="FB3" s="3">
        <v>120727000</v>
      </c>
      <c r="FC3" s="3">
        <v>0</v>
      </c>
      <c r="FD3" s="3">
        <v>0</v>
      </c>
      <c r="FE3" s="3">
        <v>0</v>
      </c>
      <c r="FF3" s="3">
        <v>120727000</v>
      </c>
      <c r="FG3" s="3">
        <v>119950714.3</v>
      </c>
      <c r="FH3" s="3">
        <v>0</v>
      </c>
      <c r="FI3" s="3">
        <v>0</v>
      </c>
      <c r="FJ3" s="3">
        <v>0</v>
      </c>
      <c r="FK3" s="3">
        <v>119950714.3</v>
      </c>
      <c r="FL3" s="3">
        <v>119950714.3</v>
      </c>
      <c r="FM3" s="3">
        <v>0</v>
      </c>
      <c r="FN3" s="3">
        <v>0</v>
      </c>
      <c r="FO3" s="3">
        <v>0</v>
      </c>
      <c r="FP3" s="3">
        <v>119950714.3</v>
      </c>
      <c r="FQ3" s="3">
        <v>119795921.42</v>
      </c>
      <c r="FR3" s="3">
        <v>0</v>
      </c>
      <c r="FS3" s="3">
        <v>0</v>
      </c>
      <c r="FT3" s="3">
        <v>0</v>
      </c>
      <c r="FU3" s="3">
        <v>119795921.42</v>
      </c>
      <c r="FV3" s="3">
        <v>117079092.08</v>
      </c>
      <c r="FW3" s="3">
        <v>0</v>
      </c>
      <c r="FX3" s="3">
        <v>0</v>
      </c>
      <c r="FY3" s="3">
        <v>0</v>
      </c>
      <c r="FZ3" s="3">
        <v>117079092.08</v>
      </c>
      <c r="GA3" s="3">
        <v>133994000</v>
      </c>
      <c r="GB3" s="3">
        <v>0</v>
      </c>
      <c r="GC3" s="3">
        <v>0</v>
      </c>
      <c r="GD3" s="3">
        <v>0</v>
      </c>
      <c r="GE3" s="3">
        <v>133994000</v>
      </c>
      <c r="GF3" s="3">
        <v>133994000</v>
      </c>
      <c r="GG3" s="3">
        <v>0</v>
      </c>
      <c r="GH3" s="3">
        <v>0</v>
      </c>
      <c r="GI3" s="3">
        <v>0</v>
      </c>
      <c r="GJ3" s="3">
        <v>133994000</v>
      </c>
      <c r="GK3" s="3">
        <v>133994000</v>
      </c>
      <c r="GL3" s="3">
        <v>0</v>
      </c>
      <c r="GM3" s="3">
        <v>0</v>
      </c>
      <c r="GN3" s="3">
        <v>0</v>
      </c>
      <c r="GO3" s="3">
        <v>133994000</v>
      </c>
      <c r="GP3" s="3">
        <v>129341495.93000001</v>
      </c>
      <c r="GQ3" s="3">
        <v>0</v>
      </c>
      <c r="GR3" s="3">
        <v>0</v>
      </c>
      <c r="GS3" s="3">
        <v>0</v>
      </c>
      <c r="GT3" s="3">
        <v>129341495.93000001</v>
      </c>
      <c r="GU3" s="3">
        <v>129341495.93000001</v>
      </c>
      <c r="GV3" s="3">
        <v>0</v>
      </c>
      <c r="GW3" s="3">
        <v>0</v>
      </c>
      <c r="GX3" s="3">
        <v>0</v>
      </c>
      <c r="GY3" s="3">
        <v>129341495.93000001</v>
      </c>
      <c r="GZ3" s="3">
        <v>121920375.08</v>
      </c>
      <c r="HA3" s="3">
        <v>0</v>
      </c>
      <c r="HB3" s="3">
        <v>0</v>
      </c>
      <c r="HC3" s="3">
        <v>0</v>
      </c>
      <c r="HD3" s="3">
        <v>121920375.08</v>
      </c>
      <c r="HE3" s="3">
        <v>109236724</v>
      </c>
      <c r="HF3" s="3">
        <v>0</v>
      </c>
      <c r="HG3" s="3">
        <v>0</v>
      </c>
      <c r="HH3" s="3">
        <v>0</v>
      </c>
      <c r="HI3" s="3">
        <v>109236724</v>
      </c>
      <c r="HJ3" s="3">
        <v>122044000</v>
      </c>
      <c r="HK3" s="3">
        <v>0</v>
      </c>
      <c r="HL3" s="3">
        <v>0</v>
      </c>
      <c r="HM3" s="3">
        <v>0</v>
      </c>
      <c r="HN3" s="3">
        <v>122044000</v>
      </c>
      <c r="HO3" s="3">
        <v>122044000</v>
      </c>
      <c r="HP3" s="3">
        <v>0</v>
      </c>
      <c r="HQ3" s="3">
        <v>0</v>
      </c>
      <c r="HR3" s="3">
        <v>0</v>
      </c>
      <c r="HS3" s="3">
        <v>122044000</v>
      </c>
      <c r="HT3" s="3">
        <v>122044000</v>
      </c>
      <c r="HU3" s="3">
        <v>0</v>
      </c>
      <c r="HV3" s="3">
        <v>0</v>
      </c>
      <c r="HW3" s="3">
        <v>0</v>
      </c>
      <c r="HX3" s="3">
        <v>122044000</v>
      </c>
      <c r="HY3" s="3">
        <v>117724980.95999999</v>
      </c>
      <c r="HZ3" s="3">
        <v>0</v>
      </c>
      <c r="IA3" s="3">
        <v>0</v>
      </c>
      <c r="IB3" s="3">
        <v>0</v>
      </c>
      <c r="IC3" s="3">
        <v>117724980.95999999</v>
      </c>
      <c r="ID3" s="3">
        <v>117724980.95999999</v>
      </c>
      <c r="IE3" s="3">
        <v>0</v>
      </c>
      <c r="IF3" s="3">
        <v>0</v>
      </c>
      <c r="IG3" s="3">
        <v>0</v>
      </c>
      <c r="IH3" s="3">
        <v>117724980.95999999</v>
      </c>
      <c r="II3" s="3">
        <v>106875883.15000001</v>
      </c>
      <c r="IJ3" s="3">
        <v>0</v>
      </c>
      <c r="IK3" s="3">
        <v>0</v>
      </c>
      <c r="IL3" s="3">
        <v>0</v>
      </c>
      <c r="IM3" s="3">
        <v>106875883.15000001</v>
      </c>
      <c r="IN3" s="3">
        <v>96898813.969999999</v>
      </c>
      <c r="IO3" s="3">
        <v>0</v>
      </c>
      <c r="IP3" s="3">
        <v>0</v>
      </c>
      <c r="IQ3" s="3">
        <v>0</v>
      </c>
      <c r="IR3" s="3">
        <v>96898813.969999999</v>
      </c>
      <c r="IS3" s="3">
        <v>142797000</v>
      </c>
      <c r="IT3" s="3">
        <v>0</v>
      </c>
      <c r="IU3" s="3">
        <v>0</v>
      </c>
      <c r="IV3" s="3">
        <v>0</v>
      </c>
      <c r="IW3" s="3">
        <v>142797000</v>
      </c>
      <c r="IX3" s="3">
        <v>142797000</v>
      </c>
      <c r="IY3" s="3">
        <v>0</v>
      </c>
      <c r="IZ3" s="3">
        <v>0</v>
      </c>
      <c r="JA3" s="3">
        <v>0</v>
      </c>
      <c r="JB3" s="3">
        <v>142797000</v>
      </c>
      <c r="JC3" s="3">
        <v>142797000</v>
      </c>
      <c r="JD3" s="3">
        <v>0</v>
      </c>
      <c r="JE3" s="3">
        <v>0</v>
      </c>
      <c r="JF3" s="3">
        <v>0</v>
      </c>
      <c r="JG3" s="3">
        <v>142797000</v>
      </c>
      <c r="JH3" s="3">
        <v>142548185.94999999</v>
      </c>
      <c r="JI3" s="3">
        <v>0</v>
      </c>
      <c r="JJ3" s="3">
        <v>0</v>
      </c>
      <c r="JK3" s="3">
        <v>0</v>
      </c>
      <c r="JL3" s="3">
        <v>142548185.94999999</v>
      </c>
      <c r="JM3" s="3">
        <v>142548185.94999999</v>
      </c>
      <c r="JN3" s="3">
        <v>0</v>
      </c>
      <c r="JO3" s="3">
        <v>0</v>
      </c>
      <c r="JP3" s="3">
        <v>0</v>
      </c>
      <c r="JQ3" s="3">
        <v>142548185.94999999</v>
      </c>
      <c r="JR3" s="3">
        <v>139585734.99000001</v>
      </c>
      <c r="JS3" s="3">
        <v>0</v>
      </c>
      <c r="JT3" s="3">
        <v>0</v>
      </c>
      <c r="JU3" s="3">
        <v>0</v>
      </c>
      <c r="JV3" s="3">
        <v>139585734.99000001</v>
      </c>
      <c r="JW3" s="3">
        <v>116897979.09999999</v>
      </c>
      <c r="JX3" s="3">
        <v>0</v>
      </c>
      <c r="JY3" s="3">
        <v>0</v>
      </c>
      <c r="JZ3" s="3">
        <v>0</v>
      </c>
      <c r="KA3" s="3">
        <v>116897979.09999999</v>
      </c>
      <c r="KB3" s="3">
        <v>140038000</v>
      </c>
      <c r="KC3" s="3">
        <v>0</v>
      </c>
      <c r="KD3" s="3">
        <v>0</v>
      </c>
      <c r="KE3" s="3">
        <v>0</v>
      </c>
      <c r="KF3" s="3">
        <v>140038000</v>
      </c>
      <c r="KG3" s="3">
        <v>140038000</v>
      </c>
      <c r="KH3" s="3">
        <v>0</v>
      </c>
      <c r="KI3" s="3">
        <v>0</v>
      </c>
      <c r="KJ3" s="3">
        <v>0</v>
      </c>
      <c r="KK3" s="3">
        <v>140038000</v>
      </c>
      <c r="KL3" s="3"/>
      <c r="KM3" s="3"/>
      <c r="KN3" s="3"/>
      <c r="KO3" s="3"/>
      <c r="KP3" s="3"/>
      <c r="KQ3" s="3"/>
      <c r="KR3" s="3"/>
      <c r="KS3" s="3"/>
      <c r="KT3" s="3"/>
      <c r="KU3" s="3"/>
      <c r="KV3" s="3"/>
      <c r="KW3" s="3"/>
      <c r="KX3" s="3"/>
      <c r="KY3" s="3"/>
      <c r="KZ3" s="3"/>
      <c r="LA3" s="3"/>
      <c r="LB3" s="3"/>
      <c r="LC3" s="3"/>
      <c r="LD3" s="3"/>
      <c r="LE3" s="3"/>
      <c r="LF3" s="3"/>
      <c r="LG3" s="3"/>
      <c r="LH3" s="3"/>
      <c r="LI3" s="3"/>
      <c r="LJ3" s="3"/>
      <c r="LK3" s="3">
        <v>140599000</v>
      </c>
      <c r="LL3">
        <v>0</v>
      </c>
      <c r="LM3">
        <v>0</v>
      </c>
      <c r="LN3">
        <v>0</v>
      </c>
      <c r="LO3" s="3">
        <v>140599000</v>
      </c>
    </row>
    <row r="4" spans="1:332" x14ac:dyDescent="0.25">
      <c r="A4" t="s">
        <v>943</v>
      </c>
      <c r="B4" t="s">
        <v>944</v>
      </c>
      <c r="C4" t="s">
        <v>199</v>
      </c>
      <c r="D4" t="s">
        <v>200</v>
      </c>
      <c r="E4" t="s">
        <v>208</v>
      </c>
      <c r="F4" t="s">
        <v>209</v>
      </c>
      <c r="G4" t="s">
        <v>1003</v>
      </c>
      <c r="H4" s="3">
        <v>94789000</v>
      </c>
      <c r="I4" s="3">
        <v>135994000</v>
      </c>
      <c r="J4" s="3">
        <v>0</v>
      </c>
      <c r="K4" s="3">
        <v>29690000</v>
      </c>
      <c r="L4" s="3">
        <v>260473000</v>
      </c>
      <c r="M4" s="3">
        <v>94789000</v>
      </c>
      <c r="N4" s="3">
        <v>135994000</v>
      </c>
      <c r="O4" s="3">
        <v>0</v>
      </c>
      <c r="P4" s="3">
        <v>29690000</v>
      </c>
      <c r="Q4" s="3">
        <v>260473000</v>
      </c>
      <c r="R4" s="3">
        <v>94789000</v>
      </c>
      <c r="S4" s="3">
        <v>135994000</v>
      </c>
      <c r="T4" s="3">
        <v>0</v>
      </c>
      <c r="U4" s="3">
        <v>29690000</v>
      </c>
      <c r="V4" s="3">
        <v>260473000</v>
      </c>
      <c r="W4" s="3">
        <v>94789000</v>
      </c>
      <c r="X4" s="3">
        <v>131119000</v>
      </c>
      <c r="Y4" s="3">
        <v>0</v>
      </c>
      <c r="Z4" s="3">
        <v>29690000</v>
      </c>
      <c r="AA4" s="3">
        <v>255598000</v>
      </c>
      <c r="AB4" s="3">
        <v>94789000</v>
      </c>
      <c r="AC4" s="3">
        <v>131119000</v>
      </c>
      <c r="AD4" s="3">
        <v>0</v>
      </c>
      <c r="AE4" s="3">
        <v>29690000</v>
      </c>
      <c r="AF4" s="3">
        <v>255598000</v>
      </c>
      <c r="AG4" s="3">
        <v>94676055.430000007</v>
      </c>
      <c r="AH4" s="3">
        <v>116556994.73</v>
      </c>
      <c r="AI4" s="3">
        <v>0</v>
      </c>
      <c r="AJ4" s="3">
        <v>25964813.699999999</v>
      </c>
      <c r="AK4" s="3">
        <v>237197863.86000001</v>
      </c>
      <c r="AL4" s="3">
        <v>93198188.260000005</v>
      </c>
      <c r="AM4" s="3">
        <v>94014545.409999996</v>
      </c>
      <c r="AN4" s="3">
        <v>0</v>
      </c>
      <c r="AO4" s="3">
        <v>11793234.550000001</v>
      </c>
      <c r="AP4" s="3">
        <v>199005968.22</v>
      </c>
      <c r="AQ4" s="3">
        <v>101621000</v>
      </c>
      <c r="AR4" s="3">
        <v>106600000</v>
      </c>
      <c r="AS4" s="3">
        <v>0</v>
      </c>
      <c r="AT4" s="3">
        <v>0</v>
      </c>
      <c r="AU4" s="3">
        <v>208221000</v>
      </c>
      <c r="AV4" s="3">
        <v>101621000</v>
      </c>
      <c r="AW4" s="3">
        <v>106600000</v>
      </c>
      <c r="AX4" s="3">
        <v>0</v>
      </c>
      <c r="AY4" s="3">
        <v>0</v>
      </c>
      <c r="AZ4" s="3">
        <v>208221000</v>
      </c>
      <c r="BA4" s="3">
        <v>101621000</v>
      </c>
      <c r="BB4" s="3">
        <v>106600000</v>
      </c>
      <c r="BC4" s="3">
        <v>0</v>
      </c>
      <c r="BD4" s="3">
        <v>0</v>
      </c>
      <c r="BE4" s="3">
        <v>208221000</v>
      </c>
      <c r="BF4" s="3">
        <v>93652237.219999999</v>
      </c>
      <c r="BG4" s="3">
        <v>104275000</v>
      </c>
      <c r="BH4" s="3">
        <v>0</v>
      </c>
      <c r="BI4" s="3">
        <v>0</v>
      </c>
      <c r="BJ4" s="3">
        <v>197927237.22</v>
      </c>
      <c r="BK4" s="3">
        <v>93652237.219999999</v>
      </c>
      <c r="BL4" s="3">
        <v>104275000</v>
      </c>
      <c r="BM4" s="3">
        <v>0</v>
      </c>
      <c r="BN4" s="3">
        <v>0</v>
      </c>
      <c r="BO4" s="3">
        <v>197927237.22</v>
      </c>
      <c r="BP4" s="3">
        <v>93648384.939999998</v>
      </c>
      <c r="BQ4" s="3">
        <v>97694916.959999993</v>
      </c>
      <c r="BR4" s="3">
        <v>0</v>
      </c>
      <c r="BS4" s="3">
        <v>0</v>
      </c>
      <c r="BT4" s="3">
        <v>191343301.90000001</v>
      </c>
      <c r="BU4" s="3">
        <v>92628754.269999996</v>
      </c>
      <c r="BV4" s="3">
        <v>78936032.859999999</v>
      </c>
      <c r="BW4" s="3">
        <v>0</v>
      </c>
      <c r="BX4" s="3">
        <v>0</v>
      </c>
      <c r="BY4" s="3">
        <v>171564787.13</v>
      </c>
      <c r="BZ4" s="3">
        <v>100434000</v>
      </c>
      <c r="CA4" s="3">
        <v>105031000</v>
      </c>
      <c r="CB4" s="3">
        <v>0</v>
      </c>
      <c r="CC4" s="3">
        <v>0</v>
      </c>
      <c r="CD4" s="3">
        <v>205465000</v>
      </c>
      <c r="CE4" s="3">
        <v>100434000</v>
      </c>
      <c r="CF4" s="3">
        <v>100531000</v>
      </c>
      <c r="CG4" s="3">
        <v>0</v>
      </c>
      <c r="CH4" s="3">
        <v>9500000</v>
      </c>
      <c r="CI4" s="3">
        <v>210465000</v>
      </c>
      <c r="CJ4" s="3">
        <v>100434000</v>
      </c>
      <c r="CK4" s="3">
        <v>100531000</v>
      </c>
      <c r="CL4" s="3">
        <v>0</v>
      </c>
      <c r="CM4" s="3">
        <v>9500000</v>
      </c>
      <c r="CN4" s="3">
        <v>210465000</v>
      </c>
      <c r="CO4" s="3">
        <v>95012357.849999994</v>
      </c>
      <c r="CP4" s="3">
        <v>89530939</v>
      </c>
      <c r="CQ4" s="3">
        <v>0</v>
      </c>
      <c r="CR4" s="3">
        <v>0</v>
      </c>
      <c r="CS4" s="3">
        <v>184543296.84999999</v>
      </c>
      <c r="CT4" s="3">
        <v>95012357.849999994</v>
      </c>
      <c r="CU4" s="3">
        <v>89530939</v>
      </c>
      <c r="CV4" s="3">
        <v>0</v>
      </c>
      <c r="CW4" s="3">
        <v>0</v>
      </c>
      <c r="CX4" s="3">
        <v>184543296.84999999</v>
      </c>
      <c r="CY4" s="3">
        <v>95012357.849999994</v>
      </c>
      <c r="CZ4" s="3">
        <v>78469755.460000008</v>
      </c>
      <c r="DA4" s="3">
        <v>0</v>
      </c>
      <c r="DB4" s="3">
        <v>0</v>
      </c>
      <c r="DC4" s="3">
        <v>173482113.31</v>
      </c>
      <c r="DD4" s="3">
        <v>92836743.579999998</v>
      </c>
      <c r="DE4" s="3">
        <v>59859731.480000004</v>
      </c>
      <c r="DF4" s="3">
        <v>0</v>
      </c>
      <c r="DG4" s="3">
        <v>0</v>
      </c>
      <c r="DH4" s="10">
        <v>152696475.06</v>
      </c>
      <c r="DI4" s="3">
        <v>100327000</v>
      </c>
      <c r="DJ4" s="3">
        <v>97932000</v>
      </c>
      <c r="DK4" s="3">
        <v>0</v>
      </c>
      <c r="DL4" s="3">
        <v>0</v>
      </c>
      <c r="DM4" s="3">
        <v>198259000</v>
      </c>
      <c r="DN4" s="3">
        <v>100327000</v>
      </c>
      <c r="DO4" s="3">
        <v>97932000</v>
      </c>
      <c r="DP4" s="3">
        <v>0</v>
      </c>
      <c r="DQ4" s="3">
        <v>0</v>
      </c>
      <c r="DR4" s="3">
        <v>198259000</v>
      </c>
      <c r="DS4" s="3">
        <v>100327000</v>
      </c>
      <c r="DT4" s="3">
        <v>97932000</v>
      </c>
      <c r="DU4" s="3">
        <v>0</v>
      </c>
      <c r="DV4" s="3">
        <v>0</v>
      </c>
      <c r="DW4" s="3">
        <v>198259000</v>
      </c>
      <c r="DX4" s="3">
        <v>99397360.599999994</v>
      </c>
      <c r="DY4" s="3">
        <v>95281500</v>
      </c>
      <c r="DZ4" s="3">
        <v>0</v>
      </c>
      <c r="EA4" s="3">
        <v>0</v>
      </c>
      <c r="EB4" s="3">
        <v>194678860.59999999</v>
      </c>
      <c r="EC4" s="3">
        <v>99397360.599999994</v>
      </c>
      <c r="ED4" s="3">
        <v>95281500</v>
      </c>
      <c r="EE4" s="3">
        <v>0</v>
      </c>
      <c r="EF4" s="3">
        <v>0</v>
      </c>
      <c r="EG4" s="3">
        <v>194678860.59999999</v>
      </c>
      <c r="EH4" s="3">
        <v>99397360.599999994</v>
      </c>
      <c r="EI4" s="3">
        <v>88953452.349999994</v>
      </c>
      <c r="EJ4" s="3">
        <v>0</v>
      </c>
      <c r="EK4" s="3">
        <v>0</v>
      </c>
      <c r="EL4" s="3">
        <v>188350812.95000002</v>
      </c>
      <c r="EM4" s="3">
        <v>98466266.13000001</v>
      </c>
      <c r="EN4" s="3">
        <v>73937235.980000004</v>
      </c>
      <c r="EO4" s="3">
        <v>0</v>
      </c>
      <c r="EP4" s="3">
        <v>0</v>
      </c>
      <c r="EQ4" s="3">
        <v>172403502.11000001</v>
      </c>
      <c r="ER4" s="3">
        <v>106730000</v>
      </c>
      <c r="ES4" s="3">
        <v>97932000</v>
      </c>
      <c r="ET4" s="3">
        <v>0</v>
      </c>
      <c r="EU4" s="3">
        <v>0</v>
      </c>
      <c r="EV4" s="3">
        <v>204662000</v>
      </c>
      <c r="EW4" s="3">
        <v>106730000</v>
      </c>
      <c r="EX4" s="3">
        <v>97932000</v>
      </c>
      <c r="EY4" s="3">
        <v>0</v>
      </c>
      <c r="EZ4" s="3">
        <v>0</v>
      </c>
      <c r="FA4" s="3">
        <v>204662000</v>
      </c>
      <c r="FB4" s="3">
        <v>106730000</v>
      </c>
      <c r="FC4" s="3">
        <v>97932000</v>
      </c>
      <c r="FD4" s="3">
        <v>0</v>
      </c>
      <c r="FE4" s="3">
        <v>0</v>
      </c>
      <c r="FF4" s="3">
        <v>204662000</v>
      </c>
      <c r="FG4" s="3">
        <v>104107636.34</v>
      </c>
      <c r="FH4" s="3">
        <v>95510750</v>
      </c>
      <c r="FI4" s="3">
        <v>0</v>
      </c>
      <c r="FJ4" s="3">
        <v>0</v>
      </c>
      <c r="FK4" s="3">
        <v>199618386.34</v>
      </c>
      <c r="FL4" s="3">
        <v>104107636.34</v>
      </c>
      <c r="FM4" s="3">
        <v>95510750</v>
      </c>
      <c r="FN4" s="3">
        <v>0</v>
      </c>
      <c r="FO4" s="3">
        <v>0</v>
      </c>
      <c r="FP4" s="3">
        <v>199618386.34</v>
      </c>
      <c r="FQ4" s="3">
        <v>103988379.63</v>
      </c>
      <c r="FR4" s="3">
        <v>94195675.980000004</v>
      </c>
      <c r="FS4" s="3">
        <v>0</v>
      </c>
      <c r="FT4" s="3">
        <v>0</v>
      </c>
      <c r="FU4" s="3">
        <v>198184055.61000001</v>
      </c>
      <c r="FV4" s="3">
        <v>103663984.37</v>
      </c>
      <c r="FW4" s="3">
        <v>79620225.599999994</v>
      </c>
      <c r="FX4" s="3">
        <v>0</v>
      </c>
      <c r="FY4" s="3">
        <v>0</v>
      </c>
      <c r="FZ4" s="3">
        <v>183284209.97</v>
      </c>
      <c r="GA4" s="3">
        <v>106197000</v>
      </c>
      <c r="GB4" s="3">
        <v>88951000</v>
      </c>
      <c r="GC4" s="3">
        <v>0</v>
      </c>
      <c r="GD4" s="3">
        <v>0</v>
      </c>
      <c r="GE4" s="3">
        <v>195148000</v>
      </c>
      <c r="GF4" s="3">
        <v>106197000</v>
      </c>
      <c r="GG4" s="3">
        <v>85877000</v>
      </c>
      <c r="GH4" s="3">
        <v>0</v>
      </c>
      <c r="GI4" s="3">
        <v>0</v>
      </c>
      <c r="GJ4" s="3">
        <v>192074000</v>
      </c>
      <c r="GK4" s="3">
        <v>106197000</v>
      </c>
      <c r="GL4" s="3">
        <v>85877000</v>
      </c>
      <c r="GM4" s="3">
        <v>0</v>
      </c>
      <c r="GN4" s="3">
        <v>0</v>
      </c>
      <c r="GO4" s="3">
        <v>192074000</v>
      </c>
      <c r="GP4" s="3">
        <v>106908198.78</v>
      </c>
      <c r="GQ4" s="3">
        <v>82600766.099999994</v>
      </c>
      <c r="GR4" s="3">
        <v>0</v>
      </c>
      <c r="GS4" s="3">
        <v>0</v>
      </c>
      <c r="GT4" s="3">
        <v>189508964.88</v>
      </c>
      <c r="GU4" s="3">
        <v>106908198.78</v>
      </c>
      <c r="GV4" s="3">
        <v>82600766.099999994</v>
      </c>
      <c r="GW4" s="3">
        <v>0</v>
      </c>
      <c r="GX4" s="3">
        <v>0</v>
      </c>
      <c r="GY4" s="3">
        <v>189508964.88</v>
      </c>
      <c r="GZ4" s="3">
        <v>106908198.78</v>
      </c>
      <c r="HA4" s="3">
        <v>81029429.260000005</v>
      </c>
      <c r="HB4" s="3">
        <v>0</v>
      </c>
      <c r="HC4" s="3">
        <v>0</v>
      </c>
      <c r="HD4" s="3">
        <v>187937628.03999999</v>
      </c>
      <c r="HE4" s="3">
        <v>105062977.78</v>
      </c>
      <c r="HF4" s="3">
        <v>68234295.109999999</v>
      </c>
      <c r="HG4" s="3">
        <v>0</v>
      </c>
      <c r="HH4" s="3">
        <v>0</v>
      </c>
      <c r="HI4" s="3">
        <v>173297272.88999999</v>
      </c>
      <c r="HJ4" s="3">
        <v>106888000</v>
      </c>
      <c r="HK4" s="3">
        <v>85552000</v>
      </c>
      <c r="HL4" s="3">
        <v>0</v>
      </c>
      <c r="HM4" s="3">
        <v>0</v>
      </c>
      <c r="HN4" s="3">
        <v>192440000</v>
      </c>
      <c r="HO4" s="3">
        <v>106888000</v>
      </c>
      <c r="HP4" s="3">
        <v>85552000</v>
      </c>
      <c r="HQ4" s="3">
        <v>0</v>
      </c>
      <c r="HR4" s="3">
        <v>0</v>
      </c>
      <c r="HS4" s="3">
        <v>192440000</v>
      </c>
      <c r="HT4" s="3">
        <v>106888000</v>
      </c>
      <c r="HU4" s="3">
        <v>85552000</v>
      </c>
      <c r="HV4" s="3">
        <v>0</v>
      </c>
      <c r="HW4" s="3">
        <v>0</v>
      </c>
      <c r="HX4" s="3">
        <v>192440000</v>
      </c>
      <c r="HY4" s="3">
        <v>109539954.41</v>
      </c>
      <c r="HZ4" s="3">
        <v>84852000</v>
      </c>
      <c r="IA4" s="3">
        <v>0</v>
      </c>
      <c r="IB4" s="3">
        <v>0</v>
      </c>
      <c r="IC4" s="3">
        <v>194391954.41</v>
      </c>
      <c r="ID4" s="3">
        <v>109539954.41</v>
      </c>
      <c r="IE4" s="3">
        <v>84852000</v>
      </c>
      <c r="IF4" s="3">
        <v>0</v>
      </c>
      <c r="IG4" s="3">
        <v>0</v>
      </c>
      <c r="IH4" s="3">
        <v>194391954.41</v>
      </c>
      <c r="II4" s="3">
        <v>109539954.41</v>
      </c>
      <c r="IJ4" s="3">
        <v>83680087.469999999</v>
      </c>
      <c r="IK4" s="3">
        <v>0</v>
      </c>
      <c r="IL4" s="3">
        <v>0</v>
      </c>
      <c r="IM4" s="3">
        <v>193220041.88</v>
      </c>
      <c r="IN4" s="3">
        <v>103336313.13</v>
      </c>
      <c r="IO4" s="6">
        <v>78884045.359999999</v>
      </c>
      <c r="IP4" s="3">
        <v>0</v>
      </c>
      <c r="IQ4" s="3">
        <v>0</v>
      </c>
      <c r="IR4" s="6">
        <v>182220358.49000001</v>
      </c>
      <c r="IS4" s="3">
        <v>112588000</v>
      </c>
      <c r="IT4" s="3">
        <v>87182000</v>
      </c>
      <c r="IU4" s="3">
        <v>0</v>
      </c>
      <c r="IV4" s="3">
        <v>0</v>
      </c>
      <c r="IW4" s="3">
        <v>199770000</v>
      </c>
      <c r="IX4" s="3">
        <v>112588000</v>
      </c>
      <c r="IY4" s="3">
        <v>87182000</v>
      </c>
      <c r="IZ4" s="3">
        <v>0</v>
      </c>
      <c r="JA4" s="3">
        <v>0</v>
      </c>
      <c r="JB4" s="3">
        <v>199770000</v>
      </c>
      <c r="JC4" s="3">
        <v>112588000</v>
      </c>
      <c r="JD4" s="3">
        <v>87182000</v>
      </c>
      <c r="JE4" s="3">
        <v>0</v>
      </c>
      <c r="JF4" s="3">
        <v>0</v>
      </c>
      <c r="JG4" s="3">
        <v>199770000</v>
      </c>
      <c r="JH4" s="3">
        <v>109181510.27</v>
      </c>
      <c r="JI4" s="3">
        <v>83402724</v>
      </c>
      <c r="JJ4" s="3">
        <v>0</v>
      </c>
      <c r="JK4" s="3">
        <v>0</v>
      </c>
      <c r="JL4" s="3">
        <v>192584234.27000001</v>
      </c>
      <c r="JM4" s="3">
        <v>109181510.27</v>
      </c>
      <c r="JN4" s="3">
        <v>83402724</v>
      </c>
      <c r="JO4" s="3">
        <v>0</v>
      </c>
      <c r="JP4" s="3">
        <v>0</v>
      </c>
      <c r="JQ4" s="3">
        <v>192584234.27000001</v>
      </c>
      <c r="JR4" s="3">
        <v>109181510.27</v>
      </c>
      <c r="JS4" s="3">
        <v>83401744.200000003</v>
      </c>
      <c r="JT4" s="3">
        <v>0</v>
      </c>
      <c r="JU4" s="3">
        <v>0</v>
      </c>
      <c r="JV4" s="3">
        <v>192583254.47</v>
      </c>
      <c r="JW4" s="3">
        <v>109137306.52</v>
      </c>
      <c r="JX4" s="3">
        <v>71937749.659999996</v>
      </c>
      <c r="JY4" s="3">
        <v>0</v>
      </c>
      <c r="JZ4" s="3">
        <v>0</v>
      </c>
      <c r="KA4" s="3">
        <v>181075056.38</v>
      </c>
      <c r="KB4" s="3">
        <v>125409000</v>
      </c>
      <c r="KC4" s="3">
        <v>238841000</v>
      </c>
      <c r="KD4" s="3">
        <v>0</v>
      </c>
      <c r="KE4" s="3">
        <v>0</v>
      </c>
      <c r="KF4" s="3">
        <v>364250000</v>
      </c>
      <c r="KG4" s="3">
        <v>125409000</v>
      </c>
      <c r="KH4" s="3">
        <v>238841000</v>
      </c>
      <c r="KI4" s="3">
        <v>0</v>
      </c>
      <c r="KJ4" s="3">
        <v>0</v>
      </c>
      <c r="KK4" s="3">
        <v>364250000</v>
      </c>
      <c r="KL4" s="3"/>
      <c r="KM4" s="3"/>
      <c r="KN4" s="3"/>
      <c r="KO4" s="3"/>
      <c r="KP4" s="3"/>
      <c r="KQ4" s="3"/>
      <c r="KR4" s="3"/>
      <c r="KS4" s="3"/>
      <c r="KT4" s="3"/>
      <c r="KU4" s="3"/>
      <c r="KV4" s="3"/>
      <c r="KW4" s="3"/>
      <c r="KX4" s="3"/>
      <c r="KY4" s="3"/>
      <c r="KZ4" s="3"/>
      <c r="LA4" s="3"/>
      <c r="LB4" s="3"/>
      <c r="LC4" s="3"/>
      <c r="LD4" s="3"/>
      <c r="LE4" s="3"/>
      <c r="LF4" s="3"/>
      <c r="LG4" s="3"/>
      <c r="LH4" s="3"/>
      <c r="LI4" s="3"/>
      <c r="LJ4" s="3"/>
      <c r="LK4" s="3">
        <v>153050000</v>
      </c>
      <c r="LL4" s="3">
        <v>90439000</v>
      </c>
      <c r="LM4">
        <v>0</v>
      </c>
      <c r="LN4">
        <v>0</v>
      </c>
      <c r="LO4" s="3">
        <v>243489000</v>
      </c>
    </row>
    <row r="5" spans="1:332" x14ac:dyDescent="0.25">
      <c r="A5" t="s">
        <v>943</v>
      </c>
      <c r="B5" t="s">
        <v>944</v>
      </c>
      <c r="C5" t="s">
        <v>199</v>
      </c>
      <c r="D5" t="s">
        <v>200</v>
      </c>
      <c r="E5" t="s">
        <v>208</v>
      </c>
      <c r="F5" t="s">
        <v>211</v>
      </c>
      <c r="G5" t="s">
        <v>1004</v>
      </c>
      <c r="H5" s="3">
        <v>20914000</v>
      </c>
      <c r="I5" s="3">
        <v>7636000</v>
      </c>
      <c r="J5" s="3">
        <v>0</v>
      </c>
      <c r="K5" s="3">
        <v>0</v>
      </c>
      <c r="L5" s="3">
        <v>28550000</v>
      </c>
      <c r="M5" s="3">
        <v>20914000</v>
      </c>
      <c r="N5" s="3">
        <v>7636000</v>
      </c>
      <c r="O5" s="3">
        <v>0</v>
      </c>
      <c r="P5" s="3">
        <v>0</v>
      </c>
      <c r="Q5" s="3">
        <v>28550000</v>
      </c>
      <c r="R5" s="3">
        <v>20914000</v>
      </c>
      <c r="S5" s="3">
        <v>7636000</v>
      </c>
      <c r="T5" s="3">
        <v>0</v>
      </c>
      <c r="U5" s="3">
        <v>0</v>
      </c>
      <c r="V5" s="3">
        <v>28550000</v>
      </c>
      <c r="W5" s="3">
        <v>19747172.149999999</v>
      </c>
      <c r="X5" s="3">
        <v>6736000</v>
      </c>
      <c r="Y5" s="3">
        <v>0</v>
      </c>
      <c r="Z5" s="3">
        <v>0</v>
      </c>
      <c r="AA5" s="3">
        <v>26483172.149999999</v>
      </c>
      <c r="AB5" s="3">
        <v>19747172.149999999</v>
      </c>
      <c r="AC5" s="3">
        <v>6736000</v>
      </c>
      <c r="AD5" s="3">
        <v>0</v>
      </c>
      <c r="AE5" s="3">
        <v>0</v>
      </c>
      <c r="AF5" s="3">
        <v>26483172.149999999</v>
      </c>
      <c r="AG5" s="3">
        <v>19747172.149999999</v>
      </c>
      <c r="AH5" s="3">
        <v>6724307.5499999998</v>
      </c>
      <c r="AI5" s="3">
        <v>0</v>
      </c>
      <c r="AJ5" s="3">
        <v>0</v>
      </c>
      <c r="AK5" s="3">
        <v>26471479.699999999</v>
      </c>
      <c r="AL5" s="3">
        <v>19604815.010000002</v>
      </c>
      <c r="AM5" s="3">
        <v>6653113.7000000002</v>
      </c>
      <c r="AN5" s="3">
        <v>0</v>
      </c>
      <c r="AO5" s="3">
        <v>0</v>
      </c>
      <c r="AP5" s="3">
        <v>26257928.710000001</v>
      </c>
      <c r="AQ5" s="3">
        <v>22148000</v>
      </c>
      <c r="AR5" s="3">
        <v>5986000</v>
      </c>
      <c r="AS5" s="3">
        <v>0</v>
      </c>
      <c r="AT5" s="3">
        <v>0</v>
      </c>
      <c r="AU5" s="3">
        <v>28134000</v>
      </c>
      <c r="AV5" s="3">
        <v>22148000</v>
      </c>
      <c r="AW5" s="3">
        <v>5986000</v>
      </c>
      <c r="AX5" s="3">
        <v>0</v>
      </c>
      <c r="AY5" s="3">
        <v>0</v>
      </c>
      <c r="AZ5" s="3">
        <v>28134000</v>
      </c>
      <c r="BA5" s="3">
        <v>22148000</v>
      </c>
      <c r="BB5" s="3">
        <v>5986000</v>
      </c>
      <c r="BC5" s="3">
        <v>0</v>
      </c>
      <c r="BD5" s="3">
        <v>0</v>
      </c>
      <c r="BE5" s="3">
        <v>28134000</v>
      </c>
      <c r="BF5" s="3">
        <v>22148000</v>
      </c>
      <c r="BG5" s="3">
        <v>5133500</v>
      </c>
      <c r="BH5" s="3">
        <v>0</v>
      </c>
      <c r="BI5" s="3">
        <v>0</v>
      </c>
      <c r="BJ5" s="3">
        <v>27281500</v>
      </c>
      <c r="BK5" s="3">
        <v>22148000</v>
      </c>
      <c r="BL5" s="3">
        <v>5133500</v>
      </c>
      <c r="BM5" s="3">
        <v>0</v>
      </c>
      <c r="BN5" s="3">
        <v>0</v>
      </c>
      <c r="BO5" s="3">
        <v>27281500</v>
      </c>
      <c r="BP5" s="3">
        <v>22118685.059999999</v>
      </c>
      <c r="BQ5" s="3">
        <v>5132907.57</v>
      </c>
      <c r="BR5" s="3">
        <v>0</v>
      </c>
      <c r="BS5" s="3">
        <v>0</v>
      </c>
      <c r="BT5" s="3">
        <v>27251592.629999999</v>
      </c>
      <c r="BU5" s="3">
        <v>21403745.829999998</v>
      </c>
      <c r="BV5" s="3">
        <v>5090405.68</v>
      </c>
      <c r="BW5" s="3">
        <v>0</v>
      </c>
      <c r="BX5" s="3">
        <v>0</v>
      </c>
      <c r="BY5" s="3">
        <v>26494151.510000002</v>
      </c>
      <c r="BZ5" s="3">
        <v>21301000</v>
      </c>
      <c r="CA5" s="3">
        <v>6083000</v>
      </c>
      <c r="CB5" s="3">
        <v>0</v>
      </c>
      <c r="CC5" s="3">
        <v>0</v>
      </c>
      <c r="CD5" s="3">
        <v>27384000</v>
      </c>
      <c r="CE5" s="3">
        <v>21301000</v>
      </c>
      <c r="CF5" s="3">
        <v>6083000</v>
      </c>
      <c r="CG5" s="3">
        <v>0</v>
      </c>
      <c r="CH5" s="3">
        <v>0</v>
      </c>
      <c r="CI5" s="3">
        <v>27384000</v>
      </c>
      <c r="CJ5" s="3">
        <v>21301000</v>
      </c>
      <c r="CK5" s="3">
        <v>6083000</v>
      </c>
      <c r="CL5" s="3">
        <v>0</v>
      </c>
      <c r="CM5" s="3">
        <v>0</v>
      </c>
      <c r="CN5" s="3">
        <v>27384000</v>
      </c>
      <c r="CO5" s="3">
        <v>21001078.41</v>
      </c>
      <c r="CP5" s="3">
        <v>4932800</v>
      </c>
      <c r="CQ5" s="3">
        <v>0</v>
      </c>
      <c r="CR5" s="3">
        <v>0</v>
      </c>
      <c r="CS5" s="3">
        <v>25933878.41</v>
      </c>
      <c r="CT5" s="3">
        <v>21001078.41</v>
      </c>
      <c r="CU5" s="3">
        <v>4932800</v>
      </c>
      <c r="CV5" s="3">
        <v>0</v>
      </c>
      <c r="CW5" s="3">
        <v>0</v>
      </c>
      <c r="CX5" s="3">
        <v>25933878.41</v>
      </c>
      <c r="CY5" s="3">
        <v>20998861.159999996</v>
      </c>
      <c r="CZ5" s="3">
        <v>4926657.9700000007</v>
      </c>
      <c r="DA5" s="3">
        <v>0</v>
      </c>
      <c r="DB5" s="3">
        <v>0</v>
      </c>
      <c r="DC5" s="3">
        <v>25925519.129999999</v>
      </c>
      <c r="DD5" s="3">
        <v>19608265.200000003</v>
      </c>
      <c r="DE5" s="3">
        <v>4892547.08</v>
      </c>
      <c r="DF5" s="3">
        <v>0</v>
      </c>
      <c r="DG5" s="3">
        <v>0</v>
      </c>
      <c r="DH5" s="10">
        <v>24500812.280000001</v>
      </c>
      <c r="DI5" s="3">
        <v>22646000</v>
      </c>
      <c r="DJ5" s="3">
        <v>6193000</v>
      </c>
      <c r="DK5" s="3">
        <v>0</v>
      </c>
      <c r="DL5" s="3">
        <v>0</v>
      </c>
      <c r="DM5" s="3">
        <v>28839000</v>
      </c>
      <c r="DN5" s="3">
        <v>22646000</v>
      </c>
      <c r="DO5" s="3">
        <v>6193000</v>
      </c>
      <c r="DP5" s="3">
        <v>0</v>
      </c>
      <c r="DQ5" s="3">
        <v>0</v>
      </c>
      <c r="DR5" s="3">
        <v>28839000</v>
      </c>
      <c r="DS5" s="3">
        <v>22646000</v>
      </c>
      <c r="DT5" s="3">
        <v>6193000</v>
      </c>
      <c r="DU5" s="3">
        <v>0</v>
      </c>
      <c r="DV5" s="3">
        <v>0</v>
      </c>
      <c r="DW5" s="3">
        <v>28839000</v>
      </c>
      <c r="DX5" s="3">
        <v>21900805</v>
      </c>
      <c r="DY5" s="3">
        <v>5218000</v>
      </c>
      <c r="DZ5" s="3">
        <v>0</v>
      </c>
      <c r="EA5" s="3">
        <v>0</v>
      </c>
      <c r="EB5" s="3">
        <v>27118805</v>
      </c>
      <c r="EC5" s="3">
        <v>21900805</v>
      </c>
      <c r="ED5" s="3">
        <v>5218000</v>
      </c>
      <c r="EE5" s="3">
        <v>0</v>
      </c>
      <c r="EF5" s="3">
        <v>0</v>
      </c>
      <c r="EG5" s="3">
        <v>27118805</v>
      </c>
      <c r="EH5" s="3">
        <v>21900805</v>
      </c>
      <c r="EI5" s="3">
        <v>5202043.46</v>
      </c>
      <c r="EJ5" s="3">
        <v>0</v>
      </c>
      <c r="EK5" s="3">
        <v>0</v>
      </c>
      <c r="EL5" s="3">
        <v>27102848.460000001</v>
      </c>
      <c r="EM5" s="3">
        <v>21747382.379999999</v>
      </c>
      <c r="EN5" s="3">
        <v>5026316.92</v>
      </c>
      <c r="EO5" s="3">
        <v>0</v>
      </c>
      <c r="EP5" s="3">
        <v>0</v>
      </c>
      <c r="EQ5" s="3">
        <v>26773699.299999997</v>
      </c>
      <c r="ER5" s="3">
        <v>23460000</v>
      </c>
      <c r="ES5" s="3">
        <v>6193000</v>
      </c>
      <c r="ET5" s="3">
        <v>0</v>
      </c>
      <c r="EU5" s="3">
        <v>0</v>
      </c>
      <c r="EV5" s="3">
        <v>29653000</v>
      </c>
      <c r="EW5" s="3">
        <v>23460000</v>
      </c>
      <c r="EX5" s="3">
        <v>6193000</v>
      </c>
      <c r="EY5" s="3">
        <v>0</v>
      </c>
      <c r="EZ5" s="3">
        <v>0</v>
      </c>
      <c r="FA5" s="3">
        <v>29653000</v>
      </c>
      <c r="FB5" s="3">
        <v>23460000</v>
      </c>
      <c r="FC5" s="3">
        <v>6193000</v>
      </c>
      <c r="FD5" s="3">
        <v>0</v>
      </c>
      <c r="FE5" s="3">
        <v>0</v>
      </c>
      <c r="FF5" s="3">
        <v>29653000</v>
      </c>
      <c r="FG5" s="3">
        <v>23460000</v>
      </c>
      <c r="FH5" s="3">
        <v>5368000</v>
      </c>
      <c r="FI5" s="3">
        <v>0</v>
      </c>
      <c r="FJ5" s="3">
        <v>0</v>
      </c>
      <c r="FK5" s="3">
        <v>28828000</v>
      </c>
      <c r="FL5" s="3">
        <v>23460000</v>
      </c>
      <c r="FM5" s="3">
        <v>5368000</v>
      </c>
      <c r="FN5" s="3">
        <v>0</v>
      </c>
      <c r="FO5" s="3">
        <v>0</v>
      </c>
      <c r="FP5" s="3">
        <v>28828000</v>
      </c>
      <c r="FQ5" s="3">
        <v>23451728.370000001</v>
      </c>
      <c r="FR5" s="3">
        <v>5233740.51</v>
      </c>
      <c r="FS5" s="3">
        <v>0</v>
      </c>
      <c r="FT5" s="3">
        <v>0</v>
      </c>
      <c r="FU5" s="3">
        <v>28685468.879999999</v>
      </c>
      <c r="FV5" s="3">
        <v>23014259.629999999</v>
      </c>
      <c r="FW5" s="3">
        <v>5185281.01</v>
      </c>
      <c r="FX5" s="3">
        <v>0</v>
      </c>
      <c r="FY5" s="3">
        <v>0</v>
      </c>
      <c r="FZ5" s="3">
        <v>28199540.640000001</v>
      </c>
      <c r="GA5" s="3">
        <v>22205000</v>
      </c>
      <c r="GB5" s="3">
        <v>6409000</v>
      </c>
      <c r="GC5" s="3">
        <v>0</v>
      </c>
      <c r="GD5" s="3">
        <v>0</v>
      </c>
      <c r="GE5" s="3">
        <v>28614000</v>
      </c>
      <c r="GF5" s="3">
        <v>22205000</v>
      </c>
      <c r="GG5" s="3">
        <v>6409000</v>
      </c>
      <c r="GH5" s="3">
        <v>0</v>
      </c>
      <c r="GI5" s="3">
        <v>0</v>
      </c>
      <c r="GJ5" s="3">
        <v>28614000</v>
      </c>
      <c r="GK5" s="3">
        <v>22205000</v>
      </c>
      <c r="GL5" s="3">
        <v>6409000</v>
      </c>
      <c r="GM5" s="3">
        <v>0</v>
      </c>
      <c r="GN5" s="3">
        <v>0</v>
      </c>
      <c r="GO5" s="3">
        <v>28614000</v>
      </c>
      <c r="GP5" s="3">
        <v>22205000</v>
      </c>
      <c r="GQ5" s="3">
        <v>5574000</v>
      </c>
      <c r="GR5" s="3">
        <v>0</v>
      </c>
      <c r="GS5" s="3">
        <v>0</v>
      </c>
      <c r="GT5" s="3">
        <v>27779000</v>
      </c>
      <c r="GU5" s="3">
        <v>22205000</v>
      </c>
      <c r="GV5" s="3">
        <v>5574000</v>
      </c>
      <c r="GW5" s="3">
        <v>0</v>
      </c>
      <c r="GX5" s="3">
        <v>0</v>
      </c>
      <c r="GY5" s="3">
        <v>27779000</v>
      </c>
      <c r="GZ5" s="3">
        <v>22205000</v>
      </c>
      <c r="HA5" s="3">
        <v>5391464.6900000004</v>
      </c>
      <c r="HB5" s="3">
        <v>0</v>
      </c>
      <c r="HC5" s="3">
        <v>0</v>
      </c>
      <c r="HD5" s="3">
        <v>27596464.690000001</v>
      </c>
      <c r="HE5" s="3">
        <v>21939778.399999999</v>
      </c>
      <c r="HF5" s="3">
        <v>5338453.82</v>
      </c>
      <c r="HG5" s="3">
        <v>0</v>
      </c>
      <c r="HH5" s="3">
        <v>0</v>
      </c>
      <c r="HI5" s="3">
        <v>27278232.219999999</v>
      </c>
      <c r="HJ5" s="3">
        <v>22205000</v>
      </c>
      <c r="HK5" s="3">
        <v>6524000</v>
      </c>
      <c r="HL5" s="3">
        <v>0</v>
      </c>
      <c r="HM5" s="3">
        <v>0</v>
      </c>
      <c r="HN5" s="3">
        <v>28729000</v>
      </c>
      <c r="HO5" s="3">
        <v>22205000</v>
      </c>
      <c r="HP5" s="3">
        <v>6524000</v>
      </c>
      <c r="HQ5" s="3">
        <v>0</v>
      </c>
      <c r="HR5" s="3">
        <v>0</v>
      </c>
      <c r="HS5" s="3">
        <v>28729000</v>
      </c>
      <c r="HT5" s="3">
        <v>22205000</v>
      </c>
      <c r="HU5" s="3">
        <v>6524000</v>
      </c>
      <c r="HV5" s="3">
        <v>0</v>
      </c>
      <c r="HW5" s="3">
        <v>0</v>
      </c>
      <c r="HX5" s="3">
        <v>28729000</v>
      </c>
      <c r="HY5" s="3">
        <v>22205000</v>
      </c>
      <c r="HZ5" s="3">
        <v>5564000</v>
      </c>
      <c r="IA5" s="3">
        <v>0</v>
      </c>
      <c r="IB5" s="3">
        <v>0</v>
      </c>
      <c r="IC5" s="3">
        <v>27769000</v>
      </c>
      <c r="ID5" s="3">
        <v>22205000</v>
      </c>
      <c r="IE5" s="3">
        <v>5564000</v>
      </c>
      <c r="IF5" s="3">
        <v>0</v>
      </c>
      <c r="IG5" s="3">
        <v>0</v>
      </c>
      <c r="IH5" s="3">
        <v>27769000</v>
      </c>
      <c r="II5" s="3">
        <v>22202089.370000001</v>
      </c>
      <c r="IJ5" s="3">
        <v>5216969.22</v>
      </c>
      <c r="IK5" s="3">
        <v>0</v>
      </c>
      <c r="IL5" s="3">
        <v>0</v>
      </c>
      <c r="IM5" s="3">
        <v>27419058.59</v>
      </c>
      <c r="IN5" s="3">
        <v>21833153.039999999</v>
      </c>
      <c r="IO5" s="6">
        <v>4954244.01</v>
      </c>
      <c r="IP5" s="3">
        <v>0</v>
      </c>
      <c r="IQ5" s="3">
        <v>0</v>
      </c>
      <c r="IR5" s="6">
        <v>26787397.050000001</v>
      </c>
      <c r="IS5" s="3">
        <v>20898000</v>
      </c>
      <c r="IT5" s="3">
        <v>6641000</v>
      </c>
      <c r="IU5" s="3">
        <v>0</v>
      </c>
      <c r="IV5" s="3">
        <v>0</v>
      </c>
      <c r="IW5" s="3">
        <v>27539000</v>
      </c>
      <c r="IX5" s="3">
        <v>20898000</v>
      </c>
      <c r="IY5" s="3">
        <v>6641000</v>
      </c>
      <c r="IZ5" s="3">
        <v>0</v>
      </c>
      <c r="JA5" s="3">
        <v>0</v>
      </c>
      <c r="JB5" s="3">
        <v>27539000</v>
      </c>
      <c r="JC5" s="3">
        <v>20898000</v>
      </c>
      <c r="JD5" s="3">
        <v>6641000</v>
      </c>
      <c r="JE5" s="3">
        <v>0</v>
      </c>
      <c r="JF5" s="3">
        <v>0</v>
      </c>
      <c r="JG5" s="3">
        <v>27539000</v>
      </c>
      <c r="JH5" s="3">
        <v>20898000</v>
      </c>
      <c r="JI5" s="3">
        <v>6291000</v>
      </c>
      <c r="JJ5" s="3">
        <v>0</v>
      </c>
      <c r="JK5" s="3">
        <v>0</v>
      </c>
      <c r="JL5" s="3">
        <v>27189000</v>
      </c>
      <c r="JM5" s="3">
        <v>20898000</v>
      </c>
      <c r="JN5" s="3">
        <v>6291000</v>
      </c>
      <c r="JO5" s="3">
        <v>0</v>
      </c>
      <c r="JP5" s="3">
        <v>0</v>
      </c>
      <c r="JQ5" s="3">
        <v>27189000</v>
      </c>
      <c r="JR5" s="3">
        <v>20882928.710000001</v>
      </c>
      <c r="JS5" s="3">
        <v>5854106.5999999996</v>
      </c>
      <c r="JT5" s="3">
        <v>0</v>
      </c>
      <c r="JU5" s="3">
        <v>0</v>
      </c>
      <c r="JV5" s="3">
        <v>26737035.309999999</v>
      </c>
      <c r="JW5" s="3">
        <v>20882928.710000001</v>
      </c>
      <c r="JX5" s="3">
        <v>4841463.62</v>
      </c>
      <c r="JY5" s="3">
        <v>0</v>
      </c>
      <c r="JZ5" s="3">
        <v>0</v>
      </c>
      <c r="KA5" s="3">
        <v>25724392.329999998</v>
      </c>
      <c r="KB5" s="3">
        <v>28418000</v>
      </c>
      <c r="KC5" s="3">
        <v>6761000</v>
      </c>
      <c r="KD5" s="3">
        <v>0</v>
      </c>
      <c r="KE5" s="3">
        <v>0</v>
      </c>
      <c r="KF5" s="3">
        <v>35179000</v>
      </c>
      <c r="KG5" s="3">
        <v>28418000</v>
      </c>
      <c r="KH5" s="3">
        <v>6761000</v>
      </c>
      <c r="KI5" s="3">
        <v>0</v>
      </c>
      <c r="KJ5" s="3">
        <v>0</v>
      </c>
      <c r="KK5" s="3">
        <v>35179000</v>
      </c>
      <c r="KL5" s="3"/>
      <c r="KM5" s="3"/>
      <c r="KN5" s="3"/>
      <c r="KO5" s="3"/>
      <c r="KP5" s="3"/>
      <c r="KQ5" s="3"/>
      <c r="KR5" s="3"/>
      <c r="KS5" s="3"/>
      <c r="KT5" s="3"/>
      <c r="KU5" s="3"/>
      <c r="KV5" s="3"/>
      <c r="KW5" s="3"/>
      <c r="KX5" s="3"/>
      <c r="KY5" s="3"/>
      <c r="KZ5" s="3"/>
      <c r="LA5" s="3"/>
      <c r="LB5" s="3"/>
      <c r="LC5" s="3"/>
      <c r="LD5" s="3"/>
      <c r="LE5" s="3"/>
      <c r="LF5" s="3"/>
      <c r="LG5" s="3"/>
      <c r="LH5" s="3"/>
      <c r="LI5" s="3"/>
      <c r="LJ5" s="3"/>
      <c r="LK5" s="3">
        <v>30071000</v>
      </c>
      <c r="LL5" s="3">
        <v>6404000</v>
      </c>
      <c r="LM5">
        <v>0</v>
      </c>
      <c r="LN5">
        <v>0</v>
      </c>
      <c r="LO5" s="3">
        <v>36475000</v>
      </c>
    </row>
    <row r="6" spans="1:332" x14ac:dyDescent="0.25">
      <c r="A6" t="s">
        <v>943</v>
      </c>
      <c r="B6" t="s">
        <v>944</v>
      </c>
      <c r="C6" t="s">
        <v>199</v>
      </c>
      <c r="D6" t="s">
        <v>200</v>
      </c>
      <c r="E6" t="s">
        <v>208</v>
      </c>
      <c r="F6" t="s">
        <v>213</v>
      </c>
      <c r="G6" t="s">
        <v>1005</v>
      </c>
      <c r="H6" s="3">
        <v>25277000</v>
      </c>
      <c r="I6" s="3">
        <v>85727000</v>
      </c>
      <c r="J6" s="3">
        <v>0</v>
      </c>
      <c r="K6" s="3">
        <v>347618000</v>
      </c>
      <c r="L6" s="3">
        <v>458622000</v>
      </c>
      <c r="M6" s="3">
        <v>25277000</v>
      </c>
      <c r="N6" s="3">
        <v>85727000</v>
      </c>
      <c r="O6" s="3">
        <v>0</v>
      </c>
      <c r="P6" s="3">
        <v>347618000</v>
      </c>
      <c r="Q6" s="3">
        <v>458622000</v>
      </c>
      <c r="R6" s="3">
        <v>25277000</v>
      </c>
      <c r="S6" s="3">
        <v>85727000</v>
      </c>
      <c r="T6" s="3">
        <v>0</v>
      </c>
      <c r="U6" s="3">
        <v>347618000</v>
      </c>
      <c r="V6" s="3">
        <v>458622000</v>
      </c>
      <c r="W6" s="3">
        <v>25234126.52</v>
      </c>
      <c r="X6" s="3">
        <v>70727000</v>
      </c>
      <c r="Y6" s="3">
        <v>0</v>
      </c>
      <c r="Z6" s="3">
        <v>347618000</v>
      </c>
      <c r="AA6" s="3">
        <v>443579126.51999998</v>
      </c>
      <c r="AB6" s="3">
        <v>25234126.52</v>
      </c>
      <c r="AC6" s="3">
        <v>70727000</v>
      </c>
      <c r="AD6" s="3">
        <v>0</v>
      </c>
      <c r="AE6" s="3">
        <v>347618000</v>
      </c>
      <c r="AF6" s="3">
        <v>443579126.51999998</v>
      </c>
      <c r="AG6" s="3">
        <v>24443424.899999999</v>
      </c>
      <c r="AH6" s="3">
        <v>28036480.239999998</v>
      </c>
      <c r="AI6" s="3">
        <v>0</v>
      </c>
      <c r="AJ6" s="3">
        <v>165623452.50999999</v>
      </c>
      <c r="AK6" s="3">
        <v>218103357.65000001</v>
      </c>
      <c r="AL6" s="3">
        <v>24442927.109999999</v>
      </c>
      <c r="AM6" s="3">
        <v>21772734.559999999</v>
      </c>
      <c r="AN6" s="3">
        <v>0</v>
      </c>
      <c r="AO6" s="3">
        <v>11203684.5</v>
      </c>
      <c r="AP6" s="3">
        <v>57419346.170000002</v>
      </c>
      <c r="AQ6" s="3">
        <v>26141000</v>
      </c>
      <c r="AR6" s="3">
        <v>67796000</v>
      </c>
      <c r="AS6" s="3">
        <v>0</v>
      </c>
      <c r="AT6" s="3">
        <v>334781000</v>
      </c>
      <c r="AU6" s="3">
        <v>428718000</v>
      </c>
      <c r="AV6" s="3">
        <v>26141000</v>
      </c>
      <c r="AW6" s="3">
        <v>67796000</v>
      </c>
      <c r="AX6" s="3">
        <v>0</v>
      </c>
      <c r="AY6" s="3">
        <v>334781000</v>
      </c>
      <c r="AZ6" s="3">
        <v>428718000</v>
      </c>
      <c r="BA6" s="3">
        <v>26141000</v>
      </c>
      <c r="BB6" s="3">
        <v>67796000</v>
      </c>
      <c r="BC6" s="3">
        <v>0</v>
      </c>
      <c r="BD6" s="3">
        <v>334781000</v>
      </c>
      <c r="BE6" s="3">
        <v>428718000</v>
      </c>
      <c r="BF6" s="3">
        <v>30086945.370000001</v>
      </c>
      <c r="BG6" s="3">
        <v>67172840</v>
      </c>
      <c r="BH6" s="3">
        <v>0</v>
      </c>
      <c r="BI6" s="3">
        <v>332402700</v>
      </c>
      <c r="BJ6" s="3">
        <v>429662485.37</v>
      </c>
      <c r="BK6" s="3">
        <v>30086945.370000001</v>
      </c>
      <c r="BL6" s="3">
        <v>67172840</v>
      </c>
      <c r="BM6" s="3">
        <v>0</v>
      </c>
      <c r="BN6" s="3">
        <v>332402700</v>
      </c>
      <c r="BO6" s="3">
        <v>429662485.37</v>
      </c>
      <c r="BP6" s="3">
        <v>30086945.370000001</v>
      </c>
      <c r="BQ6" s="3">
        <v>35775426.939999998</v>
      </c>
      <c r="BR6" s="3">
        <v>0</v>
      </c>
      <c r="BS6" s="3">
        <v>232199149.83000001</v>
      </c>
      <c r="BT6" s="3">
        <v>298061522.13999999</v>
      </c>
      <c r="BU6" s="3">
        <v>29857045.260000002</v>
      </c>
      <c r="BV6" s="3">
        <v>28056352.239999998</v>
      </c>
      <c r="BW6" s="3">
        <v>0</v>
      </c>
      <c r="BX6" s="3">
        <v>142649709.77000001</v>
      </c>
      <c r="BY6" s="3">
        <v>200563107.27000001</v>
      </c>
      <c r="BZ6" s="3">
        <v>29451000</v>
      </c>
      <c r="CA6" s="3">
        <v>16987000</v>
      </c>
      <c r="CB6" s="3">
        <v>0</v>
      </c>
      <c r="CC6" s="3">
        <v>0</v>
      </c>
      <c r="CD6" s="3">
        <v>46438000</v>
      </c>
      <c r="CE6" s="3">
        <v>29451000</v>
      </c>
      <c r="CF6" s="3">
        <v>16987000</v>
      </c>
      <c r="CG6" s="3">
        <v>0</v>
      </c>
      <c r="CH6" s="3">
        <v>0</v>
      </c>
      <c r="CI6" s="3">
        <v>46438000</v>
      </c>
      <c r="CJ6" s="3">
        <v>29451000</v>
      </c>
      <c r="CK6" s="3">
        <v>16987000</v>
      </c>
      <c r="CL6" s="3">
        <v>0</v>
      </c>
      <c r="CM6" s="3">
        <v>0</v>
      </c>
      <c r="CN6" s="3">
        <v>46438000</v>
      </c>
      <c r="CO6" s="3">
        <v>26426595.219999999</v>
      </c>
      <c r="CP6" s="3">
        <v>16987000</v>
      </c>
      <c r="CQ6" s="3">
        <v>0</v>
      </c>
      <c r="CR6" s="3">
        <v>0</v>
      </c>
      <c r="CS6" s="3">
        <v>43413595.219999999</v>
      </c>
      <c r="CT6" s="3">
        <v>26426595.219999999</v>
      </c>
      <c r="CU6" s="3">
        <v>16987000</v>
      </c>
      <c r="CV6" s="3">
        <v>0</v>
      </c>
      <c r="CW6" s="3">
        <v>0</v>
      </c>
      <c r="CX6" s="3">
        <v>43413595.219999999</v>
      </c>
      <c r="CY6" s="3">
        <v>26426595.219999999</v>
      </c>
      <c r="CZ6" s="3">
        <v>12141771.09</v>
      </c>
      <c r="DA6" s="3">
        <v>0</v>
      </c>
      <c r="DB6" s="3">
        <v>0</v>
      </c>
      <c r="DC6" s="3">
        <v>38568366.310000002</v>
      </c>
      <c r="DD6" s="3">
        <v>26142296.789999999</v>
      </c>
      <c r="DE6" s="3">
        <v>10326969.07</v>
      </c>
      <c r="DF6" s="3">
        <v>0</v>
      </c>
      <c r="DG6" s="3">
        <v>0</v>
      </c>
      <c r="DH6" s="10">
        <v>36469265.859999999</v>
      </c>
      <c r="DI6" s="3">
        <v>32975000</v>
      </c>
      <c r="DJ6" s="3">
        <v>122118000</v>
      </c>
      <c r="DK6" s="3">
        <v>0</v>
      </c>
      <c r="DL6" s="3">
        <v>48554000</v>
      </c>
      <c r="DM6" s="3">
        <v>203647000</v>
      </c>
      <c r="DN6" s="3">
        <v>32975000</v>
      </c>
      <c r="DO6" s="3">
        <v>122118000</v>
      </c>
      <c r="DP6" s="3">
        <v>0</v>
      </c>
      <c r="DQ6" s="3">
        <v>48554000</v>
      </c>
      <c r="DR6" s="3">
        <v>203647000</v>
      </c>
      <c r="DS6" s="3">
        <v>32975000</v>
      </c>
      <c r="DT6" s="3">
        <v>122118000</v>
      </c>
      <c r="DU6" s="3">
        <v>0</v>
      </c>
      <c r="DV6" s="3">
        <v>48554000</v>
      </c>
      <c r="DW6" s="3">
        <v>203647000</v>
      </c>
      <c r="DX6" s="3">
        <v>31039420.620000001</v>
      </c>
      <c r="DY6" s="3">
        <v>115599882</v>
      </c>
      <c r="DZ6" s="3">
        <v>0</v>
      </c>
      <c r="EA6" s="3">
        <v>50680000</v>
      </c>
      <c r="EB6" s="3">
        <v>197319302.62</v>
      </c>
      <c r="EC6" s="3">
        <v>31039420.620000001</v>
      </c>
      <c r="ED6" s="3">
        <v>115599882</v>
      </c>
      <c r="EE6" s="3">
        <v>0</v>
      </c>
      <c r="EF6" s="3">
        <v>50680000</v>
      </c>
      <c r="EG6" s="3">
        <v>197319302.62</v>
      </c>
      <c r="EH6" s="3">
        <v>31039420.619999997</v>
      </c>
      <c r="EI6" s="3">
        <v>73511515.780000001</v>
      </c>
      <c r="EJ6" s="3">
        <v>0</v>
      </c>
      <c r="EK6" s="3">
        <v>47617297.979999997</v>
      </c>
      <c r="EL6" s="3">
        <v>152168234.38</v>
      </c>
      <c r="EM6" s="3">
        <v>30741500.539999999</v>
      </c>
      <c r="EN6" s="3">
        <v>55497792.170000002</v>
      </c>
      <c r="EO6" s="3">
        <v>0</v>
      </c>
      <c r="EP6" s="3">
        <v>27483325.530000001</v>
      </c>
      <c r="EQ6" s="3">
        <v>113722618.23999999</v>
      </c>
      <c r="ER6" s="3">
        <v>32369000</v>
      </c>
      <c r="ES6" s="3">
        <v>96414000</v>
      </c>
      <c r="ET6" s="3">
        <v>0</v>
      </c>
      <c r="EU6" s="3">
        <v>186131000</v>
      </c>
      <c r="EV6" s="3">
        <v>314914000</v>
      </c>
      <c r="EW6" s="3">
        <v>32369000</v>
      </c>
      <c r="EX6" s="3">
        <v>96414000</v>
      </c>
      <c r="EY6" s="3">
        <v>0</v>
      </c>
      <c r="EZ6" s="3">
        <v>186131000</v>
      </c>
      <c r="FA6" s="3">
        <v>314914000</v>
      </c>
      <c r="FB6" s="3">
        <v>32369000</v>
      </c>
      <c r="FC6" s="3">
        <v>96414000</v>
      </c>
      <c r="FD6" s="3">
        <v>0</v>
      </c>
      <c r="FE6" s="3">
        <v>186131000</v>
      </c>
      <c r="FF6" s="3">
        <v>314914000</v>
      </c>
      <c r="FG6" s="3">
        <v>30444486</v>
      </c>
      <c r="FH6" s="3">
        <v>89665269</v>
      </c>
      <c r="FI6" s="3">
        <v>0</v>
      </c>
      <c r="FJ6" s="3">
        <v>186131000</v>
      </c>
      <c r="FK6" s="3">
        <v>306240755</v>
      </c>
      <c r="FL6" s="3">
        <v>30444486</v>
      </c>
      <c r="FM6" s="3">
        <v>89665269</v>
      </c>
      <c r="FN6" s="3">
        <v>0</v>
      </c>
      <c r="FO6" s="3">
        <v>186131000</v>
      </c>
      <c r="FP6" s="3">
        <v>306240755</v>
      </c>
      <c r="FQ6" s="3">
        <v>30444486</v>
      </c>
      <c r="FR6" s="3">
        <v>80733778.900000006</v>
      </c>
      <c r="FS6" s="3">
        <v>0</v>
      </c>
      <c r="FT6" s="3">
        <v>101907456.56</v>
      </c>
      <c r="FU6" s="3">
        <v>213085721.46000001</v>
      </c>
      <c r="FV6" s="3">
        <v>29965958.690000001</v>
      </c>
      <c r="FW6" s="3">
        <v>68293709.349999994</v>
      </c>
      <c r="FX6" s="3">
        <v>0</v>
      </c>
      <c r="FY6" s="3">
        <v>77794030.170000002</v>
      </c>
      <c r="FZ6" s="3">
        <v>176053698.21000001</v>
      </c>
      <c r="GA6" s="3">
        <v>31486000</v>
      </c>
      <c r="GB6" s="3">
        <v>58013000</v>
      </c>
      <c r="GC6" s="3">
        <v>0</v>
      </c>
      <c r="GD6" s="3">
        <v>0</v>
      </c>
      <c r="GE6" s="3">
        <v>89499000</v>
      </c>
      <c r="GF6" s="3">
        <v>31486000</v>
      </c>
      <c r="GG6" s="3">
        <v>100000000</v>
      </c>
      <c r="GH6" s="3">
        <v>0</v>
      </c>
      <c r="GI6" s="3">
        <v>122493000</v>
      </c>
      <c r="GJ6" s="3">
        <v>253979000</v>
      </c>
      <c r="GK6" s="3">
        <v>31486000</v>
      </c>
      <c r="GL6" s="3">
        <v>100000000</v>
      </c>
      <c r="GM6" s="3">
        <v>0</v>
      </c>
      <c r="GN6" s="3">
        <v>122493000</v>
      </c>
      <c r="GO6" s="3">
        <v>253979000</v>
      </c>
      <c r="GP6" s="3">
        <v>30309046.510000002</v>
      </c>
      <c r="GQ6" s="3">
        <v>95656857.359999999</v>
      </c>
      <c r="GR6" s="3">
        <v>0</v>
      </c>
      <c r="GS6" s="3">
        <v>122493000</v>
      </c>
      <c r="GT6" s="3">
        <v>248458903.87</v>
      </c>
      <c r="GU6" s="3">
        <v>30309046.510000002</v>
      </c>
      <c r="GV6" s="3">
        <v>95656857.359999999</v>
      </c>
      <c r="GW6" s="3">
        <v>0</v>
      </c>
      <c r="GX6" s="3">
        <v>122493000</v>
      </c>
      <c r="GY6" s="3">
        <v>248458903.87</v>
      </c>
      <c r="GZ6" s="3">
        <v>30309046.510000002</v>
      </c>
      <c r="HA6" s="3">
        <v>78965105.209999993</v>
      </c>
      <c r="HB6" s="3">
        <v>0</v>
      </c>
      <c r="HC6" s="3">
        <v>86093898.420000002</v>
      </c>
      <c r="HD6" s="3">
        <v>195368050.13999999</v>
      </c>
      <c r="HE6" s="3">
        <v>30073359.920000002</v>
      </c>
      <c r="HF6" s="3">
        <v>67942524.519999996</v>
      </c>
      <c r="HG6" s="3">
        <v>0</v>
      </c>
      <c r="HH6" s="3">
        <v>53231299.490000002</v>
      </c>
      <c r="HI6" s="3">
        <v>151247183.93000001</v>
      </c>
      <c r="HJ6" s="3">
        <v>29777000</v>
      </c>
      <c r="HK6" s="3">
        <v>109100000</v>
      </c>
      <c r="HL6" s="3">
        <v>0</v>
      </c>
      <c r="HM6" s="3">
        <v>61320000</v>
      </c>
      <c r="HN6" s="3">
        <v>200197000</v>
      </c>
      <c r="HO6" s="3">
        <v>29777000</v>
      </c>
      <c r="HP6" s="3">
        <v>109100000</v>
      </c>
      <c r="HQ6" s="3">
        <v>0</v>
      </c>
      <c r="HR6" s="3">
        <v>61320000</v>
      </c>
      <c r="HS6" s="3">
        <v>200197000</v>
      </c>
      <c r="HT6" s="3">
        <v>29777000</v>
      </c>
      <c r="HU6" s="3">
        <v>109100000</v>
      </c>
      <c r="HV6" s="3">
        <v>0</v>
      </c>
      <c r="HW6" s="3">
        <v>61320000</v>
      </c>
      <c r="HX6" s="3">
        <v>200197000</v>
      </c>
      <c r="HY6" s="3">
        <v>33633513.359999999</v>
      </c>
      <c r="HZ6" s="3">
        <v>104606645</v>
      </c>
      <c r="IA6" s="3">
        <v>0</v>
      </c>
      <c r="IB6" s="3">
        <v>61975000</v>
      </c>
      <c r="IC6" s="3">
        <v>200215158.36000001</v>
      </c>
      <c r="ID6" s="3">
        <v>33633513.359999999</v>
      </c>
      <c r="IE6" s="3">
        <v>104606645</v>
      </c>
      <c r="IF6" s="3">
        <v>0</v>
      </c>
      <c r="IG6" s="3">
        <v>61975000</v>
      </c>
      <c r="IH6" s="3">
        <v>200215158.36000001</v>
      </c>
      <c r="II6" s="3">
        <v>33633513.350000001</v>
      </c>
      <c r="IJ6" s="3">
        <v>86837393.900000006</v>
      </c>
      <c r="IK6" s="3">
        <v>0</v>
      </c>
      <c r="IL6" s="3">
        <v>49118719.740000002</v>
      </c>
      <c r="IM6" s="3">
        <v>169589627</v>
      </c>
      <c r="IN6" s="3">
        <v>33303535.370000001</v>
      </c>
      <c r="IO6" s="6">
        <v>61540739.090000004</v>
      </c>
      <c r="IP6" s="3">
        <v>0</v>
      </c>
      <c r="IQ6" s="3">
        <v>35461659.630000003</v>
      </c>
      <c r="IR6" s="6">
        <v>130305934.09</v>
      </c>
      <c r="IS6" s="3">
        <v>30165000</v>
      </c>
      <c r="IT6" s="3">
        <v>410103000</v>
      </c>
      <c r="IU6" s="3">
        <v>0</v>
      </c>
      <c r="IV6" s="3">
        <v>358073000</v>
      </c>
      <c r="IW6" s="3">
        <v>798341000</v>
      </c>
      <c r="IX6" s="3">
        <v>30165000</v>
      </c>
      <c r="IY6" s="3">
        <v>410103000</v>
      </c>
      <c r="IZ6" s="3">
        <v>0</v>
      </c>
      <c r="JA6" s="3">
        <v>358073000</v>
      </c>
      <c r="JB6" s="3">
        <v>798341000</v>
      </c>
      <c r="JC6" s="3">
        <v>30165000</v>
      </c>
      <c r="JD6" s="3">
        <v>410103000</v>
      </c>
      <c r="JE6" s="3">
        <v>0</v>
      </c>
      <c r="JF6" s="3">
        <v>358073000</v>
      </c>
      <c r="JG6" s="3">
        <v>798341000</v>
      </c>
      <c r="JH6" s="3">
        <v>34551699.490000002</v>
      </c>
      <c r="JI6" s="3">
        <v>395907745.97000003</v>
      </c>
      <c r="JJ6" s="3">
        <v>0</v>
      </c>
      <c r="JK6" s="3">
        <v>358073000</v>
      </c>
      <c r="JL6" s="3">
        <v>788532445.46000004</v>
      </c>
      <c r="JM6" s="3">
        <v>34551699.490000002</v>
      </c>
      <c r="JN6" s="3">
        <v>395907745.97000003</v>
      </c>
      <c r="JO6" s="3">
        <v>0</v>
      </c>
      <c r="JP6" s="3">
        <v>358073000</v>
      </c>
      <c r="JQ6" s="3">
        <v>788532445.46000004</v>
      </c>
      <c r="JR6" s="3">
        <v>34551699.490000002</v>
      </c>
      <c r="JS6" s="3">
        <v>257002779.28999999</v>
      </c>
      <c r="JT6" s="3">
        <v>0</v>
      </c>
      <c r="JU6" s="3">
        <v>192907533.61000001</v>
      </c>
      <c r="JV6" s="3">
        <v>484462012.38999999</v>
      </c>
      <c r="JW6" s="3">
        <v>34558471.359999999</v>
      </c>
      <c r="JX6" s="3">
        <v>165558555.16999999</v>
      </c>
      <c r="JY6" s="3">
        <v>0</v>
      </c>
      <c r="JZ6" s="3">
        <v>148019300.66</v>
      </c>
      <c r="KA6" s="3">
        <v>348136327.19</v>
      </c>
      <c r="KB6" s="3">
        <v>41744000</v>
      </c>
      <c r="KC6" s="3">
        <v>345128000</v>
      </c>
      <c r="KD6" s="3">
        <v>0</v>
      </c>
      <c r="KE6" s="3">
        <v>0</v>
      </c>
      <c r="KF6" s="3">
        <v>386872000</v>
      </c>
      <c r="KG6" s="3">
        <v>41744000</v>
      </c>
      <c r="KH6" s="3">
        <v>275398000</v>
      </c>
      <c r="KI6" s="3">
        <v>0</v>
      </c>
      <c r="KJ6" s="3">
        <v>0</v>
      </c>
      <c r="KK6" s="3">
        <v>317142000</v>
      </c>
      <c r="KL6" s="3"/>
      <c r="KM6" s="3"/>
      <c r="KN6" s="3"/>
      <c r="KO6" s="3"/>
      <c r="KP6" s="3"/>
      <c r="KQ6" s="3"/>
      <c r="KR6" s="3"/>
      <c r="KS6" s="3"/>
      <c r="KT6" s="3"/>
      <c r="KU6" s="3"/>
      <c r="KV6" s="3"/>
      <c r="KW6" s="3"/>
      <c r="KX6" s="3"/>
      <c r="KY6" s="3"/>
      <c r="KZ6" s="3"/>
      <c r="LA6" s="3"/>
      <c r="LB6" s="3"/>
      <c r="LC6" s="3"/>
      <c r="LD6" s="3"/>
      <c r="LE6" s="3"/>
      <c r="LF6" s="3"/>
      <c r="LG6" s="3"/>
      <c r="LH6" s="3"/>
      <c r="LI6" s="3"/>
      <c r="LJ6" s="3"/>
      <c r="LK6" s="3">
        <v>41066000</v>
      </c>
      <c r="LL6" s="3">
        <v>204126000</v>
      </c>
      <c r="LM6">
        <v>0</v>
      </c>
      <c r="LN6" s="3">
        <v>44557000</v>
      </c>
      <c r="LO6" s="3">
        <v>289749000</v>
      </c>
    </row>
    <row r="7" spans="1:332" x14ac:dyDescent="0.25">
      <c r="A7" t="s">
        <v>943</v>
      </c>
      <c r="B7" t="s">
        <v>944</v>
      </c>
      <c r="C7" t="s">
        <v>199</v>
      </c>
      <c r="D7" t="s">
        <v>200</v>
      </c>
      <c r="E7" t="s">
        <v>208</v>
      </c>
      <c r="F7" t="s">
        <v>506</v>
      </c>
      <c r="G7" t="s">
        <v>1006</v>
      </c>
      <c r="H7" s="3">
        <v>9164000</v>
      </c>
      <c r="I7" s="3">
        <v>5633000</v>
      </c>
      <c r="J7" s="3">
        <v>0</v>
      </c>
      <c r="K7" s="3">
        <v>0</v>
      </c>
      <c r="L7" s="3">
        <v>14797000</v>
      </c>
      <c r="M7" s="3">
        <v>9164000</v>
      </c>
      <c r="N7" s="3">
        <v>5633000</v>
      </c>
      <c r="O7" s="3">
        <v>0</v>
      </c>
      <c r="P7" s="3">
        <v>0</v>
      </c>
      <c r="Q7" s="3">
        <v>14797000</v>
      </c>
      <c r="R7" s="3">
        <v>9164000</v>
      </c>
      <c r="S7" s="3">
        <v>5633000</v>
      </c>
      <c r="T7" s="3">
        <v>0</v>
      </c>
      <c r="U7" s="3">
        <v>0</v>
      </c>
      <c r="V7" s="3">
        <v>14797000</v>
      </c>
      <c r="W7" s="3">
        <v>9206873.4800000004</v>
      </c>
      <c r="X7" s="3">
        <v>5633000</v>
      </c>
      <c r="Y7" s="3">
        <v>0</v>
      </c>
      <c r="Z7" s="3">
        <v>0</v>
      </c>
      <c r="AA7" s="3">
        <v>14839873.48</v>
      </c>
      <c r="AB7" s="3">
        <v>9206873.4800000004</v>
      </c>
      <c r="AC7" s="3">
        <v>5633000</v>
      </c>
      <c r="AD7" s="3">
        <v>0</v>
      </c>
      <c r="AE7" s="3">
        <v>0</v>
      </c>
      <c r="AF7" s="3">
        <v>14839873.48</v>
      </c>
      <c r="AG7" s="3">
        <v>9206873.4800000004</v>
      </c>
      <c r="AH7" s="3">
        <v>4006150.2700000005</v>
      </c>
      <c r="AI7" s="3">
        <v>0</v>
      </c>
      <c r="AJ7" s="3">
        <v>0</v>
      </c>
      <c r="AK7" s="3">
        <v>13213023.75</v>
      </c>
      <c r="AL7" s="3">
        <v>9206012.6699999999</v>
      </c>
      <c r="AM7" s="3">
        <v>3135599.09</v>
      </c>
      <c r="AN7" s="3">
        <v>0</v>
      </c>
      <c r="AO7" s="3">
        <v>0</v>
      </c>
      <c r="AP7" s="3">
        <v>12341611.76</v>
      </c>
      <c r="AQ7" s="3">
        <v>9606000</v>
      </c>
      <c r="AR7" s="3">
        <v>4415000</v>
      </c>
      <c r="AS7" s="3">
        <v>0</v>
      </c>
      <c r="AT7" s="3">
        <v>0</v>
      </c>
      <c r="AU7" s="3">
        <v>14021000</v>
      </c>
      <c r="AV7" s="3">
        <v>9606000</v>
      </c>
      <c r="AW7" s="3">
        <v>4415000</v>
      </c>
      <c r="AX7" s="3">
        <v>0</v>
      </c>
      <c r="AY7" s="3">
        <v>0</v>
      </c>
      <c r="AZ7" s="3">
        <v>14021000</v>
      </c>
      <c r="BA7" s="3">
        <v>9606000</v>
      </c>
      <c r="BB7" s="3">
        <v>4415000</v>
      </c>
      <c r="BC7" s="3">
        <v>0</v>
      </c>
      <c r="BD7" s="3">
        <v>0</v>
      </c>
      <c r="BE7" s="3">
        <v>14021000</v>
      </c>
      <c r="BF7" s="3">
        <v>11041365.199999999</v>
      </c>
      <c r="BG7" s="3">
        <v>4415000</v>
      </c>
      <c r="BH7" s="3">
        <v>0</v>
      </c>
      <c r="BI7" s="3">
        <v>0</v>
      </c>
      <c r="BJ7" s="3">
        <v>15456365.199999999</v>
      </c>
      <c r="BK7" s="3">
        <v>11041365.199999999</v>
      </c>
      <c r="BL7" s="3">
        <v>4415000</v>
      </c>
      <c r="BM7" s="3">
        <v>0</v>
      </c>
      <c r="BN7" s="3">
        <v>0</v>
      </c>
      <c r="BO7" s="3">
        <v>15456365.199999999</v>
      </c>
      <c r="BP7" s="3">
        <v>11041365.199999999</v>
      </c>
      <c r="BQ7" s="3">
        <v>4055945.22</v>
      </c>
      <c r="BR7" s="3">
        <v>0</v>
      </c>
      <c r="BS7" s="3">
        <v>0</v>
      </c>
      <c r="BT7" s="3">
        <v>15097310.42</v>
      </c>
      <c r="BU7" s="3">
        <v>11007658.869999999</v>
      </c>
      <c r="BV7" s="3">
        <v>4052270.31</v>
      </c>
      <c r="BW7" s="3">
        <v>0</v>
      </c>
      <c r="BX7" s="3">
        <v>0</v>
      </c>
      <c r="BY7" s="3">
        <v>15059929.18</v>
      </c>
      <c r="BZ7" s="3">
        <v>11075000</v>
      </c>
      <c r="CA7" s="3">
        <v>3693000</v>
      </c>
      <c r="CB7" s="3">
        <v>0</v>
      </c>
      <c r="CC7" s="3">
        <v>0</v>
      </c>
      <c r="CD7" s="3">
        <v>14768000</v>
      </c>
      <c r="CE7" s="3">
        <v>11075000</v>
      </c>
      <c r="CF7" s="3">
        <v>3693000</v>
      </c>
      <c r="CG7" s="3">
        <v>0</v>
      </c>
      <c r="CH7" s="3">
        <v>0</v>
      </c>
      <c r="CI7" s="3">
        <v>14768000</v>
      </c>
      <c r="CJ7" s="3">
        <v>11075000</v>
      </c>
      <c r="CK7" s="3">
        <v>3693000</v>
      </c>
      <c r="CL7" s="3">
        <v>0</v>
      </c>
      <c r="CM7" s="3">
        <v>0</v>
      </c>
      <c r="CN7" s="3">
        <v>14768000</v>
      </c>
      <c r="CO7" s="3">
        <v>9068717.2899999991</v>
      </c>
      <c r="CP7" s="3">
        <v>3646849</v>
      </c>
      <c r="CQ7" s="3">
        <v>0</v>
      </c>
      <c r="CR7" s="3">
        <v>0</v>
      </c>
      <c r="CS7" s="3">
        <v>12715566.289999999</v>
      </c>
      <c r="CT7" s="3">
        <v>9068717.2899999991</v>
      </c>
      <c r="CU7" s="3">
        <v>3646849</v>
      </c>
      <c r="CV7" s="3">
        <v>0</v>
      </c>
      <c r="CW7" s="3">
        <v>0</v>
      </c>
      <c r="CX7" s="3">
        <v>12715566.289999999</v>
      </c>
      <c r="CY7" s="3">
        <v>9068717.2899999991</v>
      </c>
      <c r="CZ7" s="3">
        <v>3177838.6799999997</v>
      </c>
      <c r="DA7" s="3">
        <v>0</v>
      </c>
      <c r="DB7" s="3">
        <v>0</v>
      </c>
      <c r="DC7" s="3">
        <v>12246555.970000001</v>
      </c>
      <c r="DD7" s="3">
        <v>9027784.6400000006</v>
      </c>
      <c r="DE7" s="3">
        <v>2898016.16</v>
      </c>
      <c r="DF7" s="3">
        <v>0</v>
      </c>
      <c r="DG7" s="3">
        <v>0</v>
      </c>
      <c r="DH7" s="10">
        <v>11925800.800000001</v>
      </c>
      <c r="DI7" s="3">
        <v>11334000</v>
      </c>
      <c r="DJ7" s="3">
        <v>3255000</v>
      </c>
      <c r="DK7" s="3">
        <v>0</v>
      </c>
      <c r="DL7" s="3">
        <v>0</v>
      </c>
      <c r="DM7" s="3">
        <v>14589000</v>
      </c>
      <c r="DN7" s="3">
        <v>11334000</v>
      </c>
      <c r="DO7" s="3">
        <v>3255000</v>
      </c>
      <c r="DP7" s="3">
        <v>0</v>
      </c>
      <c r="DQ7" s="3">
        <v>0</v>
      </c>
      <c r="DR7" s="3">
        <v>14589000</v>
      </c>
      <c r="DS7" s="3">
        <v>11334000</v>
      </c>
      <c r="DT7" s="3">
        <v>3255000</v>
      </c>
      <c r="DU7" s="3">
        <v>0</v>
      </c>
      <c r="DV7" s="3">
        <v>0</v>
      </c>
      <c r="DW7" s="3">
        <v>14589000</v>
      </c>
      <c r="DX7" s="3">
        <v>11380451.65</v>
      </c>
      <c r="DY7" s="3">
        <v>3255000</v>
      </c>
      <c r="DZ7" s="3">
        <v>0</v>
      </c>
      <c r="EA7" s="3">
        <v>0</v>
      </c>
      <c r="EB7" s="3">
        <v>14635451.65</v>
      </c>
      <c r="EC7" s="3">
        <v>11380451.65</v>
      </c>
      <c r="ED7" s="3">
        <v>3255000</v>
      </c>
      <c r="EE7" s="3">
        <v>0</v>
      </c>
      <c r="EF7" s="3">
        <v>0</v>
      </c>
      <c r="EG7" s="3">
        <v>14635451.65</v>
      </c>
      <c r="EH7" s="3">
        <v>11380451.65</v>
      </c>
      <c r="EI7" s="3">
        <v>2394547.5499999998</v>
      </c>
      <c r="EJ7" s="3">
        <v>0</v>
      </c>
      <c r="EK7" s="3">
        <v>0</v>
      </c>
      <c r="EL7" s="3">
        <v>13774999.199999999</v>
      </c>
      <c r="EM7" s="3">
        <v>11344380.18</v>
      </c>
      <c r="EN7" s="3">
        <v>2120554.35</v>
      </c>
      <c r="EO7" s="3">
        <v>0</v>
      </c>
      <c r="EP7" s="3">
        <v>0</v>
      </c>
      <c r="EQ7" s="3">
        <v>13464934.529999999</v>
      </c>
      <c r="ER7" s="3">
        <v>11227000</v>
      </c>
      <c r="ES7" s="3">
        <v>3255000</v>
      </c>
      <c r="ET7" s="3">
        <v>0</v>
      </c>
      <c r="EU7" s="3">
        <v>0</v>
      </c>
      <c r="EV7" s="3">
        <v>14482000</v>
      </c>
      <c r="EW7" s="3">
        <v>11227000</v>
      </c>
      <c r="EX7" s="3">
        <v>3255000</v>
      </c>
      <c r="EY7" s="3">
        <v>0</v>
      </c>
      <c r="EZ7" s="3">
        <v>0</v>
      </c>
      <c r="FA7" s="3">
        <v>14482000</v>
      </c>
      <c r="FB7" s="3">
        <v>11227000</v>
      </c>
      <c r="FC7" s="3">
        <v>3255000</v>
      </c>
      <c r="FD7" s="3">
        <v>0</v>
      </c>
      <c r="FE7" s="3">
        <v>0</v>
      </c>
      <c r="FF7" s="3">
        <v>14482000</v>
      </c>
      <c r="FG7" s="3">
        <v>12115338.689999999</v>
      </c>
      <c r="FH7" s="3">
        <v>3255000</v>
      </c>
      <c r="FI7" s="3">
        <v>0</v>
      </c>
      <c r="FJ7" s="3">
        <v>0</v>
      </c>
      <c r="FK7" s="3">
        <v>15370338.689999999</v>
      </c>
      <c r="FL7" s="3">
        <v>12115338.689999999</v>
      </c>
      <c r="FM7" s="3">
        <v>3255000</v>
      </c>
      <c r="FN7" s="3">
        <v>0</v>
      </c>
      <c r="FO7" s="3">
        <v>0</v>
      </c>
      <c r="FP7" s="3">
        <v>15370338.689999999</v>
      </c>
      <c r="FQ7" s="3">
        <v>12115338.689999999</v>
      </c>
      <c r="FR7" s="3">
        <v>2826237.65</v>
      </c>
      <c r="FS7" s="3">
        <v>0</v>
      </c>
      <c r="FT7" s="3">
        <v>0</v>
      </c>
      <c r="FU7" s="3">
        <v>14941576.34</v>
      </c>
      <c r="FV7" s="3">
        <v>12059404.060000001</v>
      </c>
      <c r="FW7" s="3">
        <v>2643940.14</v>
      </c>
      <c r="FX7" s="3">
        <v>0</v>
      </c>
      <c r="FY7" s="3">
        <v>0</v>
      </c>
      <c r="FZ7" s="3">
        <v>14703344.199999999</v>
      </c>
      <c r="GA7" s="3">
        <v>12596000</v>
      </c>
      <c r="GB7" s="3">
        <v>2939000</v>
      </c>
      <c r="GC7" s="3">
        <v>0</v>
      </c>
      <c r="GD7" s="3">
        <v>0</v>
      </c>
      <c r="GE7" s="3">
        <v>15535000</v>
      </c>
      <c r="GF7" s="3">
        <v>12596000</v>
      </c>
      <c r="GG7" s="3">
        <v>2939000</v>
      </c>
      <c r="GH7" s="3">
        <v>0</v>
      </c>
      <c r="GI7" s="3">
        <v>0</v>
      </c>
      <c r="GJ7" s="3">
        <v>15535000</v>
      </c>
      <c r="GK7" s="3">
        <v>12596000</v>
      </c>
      <c r="GL7" s="3">
        <v>2939000</v>
      </c>
      <c r="GM7" s="3">
        <v>0</v>
      </c>
      <c r="GN7" s="3">
        <v>0</v>
      </c>
      <c r="GO7" s="3">
        <v>15535000</v>
      </c>
      <c r="GP7" s="3">
        <v>12900333.289999999</v>
      </c>
      <c r="GQ7" s="3">
        <v>2939000</v>
      </c>
      <c r="GR7" s="3">
        <v>0</v>
      </c>
      <c r="GS7" s="3">
        <v>0</v>
      </c>
      <c r="GT7" s="3">
        <v>15839333.289999999</v>
      </c>
      <c r="GU7" s="3">
        <v>12900333.289999999</v>
      </c>
      <c r="GV7" s="3">
        <v>2939000</v>
      </c>
      <c r="GW7" s="3">
        <v>0</v>
      </c>
      <c r="GX7" s="3">
        <v>0</v>
      </c>
      <c r="GY7" s="3">
        <v>15839333.289999999</v>
      </c>
      <c r="GZ7" s="3">
        <v>12900333.289999999</v>
      </c>
      <c r="HA7" s="3">
        <v>2589208.89</v>
      </c>
      <c r="HB7" s="3">
        <v>0</v>
      </c>
      <c r="HC7" s="3">
        <v>0</v>
      </c>
      <c r="HD7" s="3">
        <v>15489542.18</v>
      </c>
      <c r="HE7" s="3">
        <v>12824534.84</v>
      </c>
      <c r="HF7" s="3">
        <v>2213507.11</v>
      </c>
      <c r="HG7" s="3">
        <v>0</v>
      </c>
      <c r="HH7" s="3">
        <v>0</v>
      </c>
      <c r="HI7" s="3">
        <v>15038041.949999999</v>
      </c>
      <c r="HJ7" s="3">
        <v>12645000</v>
      </c>
      <c r="HK7" s="3">
        <v>2598000</v>
      </c>
      <c r="HL7" s="3">
        <v>0</v>
      </c>
      <c r="HM7" s="3">
        <v>0</v>
      </c>
      <c r="HN7" s="3">
        <v>15243000</v>
      </c>
      <c r="HO7" s="3">
        <v>12645000</v>
      </c>
      <c r="HP7" s="3">
        <v>100598000</v>
      </c>
      <c r="HQ7" s="3">
        <v>0</v>
      </c>
      <c r="HR7" s="3">
        <v>0</v>
      </c>
      <c r="HS7" s="3">
        <v>113243000</v>
      </c>
      <c r="HT7" s="3">
        <v>12645000</v>
      </c>
      <c r="HU7" s="3">
        <v>100598000</v>
      </c>
      <c r="HV7" s="3">
        <v>0</v>
      </c>
      <c r="HW7" s="3">
        <v>0</v>
      </c>
      <c r="HX7" s="3">
        <v>113243000</v>
      </c>
      <c r="HY7" s="3">
        <v>13618055.609999999</v>
      </c>
      <c r="HZ7" s="3">
        <v>100478000</v>
      </c>
      <c r="IA7" s="3">
        <v>0</v>
      </c>
      <c r="IB7" s="3">
        <v>0</v>
      </c>
      <c r="IC7" s="3">
        <v>114096055.61</v>
      </c>
      <c r="ID7" s="3">
        <v>13618055.609999999</v>
      </c>
      <c r="IE7" s="3">
        <v>100478000</v>
      </c>
      <c r="IF7" s="3">
        <v>0</v>
      </c>
      <c r="IG7" s="3">
        <v>0</v>
      </c>
      <c r="IH7" s="3">
        <v>114096055.61</v>
      </c>
      <c r="II7" s="3">
        <v>13618055.609999999</v>
      </c>
      <c r="IJ7" s="3">
        <v>2442934.35</v>
      </c>
      <c r="IK7" s="3">
        <v>0</v>
      </c>
      <c r="IL7" s="3">
        <v>0</v>
      </c>
      <c r="IM7" s="3">
        <v>16060989.960000001</v>
      </c>
      <c r="IN7" s="3">
        <v>13537625.630000001</v>
      </c>
      <c r="IO7" s="6">
        <v>2115609.4500000002</v>
      </c>
      <c r="IP7" s="3">
        <v>0</v>
      </c>
      <c r="IQ7" s="3">
        <v>0</v>
      </c>
      <c r="IR7" s="6">
        <v>15653235.08</v>
      </c>
      <c r="IS7" s="3">
        <v>13385000</v>
      </c>
      <c r="IT7" s="3">
        <v>2645000</v>
      </c>
      <c r="IU7" s="3">
        <v>0</v>
      </c>
      <c r="IV7" s="3">
        <v>0</v>
      </c>
      <c r="IW7" s="3">
        <v>16030000</v>
      </c>
      <c r="IX7" s="3">
        <v>13385000</v>
      </c>
      <c r="IY7" s="3">
        <v>2645000</v>
      </c>
      <c r="IZ7" s="3">
        <v>0</v>
      </c>
      <c r="JA7" s="3">
        <v>0</v>
      </c>
      <c r="JB7" s="3">
        <v>16030000</v>
      </c>
      <c r="JC7" s="3">
        <v>13385000</v>
      </c>
      <c r="JD7" s="3">
        <v>2645000</v>
      </c>
      <c r="JE7" s="3">
        <v>0</v>
      </c>
      <c r="JF7" s="3">
        <v>0</v>
      </c>
      <c r="JG7" s="3">
        <v>16030000</v>
      </c>
      <c r="JH7" s="3">
        <v>11354672.119999999</v>
      </c>
      <c r="JI7" s="3">
        <v>2398805.5499999998</v>
      </c>
      <c r="JJ7" s="3">
        <v>0</v>
      </c>
      <c r="JK7" s="3">
        <v>0</v>
      </c>
      <c r="JL7" s="3">
        <v>13753477.67</v>
      </c>
      <c r="JM7" s="3">
        <v>11354672.119999999</v>
      </c>
      <c r="JN7" s="3">
        <v>2398805.5499999998</v>
      </c>
      <c r="JO7" s="3">
        <v>0</v>
      </c>
      <c r="JP7" s="3">
        <v>0</v>
      </c>
      <c r="JQ7" s="3">
        <v>13753477.67</v>
      </c>
      <c r="JR7" s="3">
        <v>11354672.119999999</v>
      </c>
      <c r="JS7" s="3">
        <v>2024028.5</v>
      </c>
      <c r="JT7" s="3">
        <v>0</v>
      </c>
      <c r="JU7" s="3">
        <v>0</v>
      </c>
      <c r="JV7" s="3">
        <v>13378700.619999999</v>
      </c>
      <c r="JW7" s="3">
        <v>11354197.289999999</v>
      </c>
      <c r="JX7" s="3">
        <v>1320617.94</v>
      </c>
      <c r="JY7" s="3">
        <v>0</v>
      </c>
      <c r="JZ7" s="3">
        <v>0</v>
      </c>
      <c r="KA7" s="3">
        <v>12674815.23</v>
      </c>
      <c r="KB7" s="3">
        <v>13707000</v>
      </c>
      <c r="KC7" s="3">
        <v>29673000</v>
      </c>
      <c r="KD7" s="3">
        <v>0</v>
      </c>
      <c r="KE7" s="3">
        <v>0</v>
      </c>
      <c r="KF7" s="3">
        <v>43380000</v>
      </c>
      <c r="KG7" s="3">
        <v>13707000</v>
      </c>
      <c r="KH7" s="3">
        <v>29673000</v>
      </c>
      <c r="KI7" s="3">
        <v>0</v>
      </c>
      <c r="KJ7" s="3">
        <v>0</v>
      </c>
      <c r="KK7" s="3">
        <v>43380000</v>
      </c>
      <c r="KL7" s="3"/>
      <c r="KM7" s="3"/>
      <c r="KN7" s="3"/>
      <c r="KO7" s="3"/>
      <c r="KP7" s="3"/>
      <c r="KQ7" s="3"/>
      <c r="KR7" s="3"/>
      <c r="KS7" s="3"/>
      <c r="KT7" s="3"/>
      <c r="KU7" s="3"/>
      <c r="KV7" s="3"/>
      <c r="KW7" s="3"/>
      <c r="KX7" s="3"/>
      <c r="KY7" s="3"/>
      <c r="KZ7" s="3"/>
      <c r="LA7" s="3"/>
      <c r="LB7" s="3"/>
      <c r="LC7" s="3"/>
      <c r="LD7" s="3"/>
      <c r="LE7" s="3"/>
      <c r="LF7" s="3"/>
      <c r="LG7" s="3"/>
      <c r="LH7" s="3"/>
      <c r="LI7" s="3"/>
      <c r="LJ7" s="3"/>
      <c r="LK7" s="3">
        <v>13342000</v>
      </c>
      <c r="LL7" s="3">
        <v>36620000</v>
      </c>
      <c r="LM7">
        <v>0</v>
      </c>
      <c r="LN7" s="3">
        <v>13975000</v>
      </c>
      <c r="LO7" s="3">
        <v>63937000</v>
      </c>
    </row>
    <row r="8" spans="1:332" x14ac:dyDescent="0.25">
      <c r="A8" t="s">
        <v>943</v>
      </c>
      <c r="B8" t="s">
        <v>944</v>
      </c>
      <c r="C8" t="s">
        <v>199</v>
      </c>
      <c r="D8" t="s">
        <v>200</v>
      </c>
      <c r="E8" t="s">
        <v>208</v>
      </c>
      <c r="F8" t="s">
        <v>507</v>
      </c>
      <c r="G8" t="s">
        <v>1007</v>
      </c>
      <c r="H8" s="3">
        <v>111946000</v>
      </c>
      <c r="I8" s="3">
        <v>245494000</v>
      </c>
      <c r="J8" s="3">
        <v>0</v>
      </c>
      <c r="K8" s="3">
        <v>0</v>
      </c>
      <c r="L8" s="3">
        <v>357440000</v>
      </c>
      <c r="M8" s="3">
        <v>111946000</v>
      </c>
      <c r="N8" s="3">
        <v>245494000</v>
      </c>
      <c r="O8" s="3">
        <v>0</v>
      </c>
      <c r="P8" s="3">
        <v>0</v>
      </c>
      <c r="Q8" s="3">
        <v>357440000</v>
      </c>
      <c r="R8" s="3">
        <v>111946000</v>
      </c>
      <c r="S8" s="3">
        <v>245494000</v>
      </c>
      <c r="T8" s="3">
        <v>0</v>
      </c>
      <c r="U8" s="3">
        <v>0</v>
      </c>
      <c r="V8" s="3">
        <v>357440000</v>
      </c>
      <c r="W8" s="3">
        <v>111946000</v>
      </c>
      <c r="X8" s="3">
        <v>245136005</v>
      </c>
      <c r="Y8" s="3">
        <v>0</v>
      </c>
      <c r="Z8" s="3">
        <v>0</v>
      </c>
      <c r="AA8" s="3">
        <v>357082005</v>
      </c>
      <c r="AB8" s="3">
        <v>111946000</v>
      </c>
      <c r="AC8" s="3">
        <v>245136005</v>
      </c>
      <c r="AD8" s="3">
        <v>0</v>
      </c>
      <c r="AE8" s="3">
        <v>0</v>
      </c>
      <c r="AF8" s="3">
        <v>357082005</v>
      </c>
      <c r="AG8" s="3">
        <v>111873016.31</v>
      </c>
      <c r="AH8" s="3">
        <v>223859758.50999999</v>
      </c>
      <c r="AI8" s="3">
        <v>0</v>
      </c>
      <c r="AJ8" s="3">
        <v>0</v>
      </c>
      <c r="AK8" s="3">
        <v>335732774.81999999</v>
      </c>
      <c r="AL8" s="3">
        <v>111146452.88</v>
      </c>
      <c r="AM8" s="3">
        <v>149413658.84999999</v>
      </c>
      <c r="AN8" s="3">
        <v>0</v>
      </c>
      <c r="AO8" s="3">
        <v>0</v>
      </c>
      <c r="AP8" s="3">
        <v>260560111.72999999</v>
      </c>
      <c r="AQ8" s="3">
        <v>116377000</v>
      </c>
      <c r="AR8" s="3">
        <v>198752000</v>
      </c>
      <c r="AS8" s="3">
        <v>0</v>
      </c>
      <c r="AT8" s="3">
        <v>0</v>
      </c>
      <c r="AU8" s="3">
        <v>315129000</v>
      </c>
      <c r="AV8" s="3">
        <v>116377000</v>
      </c>
      <c r="AW8" s="3">
        <v>198752000</v>
      </c>
      <c r="AX8" s="3">
        <v>0</v>
      </c>
      <c r="AY8" s="3">
        <v>0</v>
      </c>
      <c r="AZ8" s="3">
        <v>315129000</v>
      </c>
      <c r="BA8" s="3">
        <v>116377000</v>
      </c>
      <c r="BB8" s="3">
        <v>198752000</v>
      </c>
      <c r="BC8" s="3">
        <v>0</v>
      </c>
      <c r="BD8" s="3">
        <v>0</v>
      </c>
      <c r="BE8" s="3">
        <v>315129000</v>
      </c>
      <c r="BF8" s="3">
        <v>113884060.04000001</v>
      </c>
      <c r="BG8" s="3">
        <v>196493315</v>
      </c>
      <c r="BH8" s="3">
        <v>0</v>
      </c>
      <c r="BI8" s="3">
        <v>0</v>
      </c>
      <c r="BJ8" s="3">
        <v>310377375.04000002</v>
      </c>
      <c r="BK8" s="3">
        <v>113884060.04000001</v>
      </c>
      <c r="BL8" s="3">
        <v>196493315</v>
      </c>
      <c r="BM8" s="3">
        <v>0</v>
      </c>
      <c r="BN8" s="3">
        <v>0</v>
      </c>
      <c r="BO8" s="3">
        <v>310377375.04000002</v>
      </c>
      <c r="BP8" s="3">
        <v>113875950.8</v>
      </c>
      <c r="BQ8" s="3">
        <v>166980905.46000001</v>
      </c>
      <c r="BR8" s="3">
        <v>0</v>
      </c>
      <c r="BS8" s="3">
        <v>0</v>
      </c>
      <c r="BT8" s="3">
        <v>280856856.25999999</v>
      </c>
      <c r="BU8" s="3">
        <v>113286628.15000001</v>
      </c>
      <c r="BV8" s="3">
        <v>119370185.47</v>
      </c>
      <c r="BW8" s="3">
        <v>0</v>
      </c>
      <c r="BX8" s="3">
        <v>0</v>
      </c>
      <c r="BY8" s="3">
        <v>232656813.62</v>
      </c>
      <c r="BZ8" s="3">
        <v>117943000</v>
      </c>
      <c r="CA8" s="3">
        <v>184767000</v>
      </c>
      <c r="CB8" s="3">
        <v>0</v>
      </c>
      <c r="CC8" s="3">
        <v>0</v>
      </c>
      <c r="CD8" s="3">
        <v>302710000</v>
      </c>
      <c r="CE8" s="3">
        <v>117943000</v>
      </c>
      <c r="CF8" s="3">
        <v>183695000</v>
      </c>
      <c r="CG8" s="3">
        <v>0</v>
      </c>
      <c r="CH8" s="3">
        <v>0</v>
      </c>
      <c r="CI8" s="3">
        <v>301638000</v>
      </c>
      <c r="CJ8" s="3">
        <v>117943000</v>
      </c>
      <c r="CK8" s="3">
        <v>183695000</v>
      </c>
      <c r="CL8" s="3">
        <v>0</v>
      </c>
      <c r="CM8" s="3">
        <v>0</v>
      </c>
      <c r="CN8" s="3">
        <v>301638000</v>
      </c>
      <c r="CO8" s="3">
        <v>116052237.8</v>
      </c>
      <c r="CP8" s="3">
        <v>161501154</v>
      </c>
      <c r="CQ8" s="3">
        <v>0</v>
      </c>
      <c r="CR8" s="3">
        <v>0</v>
      </c>
      <c r="CS8" s="3">
        <v>277553391.80000001</v>
      </c>
      <c r="CT8" s="3">
        <v>116052237.8</v>
      </c>
      <c r="CU8" s="3">
        <v>161501154</v>
      </c>
      <c r="CV8" s="3">
        <v>0</v>
      </c>
      <c r="CW8" s="3">
        <v>0</v>
      </c>
      <c r="CX8" s="3">
        <v>277553391.80000001</v>
      </c>
      <c r="CY8" s="3">
        <v>115932489.29000001</v>
      </c>
      <c r="CZ8" s="3">
        <v>133490180.28</v>
      </c>
      <c r="DA8" s="3">
        <v>0</v>
      </c>
      <c r="DB8" s="3">
        <v>0</v>
      </c>
      <c r="DC8" s="3">
        <v>249422669.56999999</v>
      </c>
      <c r="DD8" s="3">
        <v>115161606.03</v>
      </c>
      <c r="DE8" s="3">
        <v>100913384.31999999</v>
      </c>
      <c r="DF8" s="3">
        <v>0</v>
      </c>
      <c r="DG8" s="3">
        <v>0</v>
      </c>
      <c r="DH8" s="10">
        <v>216074990.35000002</v>
      </c>
      <c r="DI8" s="3">
        <v>121837000</v>
      </c>
      <c r="DJ8" s="3">
        <v>188132000</v>
      </c>
      <c r="DK8" s="3">
        <v>0</v>
      </c>
      <c r="DL8" s="3">
        <v>0</v>
      </c>
      <c r="DM8" s="3">
        <v>309969000</v>
      </c>
      <c r="DN8" s="3">
        <v>121837000</v>
      </c>
      <c r="DO8" s="3">
        <v>188132000</v>
      </c>
      <c r="DP8" s="3">
        <v>0</v>
      </c>
      <c r="DQ8" s="3">
        <v>0</v>
      </c>
      <c r="DR8" s="3">
        <v>309969000</v>
      </c>
      <c r="DS8" s="3">
        <v>121837000</v>
      </c>
      <c r="DT8" s="3">
        <v>188132000</v>
      </c>
      <c r="DU8" s="3">
        <v>0</v>
      </c>
      <c r="DV8" s="3">
        <v>0</v>
      </c>
      <c r="DW8" s="3">
        <v>309969000</v>
      </c>
      <c r="DX8" s="3">
        <v>122865739.08</v>
      </c>
      <c r="DY8" s="3">
        <v>182660706</v>
      </c>
      <c r="DZ8" s="3">
        <v>0</v>
      </c>
      <c r="EA8" s="3">
        <v>1762000</v>
      </c>
      <c r="EB8" s="3">
        <v>307288445.07999998</v>
      </c>
      <c r="EC8" s="3">
        <v>122865739.08</v>
      </c>
      <c r="ED8" s="3">
        <v>182660706</v>
      </c>
      <c r="EE8" s="3">
        <v>0</v>
      </c>
      <c r="EF8" s="3">
        <v>1762000</v>
      </c>
      <c r="EG8" s="3">
        <v>307288445.07999998</v>
      </c>
      <c r="EH8" s="3">
        <v>122865708.72</v>
      </c>
      <c r="EI8" s="3">
        <v>166035326.74000001</v>
      </c>
      <c r="EJ8" s="3">
        <v>0</v>
      </c>
      <c r="EK8" s="3">
        <v>1263500</v>
      </c>
      <c r="EL8" s="3">
        <v>290164535.45999998</v>
      </c>
      <c r="EM8" s="3">
        <v>122272714.17</v>
      </c>
      <c r="EN8" s="3">
        <v>130952737.61</v>
      </c>
      <c r="EO8" s="3">
        <v>0</v>
      </c>
      <c r="EP8" s="3">
        <v>42721.88</v>
      </c>
      <c r="EQ8" s="3">
        <v>253268173.65999997</v>
      </c>
      <c r="ER8" s="3">
        <v>126304000</v>
      </c>
      <c r="ES8" s="3">
        <v>188132000</v>
      </c>
      <c r="ET8" s="3">
        <v>0</v>
      </c>
      <c r="EU8" s="3">
        <v>0</v>
      </c>
      <c r="EV8" s="3">
        <v>314436000</v>
      </c>
      <c r="EW8" s="3">
        <v>126304000</v>
      </c>
      <c r="EX8" s="3">
        <v>188132000</v>
      </c>
      <c r="EY8" s="3">
        <v>0</v>
      </c>
      <c r="EZ8" s="3">
        <v>0</v>
      </c>
      <c r="FA8" s="3">
        <v>314436000</v>
      </c>
      <c r="FB8" s="3">
        <v>126304000</v>
      </c>
      <c r="FC8" s="3">
        <v>188132000</v>
      </c>
      <c r="FD8" s="3">
        <v>0</v>
      </c>
      <c r="FE8" s="3">
        <v>0</v>
      </c>
      <c r="FF8" s="3">
        <v>314436000</v>
      </c>
      <c r="FG8" s="3">
        <v>125232000.45999999</v>
      </c>
      <c r="FH8" s="3">
        <v>179613672.34999999</v>
      </c>
      <c r="FI8" s="3">
        <v>0</v>
      </c>
      <c r="FJ8" s="3">
        <v>0</v>
      </c>
      <c r="FK8" s="3">
        <v>304845672.81</v>
      </c>
      <c r="FL8" s="3">
        <v>125232000.45999999</v>
      </c>
      <c r="FM8" s="3">
        <v>179613672.34999999</v>
      </c>
      <c r="FN8" s="3">
        <v>0</v>
      </c>
      <c r="FO8" s="3">
        <v>0</v>
      </c>
      <c r="FP8" s="3">
        <v>304845672.81</v>
      </c>
      <c r="FQ8" s="3">
        <v>125211744.40000001</v>
      </c>
      <c r="FR8" s="3">
        <v>164560710.69</v>
      </c>
      <c r="FS8" s="3">
        <v>0</v>
      </c>
      <c r="FT8" s="3">
        <v>0</v>
      </c>
      <c r="FU8" s="3">
        <v>289772455.08999997</v>
      </c>
      <c r="FV8" s="3">
        <v>122767001.7</v>
      </c>
      <c r="FW8" s="3">
        <v>142861020.36000001</v>
      </c>
      <c r="FX8" s="3">
        <v>0</v>
      </c>
      <c r="FY8" s="3">
        <v>0</v>
      </c>
      <c r="FZ8" s="3">
        <v>265628022.06</v>
      </c>
      <c r="GA8" s="3">
        <v>126258000</v>
      </c>
      <c r="GB8" s="3">
        <v>447073000</v>
      </c>
      <c r="GC8" s="3">
        <v>0</v>
      </c>
      <c r="GD8" s="3">
        <v>0</v>
      </c>
      <c r="GE8" s="3">
        <v>573331000</v>
      </c>
      <c r="GF8" s="3">
        <v>126258000</v>
      </c>
      <c r="GG8" s="3">
        <v>447073000</v>
      </c>
      <c r="GH8" s="3">
        <v>0</v>
      </c>
      <c r="GI8" s="3">
        <v>0</v>
      </c>
      <c r="GJ8" s="3">
        <v>573331000</v>
      </c>
      <c r="GK8" s="3">
        <v>126258000</v>
      </c>
      <c r="GL8" s="3">
        <v>447073000</v>
      </c>
      <c r="GM8" s="3">
        <v>0</v>
      </c>
      <c r="GN8" s="3">
        <v>0</v>
      </c>
      <c r="GO8" s="3">
        <v>573331000</v>
      </c>
      <c r="GP8" s="3">
        <v>128649120.67</v>
      </c>
      <c r="GQ8" s="3">
        <v>431353311.04000002</v>
      </c>
      <c r="GR8" s="3">
        <v>0</v>
      </c>
      <c r="GS8" s="3">
        <v>150000</v>
      </c>
      <c r="GT8" s="3">
        <v>560152431.71000004</v>
      </c>
      <c r="GU8" s="3">
        <v>128649120.67</v>
      </c>
      <c r="GV8" s="3">
        <v>431353311.04000002</v>
      </c>
      <c r="GW8" s="3">
        <v>0</v>
      </c>
      <c r="GX8" s="3">
        <v>150000</v>
      </c>
      <c r="GY8" s="3">
        <v>560152431.71000004</v>
      </c>
      <c r="GZ8" s="3">
        <v>128420038.58</v>
      </c>
      <c r="HA8" s="3">
        <v>382255646.56</v>
      </c>
      <c r="HB8" s="3">
        <v>0</v>
      </c>
      <c r="HC8" s="3">
        <v>0</v>
      </c>
      <c r="HD8" s="3">
        <v>510675685.13999999</v>
      </c>
      <c r="HE8" s="3">
        <v>127437219.93000001</v>
      </c>
      <c r="HF8" s="3">
        <v>317692582.43000001</v>
      </c>
      <c r="HG8" s="3">
        <v>0</v>
      </c>
      <c r="HH8" s="3">
        <v>0</v>
      </c>
      <c r="HI8" s="3">
        <v>445129802.36000001</v>
      </c>
      <c r="HJ8" s="3">
        <v>128158000</v>
      </c>
      <c r="HK8" s="3">
        <v>511032000</v>
      </c>
      <c r="HL8" s="3">
        <v>0</v>
      </c>
      <c r="HM8" s="3">
        <v>0</v>
      </c>
      <c r="HN8" s="3">
        <v>639190000</v>
      </c>
      <c r="HO8" s="3">
        <v>128158000</v>
      </c>
      <c r="HP8" s="3">
        <v>511032000</v>
      </c>
      <c r="HQ8" s="3">
        <v>0</v>
      </c>
      <c r="HR8" s="3">
        <v>0</v>
      </c>
      <c r="HS8" s="3">
        <v>639190000</v>
      </c>
      <c r="HT8" s="3">
        <v>128158000</v>
      </c>
      <c r="HU8" s="3">
        <v>511032000</v>
      </c>
      <c r="HV8" s="3">
        <v>0</v>
      </c>
      <c r="HW8" s="3">
        <v>0</v>
      </c>
      <c r="HX8" s="3">
        <v>639190000</v>
      </c>
      <c r="HY8" s="3">
        <v>129920378.23999999</v>
      </c>
      <c r="HZ8" s="3">
        <v>498916069</v>
      </c>
      <c r="IA8" s="3">
        <v>0</v>
      </c>
      <c r="IB8" s="3">
        <v>0</v>
      </c>
      <c r="IC8" s="3">
        <v>628836447.24000001</v>
      </c>
      <c r="ID8" s="3">
        <v>129920378.23999999</v>
      </c>
      <c r="IE8" s="3">
        <v>498916069</v>
      </c>
      <c r="IF8" s="3">
        <v>0</v>
      </c>
      <c r="IG8" s="3">
        <v>0</v>
      </c>
      <c r="IH8" s="3">
        <v>628836447.24000001</v>
      </c>
      <c r="II8" s="3">
        <v>129814354.08</v>
      </c>
      <c r="IJ8" s="3">
        <v>427274048.38</v>
      </c>
      <c r="IK8" s="3">
        <v>0</v>
      </c>
      <c r="IL8" s="3">
        <v>0</v>
      </c>
      <c r="IM8" s="3">
        <v>557088402.46000004</v>
      </c>
      <c r="IN8" s="3">
        <v>128567814.69</v>
      </c>
      <c r="IO8" s="6">
        <v>336306909.76999998</v>
      </c>
      <c r="IP8" s="3">
        <v>0</v>
      </c>
      <c r="IQ8" s="3">
        <v>0</v>
      </c>
      <c r="IR8" s="6">
        <v>464874724.45999998</v>
      </c>
      <c r="IS8" s="3">
        <v>129806000</v>
      </c>
      <c r="IT8" s="3">
        <v>424487000</v>
      </c>
      <c r="IU8" s="3">
        <v>0</v>
      </c>
      <c r="IV8" s="3">
        <v>0</v>
      </c>
      <c r="IW8" s="3">
        <v>554293000</v>
      </c>
      <c r="IX8" s="3">
        <v>129806000</v>
      </c>
      <c r="IY8" s="3">
        <v>424487000</v>
      </c>
      <c r="IZ8" s="3">
        <v>0</v>
      </c>
      <c r="JA8" s="3">
        <v>0</v>
      </c>
      <c r="JB8" s="3">
        <v>554293000</v>
      </c>
      <c r="JC8" s="3">
        <v>129806000</v>
      </c>
      <c r="JD8" s="3">
        <v>424487000</v>
      </c>
      <c r="JE8" s="3">
        <v>0</v>
      </c>
      <c r="JF8" s="3">
        <v>0</v>
      </c>
      <c r="JG8" s="3">
        <v>554293000</v>
      </c>
      <c r="JH8" s="3">
        <v>130241423.34999999</v>
      </c>
      <c r="JI8" s="3">
        <v>411013270.63999999</v>
      </c>
      <c r="JJ8" s="3">
        <v>0</v>
      </c>
      <c r="JK8" s="3">
        <v>0</v>
      </c>
      <c r="JL8" s="3">
        <v>541254694</v>
      </c>
      <c r="JM8" s="3">
        <v>130241423.34999999</v>
      </c>
      <c r="JN8" s="3">
        <v>411013270.63999999</v>
      </c>
      <c r="JO8" s="3">
        <v>0</v>
      </c>
      <c r="JP8" s="3">
        <v>0</v>
      </c>
      <c r="JQ8" s="3">
        <v>541254694</v>
      </c>
      <c r="JR8" s="3">
        <v>130223260.97</v>
      </c>
      <c r="JS8" s="3">
        <v>384682084.98000002</v>
      </c>
      <c r="JT8" s="3">
        <v>0</v>
      </c>
      <c r="JU8" s="3">
        <v>0</v>
      </c>
      <c r="JV8" s="3">
        <v>514905345.94999999</v>
      </c>
      <c r="JW8" s="3">
        <v>129567398.41</v>
      </c>
      <c r="JX8" s="3">
        <v>315761129.68000001</v>
      </c>
      <c r="JY8" s="3">
        <v>0</v>
      </c>
      <c r="JZ8" s="3">
        <v>0</v>
      </c>
      <c r="KA8" s="3">
        <v>445328528.08999997</v>
      </c>
      <c r="KB8" s="3">
        <v>206056000</v>
      </c>
      <c r="KC8" s="3">
        <v>433632000</v>
      </c>
      <c r="KD8" s="3">
        <v>0</v>
      </c>
      <c r="KE8" s="3">
        <v>0</v>
      </c>
      <c r="KF8" s="3">
        <v>639688000</v>
      </c>
      <c r="KG8" s="3">
        <v>206056000</v>
      </c>
      <c r="KH8" s="3">
        <v>433632000</v>
      </c>
      <c r="KI8" s="3">
        <v>0</v>
      </c>
      <c r="KJ8" s="3">
        <v>0</v>
      </c>
      <c r="KK8" s="3">
        <v>639688000</v>
      </c>
      <c r="KL8" s="3"/>
      <c r="KM8" s="3"/>
      <c r="KN8" s="3"/>
      <c r="KO8" s="3"/>
      <c r="KP8" s="3"/>
      <c r="KQ8" s="3"/>
      <c r="KR8" s="3"/>
      <c r="KS8" s="3"/>
      <c r="KT8" s="3"/>
      <c r="KU8" s="3"/>
      <c r="KV8" s="3"/>
      <c r="KW8" s="3"/>
      <c r="KX8" s="3"/>
      <c r="KY8" s="3"/>
      <c r="KZ8" s="3"/>
      <c r="LA8" s="3"/>
      <c r="LB8" s="3"/>
      <c r="LC8" s="3"/>
      <c r="LD8" s="3"/>
      <c r="LE8" s="3"/>
      <c r="LF8" s="3"/>
      <c r="LG8" s="3"/>
      <c r="LH8" s="3"/>
      <c r="LI8" s="3"/>
      <c r="LJ8" s="3"/>
      <c r="LK8" s="3">
        <v>211415000</v>
      </c>
      <c r="LL8" s="3">
        <v>723131000</v>
      </c>
      <c r="LM8">
        <v>0</v>
      </c>
      <c r="LN8" s="3">
        <v>405000</v>
      </c>
      <c r="LO8" s="3">
        <v>934951000</v>
      </c>
    </row>
    <row r="9" spans="1:332" x14ac:dyDescent="0.25">
      <c r="A9" t="s">
        <v>943</v>
      </c>
      <c r="B9" t="s">
        <v>944</v>
      </c>
      <c r="C9" t="s">
        <v>199</v>
      </c>
      <c r="D9" t="s">
        <v>200</v>
      </c>
      <c r="E9" t="s">
        <v>208</v>
      </c>
      <c r="F9" t="s">
        <v>508</v>
      </c>
      <c r="G9" t="s">
        <v>1008</v>
      </c>
      <c r="H9" s="3">
        <v>24601000</v>
      </c>
      <c r="I9" s="3">
        <v>10975000</v>
      </c>
      <c r="J9" s="3">
        <v>103000</v>
      </c>
      <c r="K9" s="3">
        <v>0</v>
      </c>
      <c r="L9" s="3">
        <v>35679000</v>
      </c>
      <c r="M9" s="3">
        <v>24601000</v>
      </c>
      <c r="N9" s="3">
        <v>10975000</v>
      </c>
      <c r="O9" s="3">
        <v>103000</v>
      </c>
      <c r="P9" s="3">
        <v>0</v>
      </c>
      <c r="Q9" s="3">
        <v>35679000</v>
      </c>
      <c r="R9" s="3">
        <v>24601000</v>
      </c>
      <c r="S9" s="3">
        <v>10975000</v>
      </c>
      <c r="T9" s="3">
        <v>103000</v>
      </c>
      <c r="U9" s="3">
        <v>0</v>
      </c>
      <c r="V9" s="3">
        <v>35679000</v>
      </c>
      <c r="W9" s="3">
        <v>24601000</v>
      </c>
      <c r="X9" s="3">
        <v>10975000</v>
      </c>
      <c r="Y9" s="3">
        <v>103000</v>
      </c>
      <c r="Z9" s="3">
        <v>0</v>
      </c>
      <c r="AA9" s="3">
        <v>35679000</v>
      </c>
      <c r="AB9" s="3">
        <v>24601000</v>
      </c>
      <c r="AC9" s="3">
        <v>10975000</v>
      </c>
      <c r="AD9" s="3">
        <v>103000</v>
      </c>
      <c r="AE9" s="3">
        <v>0</v>
      </c>
      <c r="AF9" s="3">
        <v>35679000</v>
      </c>
      <c r="AG9" s="3">
        <v>22426261.93</v>
      </c>
      <c r="AH9" s="3">
        <v>9930733.1700000018</v>
      </c>
      <c r="AI9" s="3">
        <v>81712.69</v>
      </c>
      <c r="AJ9" s="3">
        <v>0</v>
      </c>
      <c r="AK9" s="3">
        <v>32438707.789999999</v>
      </c>
      <c r="AL9" s="3">
        <v>22419579.66</v>
      </c>
      <c r="AM9" s="3">
        <v>6825734.9100000001</v>
      </c>
      <c r="AN9" s="3">
        <v>81712.69</v>
      </c>
      <c r="AO9" s="3">
        <v>0</v>
      </c>
      <c r="AP9" s="3">
        <v>29327027.260000002</v>
      </c>
      <c r="AQ9" s="3">
        <v>22438000</v>
      </c>
      <c r="AR9" s="3">
        <v>8602000</v>
      </c>
      <c r="AS9" s="3">
        <v>79000</v>
      </c>
      <c r="AT9" s="3">
        <v>0</v>
      </c>
      <c r="AU9" s="3">
        <v>31119000</v>
      </c>
      <c r="AV9" s="3">
        <v>22438000</v>
      </c>
      <c r="AW9" s="3">
        <v>8602000</v>
      </c>
      <c r="AX9" s="3">
        <v>79000</v>
      </c>
      <c r="AY9" s="3">
        <v>0</v>
      </c>
      <c r="AZ9" s="3">
        <v>31119000</v>
      </c>
      <c r="BA9" s="3">
        <v>22438000</v>
      </c>
      <c r="BB9" s="3">
        <v>8602000</v>
      </c>
      <c r="BC9" s="3">
        <v>79000</v>
      </c>
      <c r="BD9" s="3">
        <v>0</v>
      </c>
      <c r="BE9" s="3">
        <v>31119000</v>
      </c>
      <c r="BF9" s="3">
        <v>24879911.920000002</v>
      </c>
      <c r="BG9" s="3">
        <v>8602000</v>
      </c>
      <c r="BH9" s="3">
        <v>79000</v>
      </c>
      <c r="BI9" s="3">
        <v>0</v>
      </c>
      <c r="BJ9" s="3">
        <v>33560911.920000002</v>
      </c>
      <c r="BK9" s="3">
        <v>24879911.920000002</v>
      </c>
      <c r="BL9" s="3">
        <v>8602000</v>
      </c>
      <c r="BM9" s="3">
        <v>79000</v>
      </c>
      <c r="BN9" s="3">
        <v>0</v>
      </c>
      <c r="BO9" s="3">
        <v>33560911.920000002</v>
      </c>
      <c r="BP9" s="3">
        <v>24879911.920000002</v>
      </c>
      <c r="BQ9" s="3">
        <v>8283112.7699999996</v>
      </c>
      <c r="BR9" s="3">
        <v>77862.899999999994</v>
      </c>
      <c r="BS9" s="3">
        <v>0</v>
      </c>
      <c r="BT9" s="3">
        <v>33240887.59</v>
      </c>
      <c r="BU9" s="3">
        <v>24576258.16</v>
      </c>
      <c r="BV9" s="3">
        <v>8261985.8799999999</v>
      </c>
      <c r="BW9" s="3">
        <v>77862.899999999994</v>
      </c>
      <c r="BX9" s="3">
        <v>0</v>
      </c>
      <c r="BY9" s="3">
        <v>32916106.940000001</v>
      </c>
      <c r="BZ9" s="3">
        <v>25042000</v>
      </c>
      <c r="CA9" s="3">
        <v>7915000</v>
      </c>
      <c r="CB9" s="3">
        <v>71000</v>
      </c>
      <c r="CC9" s="3">
        <v>0</v>
      </c>
      <c r="CD9" s="3">
        <v>33028000</v>
      </c>
      <c r="CE9" s="3">
        <v>25042000</v>
      </c>
      <c r="CF9" s="3">
        <v>7915000</v>
      </c>
      <c r="CG9" s="3">
        <v>71000</v>
      </c>
      <c r="CH9" s="3">
        <v>0</v>
      </c>
      <c r="CI9" s="3">
        <v>33028000</v>
      </c>
      <c r="CJ9" s="3">
        <v>25042000</v>
      </c>
      <c r="CK9" s="3">
        <v>7915000</v>
      </c>
      <c r="CL9" s="3">
        <v>71000</v>
      </c>
      <c r="CM9" s="3">
        <v>0</v>
      </c>
      <c r="CN9" s="3">
        <v>33028000</v>
      </c>
      <c r="CO9" s="3">
        <v>20061419.109999999</v>
      </c>
      <c r="CP9" s="3">
        <v>7915000</v>
      </c>
      <c r="CQ9" s="3">
        <v>71000</v>
      </c>
      <c r="CR9" s="3">
        <v>0</v>
      </c>
      <c r="CS9" s="3">
        <v>28047419.109999999</v>
      </c>
      <c r="CT9" s="3">
        <v>20061419.109999999</v>
      </c>
      <c r="CU9" s="3">
        <v>7915000</v>
      </c>
      <c r="CV9" s="3">
        <v>71000</v>
      </c>
      <c r="CW9" s="3">
        <v>0</v>
      </c>
      <c r="CX9" s="3">
        <v>28047419.109999999</v>
      </c>
      <c r="CY9" s="3">
        <v>20061419.109999999</v>
      </c>
      <c r="CZ9" s="3">
        <v>5013014.82</v>
      </c>
      <c r="DA9" s="3">
        <v>42918.92</v>
      </c>
      <c r="DB9" s="3">
        <v>0</v>
      </c>
      <c r="DC9" s="3">
        <v>25117352.850000001</v>
      </c>
      <c r="DD9" s="3">
        <v>19926236.52</v>
      </c>
      <c r="DE9" s="3">
        <v>3991103.59</v>
      </c>
      <c r="DF9" s="3">
        <v>40374.119999999995</v>
      </c>
      <c r="DG9" s="3">
        <v>0</v>
      </c>
      <c r="DH9" s="10">
        <v>23957714.23</v>
      </c>
      <c r="DI9" s="3">
        <v>25330000</v>
      </c>
      <c r="DJ9" s="3">
        <v>8059000</v>
      </c>
      <c r="DK9" s="3">
        <v>71000</v>
      </c>
      <c r="DL9" s="3">
        <v>0</v>
      </c>
      <c r="DM9" s="3">
        <v>33460000</v>
      </c>
      <c r="DN9" s="3">
        <v>25330000</v>
      </c>
      <c r="DO9" s="3">
        <v>8059000</v>
      </c>
      <c r="DP9" s="3">
        <v>71000</v>
      </c>
      <c r="DQ9" s="3">
        <v>0</v>
      </c>
      <c r="DR9" s="3">
        <v>33460000</v>
      </c>
      <c r="DS9" s="3">
        <v>25330000</v>
      </c>
      <c r="DT9" s="3">
        <v>8059000</v>
      </c>
      <c r="DU9" s="3">
        <v>71000</v>
      </c>
      <c r="DV9" s="3">
        <v>0</v>
      </c>
      <c r="DW9" s="3">
        <v>33460000</v>
      </c>
      <c r="DX9" s="3">
        <v>22570978.870000001</v>
      </c>
      <c r="DY9" s="3">
        <v>8130000</v>
      </c>
      <c r="DZ9" s="3">
        <v>0</v>
      </c>
      <c r="EA9" s="3">
        <v>0</v>
      </c>
      <c r="EB9" s="3">
        <v>30700978.870000001</v>
      </c>
      <c r="EC9" s="3">
        <v>22570978.870000001</v>
      </c>
      <c r="ED9" s="3">
        <v>8130000</v>
      </c>
      <c r="EE9" s="3">
        <v>0</v>
      </c>
      <c r="EF9" s="3">
        <v>0</v>
      </c>
      <c r="EG9" s="3">
        <v>30700978.870000001</v>
      </c>
      <c r="EH9" s="3">
        <v>22570978.869999997</v>
      </c>
      <c r="EI9" s="3">
        <v>6559072.8600000003</v>
      </c>
      <c r="EJ9" s="3">
        <v>0</v>
      </c>
      <c r="EK9" s="3">
        <v>0</v>
      </c>
      <c r="EL9" s="3">
        <v>29130051.729999997</v>
      </c>
      <c r="EM9" s="3">
        <v>22276127.439999998</v>
      </c>
      <c r="EN9" s="3">
        <v>4854736.8500000006</v>
      </c>
      <c r="EO9" s="3">
        <v>0</v>
      </c>
      <c r="EP9" s="3">
        <v>0</v>
      </c>
      <c r="EQ9" s="3">
        <v>27130864.289999999</v>
      </c>
      <c r="ER9" s="3">
        <v>23038000</v>
      </c>
      <c r="ES9" s="3">
        <v>8130000</v>
      </c>
      <c r="ET9" s="3">
        <v>0</v>
      </c>
      <c r="EU9" s="3">
        <v>0</v>
      </c>
      <c r="EV9" s="3">
        <v>31168000</v>
      </c>
      <c r="EW9" s="3">
        <v>23038000</v>
      </c>
      <c r="EX9" s="3">
        <v>8130000</v>
      </c>
      <c r="EY9" s="3">
        <v>0</v>
      </c>
      <c r="EZ9" s="3">
        <v>0</v>
      </c>
      <c r="FA9" s="3">
        <v>31168000</v>
      </c>
      <c r="FB9" s="3">
        <v>23038000</v>
      </c>
      <c r="FC9" s="3">
        <v>8130000</v>
      </c>
      <c r="FD9" s="3">
        <v>0</v>
      </c>
      <c r="FE9" s="3">
        <v>0</v>
      </c>
      <c r="FF9" s="3">
        <v>31168000</v>
      </c>
      <c r="FG9" s="3">
        <v>19870857.16</v>
      </c>
      <c r="FH9" s="3">
        <v>8130000</v>
      </c>
      <c r="FI9" s="3">
        <v>0</v>
      </c>
      <c r="FJ9" s="3">
        <v>0</v>
      </c>
      <c r="FK9" s="3">
        <v>28000857.16</v>
      </c>
      <c r="FL9" s="3">
        <v>19870857.16</v>
      </c>
      <c r="FM9" s="3">
        <v>8130000</v>
      </c>
      <c r="FN9" s="3">
        <v>0</v>
      </c>
      <c r="FO9" s="3">
        <v>0</v>
      </c>
      <c r="FP9" s="3">
        <v>28000857.16</v>
      </c>
      <c r="FQ9" s="3">
        <v>19870857.16</v>
      </c>
      <c r="FR9" s="3">
        <v>5750652.9800000004</v>
      </c>
      <c r="FS9" s="3">
        <v>0</v>
      </c>
      <c r="FT9" s="3">
        <v>0</v>
      </c>
      <c r="FU9" s="3">
        <v>25621510.140000001</v>
      </c>
      <c r="FV9" s="3">
        <v>19639187.539999999</v>
      </c>
      <c r="FW9" s="3">
        <v>4941514.54</v>
      </c>
      <c r="FX9" s="3">
        <v>0</v>
      </c>
      <c r="FY9" s="3">
        <v>0</v>
      </c>
      <c r="FZ9" s="3">
        <v>24580702.079999998</v>
      </c>
      <c r="GA9" s="3">
        <v>20445000</v>
      </c>
      <c r="GB9" s="3">
        <v>5360000</v>
      </c>
      <c r="GC9" s="3">
        <v>0</v>
      </c>
      <c r="GD9" s="3">
        <v>0</v>
      </c>
      <c r="GE9" s="3">
        <v>25805000</v>
      </c>
      <c r="GF9" s="3">
        <v>20445000</v>
      </c>
      <c r="GG9" s="3">
        <v>5360000</v>
      </c>
      <c r="GH9" s="3">
        <v>0</v>
      </c>
      <c r="GI9" s="3">
        <v>0</v>
      </c>
      <c r="GJ9" s="3">
        <v>25805000</v>
      </c>
      <c r="GK9" s="3">
        <v>20445000</v>
      </c>
      <c r="GL9" s="3">
        <v>5360000</v>
      </c>
      <c r="GM9" s="3">
        <v>0</v>
      </c>
      <c r="GN9" s="3">
        <v>0</v>
      </c>
      <c r="GO9" s="3">
        <v>25805000</v>
      </c>
      <c r="GP9" s="3">
        <v>21719616.120000001</v>
      </c>
      <c r="GQ9" s="3">
        <v>5360000</v>
      </c>
      <c r="GR9" s="3">
        <v>0</v>
      </c>
      <c r="GS9" s="3">
        <v>0</v>
      </c>
      <c r="GT9" s="3">
        <v>27079616.120000001</v>
      </c>
      <c r="GU9" s="3">
        <v>21719616.120000001</v>
      </c>
      <c r="GV9" s="3">
        <v>5360000</v>
      </c>
      <c r="GW9" s="3">
        <v>0</v>
      </c>
      <c r="GX9" s="3">
        <v>0</v>
      </c>
      <c r="GY9" s="3">
        <v>27079616.120000001</v>
      </c>
      <c r="GZ9" s="3">
        <v>21719616.120000001</v>
      </c>
      <c r="HA9" s="3">
        <v>4446328.5999999996</v>
      </c>
      <c r="HB9" s="3">
        <v>0</v>
      </c>
      <c r="HC9" s="3">
        <v>0</v>
      </c>
      <c r="HD9" s="3">
        <v>26165944.719999999</v>
      </c>
      <c r="HE9" s="3">
        <v>21511123.91</v>
      </c>
      <c r="HF9" s="3">
        <v>3138388.99</v>
      </c>
      <c r="HG9" s="3">
        <v>0</v>
      </c>
      <c r="HH9" s="3">
        <v>0</v>
      </c>
      <c r="HI9" s="3">
        <v>24649512.899999999</v>
      </c>
      <c r="HJ9" s="3">
        <v>21882000</v>
      </c>
      <c r="HK9" s="3">
        <v>3860000</v>
      </c>
      <c r="HL9" s="3">
        <v>0</v>
      </c>
      <c r="HM9" s="3">
        <v>0</v>
      </c>
      <c r="HN9" s="3">
        <v>25742000</v>
      </c>
      <c r="HO9" s="3">
        <v>21882000</v>
      </c>
      <c r="HP9" s="3">
        <v>3860000</v>
      </c>
      <c r="HQ9" s="3">
        <v>0</v>
      </c>
      <c r="HR9" s="3">
        <v>0</v>
      </c>
      <c r="HS9" s="3">
        <v>25742000</v>
      </c>
      <c r="HT9" s="3">
        <v>21882000</v>
      </c>
      <c r="HU9" s="3">
        <v>3860000</v>
      </c>
      <c r="HV9" s="3">
        <v>0</v>
      </c>
      <c r="HW9" s="3">
        <v>0</v>
      </c>
      <c r="HX9" s="3">
        <v>25742000</v>
      </c>
      <c r="HY9" s="3">
        <v>23858865.41</v>
      </c>
      <c r="HZ9" s="3">
        <v>3725000</v>
      </c>
      <c r="IA9" s="3">
        <v>0</v>
      </c>
      <c r="IB9" s="3">
        <v>0</v>
      </c>
      <c r="IC9" s="3">
        <v>27583865.41</v>
      </c>
      <c r="ID9" s="3">
        <v>23858865.41</v>
      </c>
      <c r="IE9" s="3">
        <v>3725000</v>
      </c>
      <c r="IF9" s="3">
        <v>0</v>
      </c>
      <c r="IG9" s="3">
        <v>0</v>
      </c>
      <c r="IH9" s="3">
        <v>27583865.41</v>
      </c>
      <c r="II9" s="3">
        <v>23858865.41</v>
      </c>
      <c r="IJ9" s="3">
        <v>3626094.24</v>
      </c>
      <c r="IK9" s="3">
        <v>0</v>
      </c>
      <c r="IL9" s="3">
        <v>0</v>
      </c>
      <c r="IM9" s="3">
        <v>27484959.649999999</v>
      </c>
      <c r="IN9" s="3">
        <v>23640060.140000001</v>
      </c>
      <c r="IO9" s="6">
        <v>2919373.82</v>
      </c>
      <c r="IP9" s="3">
        <v>0</v>
      </c>
      <c r="IQ9" s="3">
        <v>0</v>
      </c>
      <c r="IR9" s="6">
        <v>26559433.960000001</v>
      </c>
      <c r="IS9" s="3">
        <v>22823000</v>
      </c>
      <c r="IT9" s="3">
        <v>3929000</v>
      </c>
      <c r="IU9" s="3">
        <v>0</v>
      </c>
      <c r="IV9" s="3">
        <v>0</v>
      </c>
      <c r="IW9" s="3">
        <v>26752000</v>
      </c>
      <c r="IX9" s="3">
        <v>22823000</v>
      </c>
      <c r="IY9" s="3">
        <v>3929000</v>
      </c>
      <c r="IZ9" s="3">
        <v>0</v>
      </c>
      <c r="JA9" s="3">
        <v>0</v>
      </c>
      <c r="JB9" s="3">
        <v>26752000</v>
      </c>
      <c r="JC9" s="3">
        <v>22823000</v>
      </c>
      <c r="JD9" s="3">
        <v>3929000</v>
      </c>
      <c r="JE9" s="3">
        <v>0</v>
      </c>
      <c r="JF9" s="3">
        <v>0</v>
      </c>
      <c r="JG9" s="3">
        <v>26752000</v>
      </c>
      <c r="JH9" s="3">
        <v>21320485.809999999</v>
      </c>
      <c r="JI9" s="3">
        <v>3629772.09</v>
      </c>
      <c r="JJ9" s="3">
        <v>0</v>
      </c>
      <c r="JK9" s="3">
        <v>0</v>
      </c>
      <c r="JL9" s="3">
        <v>24950257.899999999</v>
      </c>
      <c r="JM9" s="3">
        <v>21320485.809999999</v>
      </c>
      <c r="JN9" s="3">
        <v>3629772.09</v>
      </c>
      <c r="JO9" s="3">
        <v>0</v>
      </c>
      <c r="JP9" s="3">
        <v>0</v>
      </c>
      <c r="JQ9" s="3">
        <v>24950257.899999999</v>
      </c>
      <c r="JR9" s="3">
        <v>21320485.809999999</v>
      </c>
      <c r="JS9" s="3">
        <v>3399396.39</v>
      </c>
      <c r="JT9" s="3">
        <v>0</v>
      </c>
      <c r="JU9" s="3">
        <v>0</v>
      </c>
      <c r="JV9" s="3">
        <v>24719882.199999999</v>
      </c>
      <c r="JW9" s="3">
        <v>21299211.48</v>
      </c>
      <c r="JX9" s="3">
        <v>2534048.16</v>
      </c>
      <c r="JY9" s="3">
        <v>0</v>
      </c>
      <c r="JZ9" s="3">
        <v>0</v>
      </c>
      <c r="KA9" s="3">
        <v>23833259.640000001</v>
      </c>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row>
    <row r="10" spans="1:332" x14ac:dyDescent="0.25">
      <c r="A10" t="s">
        <v>943</v>
      </c>
      <c r="B10" t="s">
        <v>944</v>
      </c>
      <c r="C10" t="s">
        <v>199</v>
      </c>
      <c r="D10" t="s">
        <v>200</v>
      </c>
      <c r="E10" t="s">
        <v>208</v>
      </c>
      <c r="F10" t="s">
        <v>509</v>
      </c>
      <c r="G10" t="s">
        <v>1009</v>
      </c>
      <c r="H10" s="3">
        <v>93036000</v>
      </c>
      <c r="I10" s="3">
        <v>56586000</v>
      </c>
      <c r="J10" s="3">
        <v>206000</v>
      </c>
      <c r="K10" s="3">
        <v>0</v>
      </c>
      <c r="L10" s="3">
        <v>149828000</v>
      </c>
      <c r="M10" s="3">
        <v>93036000</v>
      </c>
      <c r="N10" s="3">
        <v>56586000</v>
      </c>
      <c r="O10" s="3">
        <v>206000</v>
      </c>
      <c r="P10" s="3">
        <v>0</v>
      </c>
      <c r="Q10" s="3">
        <v>149828000</v>
      </c>
      <c r="R10" s="3">
        <v>93036000</v>
      </c>
      <c r="S10" s="3">
        <v>56586000</v>
      </c>
      <c r="T10" s="3">
        <v>206000</v>
      </c>
      <c r="U10" s="3">
        <v>0</v>
      </c>
      <c r="V10" s="3">
        <v>149828000</v>
      </c>
      <c r="W10" s="3">
        <v>64289506.260000005</v>
      </c>
      <c r="X10" s="3">
        <v>56586000</v>
      </c>
      <c r="Y10" s="3">
        <v>206000</v>
      </c>
      <c r="Z10" s="3">
        <v>0</v>
      </c>
      <c r="AA10" s="3">
        <v>121081506.26000001</v>
      </c>
      <c r="AB10" s="3">
        <v>64289506.260000005</v>
      </c>
      <c r="AC10" s="3">
        <v>56586000</v>
      </c>
      <c r="AD10" s="3">
        <v>206000</v>
      </c>
      <c r="AE10" s="3">
        <v>0</v>
      </c>
      <c r="AF10" s="3">
        <v>121081506.26000001</v>
      </c>
      <c r="AG10" s="3">
        <v>62712548.25</v>
      </c>
      <c r="AH10" s="3">
        <v>51875065.390000001</v>
      </c>
      <c r="AI10" s="3">
        <v>205778.25</v>
      </c>
      <c r="AJ10" s="3">
        <v>0</v>
      </c>
      <c r="AK10" s="3">
        <v>114793391.89</v>
      </c>
      <c r="AL10" s="3">
        <v>62442325.75</v>
      </c>
      <c r="AM10" s="3">
        <v>49054453.359999999</v>
      </c>
      <c r="AN10" s="3">
        <v>205778.25</v>
      </c>
      <c r="AO10" s="3">
        <v>0</v>
      </c>
      <c r="AP10" s="3">
        <v>111702557.36</v>
      </c>
      <c r="AQ10" s="3">
        <v>68534000</v>
      </c>
      <c r="AR10" s="3">
        <v>44356000</v>
      </c>
      <c r="AS10" s="3">
        <v>159000</v>
      </c>
      <c r="AT10" s="3">
        <v>0</v>
      </c>
      <c r="AU10" s="3">
        <v>113049000</v>
      </c>
      <c r="AV10" s="3">
        <v>68534000</v>
      </c>
      <c r="AW10" s="3">
        <v>44156000</v>
      </c>
      <c r="AX10" s="3">
        <v>359000</v>
      </c>
      <c r="AY10" s="3">
        <v>0</v>
      </c>
      <c r="AZ10" s="3">
        <v>113049000</v>
      </c>
      <c r="BA10" s="3">
        <v>68534000</v>
      </c>
      <c r="BB10" s="3">
        <v>44156000</v>
      </c>
      <c r="BC10" s="3">
        <v>359000</v>
      </c>
      <c r="BD10" s="3">
        <v>0</v>
      </c>
      <c r="BE10" s="3">
        <v>113049000</v>
      </c>
      <c r="BF10" s="3">
        <v>61326563.259999998</v>
      </c>
      <c r="BG10" s="3">
        <v>44156000</v>
      </c>
      <c r="BH10" s="3">
        <v>359000</v>
      </c>
      <c r="BI10" s="3">
        <v>0</v>
      </c>
      <c r="BJ10" s="3">
        <v>105841563.26000001</v>
      </c>
      <c r="BK10" s="3">
        <v>61326563.259999998</v>
      </c>
      <c r="BL10" s="3">
        <v>44156000</v>
      </c>
      <c r="BM10" s="3">
        <v>359000</v>
      </c>
      <c r="BN10" s="3">
        <v>0</v>
      </c>
      <c r="BO10" s="3">
        <v>105841563.26000001</v>
      </c>
      <c r="BP10" s="3">
        <v>61326563.259999998</v>
      </c>
      <c r="BQ10" s="3">
        <v>43384993.219999999</v>
      </c>
      <c r="BR10" s="3">
        <v>330230.38</v>
      </c>
      <c r="BS10" s="3">
        <v>0</v>
      </c>
      <c r="BT10" s="3">
        <v>105041786.86</v>
      </c>
      <c r="BU10" s="3">
        <v>61244312.850000001</v>
      </c>
      <c r="BV10" s="3">
        <v>43381325.32</v>
      </c>
      <c r="BW10" s="3">
        <v>328345.57</v>
      </c>
      <c r="BX10" s="3">
        <v>0</v>
      </c>
      <c r="BY10" s="3">
        <v>104953983.73999999</v>
      </c>
      <c r="BZ10" s="3">
        <v>72037000</v>
      </c>
      <c r="CA10" s="3">
        <v>41406000</v>
      </c>
      <c r="CB10" s="3">
        <v>146000</v>
      </c>
      <c r="CC10" s="3">
        <v>0</v>
      </c>
      <c r="CD10" s="3">
        <v>113589000</v>
      </c>
      <c r="CE10" s="3">
        <v>72037000</v>
      </c>
      <c r="CF10" s="3">
        <v>46406000</v>
      </c>
      <c r="CG10" s="3">
        <v>146000</v>
      </c>
      <c r="CH10" s="3">
        <v>0</v>
      </c>
      <c r="CI10" s="3">
        <v>118589000</v>
      </c>
      <c r="CJ10" s="3">
        <v>72037000</v>
      </c>
      <c r="CK10" s="3">
        <v>46406000</v>
      </c>
      <c r="CL10" s="3">
        <v>146000</v>
      </c>
      <c r="CM10" s="3">
        <v>0</v>
      </c>
      <c r="CN10" s="3">
        <v>118589000</v>
      </c>
      <c r="CO10" s="3">
        <v>54069340.960000001</v>
      </c>
      <c r="CP10" s="3">
        <v>38906000</v>
      </c>
      <c r="CQ10" s="3">
        <v>146000</v>
      </c>
      <c r="CR10" s="3">
        <v>0</v>
      </c>
      <c r="CS10" s="3">
        <v>93121340.960000008</v>
      </c>
      <c r="CT10" s="3">
        <v>54069340.960000001</v>
      </c>
      <c r="CU10" s="3">
        <v>38906000</v>
      </c>
      <c r="CV10" s="3">
        <v>146000</v>
      </c>
      <c r="CW10" s="3">
        <v>0</v>
      </c>
      <c r="CX10" s="3">
        <v>93121340.960000008</v>
      </c>
      <c r="CY10" s="3">
        <v>54069340.960000001</v>
      </c>
      <c r="CZ10" s="3">
        <v>29117472.580000002</v>
      </c>
      <c r="DA10" s="3">
        <v>145721.79999999999</v>
      </c>
      <c r="DB10" s="3">
        <v>0</v>
      </c>
      <c r="DC10" s="3">
        <v>83332535.340000004</v>
      </c>
      <c r="DD10" s="3">
        <v>53973179.329999998</v>
      </c>
      <c r="DE10" s="3">
        <v>28672774.630000003</v>
      </c>
      <c r="DF10" s="3">
        <v>145721.79999999999</v>
      </c>
      <c r="DG10" s="3">
        <v>0</v>
      </c>
      <c r="DH10" s="10">
        <v>82791675.760000005</v>
      </c>
      <c r="DI10" s="3">
        <v>73369000</v>
      </c>
      <c r="DJ10" s="3">
        <v>42160000</v>
      </c>
      <c r="DK10" s="3">
        <v>146000</v>
      </c>
      <c r="DL10" s="3">
        <v>0</v>
      </c>
      <c r="DM10" s="3">
        <v>115675000</v>
      </c>
      <c r="DN10" s="3">
        <v>73369000</v>
      </c>
      <c r="DO10" s="3">
        <v>42160000</v>
      </c>
      <c r="DP10" s="3">
        <v>146000</v>
      </c>
      <c r="DQ10" s="3">
        <v>0</v>
      </c>
      <c r="DR10" s="3">
        <v>115675000</v>
      </c>
      <c r="DS10" s="3">
        <v>73369000</v>
      </c>
      <c r="DT10" s="3">
        <v>42160000</v>
      </c>
      <c r="DU10" s="3">
        <v>146000</v>
      </c>
      <c r="DV10" s="3">
        <v>0</v>
      </c>
      <c r="DW10" s="3">
        <v>115675000</v>
      </c>
      <c r="DX10" s="3">
        <v>54793142.629999995</v>
      </c>
      <c r="DY10" s="3">
        <v>42306000</v>
      </c>
      <c r="DZ10" s="3">
        <v>0</v>
      </c>
      <c r="EA10" s="3">
        <v>0</v>
      </c>
      <c r="EB10" s="3">
        <v>97099142.629999995</v>
      </c>
      <c r="EC10" s="3">
        <v>54793142.629999995</v>
      </c>
      <c r="ED10" s="3">
        <v>42306000</v>
      </c>
      <c r="EE10" s="3">
        <v>0</v>
      </c>
      <c r="EF10" s="3">
        <v>0</v>
      </c>
      <c r="EG10" s="3">
        <v>97099142.629999995</v>
      </c>
      <c r="EH10" s="3">
        <v>54793142.630000003</v>
      </c>
      <c r="EI10" s="3">
        <v>33328297.289999999</v>
      </c>
      <c r="EJ10" s="3">
        <v>0</v>
      </c>
      <c r="EK10" s="3">
        <v>0</v>
      </c>
      <c r="EL10" s="3">
        <v>88121439.920000002</v>
      </c>
      <c r="EM10" s="3">
        <v>54293446.770000003</v>
      </c>
      <c r="EN10" s="3">
        <v>32882348.950000003</v>
      </c>
      <c r="EO10" s="3">
        <v>0</v>
      </c>
      <c r="EP10" s="3">
        <v>0</v>
      </c>
      <c r="EQ10" s="3">
        <v>87175795.719999999</v>
      </c>
      <c r="ER10" s="3">
        <v>72462000</v>
      </c>
      <c r="ES10" s="3">
        <v>42306000</v>
      </c>
      <c r="ET10" s="3">
        <v>0</v>
      </c>
      <c r="EU10" s="3">
        <v>0</v>
      </c>
      <c r="EV10" s="3">
        <v>114768000</v>
      </c>
      <c r="EW10" s="3">
        <v>72462000</v>
      </c>
      <c r="EX10" s="3">
        <v>42306000</v>
      </c>
      <c r="EY10" s="3">
        <v>0</v>
      </c>
      <c r="EZ10" s="3">
        <v>0</v>
      </c>
      <c r="FA10" s="3">
        <v>114768000</v>
      </c>
      <c r="FB10" s="3">
        <v>72462000</v>
      </c>
      <c r="FC10" s="3">
        <v>42306000</v>
      </c>
      <c r="FD10" s="3">
        <v>0</v>
      </c>
      <c r="FE10" s="3">
        <v>0</v>
      </c>
      <c r="FF10" s="3">
        <v>114768000</v>
      </c>
      <c r="FG10" s="3">
        <v>67338305.200000003</v>
      </c>
      <c r="FH10" s="3">
        <v>42306000</v>
      </c>
      <c r="FI10" s="3">
        <v>0</v>
      </c>
      <c r="FJ10" s="3">
        <v>0</v>
      </c>
      <c r="FK10" s="3">
        <v>109644305.2</v>
      </c>
      <c r="FL10" s="3">
        <v>67338305.200000003</v>
      </c>
      <c r="FM10" s="3">
        <v>42306000</v>
      </c>
      <c r="FN10" s="3">
        <v>0</v>
      </c>
      <c r="FO10" s="3">
        <v>0</v>
      </c>
      <c r="FP10" s="3">
        <v>109644305.2</v>
      </c>
      <c r="FQ10" s="3">
        <v>67338305.200000003</v>
      </c>
      <c r="FR10" s="3">
        <v>41890740.789999999</v>
      </c>
      <c r="FS10" s="3">
        <v>0</v>
      </c>
      <c r="FT10" s="3">
        <v>0</v>
      </c>
      <c r="FU10" s="3">
        <v>109229045.98999999</v>
      </c>
      <c r="FV10" s="3">
        <v>67066546.079999998</v>
      </c>
      <c r="FW10" s="3">
        <v>41713673.539999999</v>
      </c>
      <c r="FX10" s="3">
        <v>0</v>
      </c>
      <c r="FY10" s="3">
        <v>0</v>
      </c>
      <c r="FZ10" s="3">
        <v>108780219.62</v>
      </c>
      <c r="GA10" s="3">
        <v>74137000</v>
      </c>
      <c r="GB10" s="3">
        <v>32845000</v>
      </c>
      <c r="GC10" s="3">
        <v>0</v>
      </c>
      <c r="GD10" s="3">
        <v>0</v>
      </c>
      <c r="GE10" s="3">
        <v>106982000</v>
      </c>
      <c r="GF10" s="3">
        <v>74137000</v>
      </c>
      <c r="GG10" s="3">
        <v>32845000</v>
      </c>
      <c r="GH10" s="3">
        <v>0</v>
      </c>
      <c r="GI10" s="3">
        <v>0</v>
      </c>
      <c r="GJ10" s="3">
        <v>106982000</v>
      </c>
      <c r="GK10" s="3">
        <v>74137000</v>
      </c>
      <c r="GL10" s="3">
        <v>32845000</v>
      </c>
      <c r="GM10" s="3">
        <v>0</v>
      </c>
      <c r="GN10" s="3">
        <v>0</v>
      </c>
      <c r="GO10" s="3">
        <v>106982000</v>
      </c>
      <c r="GP10" s="3">
        <v>65242678</v>
      </c>
      <c r="GQ10" s="3">
        <v>32597906.960000001</v>
      </c>
      <c r="GR10" s="3">
        <v>0</v>
      </c>
      <c r="GS10" s="3">
        <v>0</v>
      </c>
      <c r="GT10" s="3">
        <v>97840584.959999993</v>
      </c>
      <c r="GU10" s="3">
        <v>65242678</v>
      </c>
      <c r="GV10" s="3">
        <v>32597906.960000001</v>
      </c>
      <c r="GW10" s="3">
        <v>0</v>
      </c>
      <c r="GX10" s="3">
        <v>0</v>
      </c>
      <c r="GY10" s="3">
        <v>97840584.959999993</v>
      </c>
      <c r="GZ10" s="3">
        <v>65242678</v>
      </c>
      <c r="HA10" s="3">
        <v>32380039.16</v>
      </c>
      <c r="HB10" s="3">
        <v>0</v>
      </c>
      <c r="HC10" s="3">
        <v>0</v>
      </c>
      <c r="HD10" s="3">
        <v>97622717.159999996</v>
      </c>
      <c r="HE10" s="3">
        <v>65012077.649999999</v>
      </c>
      <c r="HF10" s="3">
        <v>31239554.789999999</v>
      </c>
      <c r="HG10" s="3">
        <v>0</v>
      </c>
      <c r="HH10" s="3">
        <v>0</v>
      </c>
      <c r="HI10" s="3">
        <v>96251632.439999998</v>
      </c>
      <c r="HJ10" s="3">
        <v>73871000</v>
      </c>
      <c r="HK10" s="3">
        <v>73436000</v>
      </c>
      <c r="HL10" s="3">
        <v>0</v>
      </c>
      <c r="HM10" s="3">
        <v>0</v>
      </c>
      <c r="HN10" s="3">
        <v>147307000</v>
      </c>
      <c r="HO10" s="3">
        <v>73871000</v>
      </c>
      <c r="HP10" s="3">
        <v>73436000</v>
      </c>
      <c r="HQ10" s="3">
        <v>0</v>
      </c>
      <c r="HR10" s="3">
        <v>0</v>
      </c>
      <c r="HS10" s="3">
        <v>147307000</v>
      </c>
      <c r="HT10" s="3">
        <v>73871000</v>
      </c>
      <c r="HU10" s="3">
        <v>73436000</v>
      </c>
      <c r="HV10" s="3">
        <v>0</v>
      </c>
      <c r="HW10" s="3">
        <v>0</v>
      </c>
      <c r="HX10" s="3">
        <v>147307000</v>
      </c>
      <c r="HY10" s="3">
        <v>56478839.980000004</v>
      </c>
      <c r="HZ10" s="3">
        <v>69851000</v>
      </c>
      <c r="IA10" s="3">
        <v>0</v>
      </c>
      <c r="IB10" s="3">
        <v>0</v>
      </c>
      <c r="IC10" s="3">
        <v>126329839.98</v>
      </c>
      <c r="ID10" s="3">
        <v>56478839.980000004</v>
      </c>
      <c r="IE10" s="3">
        <v>69851000</v>
      </c>
      <c r="IF10" s="3">
        <v>0</v>
      </c>
      <c r="IG10" s="3">
        <v>0</v>
      </c>
      <c r="IH10" s="3">
        <v>126329839.98</v>
      </c>
      <c r="II10" s="3">
        <v>56478839.979999997</v>
      </c>
      <c r="IJ10" s="3">
        <v>68227135.040000007</v>
      </c>
      <c r="IK10" s="3">
        <v>0</v>
      </c>
      <c r="IL10" s="3">
        <v>0</v>
      </c>
      <c r="IM10" s="3">
        <v>124705975.02</v>
      </c>
      <c r="IN10" s="3">
        <v>56143332.579999998</v>
      </c>
      <c r="IO10" s="6">
        <v>67089155.560000002</v>
      </c>
      <c r="IP10" s="3">
        <v>0</v>
      </c>
      <c r="IQ10" s="3">
        <v>0</v>
      </c>
      <c r="IR10" s="6">
        <v>123232488.14</v>
      </c>
      <c r="IS10" s="3">
        <v>70753000</v>
      </c>
      <c r="IT10" s="3">
        <v>137753000</v>
      </c>
      <c r="IU10" s="3">
        <v>0</v>
      </c>
      <c r="IV10" s="3">
        <v>0</v>
      </c>
      <c r="IW10" s="3">
        <v>208506000</v>
      </c>
      <c r="IX10" s="3">
        <v>70753000</v>
      </c>
      <c r="IY10" s="3">
        <v>137753000</v>
      </c>
      <c r="IZ10" s="3">
        <v>0</v>
      </c>
      <c r="JA10" s="3">
        <v>0</v>
      </c>
      <c r="JB10" s="3">
        <v>208506000</v>
      </c>
      <c r="JC10" s="3">
        <v>70753000</v>
      </c>
      <c r="JD10" s="3">
        <v>137753000</v>
      </c>
      <c r="JE10" s="3">
        <v>0</v>
      </c>
      <c r="JF10" s="3">
        <v>0</v>
      </c>
      <c r="JG10" s="3">
        <v>208506000</v>
      </c>
      <c r="JH10" s="3">
        <v>74259386.730000004</v>
      </c>
      <c r="JI10" s="3">
        <v>129572598.41</v>
      </c>
      <c r="JJ10" s="3">
        <v>0</v>
      </c>
      <c r="JK10" s="3">
        <v>0</v>
      </c>
      <c r="JL10" s="3">
        <v>203831985.13999999</v>
      </c>
      <c r="JM10" s="3">
        <v>74259386.730000004</v>
      </c>
      <c r="JN10" s="3">
        <v>129572598.41</v>
      </c>
      <c r="JO10" s="3">
        <v>0</v>
      </c>
      <c r="JP10" s="3">
        <v>0</v>
      </c>
      <c r="JQ10" s="3">
        <v>203831985.13999999</v>
      </c>
      <c r="JR10" s="3">
        <v>73953136.730000004</v>
      </c>
      <c r="JS10" s="3">
        <v>120452981.02</v>
      </c>
      <c r="JT10" s="3">
        <v>0</v>
      </c>
      <c r="JU10" s="3">
        <v>0</v>
      </c>
      <c r="JV10" s="3">
        <v>194406117.75</v>
      </c>
      <c r="JW10" s="3">
        <v>73922288.879999995</v>
      </c>
      <c r="JX10" s="3">
        <v>110191601.09</v>
      </c>
      <c r="JY10" s="3">
        <v>0</v>
      </c>
      <c r="JZ10" s="3">
        <v>0</v>
      </c>
      <c r="KA10" s="3">
        <v>184113889.97</v>
      </c>
      <c r="KB10" s="3">
        <v>73948000</v>
      </c>
      <c r="KC10" s="3">
        <v>96351000</v>
      </c>
      <c r="KD10" s="3">
        <v>0</v>
      </c>
      <c r="KE10" s="3">
        <v>0</v>
      </c>
      <c r="KF10" s="3">
        <v>170299000</v>
      </c>
      <c r="KG10" s="3">
        <v>73948000</v>
      </c>
      <c r="KH10" s="3">
        <v>96351000</v>
      </c>
      <c r="KI10" s="3">
        <v>0</v>
      </c>
      <c r="KJ10" s="3">
        <v>0</v>
      </c>
      <c r="KK10" s="3">
        <v>170299000</v>
      </c>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v>79688000</v>
      </c>
      <c r="LL10" s="3">
        <v>70646000</v>
      </c>
      <c r="LM10">
        <v>0</v>
      </c>
      <c r="LN10" s="3">
        <v>0</v>
      </c>
      <c r="LO10" s="3">
        <v>150334000</v>
      </c>
    </row>
    <row r="11" spans="1:332" x14ac:dyDescent="0.25">
      <c r="A11" t="s">
        <v>943</v>
      </c>
      <c r="B11" t="s">
        <v>944</v>
      </c>
      <c r="C11" t="s">
        <v>199</v>
      </c>
      <c r="D11" t="s">
        <v>200</v>
      </c>
      <c r="E11" t="s">
        <v>208</v>
      </c>
      <c r="F11" t="s">
        <v>510</v>
      </c>
      <c r="G11" t="s">
        <v>1010</v>
      </c>
      <c r="H11" s="3">
        <v>0</v>
      </c>
      <c r="I11" s="3">
        <v>230107000</v>
      </c>
      <c r="J11" s="3">
        <v>0</v>
      </c>
      <c r="K11" s="3">
        <v>278550000</v>
      </c>
      <c r="L11" s="3">
        <v>508657000</v>
      </c>
      <c r="M11" s="3">
        <v>0</v>
      </c>
      <c r="N11" s="3">
        <v>230107000</v>
      </c>
      <c r="O11" s="3">
        <v>0</v>
      </c>
      <c r="P11" s="3">
        <v>278550000</v>
      </c>
      <c r="Q11" s="3">
        <v>508657000</v>
      </c>
      <c r="R11" s="3">
        <v>0</v>
      </c>
      <c r="S11" s="3">
        <v>230107000</v>
      </c>
      <c r="T11" s="3">
        <v>0</v>
      </c>
      <c r="U11" s="3">
        <v>278550000</v>
      </c>
      <c r="V11" s="3">
        <v>508657000</v>
      </c>
      <c r="W11" s="3">
        <v>0</v>
      </c>
      <c r="X11" s="3">
        <v>224242559</v>
      </c>
      <c r="Y11" s="3">
        <v>0</v>
      </c>
      <c r="Z11" s="3">
        <v>283050000</v>
      </c>
      <c r="AA11" s="3">
        <v>507292559</v>
      </c>
      <c r="AB11" s="3">
        <v>0</v>
      </c>
      <c r="AC11" s="3">
        <v>224242559</v>
      </c>
      <c r="AD11" s="3">
        <v>0</v>
      </c>
      <c r="AE11" s="3">
        <v>283050000</v>
      </c>
      <c r="AF11" s="3">
        <v>507292559</v>
      </c>
      <c r="AG11" s="3">
        <v>0</v>
      </c>
      <c r="AH11" s="3">
        <v>211940116.38</v>
      </c>
      <c r="AI11" s="3">
        <v>0</v>
      </c>
      <c r="AJ11" s="3">
        <v>282501849</v>
      </c>
      <c r="AK11" s="3">
        <v>494441965.37999994</v>
      </c>
      <c r="AL11" s="3">
        <v>0</v>
      </c>
      <c r="AM11" s="3">
        <v>151434117.71000001</v>
      </c>
      <c r="AN11" s="3">
        <v>0</v>
      </c>
      <c r="AO11" s="3">
        <v>218348589.36000001</v>
      </c>
      <c r="AP11" s="3">
        <v>369782707.06999999</v>
      </c>
      <c r="AQ11" s="3">
        <v>183668000</v>
      </c>
      <c r="AR11" s="3">
        <v>364374000</v>
      </c>
      <c r="AS11" s="3">
        <v>0</v>
      </c>
      <c r="AT11" s="3">
        <v>54002000</v>
      </c>
      <c r="AU11" s="3">
        <v>602044000</v>
      </c>
      <c r="AV11" s="3">
        <v>183668000</v>
      </c>
      <c r="AW11" s="3">
        <v>355462000</v>
      </c>
      <c r="AX11" s="3">
        <v>0</v>
      </c>
      <c r="AY11" s="3">
        <v>54002000</v>
      </c>
      <c r="AZ11" s="3">
        <v>593132000</v>
      </c>
      <c r="BA11" s="3">
        <v>183668000</v>
      </c>
      <c r="BB11" s="3">
        <v>355462000</v>
      </c>
      <c r="BC11" s="3">
        <v>0</v>
      </c>
      <c r="BD11" s="3">
        <v>54002000</v>
      </c>
      <c r="BE11" s="3">
        <v>593132000</v>
      </c>
      <c r="BF11" s="3">
        <v>174768217.28</v>
      </c>
      <c r="BG11" s="3">
        <v>349330328</v>
      </c>
      <c r="BH11" s="3">
        <v>0</v>
      </c>
      <c r="BI11" s="3">
        <v>54002000</v>
      </c>
      <c r="BJ11" s="3">
        <v>578100545.27999997</v>
      </c>
      <c r="BK11" s="3">
        <v>174768217.28</v>
      </c>
      <c r="BL11" s="3">
        <v>349330328</v>
      </c>
      <c r="BM11" s="3">
        <v>0</v>
      </c>
      <c r="BN11" s="3">
        <v>54002000</v>
      </c>
      <c r="BO11" s="3">
        <v>578100545.27999997</v>
      </c>
      <c r="BP11" s="3">
        <v>173979277.43000001</v>
      </c>
      <c r="BQ11" s="3">
        <v>336167534.25999999</v>
      </c>
      <c r="BR11" s="3">
        <v>0</v>
      </c>
      <c r="BS11" s="3">
        <v>53899316.880000003</v>
      </c>
      <c r="BT11" s="3">
        <v>564046128.57000005</v>
      </c>
      <c r="BU11" s="3">
        <v>171547517.71000001</v>
      </c>
      <c r="BV11" s="3">
        <v>264507135.66999999</v>
      </c>
      <c r="BW11" s="3">
        <v>0</v>
      </c>
      <c r="BX11" s="3">
        <v>22396193.300000001</v>
      </c>
      <c r="BY11" s="3">
        <v>458450846.68000001</v>
      </c>
      <c r="BZ11" s="3">
        <v>202158000</v>
      </c>
      <c r="CA11" s="3">
        <v>349948000</v>
      </c>
      <c r="CB11" s="3">
        <v>0</v>
      </c>
      <c r="CC11" s="3">
        <v>0</v>
      </c>
      <c r="CD11" s="3">
        <v>552106000</v>
      </c>
      <c r="CE11" s="3">
        <v>202158000</v>
      </c>
      <c r="CF11" s="3">
        <v>347420000</v>
      </c>
      <c r="CG11" s="3">
        <v>0</v>
      </c>
      <c r="CH11" s="3">
        <v>0</v>
      </c>
      <c r="CI11" s="3">
        <v>549578000</v>
      </c>
      <c r="CJ11" s="3">
        <v>202158000</v>
      </c>
      <c r="CK11" s="3">
        <v>347420000</v>
      </c>
      <c r="CL11" s="3">
        <v>0</v>
      </c>
      <c r="CM11" s="3">
        <v>0</v>
      </c>
      <c r="CN11" s="3">
        <v>549578000</v>
      </c>
      <c r="CO11" s="3">
        <v>197183679.55000001</v>
      </c>
      <c r="CP11" s="3">
        <v>327647653</v>
      </c>
      <c r="CQ11" s="3">
        <v>0</v>
      </c>
      <c r="CR11" s="3">
        <v>0</v>
      </c>
      <c r="CS11" s="3">
        <v>524831332.55000001</v>
      </c>
      <c r="CT11" s="3">
        <v>197183679.55000001</v>
      </c>
      <c r="CU11" s="3">
        <v>327647653</v>
      </c>
      <c r="CV11" s="3">
        <v>0</v>
      </c>
      <c r="CW11" s="3">
        <v>0</v>
      </c>
      <c r="CX11" s="3">
        <v>524831332.55000001</v>
      </c>
      <c r="CY11" s="3">
        <v>197139699.49000001</v>
      </c>
      <c r="CZ11" s="3">
        <v>317571611.69999999</v>
      </c>
      <c r="DA11" s="3">
        <v>0</v>
      </c>
      <c r="DB11" s="3">
        <v>0</v>
      </c>
      <c r="DC11" s="3">
        <v>514711311.18999994</v>
      </c>
      <c r="DD11" s="3">
        <v>195856869.47999999</v>
      </c>
      <c r="DE11" s="3">
        <v>250987456.84000003</v>
      </c>
      <c r="DF11" s="3">
        <v>0</v>
      </c>
      <c r="DG11" s="3">
        <v>0</v>
      </c>
      <c r="DH11" s="10">
        <v>446844326.32000005</v>
      </c>
      <c r="DI11" s="3">
        <v>212214000</v>
      </c>
      <c r="DJ11" s="3">
        <v>368132000</v>
      </c>
      <c r="DK11" s="3">
        <v>0</v>
      </c>
      <c r="DL11" s="3">
        <v>0</v>
      </c>
      <c r="DM11" s="3">
        <v>580346000</v>
      </c>
      <c r="DN11" s="3">
        <v>212214000</v>
      </c>
      <c r="DO11" s="3">
        <v>368132000</v>
      </c>
      <c r="DP11" s="3">
        <v>0</v>
      </c>
      <c r="DQ11" s="3">
        <v>0</v>
      </c>
      <c r="DR11" s="3">
        <v>580346000</v>
      </c>
      <c r="DS11" s="3">
        <v>212214000</v>
      </c>
      <c r="DT11" s="3">
        <v>368132000</v>
      </c>
      <c r="DU11" s="3">
        <v>0</v>
      </c>
      <c r="DV11" s="3">
        <v>0</v>
      </c>
      <c r="DW11" s="3">
        <v>580346000</v>
      </c>
      <c r="DX11" s="3">
        <v>208789349.44</v>
      </c>
      <c r="DY11" s="3">
        <v>356726845</v>
      </c>
      <c r="DZ11" s="3">
        <v>0</v>
      </c>
      <c r="EA11" s="3">
        <v>1803800</v>
      </c>
      <c r="EB11" s="3">
        <v>567319994.44000006</v>
      </c>
      <c r="EC11" s="3">
        <v>208789349.44</v>
      </c>
      <c r="ED11" s="3">
        <v>356726845</v>
      </c>
      <c r="EE11" s="3">
        <v>0</v>
      </c>
      <c r="EF11" s="3">
        <v>1803800</v>
      </c>
      <c r="EG11" s="3">
        <v>567319994.44000006</v>
      </c>
      <c r="EH11" s="3">
        <v>208789347</v>
      </c>
      <c r="EI11" s="3">
        <v>348456432.85000002</v>
      </c>
      <c r="EJ11" s="3">
        <v>0</v>
      </c>
      <c r="EK11" s="3">
        <v>1713440</v>
      </c>
      <c r="EL11" s="3">
        <v>558959219.85000002</v>
      </c>
      <c r="EM11" s="3">
        <v>207887949.72999999</v>
      </c>
      <c r="EN11" s="3">
        <v>277286081.88</v>
      </c>
      <c r="EO11" s="3">
        <v>0</v>
      </c>
      <c r="EP11" s="3">
        <v>103450</v>
      </c>
      <c r="EQ11" s="3">
        <v>485277481.61000001</v>
      </c>
      <c r="ER11" s="3">
        <v>243257000</v>
      </c>
      <c r="ES11" s="3">
        <v>368132000</v>
      </c>
      <c r="ET11" s="3">
        <v>0</v>
      </c>
      <c r="EU11" s="3">
        <v>0</v>
      </c>
      <c r="EV11" s="3">
        <v>611389000</v>
      </c>
      <c r="EW11" s="3">
        <v>243257000</v>
      </c>
      <c r="EX11" s="3">
        <v>368132000</v>
      </c>
      <c r="EY11" s="3">
        <v>0</v>
      </c>
      <c r="EZ11" s="3">
        <v>0</v>
      </c>
      <c r="FA11" s="3">
        <v>611389000</v>
      </c>
      <c r="FB11" s="3">
        <v>243257000</v>
      </c>
      <c r="FC11" s="3">
        <v>368132000</v>
      </c>
      <c r="FD11" s="3">
        <v>0</v>
      </c>
      <c r="FE11" s="3">
        <v>0</v>
      </c>
      <c r="FF11" s="3">
        <v>611389000</v>
      </c>
      <c r="FG11" s="3">
        <v>244078566.30000001</v>
      </c>
      <c r="FH11" s="3">
        <v>362794097.57999998</v>
      </c>
      <c r="FI11" s="3">
        <v>0</v>
      </c>
      <c r="FJ11" s="3">
        <v>1532250</v>
      </c>
      <c r="FK11" s="3">
        <v>608404913.88</v>
      </c>
      <c r="FL11" s="3">
        <v>244078566.30000001</v>
      </c>
      <c r="FM11" s="3">
        <v>362794097.57999998</v>
      </c>
      <c r="FN11" s="3">
        <v>0</v>
      </c>
      <c r="FO11" s="3">
        <v>1532250</v>
      </c>
      <c r="FP11" s="3">
        <v>608404913.88</v>
      </c>
      <c r="FQ11" s="3">
        <v>243787695.25</v>
      </c>
      <c r="FR11" s="3">
        <v>357499554.10000002</v>
      </c>
      <c r="FS11" s="3">
        <v>0</v>
      </c>
      <c r="FT11" s="3">
        <v>1406610.69</v>
      </c>
      <c r="FU11" s="3">
        <v>602693860.03999996</v>
      </c>
      <c r="FV11" s="3">
        <v>242024539.33000001</v>
      </c>
      <c r="FW11" s="3">
        <v>316543118.45999998</v>
      </c>
      <c r="FX11" s="3">
        <v>0</v>
      </c>
      <c r="FY11" s="3">
        <v>338494.4</v>
      </c>
      <c r="FZ11" s="3">
        <v>558906152.19000006</v>
      </c>
      <c r="GA11" s="3">
        <v>274752000</v>
      </c>
      <c r="GB11" s="3">
        <v>369771000</v>
      </c>
      <c r="GC11" s="3">
        <v>0</v>
      </c>
      <c r="GD11" s="3">
        <v>0</v>
      </c>
      <c r="GE11" s="3">
        <v>644523000</v>
      </c>
      <c r="GF11" s="3">
        <v>274752000</v>
      </c>
      <c r="GG11" s="3">
        <v>369771000</v>
      </c>
      <c r="GH11" s="3">
        <v>0</v>
      </c>
      <c r="GI11" s="3">
        <v>0</v>
      </c>
      <c r="GJ11" s="3">
        <v>644523000</v>
      </c>
      <c r="GK11" s="3">
        <v>274752000</v>
      </c>
      <c r="GL11" s="3">
        <v>369771000</v>
      </c>
      <c r="GM11" s="3">
        <v>0</v>
      </c>
      <c r="GN11" s="3">
        <v>0</v>
      </c>
      <c r="GO11" s="3">
        <v>644523000</v>
      </c>
      <c r="GP11" s="3">
        <v>271836316.49000001</v>
      </c>
      <c r="GQ11" s="3">
        <v>362396310.37</v>
      </c>
      <c r="GR11" s="3">
        <v>0</v>
      </c>
      <c r="GS11" s="3">
        <v>451000</v>
      </c>
      <c r="GT11" s="3">
        <v>634683626.86000001</v>
      </c>
      <c r="GU11" s="3">
        <v>271836316.49000001</v>
      </c>
      <c r="GV11" s="3">
        <v>362396310.37</v>
      </c>
      <c r="GW11" s="3">
        <v>0</v>
      </c>
      <c r="GX11" s="3">
        <v>451000</v>
      </c>
      <c r="GY11" s="3">
        <v>634683626.86000001</v>
      </c>
      <c r="GZ11" s="3">
        <v>268457672.17000002</v>
      </c>
      <c r="HA11" s="3">
        <v>353731182.10000002</v>
      </c>
      <c r="HB11" s="3">
        <v>0</v>
      </c>
      <c r="HC11" s="3">
        <v>448839.22</v>
      </c>
      <c r="HD11" s="3">
        <v>622637693.49000001</v>
      </c>
      <c r="HE11" s="3">
        <v>262261956.58000001</v>
      </c>
      <c r="HF11" s="3">
        <v>304173309.63999999</v>
      </c>
      <c r="HG11" s="3">
        <v>0</v>
      </c>
      <c r="HH11" s="3">
        <v>0</v>
      </c>
      <c r="HI11" s="3">
        <v>566435266.22000003</v>
      </c>
      <c r="HJ11" s="3">
        <v>300012000</v>
      </c>
      <c r="HK11" s="3">
        <v>376427000</v>
      </c>
      <c r="HL11" s="3">
        <v>0</v>
      </c>
      <c r="HM11" s="3">
        <v>599000000</v>
      </c>
      <c r="HN11" s="3">
        <v>1275439000</v>
      </c>
      <c r="HO11" s="3">
        <v>300012000</v>
      </c>
      <c r="HP11" s="3">
        <v>376427000</v>
      </c>
      <c r="HQ11" s="3">
        <v>0</v>
      </c>
      <c r="HR11" s="3">
        <v>599000000</v>
      </c>
      <c r="HS11" s="3">
        <v>1275439000</v>
      </c>
      <c r="HT11" s="3">
        <v>300012000</v>
      </c>
      <c r="HU11" s="3">
        <v>376427000</v>
      </c>
      <c r="HV11" s="3">
        <v>0</v>
      </c>
      <c r="HW11" s="3">
        <v>599000000</v>
      </c>
      <c r="HX11" s="3">
        <v>1275439000</v>
      </c>
      <c r="HY11" s="3">
        <v>292052820.43000001</v>
      </c>
      <c r="HZ11" s="3">
        <v>367140376</v>
      </c>
      <c r="IA11" s="3">
        <v>0</v>
      </c>
      <c r="IB11" s="3">
        <v>599540000</v>
      </c>
      <c r="IC11" s="3">
        <v>1258733196.4300001</v>
      </c>
      <c r="ID11" s="3">
        <v>292052820.43000001</v>
      </c>
      <c r="IE11" s="3">
        <v>367140376</v>
      </c>
      <c r="IF11" s="3">
        <v>0</v>
      </c>
      <c r="IG11" s="3">
        <v>599540000</v>
      </c>
      <c r="IH11" s="3">
        <v>1258733196.4300001</v>
      </c>
      <c r="II11" s="3">
        <v>288987401.88999999</v>
      </c>
      <c r="IJ11" s="3">
        <v>350773572.13999999</v>
      </c>
      <c r="IK11" s="3">
        <v>0</v>
      </c>
      <c r="IL11" s="3">
        <v>548178707.75999999</v>
      </c>
      <c r="IM11" s="3">
        <v>1187939681.79</v>
      </c>
      <c r="IN11" s="3">
        <v>276975472.62</v>
      </c>
      <c r="IO11" s="6">
        <v>293337365.69999999</v>
      </c>
      <c r="IP11" s="3">
        <v>0</v>
      </c>
      <c r="IQ11" s="3">
        <v>246545552.91</v>
      </c>
      <c r="IR11" s="6">
        <v>816858391.23000002</v>
      </c>
      <c r="IS11" s="3">
        <v>297299000</v>
      </c>
      <c r="IT11" s="3">
        <v>385290000</v>
      </c>
      <c r="IU11" s="3">
        <v>0</v>
      </c>
      <c r="IV11" s="3">
        <v>204688000</v>
      </c>
      <c r="IW11" s="3">
        <v>887277000</v>
      </c>
      <c r="IX11" s="3">
        <v>297299000</v>
      </c>
      <c r="IY11" s="3">
        <v>385290000</v>
      </c>
      <c r="IZ11" s="3">
        <v>0</v>
      </c>
      <c r="JA11" s="3">
        <v>514688000</v>
      </c>
      <c r="JB11" s="3">
        <v>1197277000</v>
      </c>
      <c r="JC11" s="3">
        <v>297299000</v>
      </c>
      <c r="JD11" s="3">
        <v>385290000</v>
      </c>
      <c r="JE11" s="3">
        <v>0</v>
      </c>
      <c r="JF11" s="3">
        <v>514688000</v>
      </c>
      <c r="JG11" s="3">
        <v>1197277000</v>
      </c>
      <c r="JH11" s="3">
        <v>290722624.39999998</v>
      </c>
      <c r="JI11" s="3">
        <v>380316633.33999997</v>
      </c>
      <c r="JJ11" s="3">
        <v>0</v>
      </c>
      <c r="JK11" s="3">
        <v>514688000</v>
      </c>
      <c r="JL11" s="3">
        <v>1185727257.74</v>
      </c>
      <c r="JM11" s="3">
        <v>290722624.39999998</v>
      </c>
      <c r="JN11" s="3">
        <v>380316633.33999997</v>
      </c>
      <c r="JO11" s="3">
        <v>0</v>
      </c>
      <c r="JP11" s="3">
        <v>514688000</v>
      </c>
      <c r="JQ11" s="3">
        <v>1185727257.74</v>
      </c>
      <c r="JR11" s="3">
        <v>290450723.04000002</v>
      </c>
      <c r="JS11" s="3">
        <v>361220292.17000002</v>
      </c>
      <c r="JT11" s="3">
        <v>0</v>
      </c>
      <c r="JU11" s="3">
        <v>429785517.32999998</v>
      </c>
      <c r="JV11" s="3">
        <v>1081456532.54</v>
      </c>
      <c r="JW11" s="3">
        <v>281620995.24000001</v>
      </c>
      <c r="JX11" s="3">
        <v>294194710.61000001</v>
      </c>
      <c r="JY11" s="3">
        <v>0</v>
      </c>
      <c r="JZ11" s="3">
        <v>81371625.920000002</v>
      </c>
      <c r="KA11" s="3">
        <v>657187331.76999998</v>
      </c>
      <c r="KB11" s="3">
        <v>325936000</v>
      </c>
      <c r="KC11" s="3">
        <v>390101000</v>
      </c>
      <c r="KD11" s="3">
        <v>0</v>
      </c>
      <c r="KE11" s="3">
        <v>791198000</v>
      </c>
      <c r="KF11" s="3">
        <v>1507235000</v>
      </c>
      <c r="KG11" s="3">
        <v>325936000</v>
      </c>
      <c r="KH11" s="3">
        <v>390101000</v>
      </c>
      <c r="KI11" s="3">
        <v>0</v>
      </c>
      <c r="KJ11" s="3">
        <v>791198000</v>
      </c>
      <c r="KK11" s="3">
        <v>1507235000</v>
      </c>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v>338020000</v>
      </c>
      <c r="LL11" s="3">
        <v>867078000</v>
      </c>
      <c r="LM11">
        <v>0</v>
      </c>
      <c r="LN11" s="3">
        <v>615146000</v>
      </c>
      <c r="LO11" s="3">
        <v>1820244000</v>
      </c>
    </row>
    <row r="12" spans="1:332" x14ac:dyDescent="0.25">
      <c r="A12" t="s">
        <v>943</v>
      </c>
      <c r="B12" t="s">
        <v>944</v>
      </c>
      <c r="C12" t="s">
        <v>199</v>
      </c>
      <c r="D12" t="s">
        <v>200</v>
      </c>
      <c r="E12" t="s">
        <v>208</v>
      </c>
      <c r="F12" t="s">
        <v>511</v>
      </c>
      <c r="G12" t="s">
        <v>1011</v>
      </c>
      <c r="H12" s="3">
        <v>0</v>
      </c>
      <c r="I12" s="3">
        <v>240914000</v>
      </c>
      <c r="J12" s="3">
        <v>100000</v>
      </c>
      <c r="K12" s="3">
        <v>86698000</v>
      </c>
      <c r="L12" s="3">
        <v>327712000</v>
      </c>
      <c r="M12" s="3">
        <v>0</v>
      </c>
      <c r="N12" s="3">
        <v>240914000</v>
      </c>
      <c r="O12" s="3">
        <v>100000</v>
      </c>
      <c r="P12" s="3">
        <v>86698000</v>
      </c>
      <c r="Q12" s="3">
        <v>327712000</v>
      </c>
      <c r="R12" s="3">
        <v>0</v>
      </c>
      <c r="S12" s="3">
        <v>240914000</v>
      </c>
      <c r="T12" s="3">
        <v>100000</v>
      </c>
      <c r="U12" s="3">
        <v>86698000</v>
      </c>
      <c r="V12" s="3">
        <v>327712000</v>
      </c>
      <c r="W12" s="3">
        <v>0</v>
      </c>
      <c r="X12" s="3">
        <v>234640239</v>
      </c>
      <c r="Y12" s="3">
        <v>100000</v>
      </c>
      <c r="Z12" s="3">
        <v>86698000</v>
      </c>
      <c r="AA12" s="3">
        <v>321438239</v>
      </c>
      <c r="AB12" s="3">
        <v>0</v>
      </c>
      <c r="AC12" s="3">
        <v>234640239</v>
      </c>
      <c r="AD12" s="3">
        <v>100000</v>
      </c>
      <c r="AE12" s="3">
        <v>86698000</v>
      </c>
      <c r="AF12" s="3">
        <v>321438239</v>
      </c>
      <c r="AG12" s="3">
        <v>0</v>
      </c>
      <c r="AH12" s="3">
        <v>223919420.63</v>
      </c>
      <c r="AI12" s="3">
        <v>89362.12</v>
      </c>
      <c r="AJ12" s="3">
        <v>72450344.609999999</v>
      </c>
      <c r="AK12" s="3">
        <v>296459127.36000001</v>
      </c>
      <c r="AL12" s="3">
        <v>0</v>
      </c>
      <c r="AM12" s="3">
        <v>134905015.78</v>
      </c>
      <c r="AN12" s="3">
        <v>89362.12</v>
      </c>
      <c r="AO12" s="3">
        <v>22501260.210000001</v>
      </c>
      <c r="AP12" s="3">
        <v>157495638.11000001</v>
      </c>
      <c r="AQ12" s="3">
        <v>174721000</v>
      </c>
      <c r="AR12" s="3">
        <v>1407014000</v>
      </c>
      <c r="AS12" s="3">
        <v>0</v>
      </c>
      <c r="AT12" s="3">
        <v>64995000</v>
      </c>
      <c r="AU12" s="3">
        <v>1646730000</v>
      </c>
      <c r="AV12" s="3">
        <v>174721000</v>
      </c>
      <c r="AW12" s="3">
        <v>1407014000</v>
      </c>
      <c r="AX12" s="3">
        <v>0</v>
      </c>
      <c r="AY12" s="3">
        <v>64995000</v>
      </c>
      <c r="AZ12" s="3">
        <v>1646730000</v>
      </c>
      <c r="BA12" s="3">
        <v>174721000</v>
      </c>
      <c r="BB12" s="3">
        <v>1407014000</v>
      </c>
      <c r="BC12" s="3">
        <v>0</v>
      </c>
      <c r="BD12" s="3">
        <v>64995000</v>
      </c>
      <c r="BE12" s="3">
        <v>1646730000</v>
      </c>
      <c r="BF12" s="3">
        <v>170024890.31999999</v>
      </c>
      <c r="BG12" s="3">
        <v>1370326313</v>
      </c>
      <c r="BH12" s="3">
        <v>0</v>
      </c>
      <c r="BI12" s="3">
        <v>64995000</v>
      </c>
      <c r="BJ12" s="3">
        <v>1605346203.3199999</v>
      </c>
      <c r="BK12" s="3">
        <v>170024890.31999999</v>
      </c>
      <c r="BL12" s="3">
        <v>1370326313</v>
      </c>
      <c r="BM12" s="3">
        <v>0</v>
      </c>
      <c r="BN12" s="3">
        <v>64995000</v>
      </c>
      <c r="BO12" s="3">
        <v>1605346203.3199999</v>
      </c>
      <c r="BP12" s="3">
        <v>168619535.91999999</v>
      </c>
      <c r="BQ12" s="3">
        <v>1260271441.23</v>
      </c>
      <c r="BR12" s="3">
        <v>0</v>
      </c>
      <c r="BS12" s="3">
        <v>38528808.479999997</v>
      </c>
      <c r="BT12" s="3">
        <v>1467419785.6300001</v>
      </c>
      <c r="BU12" s="3">
        <v>162297238.13999999</v>
      </c>
      <c r="BV12" s="3">
        <v>1004288158.45</v>
      </c>
      <c r="BW12" s="3">
        <v>0</v>
      </c>
      <c r="BX12" s="3">
        <v>20825159.039999999</v>
      </c>
      <c r="BY12" s="3">
        <v>1187410555.6300001</v>
      </c>
      <c r="BZ12" s="3">
        <v>141349000</v>
      </c>
      <c r="CA12" s="3">
        <v>1149661000</v>
      </c>
      <c r="CB12" s="3">
        <v>0</v>
      </c>
      <c r="CC12" s="3">
        <v>17374000</v>
      </c>
      <c r="CD12" s="3">
        <v>1308384000</v>
      </c>
      <c r="CE12" s="3">
        <v>141349000</v>
      </c>
      <c r="CF12" s="3">
        <v>1149661000</v>
      </c>
      <c r="CG12" s="3">
        <v>0</v>
      </c>
      <c r="CH12" s="3">
        <v>17374000</v>
      </c>
      <c r="CI12" s="3">
        <v>1308384000</v>
      </c>
      <c r="CJ12" s="3">
        <v>141349000</v>
      </c>
      <c r="CK12" s="3">
        <v>1149661000</v>
      </c>
      <c r="CL12" s="3">
        <v>0</v>
      </c>
      <c r="CM12" s="3">
        <v>17374000</v>
      </c>
      <c r="CN12" s="3">
        <v>1308384000</v>
      </c>
      <c r="CO12" s="3">
        <v>137990821.91</v>
      </c>
      <c r="CP12" s="3">
        <v>1043473672</v>
      </c>
      <c r="CQ12" s="3">
        <v>0</v>
      </c>
      <c r="CR12" s="3">
        <v>14649000</v>
      </c>
      <c r="CS12" s="3">
        <v>1196113493.9100001</v>
      </c>
      <c r="CT12" s="3">
        <v>137990821.91</v>
      </c>
      <c r="CU12" s="3">
        <v>1043473672</v>
      </c>
      <c r="CV12" s="3">
        <v>0</v>
      </c>
      <c r="CW12" s="3">
        <v>14649000</v>
      </c>
      <c r="CX12" s="3">
        <v>1196113493.9100001</v>
      </c>
      <c r="CY12" s="3">
        <v>137990021.91</v>
      </c>
      <c r="CZ12" s="3">
        <v>915498278.61000001</v>
      </c>
      <c r="DA12" s="3">
        <v>0</v>
      </c>
      <c r="DB12" s="3">
        <v>13075472.899999999</v>
      </c>
      <c r="DC12" s="3">
        <v>1066563773.42</v>
      </c>
      <c r="DD12" s="3">
        <v>136198582.22</v>
      </c>
      <c r="DE12" s="3">
        <v>803165419.75999999</v>
      </c>
      <c r="DF12" s="3">
        <v>0</v>
      </c>
      <c r="DG12" s="3">
        <v>6366543.0599999996</v>
      </c>
      <c r="DH12" s="10">
        <v>945730545.03999996</v>
      </c>
      <c r="DI12" s="3">
        <v>153364000</v>
      </c>
      <c r="DJ12" s="3">
        <v>1188553000</v>
      </c>
      <c r="DK12" s="3">
        <v>0</v>
      </c>
      <c r="DL12" s="3">
        <v>18130000</v>
      </c>
      <c r="DM12" s="3">
        <v>1360047000</v>
      </c>
      <c r="DN12" s="3">
        <v>153364000</v>
      </c>
      <c r="DO12" s="3">
        <v>1188553000</v>
      </c>
      <c r="DP12" s="3">
        <v>0</v>
      </c>
      <c r="DQ12" s="3">
        <v>18130000</v>
      </c>
      <c r="DR12" s="3">
        <v>1360047000</v>
      </c>
      <c r="DS12" s="3">
        <v>153364000</v>
      </c>
      <c r="DT12" s="3">
        <v>1188553000</v>
      </c>
      <c r="DU12" s="3">
        <v>0</v>
      </c>
      <c r="DV12" s="3">
        <v>18130000</v>
      </c>
      <c r="DW12" s="3">
        <v>1360047000</v>
      </c>
      <c r="DX12" s="3">
        <v>153257887.25</v>
      </c>
      <c r="DY12" s="3">
        <v>1135127818</v>
      </c>
      <c r="DZ12" s="3">
        <v>0</v>
      </c>
      <c r="EA12" s="3">
        <v>19140000</v>
      </c>
      <c r="EB12" s="3">
        <v>1307525705.25</v>
      </c>
      <c r="EC12" s="3">
        <v>153257887.25</v>
      </c>
      <c r="ED12" s="3">
        <v>1135127818</v>
      </c>
      <c r="EE12" s="3">
        <v>0</v>
      </c>
      <c r="EF12" s="3">
        <v>19140000</v>
      </c>
      <c r="EG12" s="3">
        <v>1307525705.25</v>
      </c>
      <c r="EH12" s="3">
        <v>153257887.25</v>
      </c>
      <c r="EI12" s="3">
        <v>1023950149.4100001</v>
      </c>
      <c r="EJ12" s="3">
        <v>0</v>
      </c>
      <c r="EK12" s="3">
        <v>16839069.329999998</v>
      </c>
      <c r="EL12" s="3">
        <v>1194047105.99</v>
      </c>
      <c r="EM12" s="3">
        <v>151830216.87</v>
      </c>
      <c r="EN12" s="3">
        <v>867820612.92999995</v>
      </c>
      <c r="EO12" s="3">
        <v>0</v>
      </c>
      <c r="EP12" s="3">
        <v>8347524.0199999996</v>
      </c>
      <c r="EQ12" s="3">
        <v>1027998353.8200001</v>
      </c>
      <c r="ER12" s="3">
        <v>188031000</v>
      </c>
      <c r="ES12" s="3">
        <v>1175178000</v>
      </c>
      <c r="ET12" s="3">
        <v>0</v>
      </c>
      <c r="EU12" s="3">
        <v>3550000</v>
      </c>
      <c r="EV12" s="3">
        <v>1366759000</v>
      </c>
      <c r="EW12" s="3">
        <v>188031000</v>
      </c>
      <c r="EX12" s="3">
        <v>1175178000</v>
      </c>
      <c r="EY12" s="3">
        <v>0</v>
      </c>
      <c r="EZ12" s="3">
        <v>3550000</v>
      </c>
      <c r="FA12" s="3">
        <v>1366759000</v>
      </c>
      <c r="FB12" s="3">
        <v>188031000</v>
      </c>
      <c r="FC12" s="3">
        <v>1175178000</v>
      </c>
      <c r="FD12" s="3">
        <v>0</v>
      </c>
      <c r="FE12" s="3">
        <v>3550000</v>
      </c>
      <c r="FF12" s="3">
        <v>1366759000</v>
      </c>
      <c r="FG12" s="3">
        <v>192508079.12</v>
      </c>
      <c r="FH12" s="3">
        <v>1141845138.27</v>
      </c>
      <c r="FI12" s="3">
        <v>0</v>
      </c>
      <c r="FJ12" s="3">
        <v>3715000</v>
      </c>
      <c r="FK12" s="3">
        <v>1338068217.3900001</v>
      </c>
      <c r="FL12" s="3">
        <v>192508079.12</v>
      </c>
      <c r="FM12" s="3">
        <v>1141845138.27</v>
      </c>
      <c r="FN12" s="3">
        <v>0</v>
      </c>
      <c r="FO12" s="3">
        <v>3715000</v>
      </c>
      <c r="FP12" s="3">
        <v>1338068217.3900001</v>
      </c>
      <c r="FQ12" s="3">
        <v>192508079.12</v>
      </c>
      <c r="FR12" s="3">
        <v>1057928170.91</v>
      </c>
      <c r="FS12" s="3">
        <v>0</v>
      </c>
      <c r="FT12" s="3">
        <v>3538095.4</v>
      </c>
      <c r="FU12" s="3">
        <v>1253974345.4300001</v>
      </c>
      <c r="FV12" s="3">
        <v>191602601.24000001</v>
      </c>
      <c r="FW12" s="3">
        <v>952313638.63</v>
      </c>
      <c r="FX12" s="3">
        <v>0</v>
      </c>
      <c r="FY12" s="3">
        <v>2363387.94</v>
      </c>
      <c r="FZ12" s="3">
        <v>1146279627.8099999</v>
      </c>
      <c r="GA12" s="3">
        <v>172686000</v>
      </c>
      <c r="GB12" s="3">
        <v>1126262000</v>
      </c>
      <c r="GC12" s="3">
        <v>0</v>
      </c>
      <c r="GD12" s="3">
        <v>3000000</v>
      </c>
      <c r="GE12" s="3">
        <v>1301948000</v>
      </c>
      <c r="GF12" s="3">
        <v>172686000</v>
      </c>
      <c r="GG12" s="3">
        <v>1196262000</v>
      </c>
      <c r="GH12" s="3">
        <v>0</v>
      </c>
      <c r="GI12" s="3">
        <v>3000000</v>
      </c>
      <c r="GJ12" s="3">
        <v>1371948000</v>
      </c>
      <c r="GK12" s="3">
        <v>172686000</v>
      </c>
      <c r="GL12" s="3">
        <v>1196262000</v>
      </c>
      <c r="GM12" s="3">
        <v>0</v>
      </c>
      <c r="GN12" s="3">
        <v>3000000</v>
      </c>
      <c r="GO12" s="3">
        <v>1371948000</v>
      </c>
      <c r="GP12" s="3">
        <v>171596315.65000001</v>
      </c>
      <c r="GQ12" s="3">
        <v>1157631404.48</v>
      </c>
      <c r="GR12" s="3">
        <v>0</v>
      </c>
      <c r="GS12" s="3">
        <v>3000000</v>
      </c>
      <c r="GT12" s="3">
        <v>1332227720.1300001</v>
      </c>
      <c r="GU12" s="3">
        <v>171596315.65000001</v>
      </c>
      <c r="GV12" s="3">
        <v>1157631404.48</v>
      </c>
      <c r="GW12" s="3">
        <v>0</v>
      </c>
      <c r="GX12" s="3">
        <v>3000000</v>
      </c>
      <c r="GY12" s="3">
        <v>1332227720.1300001</v>
      </c>
      <c r="GZ12" s="3">
        <v>171519716.77000001</v>
      </c>
      <c r="HA12" s="3">
        <v>1094893966.1800001</v>
      </c>
      <c r="HB12" s="3">
        <v>0</v>
      </c>
      <c r="HC12" s="3">
        <v>300000</v>
      </c>
      <c r="HD12" s="3">
        <v>1266713682.95</v>
      </c>
      <c r="HE12" s="3">
        <v>170286858.19999999</v>
      </c>
      <c r="HF12" s="3">
        <v>972292225.17999995</v>
      </c>
      <c r="HG12" s="3">
        <v>0</v>
      </c>
      <c r="HH12" s="3">
        <v>288800</v>
      </c>
      <c r="HI12" s="3">
        <v>1142867883.3800001</v>
      </c>
      <c r="HJ12" s="3">
        <v>174341000</v>
      </c>
      <c r="HK12" s="3">
        <v>1212588000</v>
      </c>
      <c r="HL12" s="3">
        <v>0</v>
      </c>
      <c r="HM12" s="3">
        <v>0</v>
      </c>
      <c r="HN12" s="3">
        <v>1386929000</v>
      </c>
      <c r="HO12" s="3">
        <v>174341000</v>
      </c>
      <c r="HP12" s="3">
        <v>1212588000</v>
      </c>
      <c r="HQ12" s="3">
        <v>0</v>
      </c>
      <c r="HR12" s="3">
        <v>0</v>
      </c>
      <c r="HS12" s="3">
        <v>1386929000</v>
      </c>
      <c r="HT12" s="3">
        <v>174341000</v>
      </c>
      <c r="HU12" s="3">
        <v>1212588000</v>
      </c>
      <c r="HV12" s="3">
        <v>0</v>
      </c>
      <c r="HW12" s="3">
        <v>0</v>
      </c>
      <c r="HX12" s="3">
        <v>1386929000</v>
      </c>
      <c r="HY12" s="3">
        <v>178635968.36000001</v>
      </c>
      <c r="HZ12" s="3">
        <v>1147912667</v>
      </c>
      <c r="IA12" s="3">
        <v>0</v>
      </c>
      <c r="IB12" s="3">
        <v>0</v>
      </c>
      <c r="IC12" s="3">
        <v>1326548635.3599999</v>
      </c>
      <c r="ID12" s="3">
        <v>178635968.36000001</v>
      </c>
      <c r="IE12" s="3">
        <v>1147912667</v>
      </c>
      <c r="IF12" s="3">
        <v>0</v>
      </c>
      <c r="IG12" s="3">
        <v>0</v>
      </c>
      <c r="IH12" s="3">
        <v>1326548635.3599999</v>
      </c>
      <c r="II12" s="3">
        <v>178453143.19</v>
      </c>
      <c r="IJ12" s="3">
        <v>1061864898.38</v>
      </c>
      <c r="IK12" s="3">
        <v>0</v>
      </c>
      <c r="IL12" s="3">
        <v>0</v>
      </c>
      <c r="IM12" s="3">
        <v>1240318041.5699999</v>
      </c>
      <c r="IN12" s="3">
        <v>176410527.22999999</v>
      </c>
      <c r="IO12" s="6">
        <v>928242576.35000002</v>
      </c>
      <c r="IP12" s="3">
        <v>0</v>
      </c>
      <c r="IQ12" s="3">
        <v>0</v>
      </c>
      <c r="IR12" s="6">
        <v>1104653103.5799999</v>
      </c>
      <c r="IS12" s="3">
        <v>171522000</v>
      </c>
      <c r="IT12" s="3">
        <v>1454537000</v>
      </c>
      <c r="IU12" s="3">
        <v>0</v>
      </c>
      <c r="IV12" s="3">
        <v>0</v>
      </c>
      <c r="IW12" s="3">
        <v>1626059000</v>
      </c>
      <c r="IX12" s="3">
        <v>171522000</v>
      </c>
      <c r="IY12" s="3">
        <v>1454537000</v>
      </c>
      <c r="IZ12" s="3">
        <v>0</v>
      </c>
      <c r="JA12" s="3">
        <v>0</v>
      </c>
      <c r="JB12" s="3">
        <v>1626059000</v>
      </c>
      <c r="JC12" s="3">
        <v>171522000</v>
      </c>
      <c r="JD12" s="3">
        <v>1454537000</v>
      </c>
      <c r="JE12" s="3">
        <v>0</v>
      </c>
      <c r="JF12" s="3">
        <v>0</v>
      </c>
      <c r="JG12" s="3">
        <v>1626059000</v>
      </c>
      <c r="JH12" s="3">
        <v>173599723.43000001</v>
      </c>
      <c r="JI12" s="3">
        <v>1394729827.6700001</v>
      </c>
      <c r="JJ12" s="3">
        <v>0</v>
      </c>
      <c r="JK12" s="3">
        <v>5300000</v>
      </c>
      <c r="JL12" s="3">
        <v>1573629551.0999999</v>
      </c>
      <c r="JM12" s="3">
        <v>173599723.43000001</v>
      </c>
      <c r="JN12" s="3">
        <v>1394729827.6700001</v>
      </c>
      <c r="JO12" s="3">
        <v>0</v>
      </c>
      <c r="JP12" s="3">
        <v>5300000</v>
      </c>
      <c r="JQ12" s="3">
        <v>1573629551.0999999</v>
      </c>
      <c r="JR12" s="3">
        <v>173477791.97</v>
      </c>
      <c r="JS12" s="3">
        <v>1285771878.4100001</v>
      </c>
      <c r="JT12" s="3">
        <v>0</v>
      </c>
      <c r="JU12" s="3">
        <v>5028868.6900000004</v>
      </c>
      <c r="JV12" s="3">
        <v>1464278539.0699999</v>
      </c>
      <c r="JW12" s="3">
        <v>172149366.94</v>
      </c>
      <c r="JX12" s="3">
        <v>1093113294.1400001</v>
      </c>
      <c r="JY12" s="3">
        <v>0</v>
      </c>
      <c r="JZ12" s="3">
        <v>970000</v>
      </c>
      <c r="KA12" s="3">
        <v>1266232661.0799999</v>
      </c>
      <c r="KB12" s="3">
        <v>857720000</v>
      </c>
      <c r="KC12" s="3">
        <v>1472284000</v>
      </c>
      <c r="KD12" s="3">
        <v>0</v>
      </c>
      <c r="KE12" s="3">
        <v>0</v>
      </c>
      <c r="KF12" s="3">
        <v>2330004000</v>
      </c>
      <c r="KG12" s="3">
        <v>857720000</v>
      </c>
      <c r="KH12" s="3">
        <v>1472284000</v>
      </c>
      <c r="KI12" s="3">
        <v>0</v>
      </c>
      <c r="KJ12" s="3">
        <v>0</v>
      </c>
      <c r="KK12" s="3">
        <v>2330004000</v>
      </c>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v>411061000</v>
      </c>
      <c r="LL12" s="3">
        <v>2426982000</v>
      </c>
      <c r="LM12">
        <v>0</v>
      </c>
      <c r="LN12" s="3">
        <v>2918000</v>
      </c>
      <c r="LO12" s="3">
        <v>2840961000</v>
      </c>
    </row>
    <row r="13" spans="1:332" x14ac:dyDescent="0.25">
      <c r="A13" t="s">
        <v>943</v>
      </c>
      <c r="B13" t="s">
        <v>944</v>
      </c>
      <c r="C13" t="s">
        <v>199</v>
      </c>
      <c r="D13" t="s">
        <v>200</v>
      </c>
      <c r="E13" t="s">
        <v>208</v>
      </c>
      <c r="F13" t="s">
        <v>512</v>
      </c>
      <c r="G13" t="s">
        <v>299</v>
      </c>
      <c r="H13" s="3">
        <v>0</v>
      </c>
      <c r="I13" s="3">
        <v>0</v>
      </c>
      <c r="J13" s="3">
        <v>0</v>
      </c>
      <c r="K13" s="3">
        <v>0</v>
      </c>
      <c r="L13" s="3">
        <v>0</v>
      </c>
      <c r="M13" s="3">
        <v>0</v>
      </c>
      <c r="N13" s="3">
        <v>1000000000</v>
      </c>
      <c r="O13" s="3">
        <v>0</v>
      </c>
      <c r="P13" s="3">
        <v>0</v>
      </c>
      <c r="Q13" s="3">
        <v>1000000000</v>
      </c>
      <c r="R13" s="3">
        <v>0</v>
      </c>
      <c r="S13" s="3">
        <v>1000000000</v>
      </c>
      <c r="T13" s="3">
        <v>0</v>
      </c>
      <c r="U13" s="3">
        <v>0</v>
      </c>
      <c r="V13" s="3">
        <v>1000000000</v>
      </c>
      <c r="W13" s="3">
        <v>0</v>
      </c>
      <c r="X13" s="3">
        <v>1000000000</v>
      </c>
      <c r="Y13" s="3">
        <v>0</v>
      </c>
      <c r="Z13" s="3">
        <v>0</v>
      </c>
      <c r="AA13" s="3">
        <v>1000000000</v>
      </c>
      <c r="AB13" s="3">
        <v>0</v>
      </c>
      <c r="AC13" s="3">
        <v>1000000000</v>
      </c>
      <c r="AD13" s="3">
        <v>0</v>
      </c>
      <c r="AE13" s="3">
        <v>0</v>
      </c>
      <c r="AF13" s="3">
        <v>1000000000</v>
      </c>
      <c r="AG13" s="3">
        <v>0</v>
      </c>
      <c r="AH13" s="3">
        <v>976353948.20000005</v>
      </c>
      <c r="AI13" s="3">
        <v>0</v>
      </c>
      <c r="AJ13" s="3">
        <v>0</v>
      </c>
      <c r="AK13" s="3">
        <v>976353948.20000005</v>
      </c>
      <c r="AL13" s="3">
        <v>0</v>
      </c>
      <c r="AM13" s="3">
        <v>607696286.52999997</v>
      </c>
      <c r="AN13" s="3">
        <v>0</v>
      </c>
      <c r="AO13" s="3">
        <v>0</v>
      </c>
      <c r="AP13" s="3">
        <v>607696286.52999997</v>
      </c>
      <c r="AQ13" s="3">
        <v>0</v>
      </c>
      <c r="AR13" s="3">
        <v>1000000000</v>
      </c>
      <c r="AS13" s="3">
        <v>0</v>
      </c>
      <c r="AT13" s="3">
        <v>0</v>
      </c>
      <c r="AU13" s="3">
        <v>1000000000</v>
      </c>
      <c r="AV13" s="3">
        <v>0</v>
      </c>
      <c r="AW13" s="3">
        <v>1000000000</v>
      </c>
      <c r="AX13" s="3">
        <v>0</v>
      </c>
      <c r="AY13" s="3">
        <v>0</v>
      </c>
      <c r="AZ13" s="3">
        <v>1000000000</v>
      </c>
      <c r="BA13" s="3">
        <v>0</v>
      </c>
      <c r="BB13" s="3">
        <v>1000000000</v>
      </c>
      <c r="BC13" s="3">
        <v>0</v>
      </c>
      <c r="BD13" s="3">
        <v>0</v>
      </c>
      <c r="BE13" s="3">
        <v>1000000000</v>
      </c>
      <c r="BF13" s="3">
        <v>0</v>
      </c>
      <c r="BG13" s="3">
        <v>1000000000</v>
      </c>
      <c r="BH13" s="3">
        <v>0</v>
      </c>
      <c r="BI13" s="3">
        <v>0</v>
      </c>
      <c r="BJ13" s="3">
        <v>1000000000</v>
      </c>
      <c r="BK13" s="3">
        <v>0</v>
      </c>
      <c r="BL13" s="3">
        <v>1000000000</v>
      </c>
      <c r="BM13" s="3">
        <v>0</v>
      </c>
      <c r="BN13" s="3">
        <v>0</v>
      </c>
      <c r="BO13" s="3">
        <v>1000000000</v>
      </c>
      <c r="BP13" s="3">
        <v>0</v>
      </c>
      <c r="BQ13" s="3">
        <v>974118056.71000004</v>
      </c>
      <c r="BR13" s="3">
        <v>0</v>
      </c>
      <c r="BS13" s="3">
        <v>0</v>
      </c>
      <c r="BT13" s="3">
        <v>974118056.71000004</v>
      </c>
      <c r="BU13" s="3">
        <v>0</v>
      </c>
      <c r="BV13" s="3">
        <v>763397791.57000005</v>
      </c>
      <c r="BW13" s="3">
        <v>0</v>
      </c>
      <c r="BX13" s="3">
        <v>0</v>
      </c>
      <c r="BY13" s="3">
        <v>763397791.57000005</v>
      </c>
      <c r="BZ13" s="3">
        <v>0</v>
      </c>
      <c r="CA13" s="3">
        <v>1000000000</v>
      </c>
      <c r="CB13" s="3">
        <v>0</v>
      </c>
      <c r="CC13" s="3">
        <v>0</v>
      </c>
      <c r="CD13" s="3">
        <v>1000000000</v>
      </c>
      <c r="CE13" s="3">
        <v>0</v>
      </c>
      <c r="CF13" s="3">
        <v>1500000000</v>
      </c>
      <c r="CG13" s="3">
        <v>0</v>
      </c>
      <c r="CH13" s="3">
        <v>0</v>
      </c>
      <c r="CI13" s="3">
        <v>1500000000</v>
      </c>
      <c r="CJ13" s="3">
        <v>0</v>
      </c>
      <c r="CK13" s="3">
        <v>1500000000</v>
      </c>
      <c r="CL13" s="3">
        <v>0</v>
      </c>
      <c r="CM13" s="3">
        <v>0</v>
      </c>
      <c r="CN13" s="3">
        <v>1500000000</v>
      </c>
      <c r="CO13" s="3">
        <v>0</v>
      </c>
      <c r="CP13" s="3">
        <v>1500000000</v>
      </c>
      <c r="CQ13" s="3">
        <v>0</v>
      </c>
      <c r="CR13" s="3">
        <v>0</v>
      </c>
      <c r="CS13" s="3">
        <v>1500000000</v>
      </c>
      <c r="CT13" s="3">
        <v>0</v>
      </c>
      <c r="CU13" s="3">
        <v>1500000000</v>
      </c>
      <c r="CV13" s="3">
        <v>0</v>
      </c>
      <c r="CW13" s="3">
        <v>0</v>
      </c>
      <c r="CX13" s="3">
        <v>1500000000</v>
      </c>
      <c r="CY13" s="3">
        <v>0</v>
      </c>
      <c r="CZ13" s="3">
        <v>1459747059.8299999</v>
      </c>
      <c r="DA13" s="3">
        <v>0</v>
      </c>
      <c r="DB13" s="3">
        <v>0</v>
      </c>
      <c r="DC13" s="3">
        <v>1459747059.8299999</v>
      </c>
      <c r="DD13" s="3">
        <v>0</v>
      </c>
      <c r="DE13" s="3">
        <v>864713571.18000007</v>
      </c>
      <c r="DF13" s="3">
        <v>0</v>
      </c>
      <c r="DG13" s="3">
        <v>0</v>
      </c>
      <c r="DH13" s="10">
        <v>864713571.18000007</v>
      </c>
      <c r="DI13" s="3">
        <v>0</v>
      </c>
      <c r="DJ13" s="3">
        <v>1000000000</v>
      </c>
      <c r="DK13" s="3">
        <v>0</v>
      </c>
      <c r="DL13" s="3">
        <v>0</v>
      </c>
      <c r="DM13" s="3">
        <v>1000000000</v>
      </c>
      <c r="DN13" s="3">
        <v>0</v>
      </c>
      <c r="DO13" s="3">
        <v>1000000000</v>
      </c>
      <c r="DP13" s="3">
        <v>0</v>
      </c>
      <c r="DQ13" s="3">
        <v>0</v>
      </c>
      <c r="DR13" s="3">
        <v>1000000000</v>
      </c>
      <c r="DS13" s="3">
        <v>0</v>
      </c>
      <c r="DT13" s="3">
        <v>1000000000</v>
      </c>
      <c r="DU13" s="3">
        <v>0</v>
      </c>
      <c r="DV13" s="3">
        <v>0</v>
      </c>
      <c r="DW13" s="3">
        <v>1000000000</v>
      </c>
      <c r="DX13" s="3">
        <v>0</v>
      </c>
      <c r="DY13" s="3">
        <v>1000000000</v>
      </c>
      <c r="DZ13" s="3">
        <v>0</v>
      </c>
      <c r="EA13" s="3">
        <v>0</v>
      </c>
      <c r="EB13" s="3">
        <v>1000000000</v>
      </c>
      <c r="EC13" s="3">
        <v>0</v>
      </c>
      <c r="ED13" s="3">
        <v>1000000000</v>
      </c>
      <c r="EE13" s="3">
        <v>0</v>
      </c>
      <c r="EF13" s="3">
        <v>0</v>
      </c>
      <c r="EG13" s="3">
        <v>1000000000</v>
      </c>
      <c r="EH13" s="3">
        <v>0</v>
      </c>
      <c r="EI13" s="3">
        <v>991428419.19999993</v>
      </c>
      <c r="EJ13" s="3">
        <v>0</v>
      </c>
      <c r="EK13" s="3">
        <v>0</v>
      </c>
      <c r="EL13" s="3">
        <v>991428419.19999993</v>
      </c>
      <c r="EM13" s="3">
        <v>0</v>
      </c>
      <c r="EN13" s="3">
        <v>658151814.58999991</v>
      </c>
      <c r="EO13" s="3">
        <v>0</v>
      </c>
      <c r="EP13" s="3">
        <v>0</v>
      </c>
      <c r="EQ13" s="3">
        <v>658151814.58999991</v>
      </c>
      <c r="ER13" s="3">
        <v>0</v>
      </c>
      <c r="ES13" s="3">
        <v>1000000000</v>
      </c>
      <c r="ET13" s="3">
        <v>0</v>
      </c>
      <c r="EU13" s="3">
        <v>0</v>
      </c>
      <c r="EV13" s="3">
        <v>1000000000</v>
      </c>
      <c r="EW13" s="3">
        <v>0</v>
      </c>
      <c r="EX13" s="3">
        <v>1000000000</v>
      </c>
      <c r="EY13" s="3">
        <v>0</v>
      </c>
      <c r="EZ13" s="3">
        <v>0</v>
      </c>
      <c r="FA13" s="3">
        <v>1000000000</v>
      </c>
      <c r="FB13" s="3">
        <v>0</v>
      </c>
      <c r="FC13" s="3">
        <v>1000000000</v>
      </c>
      <c r="FD13" s="3">
        <v>0</v>
      </c>
      <c r="FE13" s="3">
        <v>0</v>
      </c>
      <c r="FF13" s="3">
        <v>1000000000</v>
      </c>
      <c r="FG13" s="3">
        <v>0</v>
      </c>
      <c r="FH13" s="3">
        <v>1000000000</v>
      </c>
      <c r="FI13" s="3">
        <v>0</v>
      </c>
      <c r="FJ13" s="3">
        <v>0</v>
      </c>
      <c r="FK13" s="3">
        <v>1000000000</v>
      </c>
      <c r="FL13" s="3">
        <v>0</v>
      </c>
      <c r="FM13" s="3">
        <v>1000000000</v>
      </c>
      <c r="FN13" s="3">
        <v>0</v>
      </c>
      <c r="FO13" s="3">
        <v>0</v>
      </c>
      <c r="FP13" s="3">
        <v>1000000000</v>
      </c>
      <c r="FQ13" s="3">
        <v>0</v>
      </c>
      <c r="FR13" s="3">
        <v>959405740.38</v>
      </c>
      <c r="FS13" s="3">
        <v>0</v>
      </c>
      <c r="FT13" s="3">
        <v>0</v>
      </c>
      <c r="FU13" s="3">
        <v>959405740.38</v>
      </c>
      <c r="FV13" s="3">
        <v>0</v>
      </c>
      <c r="FW13" s="3">
        <v>826025367.47000003</v>
      </c>
      <c r="FX13" s="3">
        <v>0</v>
      </c>
      <c r="FY13" s="3">
        <v>0</v>
      </c>
      <c r="FZ13" s="3">
        <v>826025367.47000003</v>
      </c>
      <c r="GA13" s="3">
        <v>0</v>
      </c>
      <c r="GB13" s="3">
        <v>1000000000</v>
      </c>
      <c r="GC13" s="3">
        <v>0</v>
      </c>
      <c r="GD13" s="3">
        <v>0</v>
      </c>
      <c r="GE13" s="3">
        <v>1000000000</v>
      </c>
      <c r="GF13" s="3">
        <v>0</v>
      </c>
      <c r="GG13" s="3">
        <v>1000000000</v>
      </c>
      <c r="GH13" s="3">
        <v>0</v>
      </c>
      <c r="GI13" s="3">
        <v>0</v>
      </c>
      <c r="GJ13" s="3">
        <v>1000000000</v>
      </c>
      <c r="GK13" s="3">
        <v>0</v>
      </c>
      <c r="GL13" s="3">
        <v>1000000000</v>
      </c>
      <c r="GM13" s="3">
        <v>0</v>
      </c>
      <c r="GN13" s="3">
        <v>0</v>
      </c>
      <c r="GO13" s="3">
        <v>1000000000</v>
      </c>
      <c r="GP13" s="3">
        <v>0</v>
      </c>
      <c r="GQ13" s="3">
        <v>1000000000</v>
      </c>
      <c r="GR13" s="3">
        <v>0</v>
      </c>
      <c r="GS13" s="3">
        <v>0</v>
      </c>
      <c r="GT13" s="3">
        <v>1000000000</v>
      </c>
      <c r="GU13" s="3">
        <v>0</v>
      </c>
      <c r="GV13" s="3">
        <v>1000000000</v>
      </c>
      <c r="GW13" s="3">
        <v>0</v>
      </c>
      <c r="GX13" s="3">
        <v>0</v>
      </c>
      <c r="GY13" s="3">
        <v>1000000000</v>
      </c>
      <c r="GZ13" s="3">
        <v>0</v>
      </c>
      <c r="HA13" s="3">
        <v>866552649.63999999</v>
      </c>
      <c r="HB13" s="3">
        <v>0</v>
      </c>
      <c r="HC13" s="3">
        <v>0</v>
      </c>
      <c r="HD13" s="3">
        <v>866552649.63999999</v>
      </c>
      <c r="HE13" s="3">
        <v>0</v>
      </c>
      <c r="HF13" s="3">
        <v>822547454.09000003</v>
      </c>
      <c r="HG13" s="3">
        <v>0</v>
      </c>
      <c r="HH13" s="3">
        <v>0</v>
      </c>
      <c r="HI13" s="3">
        <v>822547454.09000003</v>
      </c>
      <c r="HJ13" s="3">
        <v>0</v>
      </c>
      <c r="HK13" s="3">
        <v>1000000000</v>
      </c>
      <c r="HL13" s="3">
        <v>0</v>
      </c>
      <c r="HM13" s="3">
        <v>0</v>
      </c>
      <c r="HN13" s="3">
        <v>1000000000</v>
      </c>
      <c r="HO13" s="3">
        <v>0</v>
      </c>
      <c r="HP13" s="3">
        <v>1000000000</v>
      </c>
      <c r="HQ13" s="3">
        <v>0</v>
      </c>
      <c r="HR13" s="3">
        <v>0</v>
      </c>
      <c r="HS13" s="3">
        <v>1000000000</v>
      </c>
      <c r="HT13" s="3">
        <v>0</v>
      </c>
      <c r="HU13" s="3">
        <v>1000000000</v>
      </c>
      <c r="HV13" s="3">
        <v>0</v>
      </c>
      <c r="HW13" s="3">
        <v>0</v>
      </c>
      <c r="HX13" s="3">
        <v>1000000000</v>
      </c>
      <c r="HY13" s="3">
        <v>0</v>
      </c>
      <c r="HZ13" s="3">
        <v>1000000000</v>
      </c>
      <c r="IA13" s="3">
        <v>0</v>
      </c>
      <c r="IB13" s="3">
        <v>0</v>
      </c>
      <c r="IC13" s="3">
        <v>1000000000</v>
      </c>
      <c r="ID13" s="3">
        <v>0</v>
      </c>
      <c r="IE13" s="3">
        <v>1000000000</v>
      </c>
      <c r="IF13" s="3">
        <v>0</v>
      </c>
      <c r="IG13" s="3">
        <v>0</v>
      </c>
      <c r="IH13" s="3">
        <v>1000000000</v>
      </c>
      <c r="II13" s="3">
        <v>0</v>
      </c>
      <c r="IJ13" s="3">
        <v>630594207.32000005</v>
      </c>
      <c r="IK13" s="3">
        <v>0</v>
      </c>
      <c r="IL13" s="3">
        <v>0</v>
      </c>
      <c r="IM13" s="3">
        <v>630594207.32000005</v>
      </c>
      <c r="IN13" s="6">
        <v>0</v>
      </c>
      <c r="IO13" s="6">
        <v>337468537.27999997</v>
      </c>
      <c r="IP13" s="6">
        <v>0</v>
      </c>
      <c r="IQ13" s="6">
        <v>0</v>
      </c>
      <c r="IR13" s="6">
        <v>337468537.27999997</v>
      </c>
      <c r="IS13" s="3">
        <v>0</v>
      </c>
      <c r="IT13" s="3">
        <v>1000000000</v>
      </c>
      <c r="IU13" s="3">
        <v>0</v>
      </c>
      <c r="IV13" s="3">
        <v>0</v>
      </c>
      <c r="IW13" s="3">
        <v>1000000000</v>
      </c>
      <c r="IX13" s="3">
        <v>0</v>
      </c>
      <c r="IY13" s="3">
        <v>1000000000</v>
      </c>
      <c r="IZ13" s="3">
        <v>0</v>
      </c>
      <c r="JA13" s="3">
        <v>0</v>
      </c>
      <c r="JB13" s="3">
        <v>1000000000</v>
      </c>
      <c r="JC13" s="3">
        <v>0</v>
      </c>
      <c r="JD13" s="3">
        <v>1000000000</v>
      </c>
      <c r="JE13" s="3">
        <v>0</v>
      </c>
      <c r="JF13" s="3">
        <v>0</v>
      </c>
      <c r="JG13" s="3">
        <v>1000000000</v>
      </c>
      <c r="JH13" s="3">
        <v>0</v>
      </c>
      <c r="JI13" s="3">
        <v>1000000000</v>
      </c>
      <c r="JJ13" s="3">
        <v>0</v>
      </c>
      <c r="JK13" s="3">
        <v>0</v>
      </c>
      <c r="JL13" s="3">
        <v>1000000000</v>
      </c>
      <c r="JM13" s="3">
        <v>0</v>
      </c>
      <c r="JN13" s="3">
        <v>1000000000</v>
      </c>
      <c r="JO13" s="3">
        <v>0</v>
      </c>
      <c r="JP13" s="3">
        <v>0</v>
      </c>
      <c r="JQ13" s="3">
        <v>1000000000</v>
      </c>
      <c r="JR13" s="3">
        <v>0</v>
      </c>
      <c r="JS13" s="3">
        <v>886522661</v>
      </c>
      <c r="JT13" s="3">
        <v>0</v>
      </c>
      <c r="JU13" s="3">
        <v>0</v>
      </c>
      <c r="JV13" s="3">
        <v>886522661</v>
      </c>
      <c r="JW13" s="3">
        <v>0</v>
      </c>
      <c r="JX13" s="3">
        <v>683340206.80999994</v>
      </c>
      <c r="JY13" s="3">
        <v>0</v>
      </c>
      <c r="JZ13" s="3">
        <v>0</v>
      </c>
      <c r="KA13" s="3">
        <v>683340206.80999994</v>
      </c>
      <c r="KB13" s="3">
        <v>0</v>
      </c>
      <c r="KC13" s="3">
        <v>1000000000</v>
      </c>
      <c r="KD13" s="3">
        <v>0</v>
      </c>
      <c r="KE13" s="3">
        <v>0</v>
      </c>
      <c r="KF13" s="3">
        <v>1000000000</v>
      </c>
      <c r="KG13" s="3">
        <v>0</v>
      </c>
      <c r="KH13" s="3">
        <v>1000000000</v>
      </c>
      <c r="KI13" s="3">
        <v>0</v>
      </c>
      <c r="KJ13" s="3">
        <v>0</v>
      </c>
      <c r="KK13" s="3">
        <v>1000000000</v>
      </c>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v>0</v>
      </c>
      <c r="LL13" s="3">
        <v>1000000000</v>
      </c>
      <c r="LM13">
        <v>0</v>
      </c>
      <c r="LN13" s="3">
        <v>0</v>
      </c>
      <c r="LO13" s="3">
        <v>1000000000</v>
      </c>
    </row>
    <row r="14" spans="1:332" x14ac:dyDescent="0.25">
      <c r="A14" t="s">
        <v>943</v>
      </c>
      <c r="B14" t="s">
        <v>944</v>
      </c>
      <c r="C14" t="s">
        <v>199</v>
      </c>
      <c r="D14" t="s">
        <v>200</v>
      </c>
      <c r="E14" t="s">
        <v>208</v>
      </c>
      <c r="F14" t="s">
        <v>513</v>
      </c>
      <c r="G14" t="s">
        <v>1012</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U14" s="3"/>
      <c r="BV14" s="3"/>
      <c r="BW14" s="3"/>
      <c r="BX14" s="3"/>
      <c r="BZ14" s="3">
        <v>0</v>
      </c>
      <c r="CA14" s="3">
        <v>136158000</v>
      </c>
      <c r="CB14" s="3">
        <v>0</v>
      </c>
      <c r="CC14" s="3">
        <v>0</v>
      </c>
      <c r="CD14" s="3">
        <v>136158000</v>
      </c>
      <c r="CE14" s="3">
        <v>0</v>
      </c>
      <c r="CF14" s="3">
        <v>136158000</v>
      </c>
      <c r="CG14" s="3">
        <v>0</v>
      </c>
      <c r="CH14" s="3">
        <v>0</v>
      </c>
      <c r="CI14" s="3">
        <v>136158000</v>
      </c>
      <c r="CJ14" s="3">
        <v>0</v>
      </c>
      <c r="CK14" s="3">
        <v>136158000</v>
      </c>
      <c r="CL14" s="3">
        <v>0</v>
      </c>
      <c r="CM14" s="3">
        <v>0</v>
      </c>
      <c r="CN14" s="3">
        <v>136158000</v>
      </c>
      <c r="CO14" s="3">
        <v>0</v>
      </c>
      <c r="CP14" s="3">
        <v>123615195</v>
      </c>
      <c r="CQ14" s="3">
        <v>0</v>
      </c>
      <c r="CR14" s="3">
        <v>0</v>
      </c>
      <c r="CS14" s="3">
        <v>123615195</v>
      </c>
      <c r="CT14" s="3">
        <v>0</v>
      </c>
      <c r="CU14" s="3">
        <v>123615195</v>
      </c>
      <c r="CV14" s="3">
        <v>0</v>
      </c>
      <c r="CW14" s="3">
        <v>0</v>
      </c>
      <c r="CX14" s="3">
        <v>123615195</v>
      </c>
      <c r="CY14" s="3">
        <v>0</v>
      </c>
      <c r="CZ14" s="10">
        <v>114250944.23</v>
      </c>
      <c r="DA14" s="3">
        <v>0</v>
      </c>
      <c r="DB14" s="3">
        <v>0</v>
      </c>
      <c r="DC14" s="3">
        <v>114250944.23</v>
      </c>
      <c r="DD14" s="3">
        <v>0</v>
      </c>
      <c r="DE14" s="3">
        <v>96885347.930000007</v>
      </c>
      <c r="DF14" s="3">
        <v>0</v>
      </c>
      <c r="DG14" s="3">
        <v>0</v>
      </c>
      <c r="DH14" s="10">
        <v>96885347.930000007</v>
      </c>
      <c r="DI14" s="3">
        <v>4032000</v>
      </c>
      <c r="DJ14" s="3">
        <v>158344000</v>
      </c>
      <c r="DK14" s="3">
        <v>0</v>
      </c>
      <c r="DL14" s="3">
        <v>0</v>
      </c>
      <c r="DM14" s="3">
        <v>162376000</v>
      </c>
      <c r="DN14" s="3">
        <v>4032000</v>
      </c>
      <c r="DO14" s="3">
        <v>158344000</v>
      </c>
      <c r="DP14" s="3">
        <v>0</v>
      </c>
      <c r="DQ14" s="3">
        <v>0</v>
      </c>
      <c r="DR14" s="3">
        <v>162376000</v>
      </c>
      <c r="DS14" s="3">
        <v>4032000</v>
      </c>
      <c r="DT14" s="3">
        <v>158344000</v>
      </c>
      <c r="DU14" s="3">
        <v>0</v>
      </c>
      <c r="DV14" s="3">
        <v>0</v>
      </c>
      <c r="DW14" s="3">
        <v>162376000</v>
      </c>
      <c r="DX14" s="3">
        <v>4030313</v>
      </c>
      <c r="DY14" s="3">
        <v>149391739</v>
      </c>
      <c r="DZ14" s="3">
        <v>0</v>
      </c>
      <c r="EA14" s="3">
        <v>1420000</v>
      </c>
      <c r="EB14" s="3">
        <v>154842052</v>
      </c>
      <c r="EC14" s="3">
        <v>4030313</v>
      </c>
      <c r="ED14" s="3">
        <v>149391739</v>
      </c>
      <c r="EE14" s="3">
        <v>0</v>
      </c>
      <c r="EF14" s="3">
        <v>1420000</v>
      </c>
      <c r="EG14" s="3">
        <v>154842052</v>
      </c>
      <c r="EH14" s="3">
        <v>4030313.0000000009</v>
      </c>
      <c r="EI14" s="3">
        <v>142561257.45999998</v>
      </c>
      <c r="EJ14" s="3">
        <v>0</v>
      </c>
      <c r="EK14" s="3">
        <v>1000000</v>
      </c>
      <c r="EL14" s="3">
        <v>147591570.46000001</v>
      </c>
      <c r="EM14" s="3">
        <v>4023423.1900000004</v>
      </c>
      <c r="EN14" s="3">
        <v>118425373.64999999</v>
      </c>
      <c r="EO14" s="3">
        <v>0</v>
      </c>
      <c r="EP14" s="3">
        <v>0</v>
      </c>
      <c r="EQ14" s="3">
        <v>122448796.84</v>
      </c>
      <c r="ER14" s="3">
        <v>175995000</v>
      </c>
      <c r="ES14" s="3">
        <v>168169000</v>
      </c>
      <c r="ET14" s="3">
        <v>0</v>
      </c>
      <c r="EU14" s="3">
        <v>0</v>
      </c>
      <c r="EV14" s="3">
        <v>344164000</v>
      </c>
      <c r="EW14" s="3">
        <v>175995000</v>
      </c>
      <c r="EX14" s="3">
        <v>168169000</v>
      </c>
      <c r="EY14" s="3">
        <v>0</v>
      </c>
      <c r="EZ14" s="3">
        <v>0</v>
      </c>
      <c r="FA14" s="3">
        <v>344164000</v>
      </c>
      <c r="FB14" s="3">
        <v>175995000</v>
      </c>
      <c r="FC14" s="3">
        <v>168169000</v>
      </c>
      <c r="FD14" s="3">
        <v>0</v>
      </c>
      <c r="FE14" s="3">
        <v>0</v>
      </c>
      <c r="FF14" s="3">
        <v>344164000</v>
      </c>
      <c r="FG14" s="3">
        <v>180367890.12</v>
      </c>
      <c r="FH14" s="3">
        <v>163115267.43000001</v>
      </c>
      <c r="FI14" s="3">
        <v>0</v>
      </c>
      <c r="FJ14" s="3">
        <v>3000000</v>
      </c>
      <c r="FK14" s="3">
        <v>346483157.55000001</v>
      </c>
      <c r="FL14" s="3">
        <v>180367890.12</v>
      </c>
      <c r="FM14" s="3">
        <v>163115267.43000001</v>
      </c>
      <c r="FN14" s="3">
        <v>0</v>
      </c>
      <c r="FO14" s="3">
        <v>3000000</v>
      </c>
      <c r="FP14" s="3">
        <v>346483157.55000001</v>
      </c>
      <c r="FQ14" s="3">
        <v>180322154.28</v>
      </c>
      <c r="FR14" s="3">
        <v>159094292.83000001</v>
      </c>
      <c r="FS14" s="3">
        <v>0</v>
      </c>
      <c r="FT14" s="3">
        <v>1496024.91</v>
      </c>
      <c r="FU14" s="3">
        <v>340912472.01999998</v>
      </c>
      <c r="FV14" s="3">
        <v>178854563.74000001</v>
      </c>
      <c r="FW14" s="3">
        <v>140738203.69</v>
      </c>
      <c r="FX14" s="3">
        <v>0</v>
      </c>
      <c r="FY14" s="3">
        <v>0</v>
      </c>
      <c r="FZ14" s="3">
        <v>319592767.43000001</v>
      </c>
      <c r="GA14" s="3">
        <v>222099000</v>
      </c>
      <c r="GB14" s="3">
        <v>160599000</v>
      </c>
      <c r="GC14" s="3">
        <v>0</v>
      </c>
      <c r="GD14" s="3">
        <v>0</v>
      </c>
      <c r="GE14" s="3">
        <v>382698000</v>
      </c>
      <c r="GF14" s="3">
        <v>222099000</v>
      </c>
      <c r="GG14" s="3">
        <v>160599000</v>
      </c>
      <c r="GH14" s="3">
        <v>0</v>
      </c>
      <c r="GI14" s="3">
        <v>0</v>
      </c>
      <c r="GJ14" s="3">
        <v>382698000</v>
      </c>
      <c r="GK14" s="3">
        <v>222099000</v>
      </c>
      <c r="GL14" s="3">
        <v>160599000</v>
      </c>
      <c r="GM14" s="3">
        <v>0</v>
      </c>
      <c r="GN14" s="3">
        <v>0</v>
      </c>
      <c r="GO14" s="3">
        <v>382698000</v>
      </c>
      <c r="GP14" s="3">
        <v>218276326.74000001</v>
      </c>
      <c r="GQ14" s="3">
        <v>154916217.53</v>
      </c>
      <c r="GR14" s="3">
        <v>0</v>
      </c>
      <c r="GS14" s="3">
        <v>600000</v>
      </c>
      <c r="GT14" s="3">
        <v>373792544.26999998</v>
      </c>
      <c r="GU14" s="3">
        <v>218276326.74000001</v>
      </c>
      <c r="GV14" s="3">
        <v>154916217.53</v>
      </c>
      <c r="GW14" s="3">
        <v>0</v>
      </c>
      <c r="GX14" s="3">
        <v>600000</v>
      </c>
      <c r="GY14" s="3">
        <v>373792544.26999998</v>
      </c>
      <c r="GZ14" s="3">
        <v>218065461.61000001</v>
      </c>
      <c r="HA14" s="3">
        <v>152929433.31999999</v>
      </c>
      <c r="HB14" s="3">
        <v>0</v>
      </c>
      <c r="HC14" s="3">
        <v>0</v>
      </c>
      <c r="HD14" s="3">
        <v>370994894.93000001</v>
      </c>
      <c r="HE14" s="3">
        <v>214588332.00999999</v>
      </c>
      <c r="HF14" s="3">
        <v>140388490.59</v>
      </c>
      <c r="HG14" s="3">
        <v>0</v>
      </c>
      <c r="HH14" s="3">
        <v>0</v>
      </c>
      <c r="HI14" s="3">
        <v>354976822.60000002</v>
      </c>
      <c r="HJ14" s="3">
        <v>233909000</v>
      </c>
      <c r="HK14" s="3">
        <v>163490000</v>
      </c>
      <c r="HL14" s="3">
        <v>0</v>
      </c>
      <c r="HM14" s="3">
        <v>0</v>
      </c>
      <c r="HN14" s="3">
        <v>397399000</v>
      </c>
      <c r="HO14" s="3">
        <v>233909000</v>
      </c>
      <c r="HP14" s="3">
        <v>163490000</v>
      </c>
      <c r="HQ14" s="3">
        <v>0</v>
      </c>
      <c r="HR14" s="3">
        <v>0</v>
      </c>
      <c r="HS14" s="3">
        <v>397399000</v>
      </c>
      <c r="HT14" s="3">
        <v>233909000</v>
      </c>
      <c r="HU14" s="3">
        <v>163490000</v>
      </c>
      <c r="HV14" s="3">
        <v>0</v>
      </c>
      <c r="HW14" s="3">
        <v>0</v>
      </c>
      <c r="HX14" s="3">
        <v>397399000</v>
      </c>
      <c r="HY14" s="3">
        <v>223132734.53999999</v>
      </c>
      <c r="HZ14" s="3">
        <v>159999666</v>
      </c>
      <c r="IA14" s="3">
        <v>0</v>
      </c>
      <c r="IB14" s="3">
        <v>0</v>
      </c>
      <c r="IC14" s="3">
        <v>383132400.54000002</v>
      </c>
      <c r="ID14" s="3">
        <v>223132734.53999999</v>
      </c>
      <c r="IE14" s="3">
        <v>159999666</v>
      </c>
      <c r="IF14" s="3">
        <v>0</v>
      </c>
      <c r="IG14" s="3">
        <v>0</v>
      </c>
      <c r="IH14" s="3">
        <v>383132400.54000002</v>
      </c>
      <c r="II14" s="3">
        <v>221666687.19999999</v>
      </c>
      <c r="IJ14" s="3">
        <v>151697849.02000001</v>
      </c>
      <c r="IK14" s="3">
        <v>0</v>
      </c>
      <c r="IL14" s="3">
        <v>0</v>
      </c>
      <c r="IM14" s="3">
        <v>373364536.22000003</v>
      </c>
      <c r="IN14" s="3">
        <v>218627725.53</v>
      </c>
      <c r="IO14" s="6">
        <v>135170429.11000001</v>
      </c>
      <c r="IP14" s="3">
        <v>0</v>
      </c>
      <c r="IQ14" s="3">
        <v>0</v>
      </c>
      <c r="IR14" s="6">
        <v>353798154.63999999</v>
      </c>
      <c r="IS14" s="3">
        <v>238166000</v>
      </c>
      <c r="IT14" s="3">
        <v>166433000</v>
      </c>
      <c r="IU14" s="3">
        <v>0</v>
      </c>
      <c r="IV14" s="3">
        <v>0</v>
      </c>
      <c r="IW14" s="3">
        <v>404599000</v>
      </c>
      <c r="IX14" s="3">
        <v>238166000</v>
      </c>
      <c r="IY14" s="3">
        <v>166433000</v>
      </c>
      <c r="IZ14" s="3">
        <v>0</v>
      </c>
      <c r="JA14" s="3">
        <v>0</v>
      </c>
      <c r="JB14" s="3">
        <v>404599000</v>
      </c>
      <c r="JC14" s="3">
        <v>238166000</v>
      </c>
      <c r="JD14" s="3">
        <v>166433000</v>
      </c>
      <c r="JE14" s="3">
        <v>0</v>
      </c>
      <c r="JF14" s="3">
        <v>0</v>
      </c>
      <c r="JG14" s="3">
        <v>404599000</v>
      </c>
      <c r="JH14" s="3">
        <v>232170389.15000001</v>
      </c>
      <c r="JI14" s="3">
        <v>161486667</v>
      </c>
      <c r="JJ14" s="3">
        <v>0</v>
      </c>
      <c r="JK14" s="3">
        <v>0</v>
      </c>
      <c r="JL14" s="3">
        <v>393657056.14999998</v>
      </c>
      <c r="JM14" s="3">
        <v>232170389.15000001</v>
      </c>
      <c r="JN14" s="3">
        <v>161486667</v>
      </c>
      <c r="JO14" s="3">
        <v>0</v>
      </c>
      <c r="JP14" s="3">
        <v>0</v>
      </c>
      <c r="JQ14" s="3">
        <v>393657056.14999998</v>
      </c>
      <c r="JR14" s="3">
        <v>232036802.30000001</v>
      </c>
      <c r="JS14" s="3">
        <v>153263428.11000001</v>
      </c>
      <c r="JT14" s="3">
        <v>0</v>
      </c>
      <c r="JU14" s="3">
        <v>0</v>
      </c>
      <c r="JV14" s="3">
        <v>385300230.41000003</v>
      </c>
      <c r="JW14" s="3">
        <v>227739891.37</v>
      </c>
      <c r="JX14" s="3">
        <v>131504528.68000001</v>
      </c>
      <c r="JY14" s="3">
        <v>0</v>
      </c>
      <c r="JZ14" s="3">
        <v>0</v>
      </c>
      <c r="KA14" s="3">
        <v>359244420.05000001</v>
      </c>
      <c r="KB14" s="3">
        <v>303288000</v>
      </c>
      <c r="KC14" s="3">
        <v>174212000</v>
      </c>
      <c r="KD14" s="3">
        <v>0</v>
      </c>
      <c r="KE14" s="3">
        <v>0</v>
      </c>
      <c r="KF14" s="3">
        <v>477500000</v>
      </c>
      <c r="KG14" s="3">
        <v>303288000</v>
      </c>
      <c r="KH14" s="3">
        <v>174212000</v>
      </c>
      <c r="KI14" s="3">
        <v>0</v>
      </c>
      <c r="KJ14" s="3">
        <v>0</v>
      </c>
      <c r="KK14" s="3">
        <v>477500000</v>
      </c>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v>292066000</v>
      </c>
      <c r="LL14" s="3">
        <v>168317000</v>
      </c>
      <c r="LM14">
        <v>0</v>
      </c>
      <c r="LN14" s="3">
        <v>0</v>
      </c>
      <c r="LO14" s="3">
        <v>460383000</v>
      </c>
    </row>
    <row r="15" spans="1:332" x14ac:dyDescent="0.25">
      <c r="A15" t="s">
        <v>943</v>
      </c>
      <c r="B15" t="s">
        <v>944</v>
      </c>
      <c r="C15" t="s">
        <v>199</v>
      </c>
      <c r="D15" t="s">
        <v>200</v>
      </c>
      <c r="E15" t="s">
        <v>208</v>
      </c>
      <c r="F15" t="s">
        <v>514</v>
      </c>
      <c r="G15" t="s">
        <v>1013</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U15" s="3"/>
      <c r="BV15" s="3"/>
      <c r="BW15" s="3"/>
      <c r="BX15" s="3"/>
      <c r="BZ15" s="3">
        <v>0</v>
      </c>
      <c r="CA15" s="3">
        <v>19575000</v>
      </c>
      <c r="CB15" s="3">
        <v>0</v>
      </c>
      <c r="CC15" s="3">
        <v>74390000</v>
      </c>
      <c r="CD15" s="3">
        <v>93965000</v>
      </c>
      <c r="CE15" s="3">
        <v>0</v>
      </c>
      <c r="CF15" s="3">
        <v>19575000</v>
      </c>
      <c r="CG15" s="3">
        <v>0</v>
      </c>
      <c r="CH15" s="3">
        <v>74390000</v>
      </c>
      <c r="CI15" s="3">
        <v>93965000</v>
      </c>
      <c r="CJ15" s="3">
        <v>0</v>
      </c>
      <c r="CK15" s="3">
        <v>19575000</v>
      </c>
      <c r="CL15" s="3">
        <v>0</v>
      </c>
      <c r="CM15" s="3">
        <v>74390000</v>
      </c>
      <c r="CN15" s="3">
        <v>93965000</v>
      </c>
      <c r="CO15" s="3">
        <v>29352706.960000001</v>
      </c>
      <c r="CP15" s="3">
        <v>16917500</v>
      </c>
      <c r="CQ15" s="3">
        <v>0</v>
      </c>
      <c r="CR15" s="3">
        <v>66951000</v>
      </c>
      <c r="CS15" s="3">
        <v>113221206.96000001</v>
      </c>
      <c r="CT15" s="3">
        <v>29352706.960000001</v>
      </c>
      <c r="CU15" s="3">
        <v>16917500</v>
      </c>
      <c r="CV15" s="3">
        <v>0</v>
      </c>
      <c r="CW15" s="3">
        <v>66951000</v>
      </c>
      <c r="CX15" s="3">
        <v>113221206.96000001</v>
      </c>
      <c r="CY15" s="3">
        <v>29352706.960000001</v>
      </c>
      <c r="CZ15" s="3">
        <v>4540930.0200000005</v>
      </c>
      <c r="DA15" s="3">
        <v>0</v>
      </c>
      <c r="DB15" s="3">
        <v>39216490.539999999</v>
      </c>
      <c r="DC15" s="3">
        <v>73110127.520000011</v>
      </c>
      <c r="DD15" s="3">
        <v>28862640.690000001</v>
      </c>
      <c r="DE15" s="3">
        <v>3633057.24</v>
      </c>
      <c r="DF15" s="3">
        <v>0</v>
      </c>
      <c r="DG15" s="3">
        <v>0</v>
      </c>
      <c r="DH15" s="10">
        <v>32495697.93</v>
      </c>
      <c r="DI15" s="3">
        <v>60045000</v>
      </c>
      <c r="DJ15" s="3">
        <v>19575000</v>
      </c>
      <c r="DK15" s="3">
        <v>0</v>
      </c>
      <c r="DL15" s="3">
        <v>0</v>
      </c>
      <c r="DM15" s="3">
        <v>79620000</v>
      </c>
      <c r="DN15" s="3">
        <v>60045000</v>
      </c>
      <c r="DO15" s="3">
        <v>19575000</v>
      </c>
      <c r="DP15" s="3">
        <v>0</v>
      </c>
      <c r="DQ15" s="3">
        <v>0</v>
      </c>
      <c r="DR15" s="3">
        <v>79620000</v>
      </c>
      <c r="DS15" s="3">
        <v>60045000</v>
      </c>
      <c r="DT15" s="3">
        <v>19575000</v>
      </c>
      <c r="DU15" s="3">
        <v>0</v>
      </c>
      <c r="DV15" s="3">
        <v>0</v>
      </c>
      <c r="DW15" s="3">
        <v>79620000</v>
      </c>
      <c r="DX15" s="3">
        <v>38636992.989999995</v>
      </c>
      <c r="DY15" s="3">
        <v>17143500</v>
      </c>
      <c r="DZ15" s="3">
        <v>0</v>
      </c>
      <c r="EA15" s="3">
        <v>0</v>
      </c>
      <c r="EB15" s="3">
        <v>55780492.989999995</v>
      </c>
      <c r="EC15" s="3">
        <v>38636992.989999995</v>
      </c>
      <c r="ED15" s="3">
        <v>17143500</v>
      </c>
      <c r="EE15" s="3">
        <v>0</v>
      </c>
      <c r="EF15" s="3">
        <v>0</v>
      </c>
      <c r="EG15" s="3">
        <v>55780492.989999995</v>
      </c>
      <c r="EH15" s="3">
        <v>38636992.990000002</v>
      </c>
      <c r="EI15" s="3">
        <v>13113563.700000001</v>
      </c>
      <c r="EJ15" s="3">
        <v>0</v>
      </c>
      <c r="EK15" s="3">
        <v>0</v>
      </c>
      <c r="EL15" s="3">
        <v>51750556.689999998</v>
      </c>
      <c r="EM15" s="3">
        <v>38535235.57</v>
      </c>
      <c r="EN15" s="3">
        <v>10092220.09</v>
      </c>
      <c r="EO15" s="3">
        <v>0</v>
      </c>
      <c r="EP15" s="3">
        <v>0</v>
      </c>
      <c r="EQ15" s="3">
        <v>48627455.659999996</v>
      </c>
      <c r="ER15" s="3">
        <v>61830000</v>
      </c>
      <c r="ES15" s="3">
        <v>19575000</v>
      </c>
      <c r="ET15" s="3">
        <v>0</v>
      </c>
      <c r="EU15" s="3">
        <v>0</v>
      </c>
      <c r="EV15" s="3">
        <v>81405000</v>
      </c>
      <c r="EW15" s="3">
        <v>61830000</v>
      </c>
      <c r="EX15" s="3">
        <v>19575000</v>
      </c>
      <c r="EY15" s="3">
        <v>0</v>
      </c>
      <c r="EZ15" s="3">
        <v>0</v>
      </c>
      <c r="FA15" s="3">
        <v>81405000</v>
      </c>
      <c r="FB15" s="3">
        <v>61830000</v>
      </c>
      <c r="FC15" s="3">
        <v>19575000</v>
      </c>
      <c r="FD15" s="3">
        <v>0</v>
      </c>
      <c r="FE15" s="3">
        <v>0</v>
      </c>
      <c r="FF15" s="3">
        <v>81405000</v>
      </c>
      <c r="FG15" s="3">
        <v>42505739.729999997</v>
      </c>
      <c r="FH15" s="3">
        <v>17351483.73</v>
      </c>
      <c r="FI15" s="3">
        <v>0</v>
      </c>
      <c r="FJ15" s="3">
        <v>0</v>
      </c>
      <c r="FK15" s="3">
        <v>59857223.460000001</v>
      </c>
      <c r="FL15" s="3">
        <v>42505739.729999997</v>
      </c>
      <c r="FM15" s="3">
        <v>17351483.73</v>
      </c>
      <c r="FN15" s="3">
        <v>0</v>
      </c>
      <c r="FO15" s="3">
        <v>0</v>
      </c>
      <c r="FP15" s="3">
        <v>59857223.460000001</v>
      </c>
      <c r="FQ15" s="3">
        <v>42505739.729999997</v>
      </c>
      <c r="FR15" s="3">
        <v>15412533.25</v>
      </c>
      <c r="FS15" s="3">
        <v>0</v>
      </c>
      <c r="FT15" s="3">
        <v>0</v>
      </c>
      <c r="FU15" s="3">
        <v>57918272.979999997</v>
      </c>
      <c r="FV15" s="3">
        <v>41199000.049999997</v>
      </c>
      <c r="FW15" s="3">
        <v>10780246.33</v>
      </c>
      <c r="FX15" s="3">
        <v>0</v>
      </c>
      <c r="FY15" s="3">
        <v>0</v>
      </c>
      <c r="FZ15" s="3">
        <v>51979246.380000003</v>
      </c>
      <c r="GA15" s="3">
        <v>57604000</v>
      </c>
      <c r="GB15" s="3">
        <v>20286000</v>
      </c>
      <c r="GC15" s="3">
        <v>0</v>
      </c>
      <c r="GD15" s="3">
        <v>0</v>
      </c>
      <c r="GE15" s="3">
        <v>77890000</v>
      </c>
      <c r="GF15" s="3">
        <v>57604000</v>
      </c>
      <c r="GG15" s="3">
        <v>20286000</v>
      </c>
      <c r="GH15" s="3">
        <v>0</v>
      </c>
      <c r="GI15" s="3">
        <v>0</v>
      </c>
      <c r="GJ15" s="3">
        <v>77890000</v>
      </c>
      <c r="GK15" s="3">
        <v>57604000</v>
      </c>
      <c r="GL15" s="3">
        <v>20286000</v>
      </c>
      <c r="GM15" s="3">
        <v>0</v>
      </c>
      <c r="GN15" s="3">
        <v>0</v>
      </c>
      <c r="GO15" s="3">
        <v>77890000</v>
      </c>
      <c r="GP15" s="3">
        <v>46083497.710000001</v>
      </c>
      <c r="GQ15" s="3">
        <v>17736000</v>
      </c>
      <c r="GR15" s="3">
        <v>0</v>
      </c>
      <c r="GS15" s="3">
        <v>2550000</v>
      </c>
      <c r="GT15" s="3">
        <v>66369497.710000001</v>
      </c>
      <c r="GU15" s="3">
        <v>46083497.710000001</v>
      </c>
      <c r="GV15" s="3">
        <v>17736000</v>
      </c>
      <c r="GW15" s="3">
        <v>0</v>
      </c>
      <c r="GX15" s="3">
        <v>2550000</v>
      </c>
      <c r="GY15" s="3">
        <v>66369497.710000001</v>
      </c>
      <c r="GZ15" s="3">
        <v>45517503.640000001</v>
      </c>
      <c r="HA15" s="3">
        <v>16512172.880000001</v>
      </c>
      <c r="HB15" s="3">
        <v>0</v>
      </c>
      <c r="HC15" s="3">
        <v>1020000</v>
      </c>
      <c r="HD15" s="3">
        <v>63049676.520000003</v>
      </c>
      <c r="HE15" s="3">
        <v>38570267.43</v>
      </c>
      <c r="HF15" s="3">
        <v>12428722.109999999</v>
      </c>
      <c r="HG15" s="3">
        <v>0</v>
      </c>
      <c r="HH15" s="3">
        <v>0</v>
      </c>
      <c r="HI15" s="3">
        <v>50998989.539999999</v>
      </c>
      <c r="HJ15" s="3">
        <v>57555000</v>
      </c>
      <c r="HK15" s="3">
        <v>18344000</v>
      </c>
      <c r="HL15" s="3">
        <v>0</v>
      </c>
      <c r="HM15" s="3">
        <v>0</v>
      </c>
      <c r="HN15" s="3">
        <v>75899000</v>
      </c>
      <c r="HO15" s="3">
        <v>57555000</v>
      </c>
      <c r="HP15" s="3">
        <v>18344000</v>
      </c>
      <c r="HQ15" s="3">
        <v>0</v>
      </c>
      <c r="HR15" s="3">
        <v>0</v>
      </c>
      <c r="HS15" s="3">
        <v>75899000</v>
      </c>
      <c r="HT15" s="3">
        <v>57555000</v>
      </c>
      <c r="HU15" s="3">
        <v>18344000</v>
      </c>
      <c r="HV15" s="3">
        <v>0</v>
      </c>
      <c r="HW15" s="3">
        <v>0</v>
      </c>
      <c r="HX15" s="3">
        <v>75899000</v>
      </c>
      <c r="HY15" s="3">
        <v>42902273.700000003</v>
      </c>
      <c r="HZ15" s="3">
        <v>18084000</v>
      </c>
      <c r="IA15" s="3">
        <v>0</v>
      </c>
      <c r="IB15" s="3">
        <v>0</v>
      </c>
      <c r="IC15" s="3">
        <v>60986273.700000003</v>
      </c>
      <c r="ID15" s="3">
        <v>42902273.700000003</v>
      </c>
      <c r="IE15" s="3">
        <v>18084000</v>
      </c>
      <c r="IF15" s="3">
        <v>0</v>
      </c>
      <c r="IG15" s="3">
        <v>0</v>
      </c>
      <c r="IH15" s="3">
        <v>60986273.700000003</v>
      </c>
      <c r="II15" s="3">
        <v>42902273.700000003</v>
      </c>
      <c r="IJ15" s="3">
        <v>16868797.379999999</v>
      </c>
      <c r="IK15" s="3">
        <v>0</v>
      </c>
      <c r="IL15" s="3">
        <v>0</v>
      </c>
      <c r="IM15" s="3">
        <v>59771071.079999998</v>
      </c>
      <c r="IN15" s="3">
        <v>36940695.289999999</v>
      </c>
      <c r="IO15" s="6">
        <v>12817122.07</v>
      </c>
      <c r="IP15" s="3">
        <v>0</v>
      </c>
      <c r="IQ15" s="3">
        <v>0</v>
      </c>
      <c r="IR15" s="6">
        <v>49757817.359999999</v>
      </c>
      <c r="IS15" s="3">
        <v>51545000</v>
      </c>
      <c r="IT15" s="3">
        <v>26449000</v>
      </c>
      <c r="IU15" s="3">
        <v>0</v>
      </c>
      <c r="IV15" s="3">
        <v>7225000</v>
      </c>
      <c r="IW15" s="3">
        <v>85219000</v>
      </c>
      <c r="IX15" s="3">
        <v>51545000</v>
      </c>
      <c r="IY15" s="3">
        <v>26449000</v>
      </c>
      <c r="IZ15" s="3">
        <v>0</v>
      </c>
      <c r="JA15" s="3">
        <v>7225000</v>
      </c>
      <c r="JB15" s="3">
        <v>85219000</v>
      </c>
      <c r="JC15" s="3">
        <v>51545000</v>
      </c>
      <c r="JD15" s="3">
        <v>26449000</v>
      </c>
      <c r="JE15" s="3">
        <v>0</v>
      </c>
      <c r="JF15" s="3">
        <v>7225000</v>
      </c>
      <c r="JG15" s="3">
        <v>85219000</v>
      </c>
      <c r="JH15" s="3">
        <v>38440166.539999999</v>
      </c>
      <c r="JI15" s="3">
        <v>24449000</v>
      </c>
      <c r="JJ15" s="3">
        <v>0</v>
      </c>
      <c r="JK15" s="3">
        <v>7225000</v>
      </c>
      <c r="JL15" s="3">
        <v>70114166.540000007</v>
      </c>
      <c r="JM15" s="3">
        <v>38440166.539999999</v>
      </c>
      <c r="JN15" s="3">
        <v>24449000</v>
      </c>
      <c r="JO15" s="3">
        <v>0</v>
      </c>
      <c r="JP15" s="3">
        <v>7225000</v>
      </c>
      <c r="JQ15" s="3">
        <v>70114166.540000007</v>
      </c>
      <c r="JR15" s="3">
        <v>38440166.539999999</v>
      </c>
      <c r="JS15" s="3">
        <v>20738941.32</v>
      </c>
      <c r="JT15" s="3">
        <v>0</v>
      </c>
      <c r="JU15" s="3">
        <v>6167337.46</v>
      </c>
      <c r="JV15" s="3">
        <v>65346445.32</v>
      </c>
      <c r="JW15" s="3">
        <v>38407955.759999998</v>
      </c>
      <c r="JX15" s="3">
        <v>12470524.84</v>
      </c>
      <c r="JY15" s="3">
        <v>0</v>
      </c>
      <c r="JZ15" s="3">
        <v>298814.44</v>
      </c>
      <c r="KA15" s="3">
        <v>51177295.039999999</v>
      </c>
      <c r="KB15" s="3">
        <v>65439000</v>
      </c>
      <c r="KC15" s="3">
        <v>19380000</v>
      </c>
      <c r="KD15" s="3">
        <v>0</v>
      </c>
      <c r="KE15" s="3">
        <v>19630000</v>
      </c>
      <c r="KF15" s="3">
        <v>104449000</v>
      </c>
      <c r="KG15" s="3">
        <v>65439000</v>
      </c>
      <c r="KH15" s="3">
        <v>19380000</v>
      </c>
      <c r="KI15" s="3">
        <v>0</v>
      </c>
      <c r="KJ15" s="3">
        <v>19630000</v>
      </c>
      <c r="KK15" s="3">
        <v>104449000</v>
      </c>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v>64965000</v>
      </c>
      <c r="LL15" s="3">
        <v>27976000</v>
      </c>
      <c r="LM15">
        <v>0</v>
      </c>
      <c r="LN15" s="3">
        <v>0</v>
      </c>
      <c r="LO15" s="3">
        <v>92941000</v>
      </c>
    </row>
    <row r="16" spans="1:332" x14ac:dyDescent="0.25">
      <c r="A16" t="s">
        <v>943</v>
      </c>
      <c r="B16" t="s">
        <v>944</v>
      </c>
      <c r="C16" t="s">
        <v>199</v>
      </c>
      <c r="D16" t="s">
        <v>200</v>
      </c>
      <c r="E16" t="s">
        <v>208</v>
      </c>
      <c r="F16" t="s">
        <v>515</v>
      </c>
      <c r="G16" t="s">
        <v>1014</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U16" s="3"/>
      <c r="BV16" s="3"/>
      <c r="BW16" s="3"/>
      <c r="BX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D16" s="3"/>
      <c r="DE16" s="3"/>
      <c r="DF16" s="3"/>
      <c r="DG16" s="3"/>
      <c r="DI16" s="3">
        <v>0</v>
      </c>
      <c r="DJ16" s="3">
        <v>0</v>
      </c>
      <c r="DK16" s="3">
        <v>0</v>
      </c>
      <c r="DL16" s="3">
        <v>0</v>
      </c>
      <c r="DM16" s="3">
        <v>0</v>
      </c>
      <c r="DN16" s="3">
        <v>0</v>
      </c>
      <c r="DO16" s="3">
        <v>100000000</v>
      </c>
      <c r="DP16" s="3">
        <v>0</v>
      </c>
      <c r="DQ16" s="3">
        <v>0</v>
      </c>
      <c r="DR16" s="3">
        <v>100000000</v>
      </c>
      <c r="DS16" s="3">
        <v>0</v>
      </c>
      <c r="DT16" s="3">
        <v>100000000</v>
      </c>
      <c r="DU16" s="3">
        <v>0</v>
      </c>
      <c r="DV16" s="3">
        <v>0</v>
      </c>
      <c r="DW16" s="3">
        <v>100000000</v>
      </c>
      <c r="DX16" s="3">
        <v>0</v>
      </c>
      <c r="DY16" s="3">
        <v>100000000</v>
      </c>
      <c r="DZ16" s="3">
        <v>0</v>
      </c>
      <c r="EA16" s="3">
        <v>0</v>
      </c>
      <c r="EB16" s="3">
        <v>100000000</v>
      </c>
      <c r="EC16" s="3">
        <v>0</v>
      </c>
      <c r="ED16" s="3">
        <v>0</v>
      </c>
      <c r="EE16" s="3">
        <v>0</v>
      </c>
      <c r="EF16" s="3">
        <v>0</v>
      </c>
      <c r="EG16" s="3">
        <v>0</v>
      </c>
      <c r="EH16" s="3">
        <v>0</v>
      </c>
      <c r="EI16" s="3">
        <v>0</v>
      </c>
      <c r="EJ16" s="3">
        <v>0</v>
      </c>
      <c r="EK16" s="3">
        <v>0</v>
      </c>
      <c r="EL16" s="3">
        <v>0</v>
      </c>
      <c r="EM16" s="3">
        <v>0</v>
      </c>
      <c r="EN16" s="3">
        <v>0</v>
      </c>
      <c r="EO16" s="3">
        <v>0</v>
      </c>
      <c r="EP16" s="3">
        <v>0</v>
      </c>
      <c r="EQ16" s="3">
        <v>0</v>
      </c>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v>0</v>
      </c>
      <c r="GB16" s="3">
        <v>0</v>
      </c>
      <c r="GC16" s="3">
        <v>0</v>
      </c>
      <c r="GD16" s="3">
        <v>0</v>
      </c>
      <c r="GE16" s="3">
        <v>0</v>
      </c>
      <c r="GF16" s="3">
        <v>0</v>
      </c>
      <c r="GG16" s="3">
        <v>100000000</v>
      </c>
      <c r="GH16" s="3">
        <v>0</v>
      </c>
      <c r="GI16" s="3">
        <v>0</v>
      </c>
      <c r="GJ16" s="3">
        <v>100000000</v>
      </c>
      <c r="GK16" s="3">
        <v>0</v>
      </c>
      <c r="GL16" s="3">
        <v>100000000</v>
      </c>
      <c r="GM16" s="3">
        <v>0</v>
      </c>
      <c r="GN16" s="3">
        <v>0</v>
      </c>
      <c r="GO16" s="3">
        <v>100000000</v>
      </c>
      <c r="GP16" s="3">
        <v>0</v>
      </c>
      <c r="GQ16" s="3">
        <v>100000000</v>
      </c>
      <c r="GR16" s="3">
        <v>0</v>
      </c>
      <c r="GS16" s="3">
        <v>0</v>
      </c>
      <c r="GT16" s="3">
        <v>100000000</v>
      </c>
      <c r="GU16" s="3">
        <v>0</v>
      </c>
      <c r="GV16" s="3">
        <v>100000000</v>
      </c>
      <c r="GW16" s="3">
        <v>0</v>
      </c>
      <c r="GX16" s="3">
        <v>0</v>
      </c>
      <c r="GY16" s="3">
        <v>100000000</v>
      </c>
      <c r="GZ16" s="3">
        <v>0</v>
      </c>
      <c r="HA16" s="3">
        <v>5348128.38</v>
      </c>
      <c r="HB16" s="3">
        <v>0</v>
      </c>
      <c r="HC16" s="3">
        <v>0</v>
      </c>
      <c r="HD16" s="3">
        <v>5348128.38</v>
      </c>
      <c r="HE16" s="3">
        <v>0</v>
      </c>
      <c r="HF16" s="3">
        <v>415591</v>
      </c>
      <c r="HG16" s="3">
        <v>0</v>
      </c>
      <c r="HH16" s="3">
        <v>0</v>
      </c>
      <c r="HI16" s="3">
        <v>415591</v>
      </c>
      <c r="HJ16" s="3">
        <v>0</v>
      </c>
      <c r="HK16" s="3">
        <v>100000000</v>
      </c>
      <c r="HL16" s="3">
        <v>0</v>
      </c>
      <c r="HM16" s="3">
        <v>0</v>
      </c>
      <c r="HN16" s="3">
        <v>100000000</v>
      </c>
      <c r="HO16" s="3">
        <v>0</v>
      </c>
      <c r="HP16" s="3">
        <v>50000000</v>
      </c>
      <c r="HQ16" s="3">
        <v>0</v>
      </c>
      <c r="HR16" s="3">
        <v>0</v>
      </c>
      <c r="HS16" s="3">
        <v>50000000</v>
      </c>
      <c r="HT16" s="3">
        <v>0</v>
      </c>
      <c r="HU16" s="3">
        <v>50000000</v>
      </c>
      <c r="HV16" s="3">
        <v>0</v>
      </c>
      <c r="HW16" s="3">
        <v>0</v>
      </c>
      <c r="HX16" s="3">
        <v>50000000</v>
      </c>
      <c r="HY16" s="3">
        <v>0</v>
      </c>
      <c r="HZ16" s="3">
        <v>50000000</v>
      </c>
      <c r="IA16" s="3">
        <v>0</v>
      </c>
      <c r="IB16" s="3">
        <v>0</v>
      </c>
      <c r="IC16" s="3">
        <v>50000000</v>
      </c>
      <c r="ID16" s="3">
        <v>0</v>
      </c>
      <c r="IE16" s="3">
        <v>50000000</v>
      </c>
      <c r="IF16" s="3">
        <v>0</v>
      </c>
      <c r="IG16" s="3">
        <v>0</v>
      </c>
      <c r="IH16" s="3">
        <v>50000000</v>
      </c>
      <c r="II16" s="3">
        <v>0</v>
      </c>
      <c r="IJ16" s="3">
        <v>29325362.640000001</v>
      </c>
      <c r="IK16" s="3">
        <v>0</v>
      </c>
      <c r="IL16" s="3">
        <v>0</v>
      </c>
      <c r="IM16" s="3">
        <v>29325362.640000001</v>
      </c>
      <c r="IN16" s="3">
        <v>0</v>
      </c>
      <c r="IO16" s="6">
        <v>27242465.329999998</v>
      </c>
      <c r="IP16" s="3">
        <v>0</v>
      </c>
      <c r="IQ16" s="3">
        <v>0</v>
      </c>
      <c r="IR16" s="6">
        <v>27242465.329999998</v>
      </c>
      <c r="IS16" s="3">
        <v>0</v>
      </c>
      <c r="IT16" s="3">
        <v>50000000</v>
      </c>
      <c r="IU16" s="3">
        <v>0</v>
      </c>
      <c r="IV16" s="3">
        <v>0</v>
      </c>
      <c r="IW16" s="3">
        <v>50000000</v>
      </c>
      <c r="IX16" s="3">
        <v>0</v>
      </c>
      <c r="IY16" s="3">
        <v>50000000</v>
      </c>
      <c r="IZ16" s="3">
        <v>0</v>
      </c>
      <c r="JA16" s="3">
        <v>0</v>
      </c>
      <c r="JB16" s="3">
        <v>50000000</v>
      </c>
      <c r="JC16" s="3">
        <v>0</v>
      </c>
      <c r="JD16" s="3">
        <v>50000000</v>
      </c>
      <c r="JE16" s="3">
        <v>0</v>
      </c>
      <c r="JF16" s="3">
        <v>0</v>
      </c>
      <c r="JG16" s="3">
        <v>50000000</v>
      </c>
      <c r="JH16" s="3">
        <v>0</v>
      </c>
      <c r="JI16" s="3">
        <v>50000000</v>
      </c>
      <c r="JJ16" s="3">
        <v>0</v>
      </c>
      <c r="JK16" s="3">
        <v>0</v>
      </c>
      <c r="JL16" s="3">
        <v>50000000</v>
      </c>
      <c r="JM16" s="3">
        <v>0</v>
      </c>
      <c r="JN16" s="3">
        <v>50000000</v>
      </c>
      <c r="JO16" s="3">
        <v>0</v>
      </c>
      <c r="JP16" s="3">
        <v>0</v>
      </c>
      <c r="JQ16" s="3">
        <v>50000000</v>
      </c>
      <c r="JR16" s="3">
        <v>0</v>
      </c>
      <c r="JS16" s="3">
        <v>21109975.149999999</v>
      </c>
      <c r="JT16" s="3">
        <v>0</v>
      </c>
      <c r="JU16" s="3">
        <v>0</v>
      </c>
      <c r="JV16" s="3">
        <v>21109975.149999999</v>
      </c>
      <c r="JW16" s="3">
        <v>0</v>
      </c>
      <c r="JX16" s="3">
        <v>18965232.559999999</v>
      </c>
      <c r="JY16" s="3">
        <v>0</v>
      </c>
      <c r="JZ16" s="3">
        <v>0</v>
      </c>
      <c r="KA16" s="3">
        <v>18965232.559999999</v>
      </c>
      <c r="KB16" s="3">
        <v>0</v>
      </c>
      <c r="KC16" s="3">
        <v>200000000</v>
      </c>
      <c r="KD16" s="3">
        <v>0</v>
      </c>
      <c r="KE16" s="3">
        <v>0</v>
      </c>
      <c r="KF16" s="3">
        <v>200000000</v>
      </c>
      <c r="KG16" s="3">
        <v>0</v>
      </c>
      <c r="KH16" s="3">
        <v>200000000</v>
      </c>
      <c r="KI16" s="3">
        <v>0</v>
      </c>
      <c r="KJ16" s="3">
        <v>0</v>
      </c>
      <c r="KK16" s="3">
        <v>200000000</v>
      </c>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v>0</v>
      </c>
      <c r="LL16" s="3">
        <v>193233000</v>
      </c>
      <c r="LM16">
        <v>0</v>
      </c>
      <c r="LN16" s="3">
        <v>0</v>
      </c>
      <c r="LO16" s="3">
        <v>193233000</v>
      </c>
    </row>
    <row r="17" spans="1:327" x14ac:dyDescent="0.25">
      <c r="A17" t="s">
        <v>943</v>
      </c>
      <c r="B17" t="s">
        <v>944</v>
      </c>
      <c r="C17" t="s">
        <v>199</v>
      </c>
      <c r="D17" t="s">
        <v>200</v>
      </c>
      <c r="E17" t="s">
        <v>208</v>
      </c>
      <c r="F17" t="s">
        <v>945</v>
      </c>
      <c r="G17" t="s">
        <v>1134</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U17" s="3"/>
      <c r="BV17" s="3"/>
      <c r="BW17" s="3"/>
      <c r="BX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D17" s="3"/>
      <c r="DE17" s="3"/>
      <c r="DF17" s="3"/>
      <c r="DG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U17" s="3"/>
      <c r="GV17" s="3"/>
      <c r="GW17" s="3"/>
      <c r="GX17" s="3"/>
      <c r="GY17" s="3"/>
      <c r="GZ17" s="3"/>
      <c r="HA17" s="3"/>
      <c r="HB17" s="3"/>
      <c r="HC17" s="3"/>
      <c r="HE17" s="3"/>
      <c r="HF17" s="3"/>
      <c r="HG17" s="3"/>
      <c r="HH17" s="3"/>
      <c r="HJ17" s="3"/>
      <c r="HK17" s="3"/>
      <c r="HL17" s="3"/>
      <c r="HM17" s="3"/>
      <c r="HN17" s="3"/>
      <c r="HO17" s="3"/>
      <c r="HP17" s="3"/>
      <c r="HQ17" s="3"/>
      <c r="HR17" s="3"/>
      <c r="HS17" s="3"/>
      <c r="HT17" s="3"/>
      <c r="HU17" s="3"/>
      <c r="HV17" s="3"/>
      <c r="HW17" s="3"/>
      <c r="HX17" s="3"/>
      <c r="HY17" s="3"/>
      <c r="HZ17" s="3"/>
      <c r="IA17" s="3"/>
      <c r="IB17" s="3"/>
      <c r="ID17" s="3"/>
      <c r="IE17" s="3"/>
      <c r="IF17" s="3"/>
      <c r="IG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v>0</v>
      </c>
      <c r="KC17" s="3">
        <v>133825000</v>
      </c>
      <c r="KD17" s="3">
        <v>0</v>
      </c>
      <c r="KE17" s="3">
        <v>16175000</v>
      </c>
      <c r="KF17" s="3">
        <v>150000000</v>
      </c>
      <c r="KG17" s="3">
        <v>0</v>
      </c>
      <c r="KH17" s="3">
        <v>133825000</v>
      </c>
      <c r="KI17" s="3">
        <v>0</v>
      </c>
      <c r="KJ17" s="3">
        <v>16175000</v>
      </c>
      <c r="KK17" s="3">
        <v>150000000</v>
      </c>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v>0</v>
      </c>
      <c r="LL17" s="3">
        <v>117864000</v>
      </c>
      <c r="LM17">
        <v>0</v>
      </c>
      <c r="LN17" s="3">
        <v>0</v>
      </c>
      <c r="LO17" s="3">
        <v>117864000</v>
      </c>
    </row>
    <row r="18" spans="1:327" x14ac:dyDescent="0.25">
      <c r="A18" t="s">
        <v>943</v>
      </c>
      <c r="B18" t="s">
        <v>944</v>
      </c>
      <c r="C18" t="s">
        <v>199</v>
      </c>
      <c r="D18" t="s">
        <v>200</v>
      </c>
      <c r="E18" t="s">
        <v>208</v>
      </c>
      <c r="F18" t="s">
        <v>946</v>
      </c>
      <c r="G18" t="s">
        <v>1135</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U18" s="3"/>
      <c r="BV18" s="3"/>
      <c r="BW18" s="3"/>
      <c r="BX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D18" s="3"/>
      <c r="DE18" s="3"/>
      <c r="DF18" s="3"/>
      <c r="DG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U18" s="3"/>
      <c r="GV18" s="3"/>
      <c r="GW18" s="3"/>
      <c r="GX18" s="3"/>
      <c r="GY18" s="3"/>
      <c r="GZ18" s="3"/>
      <c r="HA18" s="3"/>
      <c r="HB18" s="3"/>
      <c r="HC18" s="3"/>
      <c r="HE18" s="3"/>
      <c r="HF18" s="3"/>
      <c r="HG18" s="3"/>
      <c r="HH18" s="3"/>
      <c r="HJ18" s="3"/>
      <c r="HK18" s="3"/>
      <c r="HL18" s="3"/>
      <c r="HM18" s="3"/>
      <c r="HN18" s="3"/>
      <c r="HO18" s="3"/>
      <c r="HP18" s="3"/>
      <c r="HQ18" s="3"/>
      <c r="HR18" s="3"/>
      <c r="HS18" s="3"/>
      <c r="HT18" s="3"/>
      <c r="HU18" s="3"/>
      <c r="HV18" s="3"/>
      <c r="HW18" s="3"/>
      <c r="HX18" s="3"/>
      <c r="HY18" s="3"/>
      <c r="HZ18" s="3"/>
      <c r="IA18" s="3"/>
      <c r="IB18" s="3"/>
      <c r="ID18" s="3"/>
      <c r="IE18" s="3"/>
      <c r="IF18" s="3"/>
      <c r="IG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v>0</v>
      </c>
      <c r="KC18" s="3">
        <v>825327000</v>
      </c>
      <c r="KD18" s="3">
        <v>0</v>
      </c>
      <c r="KE18" s="3">
        <v>581233000</v>
      </c>
      <c r="KF18" s="3">
        <v>1406560000</v>
      </c>
      <c r="KG18" s="3">
        <v>0</v>
      </c>
      <c r="KH18" s="3">
        <v>825327000</v>
      </c>
      <c r="KI18" s="3">
        <v>0</v>
      </c>
      <c r="KJ18" s="3">
        <v>581233000</v>
      </c>
      <c r="KK18" s="3">
        <v>1406560000</v>
      </c>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v>702530000</v>
      </c>
      <c r="LL18" s="3">
        <v>1010644000</v>
      </c>
      <c r="LM18">
        <v>0</v>
      </c>
      <c r="LN18" s="3">
        <v>1154517000</v>
      </c>
      <c r="LO18" s="3">
        <v>2867691000</v>
      </c>
    </row>
    <row r="19" spans="1:327" x14ac:dyDescent="0.25">
      <c r="A19" t="s">
        <v>943</v>
      </c>
      <c r="B19" t="s">
        <v>944</v>
      </c>
      <c r="C19" t="s">
        <v>199</v>
      </c>
      <c r="D19" t="s">
        <v>200</v>
      </c>
      <c r="E19" t="s">
        <v>217</v>
      </c>
      <c r="F19" t="s">
        <v>721</v>
      </c>
      <c r="G19" t="s">
        <v>1037</v>
      </c>
      <c r="H19" s="3">
        <v>0</v>
      </c>
      <c r="I19" s="3">
        <v>4693360000</v>
      </c>
      <c r="J19" s="3">
        <v>0</v>
      </c>
      <c r="K19" s="3">
        <v>416693000</v>
      </c>
      <c r="L19" s="3">
        <v>5110053000</v>
      </c>
      <c r="M19" s="3">
        <v>0</v>
      </c>
      <c r="N19" s="3">
        <v>4673860000</v>
      </c>
      <c r="O19" s="3">
        <v>0</v>
      </c>
      <c r="P19" s="3">
        <v>416193000</v>
      </c>
      <c r="Q19" s="3">
        <v>5090053000</v>
      </c>
      <c r="R19" s="3">
        <v>0</v>
      </c>
      <c r="S19" s="3">
        <v>4673860000</v>
      </c>
      <c r="T19" s="3">
        <v>0</v>
      </c>
      <c r="U19" s="3">
        <v>416193000</v>
      </c>
      <c r="V19" s="3">
        <v>5090053000</v>
      </c>
      <c r="W19" s="3">
        <v>0</v>
      </c>
      <c r="X19" s="3">
        <v>4656107104</v>
      </c>
      <c r="Y19" s="3">
        <v>0</v>
      </c>
      <c r="Z19" s="3">
        <v>416193000</v>
      </c>
      <c r="AA19" s="3">
        <v>5072300104</v>
      </c>
      <c r="AB19" s="3">
        <v>0</v>
      </c>
      <c r="AC19" s="3">
        <v>4656107104</v>
      </c>
      <c r="AD19" s="3">
        <v>0</v>
      </c>
      <c r="AE19" s="3">
        <v>416193000</v>
      </c>
      <c r="AF19" s="3">
        <v>5072300104</v>
      </c>
      <c r="AG19" s="3">
        <v>0</v>
      </c>
      <c r="AH19" s="3">
        <v>4612244290.3500004</v>
      </c>
      <c r="AI19" s="3">
        <v>0</v>
      </c>
      <c r="AJ19" s="3">
        <v>395424062.22000003</v>
      </c>
      <c r="AK19" s="3">
        <v>5007668352.5699997</v>
      </c>
      <c r="AL19" s="3">
        <v>0</v>
      </c>
      <c r="AM19" s="3">
        <v>3644359308.9099998</v>
      </c>
      <c r="AN19" s="3">
        <v>0</v>
      </c>
      <c r="AO19" s="3">
        <v>204291505.28999999</v>
      </c>
      <c r="AP19" s="3">
        <v>3848650814.1999998</v>
      </c>
      <c r="AQ19" s="3">
        <v>0</v>
      </c>
      <c r="AR19" s="3">
        <v>1713223000</v>
      </c>
      <c r="AS19" s="3">
        <v>0</v>
      </c>
      <c r="AT19" s="3">
        <v>195682000</v>
      </c>
      <c r="AU19" s="3">
        <v>1908905000</v>
      </c>
      <c r="AV19" s="3">
        <v>0</v>
      </c>
      <c r="AW19" s="3">
        <v>1713223000</v>
      </c>
      <c r="AX19" s="3">
        <v>0</v>
      </c>
      <c r="AY19" s="3">
        <v>195682000</v>
      </c>
      <c r="AZ19" s="3">
        <v>1908905000</v>
      </c>
      <c r="BA19" s="3">
        <v>0</v>
      </c>
      <c r="BB19" s="3">
        <v>1713223000</v>
      </c>
      <c r="BC19" s="3">
        <v>0</v>
      </c>
      <c r="BD19" s="3">
        <v>195682000</v>
      </c>
      <c r="BE19" s="3">
        <v>1908905000</v>
      </c>
      <c r="BF19" s="3">
        <v>0</v>
      </c>
      <c r="BG19" s="3">
        <v>1710682475</v>
      </c>
      <c r="BH19" s="3">
        <v>0</v>
      </c>
      <c r="BI19" s="3">
        <v>195682000</v>
      </c>
      <c r="BJ19" s="3">
        <v>1906364475</v>
      </c>
      <c r="BK19" s="3">
        <v>0</v>
      </c>
      <c r="BL19" s="3">
        <v>1710682475</v>
      </c>
      <c r="BM19" s="3">
        <v>0</v>
      </c>
      <c r="BN19" s="3">
        <v>195682000</v>
      </c>
      <c r="BO19" s="3">
        <v>1906364475</v>
      </c>
      <c r="BP19" s="3">
        <v>0</v>
      </c>
      <c r="BQ19" s="3">
        <v>1700922869.5</v>
      </c>
      <c r="BR19" s="3">
        <v>0</v>
      </c>
      <c r="BS19" s="3">
        <v>172486240.91</v>
      </c>
      <c r="BT19" s="3">
        <v>1873409110.4100001</v>
      </c>
      <c r="BU19" s="3">
        <v>0</v>
      </c>
      <c r="BV19" s="3">
        <v>1578322111.6800001</v>
      </c>
      <c r="BW19" s="3">
        <v>0</v>
      </c>
      <c r="BX19" s="3">
        <v>93416915.099999994</v>
      </c>
      <c r="BY19" s="3">
        <v>1671739026.78</v>
      </c>
      <c r="BZ19" s="3">
        <v>0</v>
      </c>
      <c r="CA19" s="3">
        <v>2154290000</v>
      </c>
      <c r="CB19" s="3">
        <v>0</v>
      </c>
      <c r="CC19" s="3">
        <v>107522000</v>
      </c>
      <c r="CD19" s="3">
        <v>2261812000</v>
      </c>
      <c r="CE19" s="3">
        <v>0</v>
      </c>
      <c r="CF19" s="3">
        <v>3195059000</v>
      </c>
      <c r="CG19" s="3">
        <v>0</v>
      </c>
      <c r="CH19" s="3">
        <v>106002000</v>
      </c>
      <c r="CI19" s="3">
        <v>3301061000</v>
      </c>
      <c r="CJ19" s="3">
        <v>0</v>
      </c>
      <c r="CK19" s="3">
        <v>3195059000</v>
      </c>
      <c r="CL19" s="3">
        <v>0</v>
      </c>
      <c r="CM19" s="3">
        <v>106002000</v>
      </c>
      <c r="CN19" s="3">
        <v>3301061000</v>
      </c>
      <c r="CO19" s="3">
        <v>0</v>
      </c>
      <c r="CP19" s="3">
        <v>2110554300</v>
      </c>
      <c r="CQ19" s="3">
        <v>0</v>
      </c>
      <c r="CR19" s="3">
        <v>50219789</v>
      </c>
      <c r="CS19" s="3">
        <v>2160774089</v>
      </c>
      <c r="CT19" s="3">
        <v>0</v>
      </c>
      <c r="CU19" s="3">
        <v>2110554300</v>
      </c>
      <c r="CV19" s="3">
        <v>0</v>
      </c>
      <c r="CW19" s="3">
        <v>50219789</v>
      </c>
      <c r="CX19" s="3">
        <v>2160774089</v>
      </c>
      <c r="CY19" s="3">
        <v>0</v>
      </c>
      <c r="CZ19" s="3">
        <v>2104232692.02</v>
      </c>
      <c r="DA19" s="3">
        <v>0</v>
      </c>
      <c r="DB19" s="3">
        <v>46442270.049999997</v>
      </c>
      <c r="DC19" s="3">
        <v>2150674962.0700002</v>
      </c>
      <c r="DD19" s="3">
        <v>0</v>
      </c>
      <c r="DE19" s="3">
        <v>1851469534.3099999</v>
      </c>
      <c r="DF19" s="3">
        <v>0</v>
      </c>
      <c r="DG19" s="3">
        <v>8480954.6499999985</v>
      </c>
      <c r="DH19" s="10">
        <v>1859950488.9599998</v>
      </c>
      <c r="DI19" s="3">
        <v>0</v>
      </c>
      <c r="DJ19" s="3">
        <v>12767737000</v>
      </c>
      <c r="DK19" s="3">
        <v>0</v>
      </c>
      <c r="DL19" s="3">
        <v>79750000</v>
      </c>
      <c r="DM19" s="3">
        <v>12847487000</v>
      </c>
      <c r="DN19" s="3">
        <v>0</v>
      </c>
      <c r="DO19" s="3">
        <v>12014598000</v>
      </c>
      <c r="DP19" s="3">
        <v>0</v>
      </c>
      <c r="DQ19" s="3">
        <v>139750000</v>
      </c>
      <c r="DR19" s="3">
        <v>12154348000</v>
      </c>
      <c r="DS19" s="3">
        <v>0</v>
      </c>
      <c r="DT19" s="3">
        <v>12014598000</v>
      </c>
      <c r="DU19" s="3">
        <v>0</v>
      </c>
      <c r="DV19" s="3">
        <v>139750000</v>
      </c>
      <c r="DW19" s="3">
        <v>12154348000</v>
      </c>
      <c r="DX19" s="3">
        <v>0</v>
      </c>
      <c r="DY19" s="3">
        <v>12014071948</v>
      </c>
      <c r="DZ19" s="3">
        <v>0</v>
      </c>
      <c r="EA19" s="3">
        <v>139750000</v>
      </c>
      <c r="EB19" s="3">
        <v>12153821948</v>
      </c>
      <c r="EC19" s="3">
        <v>0</v>
      </c>
      <c r="ED19" s="3">
        <v>12014071948</v>
      </c>
      <c r="EE19" s="3">
        <v>0</v>
      </c>
      <c r="EF19" s="3">
        <v>139750000</v>
      </c>
      <c r="EG19" s="3">
        <v>12153821948</v>
      </c>
      <c r="EH19" s="3">
        <v>0</v>
      </c>
      <c r="EI19" s="3">
        <v>11980422946.4</v>
      </c>
      <c r="EJ19" s="3">
        <v>0</v>
      </c>
      <c r="EK19" s="3">
        <v>137935696.74000001</v>
      </c>
      <c r="EL19" s="3">
        <v>12118358643.140001</v>
      </c>
      <c r="EM19" s="3">
        <v>0</v>
      </c>
      <c r="EN19" s="3">
        <v>10878689361.719999</v>
      </c>
      <c r="EO19" s="3">
        <v>0</v>
      </c>
      <c r="EP19" s="3">
        <v>43382697.770000003</v>
      </c>
      <c r="EQ19" s="3">
        <v>10922072059.49</v>
      </c>
      <c r="ER19" s="3">
        <v>0</v>
      </c>
      <c r="ES19" s="3">
        <v>11634521000</v>
      </c>
      <c r="ET19" s="3">
        <v>0</v>
      </c>
      <c r="EU19" s="3">
        <v>155250000</v>
      </c>
      <c r="EV19" s="3">
        <v>11789771000</v>
      </c>
      <c r="EW19" s="3">
        <v>0</v>
      </c>
      <c r="EX19" s="3">
        <v>10732284000</v>
      </c>
      <c r="EY19" s="3">
        <v>0</v>
      </c>
      <c r="EZ19" s="3">
        <v>155250000</v>
      </c>
      <c r="FA19" s="3">
        <v>10887534000</v>
      </c>
      <c r="FB19" s="3">
        <v>0</v>
      </c>
      <c r="FC19" s="3">
        <v>10732284000</v>
      </c>
      <c r="FD19" s="3">
        <v>0</v>
      </c>
      <c r="FE19" s="3">
        <v>155250000</v>
      </c>
      <c r="FF19" s="3">
        <v>10887534000</v>
      </c>
      <c r="FG19" s="3">
        <v>0</v>
      </c>
      <c r="FH19" s="3">
        <v>10726374793</v>
      </c>
      <c r="FI19" s="3">
        <v>0</v>
      </c>
      <c r="FJ19" s="3">
        <v>155250000</v>
      </c>
      <c r="FK19" s="3">
        <v>10881624793</v>
      </c>
      <c r="FL19" s="3">
        <v>0</v>
      </c>
      <c r="FM19" s="3">
        <v>10726374793</v>
      </c>
      <c r="FN19" s="3">
        <v>0</v>
      </c>
      <c r="FO19" s="3">
        <v>155250000</v>
      </c>
      <c r="FP19" s="3">
        <v>10881624793</v>
      </c>
      <c r="FQ19" s="3">
        <v>0</v>
      </c>
      <c r="FR19" s="3">
        <v>10707774650.77</v>
      </c>
      <c r="FS19" s="3">
        <v>0</v>
      </c>
      <c r="FT19" s="3">
        <v>149698189.77000001</v>
      </c>
      <c r="FU19" s="3">
        <v>10857472840.540001</v>
      </c>
      <c r="FV19" s="3">
        <v>0</v>
      </c>
      <c r="FW19" s="3">
        <v>10376885455.17</v>
      </c>
      <c r="FX19" s="3">
        <v>0</v>
      </c>
      <c r="FY19" s="3">
        <v>104545542.88</v>
      </c>
      <c r="FZ19" s="3">
        <v>10481430998.049999</v>
      </c>
      <c r="GA19" s="3">
        <v>0</v>
      </c>
      <c r="GB19" s="3">
        <v>27205422000</v>
      </c>
      <c r="GC19" s="3">
        <v>0</v>
      </c>
      <c r="GD19" s="3">
        <v>68055000</v>
      </c>
      <c r="GE19" s="3">
        <v>27273477000</v>
      </c>
      <c r="GF19" s="3">
        <v>0</v>
      </c>
      <c r="GG19" s="3">
        <v>22781319000</v>
      </c>
      <c r="GH19" s="3">
        <v>0</v>
      </c>
      <c r="GI19" s="3">
        <v>88555000</v>
      </c>
      <c r="GJ19" s="3">
        <v>22869874000</v>
      </c>
      <c r="GK19" s="3">
        <v>0</v>
      </c>
      <c r="GL19" s="3">
        <v>22781319000</v>
      </c>
      <c r="GM19" s="3">
        <v>0</v>
      </c>
      <c r="GN19" s="3">
        <v>88555000</v>
      </c>
      <c r="GO19" s="3">
        <v>22869874000</v>
      </c>
      <c r="GP19" s="3">
        <v>0</v>
      </c>
      <c r="GQ19" s="3">
        <v>21951331531</v>
      </c>
      <c r="GR19" s="3">
        <v>0</v>
      </c>
      <c r="GS19" s="3">
        <v>68055000</v>
      </c>
      <c r="GT19" s="3">
        <v>22019386531</v>
      </c>
      <c r="GU19" s="3">
        <v>0</v>
      </c>
      <c r="GV19" s="3">
        <v>21951331531</v>
      </c>
      <c r="GW19" s="3">
        <v>0</v>
      </c>
      <c r="GX19" s="3">
        <v>68055000</v>
      </c>
      <c r="GY19" s="3">
        <v>22019386531</v>
      </c>
      <c r="GZ19" s="3">
        <v>0</v>
      </c>
      <c r="HA19" s="3">
        <v>21717971842.799999</v>
      </c>
      <c r="HB19" s="3">
        <v>0</v>
      </c>
      <c r="HC19" s="3">
        <v>65697809</v>
      </c>
      <c r="HD19" s="3">
        <v>21783669651.799999</v>
      </c>
      <c r="HE19" s="3">
        <v>0</v>
      </c>
      <c r="HF19" s="3">
        <v>21131963154.950001</v>
      </c>
      <c r="HG19" s="3">
        <v>0</v>
      </c>
      <c r="HH19" s="3">
        <v>32456384.050000001</v>
      </c>
      <c r="HI19" s="3">
        <v>21164419539</v>
      </c>
      <c r="HJ19" s="3">
        <v>0</v>
      </c>
      <c r="HK19" s="3">
        <v>24202789000</v>
      </c>
      <c r="HL19" s="3">
        <v>0</v>
      </c>
      <c r="HM19" s="3">
        <v>107823000</v>
      </c>
      <c r="HN19" s="3">
        <v>24310612000</v>
      </c>
      <c r="HO19" s="3">
        <v>0</v>
      </c>
      <c r="HP19" s="3">
        <v>23978825000</v>
      </c>
      <c r="HQ19" s="3">
        <v>0</v>
      </c>
      <c r="HR19" s="3">
        <v>127823000</v>
      </c>
      <c r="HS19" s="3">
        <v>24106648000</v>
      </c>
      <c r="HT19" s="3">
        <v>0</v>
      </c>
      <c r="HU19" s="3">
        <v>23978825000</v>
      </c>
      <c r="HV19" s="3">
        <v>0</v>
      </c>
      <c r="HW19" s="3">
        <v>127823000</v>
      </c>
      <c r="HX19" s="3">
        <v>24106648000</v>
      </c>
      <c r="HY19" s="3">
        <v>0</v>
      </c>
      <c r="HZ19" s="3">
        <v>23229314000</v>
      </c>
      <c r="IA19" s="3">
        <v>0</v>
      </c>
      <c r="IB19" s="3">
        <v>127823000</v>
      </c>
      <c r="IC19" s="3">
        <v>23357137000</v>
      </c>
      <c r="ID19" s="3">
        <v>0</v>
      </c>
      <c r="IE19" s="3">
        <v>23229314000</v>
      </c>
      <c r="IF19" s="3">
        <v>0</v>
      </c>
      <c r="IG19" s="3">
        <v>127823000</v>
      </c>
      <c r="IH19" s="3">
        <v>23357137000</v>
      </c>
      <c r="II19" s="3">
        <v>0</v>
      </c>
      <c r="IJ19" s="6">
        <v>23147884618.830002</v>
      </c>
      <c r="IK19" s="3">
        <v>0</v>
      </c>
      <c r="IL19" s="3">
        <v>105209337.53999999</v>
      </c>
      <c r="IM19" s="6">
        <v>23253093956.369999</v>
      </c>
      <c r="IN19" s="3">
        <v>0</v>
      </c>
      <c r="IO19" s="3">
        <v>22329425995.450001</v>
      </c>
      <c r="IP19" s="3">
        <v>0</v>
      </c>
      <c r="IQ19" s="3">
        <v>50079833.130000003</v>
      </c>
      <c r="IR19" s="6">
        <v>22379505828.580002</v>
      </c>
      <c r="IS19" s="3">
        <v>0</v>
      </c>
      <c r="IT19" s="3">
        <v>25779591000</v>
      </c>
      <c r="IU19" s="3">
        <v>0</v>
      </c>
      <c r="IV19" s="3">
        <v>309352000</v>
      </c>
      <c r="IW19" s="3">
        <v>26088943000</v>
      </c>
      <c r="IX19" s="3">
        <v>0</v>
      </c>
      <c r="IY19" s="3">
        <v>15854710000</v>
      </c>
      <c r="IZ19" s="3">
        <v>0</v>
      </c>
      <c r="JA19" s="3">
        <v>589352000</v>
      </c>
      <c r="JB19" s="3">
        <v>16444062000</v>
      </c>
      <c r="JC19" s="3">
        <v>0</v>
      </c>
      <c r="JD19" s="3">
        <v>15854710000</v>
      </c>
      <c r="JE19" s="3">
        <v>0</v>
      </c>
      <c r="JF19" s="3">
        <v>589352000</v>
      </c>
      <c r="JG19" s="3">
        <v>16444062000</v>
      </c>
      <c r="JH19" s="3">
        <v>0</v>
      </c>
      <c r="JI19" s="3">
        <v>15693941000</v>
      </c>
      <c r="JJ19" s="3">
        <v>0</v>
      </c>
      <c r="JK19" s="3">
        <v>589352000</v>
      </c>
      <c r="JL19" s="3">
        <v>16283293000</v>
      </c>
      <c r="JM19" s="3">
        <v>0</v>
      </c>
      <c r="JN19" s="3">
        <v>15693941000</v>
      </c>
      <c r="JO19" s="3">
        <v>0</v>
      </c>
      <c r="JP19" s="3">
        <v>589352000</v>
      </c>
      <c r="JQ19" s="3">
        <v>16283293000</v>
      </c>
      <c r="JR19" s="3">
        <v>0</v>
      </c>
      <c r="JS19" s="3">
        <v>15475823071.18</v>
      </c>
      <c r="JT19" s="3">
        <v>0</v>
      </c>
      <c r="JU19" s="3">
        <v>555134619.49000001</v>
      </c>
      <c r="JV19" s="3">
        <v>16030957690.67</v>
      </c>
      <c r="JW19" s="3">
        <v>0</v>
      </c>
      <c r="JX19" s="3">
        <v>13741428926.549999</v>
      </c>
      <c r="JY19" s="3">
        <v>0</v>
      </c>
      <c r="JZ19" s="3">
        <v>170534340.03</v>
      </c>
      <c r="KA19" s="3">
        <v>13911963266.58</v>
      </c>
      <c r="KB19" s="3">
        <v>0</v>
      </c>
      <c r="KC19" s="3">
        <v>25954573000</v>
      </c>
      <c r="KD19" s="3">
        <v>0</v>
      </c>
      <c r="KE19" s="3">
        <v>455265000</v>
      </c>
      <c r="KF19" s="3">
        <v>26409838000</v>
      </c>
      <c r="KG19" s="3">
        <v>0</v>
      </c>
      <c r="KH19" s="3">
        <v>25954573000</v>
      </c>
      <c r="KI19" s="3">
        <v>0</v>
      </c>
      <c r="KJ19" s="3">
        <v>455265000</v>
      </c>
      <c r="KK19" s="3">
        <v>26409838000</v>
      </c>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v>0</v>
      </c>
      <c r="LL19" s="3">
        <v>25622709000</v>
      </c>
      <c r="LM19">
        <v>0</v>
      </c>
      <c r="LN19" s="3">
        <v>0</v>
      </c>
      <c r="LO19" s="3">
        <v>25622709000</v>
      </c>
    </row>
    <row r="20" spans="1:327" x14ac:dyDescent="0.25">
      <c r="A20" t="s">
        <v>943</v>
      </c>
      <c r="B20" t="s">
        <v>944</v>
      </c>
      <c r="C20" t="s">
        <v>199</v>
      </c>
      <c r="D20" t="s">
        <v>200</v>
      </c>
      <c r="E20" t="s">
        <v>217</v>
      </c>
      <c r="F20" t="s">
        <v>722</v>
      </c>
      <c r="G20" t="s">
        <v>1038</v>
      </c>
      <c r="H20" s="3">
        <v>0</v>
      </c>
      <c r="I20" s="3">
        <v>368798000</v>
      </c>
      <c r="J20" s="3">
        <v>0</v>
      </c>
      <c r="K20" s="3">
        <v>198601000</v>
      </c>
      <c r="L20" s="3">
        <v>567399000</v>
      </c>
      <c r="M20" s="3">
        <v>0</v>
      </c>
      <c r="N20" s="3">
        <v>405570000</v>
      </c>
      <c r="O20" s="3">
        <v>0</v>
      </c>
      <c r="P20" s="3">
        <v>273176000</v>
      </c>
      <c r="Q20" s="3">
        <v>678746000</v>
      </c>
      <c r="R20" s="3">
        <v>0</v>
      </c>
      <c r="S20" s="3">
        <v>405570000</v>
      </c>
      <c r="T20" s="3">
        <v>0</v>
      </c>
      <c r="U20" s="3">
        <v>273176000</v>
      </c>
      <c r="V20" s="3">
        <v>678746000</v>
      </c>
      <c r="W20" s="3">
        <v>0</v>
      </c>
      <c r="X20" s="3">
        <v>400521076</v>
      </c>
      <c r="Y20" s="3">
        <v>0</v>
      </c>
      <c r="Z20" s="3">
        <v>273176000</v>
      </c>
      <c r="AA20" s="3">
        <v>673697076</v>
      </c>
      <c r="AB20" s="3">
        <v>0</v>
      </c>
      <c r="AC20" s="3">
        <v>400521076</v>
      </c>
      <c r="AD20" s="3">
        <v>0</v>
      </c>
      <c r="AE20" s="3">
        <v>273176000</v>
      </c>
      <c r="AF20" s="3">
        <v>673697076</v>
      </c>
      <c r="AG20" s="3">
        <v>0</v>
      </c>
      <c r="AH20" s="3">
        <v>375233652.77999997</v>
      </c>
      <c r="AI20" s="3">
        <v>0</v>
      </c>
      <c r="AJ20" s="3">
        <v>250854211</v>
      </c>
      <c r="AK20" s="3">
        <v>626087863.77999997</v>
      </c>
      <c r="AL20" s="3">
        <v>0</v>
      </c>
      <c r="AM20" s="3">
        <v>305401053.37</v>
      </c>
      <c r="AN20" s="3">
        <v>0</v>
      </c>
      <c r="AO20" s="3">
        <v>165408493.97</v>
      </c>
      <c r="AP20" s="3">
        <v>470809547.33999997</v>
      </c>
      <c r="AQ20" s="3">
        <v>0</v>
      </c>
      <c r="AR20" s="3">
        <v>425641000</v>
      </c>
      <c r="AS20" s="3">
        <v>0</v>
      </c>
      <c r="AT20" s="3">
        <v>210097000</v>
      </c>
      <c r="AU20" s="3">
        <v>635738000</v>
      </c>
      <c r="AV20" s="3">
        <v>0</v>
      </c>
      <c r="AW20" s="3">
        <v>495641000</v>
      </c>
      <c r="AX20" s="3">
        <v>0</v>
      </c>
      <c r="AY20" s="3">
        <v>210097000</v>
      </c>
      <c r="AZ20" s="3">
        <v>705738000</v>
      </c>
      <c r="BA20" s="3">
        <v>0</v>
      </c>
      <c r="BB20" s="3">
        <v>495641000</v>
      </c>
      <c r="BC20" s="3">
        <v>0</v>
      </c>
      <c r="BD20" s="3">
        <v>210097000</v>
      </c>
      <c r="BE20" s="3">
        <v>705738000</v>
      </c>
      <c r="BF20" s="3">
        <v>0</v>
      </c>
      <c r="BG20" s="3">
        <v>485686406</v>
      </c>
      <c r="BH20" s="3">
        <v>0</v>
      </c>
      <c r="BI20" s="3">
        <v>210097000</v>
      </c>
      <c r="BJ20" s="3">
        <v>695783406</v>
      </c>
      <c r="BK20" s="3">
        <v>0</v>
      </c>
      <c r="BL20" s="3">
        <v>485686406</v>
      </c>
      <c r="BM20" s="3">
        <v>0</v>
      </c>
      <c r="BN20" s="3">
        <v>210097000</v>
      </c>
      <c r="BO20" s="3">
        <v>695783406</v>
      </c>
      <c r="BP20" s="3">
        <v>0</v>
      </c>
      <c r="BQ20" s="3">
        <v>471944877.56999999</v>
      </c>
      <c r="BR20" s="3">
        <v>0</v>
      </c>
      <c r="BS20" s="3">
        <v>199815681.91</v>
      </c>
      <c r="BT20" s="3">
        <v>671760559.48000002</v>
      </c>
      <c r="BU20" s="3">
        <v>0</v>
      </c>
      <c r="BV20" s="3">
        <v>371763717.16000003</v>
      </c>
      <c r="BW20" s="3">
        <v>0</v>
      </c>
      <c r="BX20" s="3">
        <v>113002497.61</v>
      </c>
      <c r="BY20" s="3">
        <v>484766214.76999998</v>
      </c>
      <c r="BZ20" s="3">
        <v>0</v>
      </c>
      <c r="CA20" s="3">
        <v>332912000</v>
      </c>
      <c r="CB20" s="3">
        <v>0</v>
      </c>
      <c r="CC20" s="3">
        <v>152480000</v>
      </c>
      <c r="CD20" s="3">
        <v>485392000</v>
      </c>
      <c r="CE20" s="3">
        <v>0</v>
      </c>
      <c r="CF20" s="3">
        <v>369243000</v>
      </c>
      <c r="CG20" s="3">
        <v>0</v>
      </c>
      <c r="CH20" s="3">
        <v>240480000</v>
      </c>
      <c r="CI20" s="3">
        <v>609723000</v>
      </c>
      <c r="CJ20" s="3">
        <v>0</v>
      </c>
      <c r="CK20" s="3">
        <v>369243000</v>
      </c>
      <c r="CL20" s="3">
        <v>0</v>
      </c>
      <c r="CM20" s="3">
        <v>240480000</v>
      </c>
      <c r="CN20" s="3">
        <v>609723000</v>
      </c>
      <c r="CO20" s="3">
        <v>0</v>
      </c>
      <c r="CP20" s="3">
        <v>316060967</v>
      </c>
      <c r="CQ20" s="3">
        <v>0</v>
      </c>
      <c r="CR20" s="3">
        <v>141693000</v>
      </c>
      <c r="CS20" s="3">
        <v>457753967</v>
      </c>
      <c r="CT20" s="3">
        <v>0</v>
      </c>
      <c r="CU20" s="3">
        <v>316060967</v>
      </c>
      <c r="CV20" s="3">
        <v>0</v>
      </c>
      <c r="CW20" s="3">
        <v>141693000</v>
      </c>
      <c r="CX20" s="3">
        <v>457753967</v>
      </c>
      <c r="CY20" s="3">
        <v>0</v>
      </c>
      <c r="CZ20" s="3">
        <v>311030116.03000003</v>
      </c>
      <c r="DA20" s="3">
        <v>0</v>
      </c>
      <c r="DB20" s="3">
        <v>136223163.72999999</v>
      </c>
      <c r="DC20" s="3">
        <v>447253279.75999999</v>
      </c>
      <c r="DD20" s="3">
        <v>0</v>
      </c>
      <c r="DE20" s="3">
        <v>244853601.92000002</v>
      </c>
      <c r="DF20" s="3">
        <v>0</v>
      </c>
      <c r="DG20" s="3">
        <v>78882940.550000012</v>
      </c>
      <c r="DH20" s="10">
        <v>323736542.47000003</v>
      </c>
      <c r="DI20" s="3">
        <v>0</v>
      </c>
      <c r="DJ20" s="3">
        <v>491561000</v>
      </c>
      <c r="DK20" s="3">
        <v>0</v>
      </c>
      <c r="DL20" s="3">
        <v>264311000</v>
      </c>
      <c r="DM20" s="3">
        <v>755872000</v>
      </c>
      <c r="DN20" s="3">
        <v>0</v>
      </c>
      <c r="DO20" s="3">
        <v>491561000</v>
      </c>
      <c r="DP20" s="3">
        <v>0</v>
      </c>
      <c r="DQ20" s="3">
        <v>264311000</v>
      </c>
      <c r="DR20" s="3">
        <v>755872000</v>
      </c>
      <c r="DS20" s="3">
        <v>0</v>
      </c>
      <c r="DT20" s="3">
        <v>491561000</v>
      </c>
      <c r="DU20" s="3">
        <v>0</v>
      </c>
      <c r="DV20" s="3">
        <v>264311000</v>
      </c>
      <c r="DW20" s="3">
        <v>755872000</v>
      </c>
      <c r="DX20" s="3">
        <v>0</v>
      </c>
      <c r="DY20" s="3">
        <v>490424464</v>
      </c>
      <c r="DZ20" s="3">
        <v>0</v>
      </c>
      <c r="EA20" s="3">
        <v>264311000</v>
      </c>
      <c r="EB20" s="3">
        <v>754735464</v>
      </c>
      <c r="EC20" s="3">
        <v>0</v>
      </c>
      <c r="ED20" s="3">
        <v>490424464</v>
      </c>
      <c r="EE20" s="3">
        <v>0</v>
      </c>
      <c r="EF20" s="3">
        <v>264311000</v>
      </c>
      <c r="EG20" s="3">
        <v>754735464</v>
      </c>
      <c r="EH20" s="3">
        <v>0</v>
      </c>
      <c r="EI20" s="3">
        <v>484140856.45999998</v>
      </c>
      <c r="EJ20" s="3">
        <v>0</v>
      </c>
      <c r="EK20" s="3">
        <v>224831601.91000003</v>
      </c>
      <c r="EL20" s="3">
        <v>708972458.37</v>
      </c>
      <c r="EM20" s="3">
        <v>0</v>
      </c>
      <c r="EN20" s="3">
        <v>369248421.87</v>
      </c>
      <c r="EO20" s="3">
        <v>0</v>
      </c>
      <c r="EP20" s="3">
        <v>134767149.75999999</v>
      </c>
      <c r="EQ20" s="3">
        <v>504015571.63</v>
      </c>
      <c r="ER20" s="3">
        <v>0</v>
      </c>
      <c r="ES20" s="3">
        <v>831516000</v>
      </c>
      <c r="ET20" s="3">
        <v>0</v>
      </c>
      <c r="EU20" s="3">
        <v>483993000</v>
      </c>
      <c r="EV20" s="3">
        <v>1315509000</v>
      </c>
      <c r="EW20" s="3">
        <v>0</v>
      </c>
      <c r="EX20" s="3">
        <v>881516000</v>
      </c>
      <c r="EY20" s="3">
        <v>0</v>
      </c>
      <c r="EZ20" s="3">
        <v>483993000</v>
      </c>
      <c r="FA20" s="3">
        <v>1365509000</v>
      </c>
      <c r="FB20" s="3">
        <v>0</v>
      </c>
      <c r="FC20" s="3">
        <v>881516000</v>
      </c>
      <c r="FD20" s="3">
        <v>0</v>
      </c>
      <c r="FE20" s="3">
        <v>483993000</v>
      </c>
      <c r="FF20" s="3">
        <v>1365509000</v>
      </c>
      <c r="FG20" s="3">
        <v>0</v>
      </c>
      <c r="FH20" s="3">
        <v>944135664</v>
      </c>
      <c r="FI20" s="3">
        <v>0</v>
      </c>
      <c r="FJ20" s="3">
        <v>485299455</v>
      </c>
      <c r="FK20" s="3">
        <v>1429435119</v>
      </c>
      <c r="FL20" s="3">
        <v>0</v>
      </c>
      <c r="FM20" s="3">
        <v>944135664</v>
      </c>
      <c r="FN20" s="3">
        <v>0</v>
      </c>
      <c r="FO20" s="3">
        <v>485299455</v>
      </c>
      <c r="FP20" s="3">
        <v>1429435119</v>
      </c>
      <c r="FQ20" s="3">
        <v>0</v>
      </c>
      <c r="FR20" s="3">
        <v>890764973.83000004</v>
      </c>
      <c r="FS20" s="3">
        <v>0</v>
      </c>
      <c r="FT20" s="3">
        <v>478671337.69</v>
      </c>
      <c r="FU20" s="3">
        <v>1369436311.52</v>
      </c>
      <c r="FV20" s="3">
        <v>0</v>
      </c>
      <c r="FW20" s="3">
        <v>657774439.05999994</v>
      </c>
      <c r="FX20" s="3">
        <v>0</v>
      </c>
      <c r="FY20" s="3">
        <v>337896783.22000003</v>
      </c>
      <c r="FZ20" s="3">
        <v>995671222.27999997</v>
      </c>
      <c r="GA20" s="3">
        <v>0</v>
      </c>
      <c r="GB20" s="3">
        <v>1109111000</v>
      </c>
      <c r="GC20" s="3">
        <v>0</v>
      </c>
      <c r="GD20" s="3">
        <v>342102000</v>
      </c>
      <c r="GE20" s="3">
        <v>1451213000</v>
      </c>
      <c r="GF20" s="3">
        <v>0</v>
      </c>
      <c r="GG20" s="3">
        <v>502551000</v>
      </c>
      <c r="GH20" s="3">
        <v>0</v>
      </c>
      <c r="GI20" s="3">
        <v>248662000</v>
      </c>
      <c r="GJ20" s="3">
        <v>751213000</v>
      </c>
      <c r="GK20" s="3">
        <v>0</v>
      </c>
      <c r="GL20" s="3">
        <v>502551000</v>
      </c>
      <c r="GM20" s="3">
        <v>0</v>
      </c>
      <c r="GN20" s="3">
        <v>248662000</v>
      </c>
      <c r="GO20" s="3">
        <v>751213000</v>
      </c>
      <c r="GP20" s="3">
        <v>0</v>
      </c>
      <c r="GQ20" s="3">
        <v>489875065</v>
      </c>
      <c r="GR20" s="3">
        <v>0</v>
      </c>
      <c r="GS20" s="3">
        <v>248477000</v>
      </c>
      <c r="GT20" s="3">
        <v>738352065</v>
      </c>
      <c r="GU20" s="3">
        <v>0</v>
      </c>
      <c r="GV20" s="3">
        <v>489875065</v>
      </c>
      <c r="GW20" s="3">
        <v>0</v>
      </c>
      <c r="GX20" s="3">
        <v>248477000</v>
      </c>
      <c r="GY20" s="3">
        <v>738352065</v>
      </c>
      <c r="GZ20" s="3">
        <v>0</v>
      </c>
      <c r="HA20" s="3">
        <v>477094331.54000002</v>
      </c>
      <c r="HB20" s="3">
        <v>0</v>
      </c>
      <c r="HC20" s="3">
        <v>237251375.72999999</v>
      </c>
      <c r="HD20" s="3">
        <v>714345707.26999998</v>
      </c>
      <c r="HE20" s="3">
        <v>0</v>
      </c>
      <c r="HF20" s="3">
        <v>409043244.06999999</v>
      </c>
      <c r="HG20" s="3">
        <v>0</v>
      </c>
      <c r="HH20" s="3">
        <v>193149423.53999999</v>
      </c>
      <c r="HI20" s="3">
        <v>602192667.61000001</v>
      </c>
      <c r="HJ20" s="3">
        <v>0</v>
      </c>
      <c r="HK20" s="3">
        <v>786119000</v>
      </c>
      <c r="HL20" s="3">
        <v>0</v>
      </c>
      <c r="HM20" s="3">
        <v>361456000</v>
      </c>
      <c r="HN20" s="3">
        <v>1147575000</v>
      </c>
      <c r="HO20" s="3">
        <v>0</v>
      </c>
      <c r="HP20" s="3">
        <v>734419000</v>
      </c>
      <c r="HQ20" s="3">
        <v>0</v>
      </c>
      <c r="HR20" s="3">
        <v>413156000</v>
      </c>
      <c r="HS20" s="3">
        <v>1147575000</v>
      </c>
      <c r="HT20" s="3">
        <v>0</v>
      </c>
      <c r="HU20" s="3">
        <v>734419000</v>
      </c>
      <c r="HV20" s="3">
        <v>0</v>
      </c>
      <c r="HW20" s="3">
        <v>413156000</v>
      </c>
      <c r="HX20" s="3">
        <v>1147575000</v>
      </c>
      <c r="HY20" s="3">
        <v>0</v>
      </c>
      <c r="HZ20" s="3">
        <v>730935874</v>
      </c>
      <c r="IA20" s="3">
        <v>0</v>
      </c>
      <c r="IB20" s="3">
        <v>413156000</v>
      </c>
      <c r="IC20" s="3">
        <v>1144091874</v>
      </c>
      <c r="ID20" s="3">
        <v>0</v>
      </c>
      <c r="IE20" s="3">
        <v>730935874</v>
      </c>
      <c r="IF20" s="3">
        <v>0</v>
      </c>
      <c r="IG20" s="3">
        <v>413156000</v>
      </c>
      <c r="IH20" s="3">
        <v>1144091874</v>
      </c>
      <c r="II20" s="6">
        <v>0</v>
      </c>
      <c r="IJ20" s="6">
        <v>638628358.84000003</v>
      </c>
      <c r="IK20" s="6">
        <v>0</v>
      </c>
      <c r="IL20" s="6">
        <v>326799303.38</v>
      </c>
      <c r="IM20" s="6">
        <v>965427662.22000003</v>
      </c>
      <c r="IN20" s="3">
        <v>0</v>
      </c>
      <c r="IO20" s="3">
        <v>468722871.07999998</v>
      </c>
      <c r="IP20" s="3">
        <v>0</v>
      </c>
      <c r="IQ20" s="3">
        <v>186353565.52000001</v>
      </c>
      <c r="IR20" s="6">
        <v>655076436.60000002</v>
      </c>
      <c r="IS20" s="3">
        <v>0</v>
      </c>
      <c r="IT20" s="3">
        <v>2525328000</v>
      </c>
      <c r="IU20" s="3">
        <v>0</v>
      </c>
      <c r="IV20" s="3">
        <v>460518000</v>
      </c>
      <c r="IW20" s="3">
        <v>2985846000</v>
      </c>
      <c r="IX20" s="3">
        <v>0</v>
      </c>
      <c r="IY20" s="3">
        <v>2525328000</v>
      </c>
      <c r="IZ20" s="3">
        <v>0</v>
      </c>
      <c r="JA20" s="3">
        <v>460518000</v>
      </c>
      <c r="JB20" s="3">
        <v>2985846000</v>
      </c>
      <c r="JC20" s="3">
        <v>0</v>
      </c>
      <c r="JD20" s="3">
        <v>2525328000</v>
      </c>
      <c r="JE20" s="3">
        <v>0</v>
      </c>
      <c r="JF20" s="3">
        <v>460518000</v>
      </c>
      <c r="JG20" s="3">
        <v>2985846000</v>
      </c>
      <c r="JH20" s="3">
        <v>0</v>
      </c>
      <c r="JI20" s="3">
        <v>2522055220</v>
      </c>
      <c r="JJ20" s="3">
        <v>0</v>
      </c>
      <c r="JK20" s="3">
        <v>460518000</v>
      </c>
      <c r="JL20" s="3">
        <v>2982573220</v>
      </c>
      <c r="JM20" s="3">
        <v>0</v>
      </c>
      <c r="JN20" s="3">
        <v>2522055220</v>
      </c>
      <c r="JO20" s="3">
        <v>0</v>
      </c>
      <c r="JP20" s="3">
        <v>460518000</v>
      </c>
      <c r="JQ20" s="3">
        <v>2982573220</v>
      </c>
      <c r="JR20" s="3">
        <v>0</v>
      </c>
      <c r="JS20" s="3">
        <v>1502564222.6900001</v>
      </c>
      <c r="JT20" s="3">
        <v>0</v>
      </c>
      <c r="JU20" s="3">
        <v>346118423.92000002</v>
      </c>
      <c r="JV20" s="3">
        <v>1848682646.6099999</v>
      </c>
      <c r="JW20" s="3">
        <v>0</v>
      </c>
      <c r="JX20" s="3">
        <v>827036463.00999999</v>
      </c>
      <c r="JY20" s="3">
        <v>0</v>
      </c>
      <c r="JZ20" s="3">
        <v>111102449.94</v>
      </c>
      <c r="KA20" s="3">
        <v>938138912.95000005</v>
      </c>
      <c r="KB20" s="3">
        <v>0</v>
      </c>
      <c r="KC20" s="3">
        <v>834059000</v>
      </c>
      <c r="KD20" s="3">
        <v>0</v>
      </c>
      <c r="KE20" s="3">
        <v>2144807000</v>
      </c>
      <c r="KF20" s="3">
        <v>2978866000</v>
      </c>
      <c r="KG20" s="3">
        <v>0</v>
      </c>
      <c r="KH20" s="3">
        <v>834059000</v>
      </c>
      <c r="KI20" s="3">
        <v>0</v>
      </c>
      <c r="KJ20" s="3">
        <v>2144807000</v>
      </c>
      <c r="KK20" s="3">
        <v>2978866000</v>
      </c>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v>0</v>
      </c>
      <c r="LN20" s="3"/>
      <c r="LO20" s="3"/>
    </row>
    <row r="21" spans="1:327" x14ac:dyDescent="0.25">
      <c r="A21" t="s">
        <v>943</v>
      </c>
      <c r="B21" t="s">
        <v>944</v>
      </c>
      <c r="C21" t="s">
        <v>199</v>
      </c>
      <c r="D21" t="s">
        <v>200</v>
      </c>
      <c r="E21" t="s">
        <v>217</v>
      </c>
      <c r="F21" t="s">
        <v>947</v>
      </c>
      <c r="G21" t="s">
        <v>1039</v>
      </c>
      <c r="H21" s="3">
        <v>0</v>
      </c>
      <c r="I21" s="3">
        <v>752507000</v>
      </c>
      <c r="J21" s="3">
        <v>0</v>
      </c>
      <c r="K21" s="3">
        <v>221297000</v>
      </c>
      <c r="L21" s="3">
        <v>973804000</v>
      </c>
      <c r="M21" s="3">
        <v>0</v>
      </c>
      <c r="N21" s="3">
        <v>752507000</v>
      </c>
      <c r="O21" s="3">
        <v>0</v>
      </c>
      <c r="P21" s="3">
        <v>221297000</v>
      </c>
      <c r="Q21" s="3">
        <v>973804000</v>
      </c>
      <c r="R21" s="3">
        <v>0</v>
      </c>
      <c r="S21" s="3">
        <v>752507000</v>
      </c>
      <c r="T21" s="3">
        <v>0</v>
      </c>
      <c r="U21" s="3">
        <v>221297000</v>
      </c>
      <c r="V21" s="3">
        <v>973804000</v>
      </c>
      <c r="W21" s="3">
        <v>0</v>
      </c>
      <c r="X21" s="3">
        <v>747556281</v>
      </c>
      <c r="Y21" s="3">
        <v>0</v>
      </c>
      <c r="Z21" s="3">
        <v>221297000</v>
      </c>
      <c r="AA21" s="3">
        <v>968853281</v>
      </c>
      <c r="AB21" s="3">
        <v>0</v>
      </c>
      <c r="AC21" s="3">
        <v>747556281</v>
      </c>
      <c r="AD21" s="3">
        <v>0</v>
      </c>
      <c r="AE21" s="3">
        <v>221297000</v>
      </c>
      <c r="AF21" s="3">
        <v>968853281</v>
      </c>
      <c r="AG21" s="3">
        <v>0</v>
      </c>
      <c r="AH21" s="3">
        <v>720322284.17999995</v>
      </c>
      <c r="AI21" s="3">
        <v>0</v>
      </c>
      <c r="AJ21" s="3">
        <v>206140762.99000001</v>
      </c>
      <c r="AK21" s="3">
        <v>926463047.17000008</v>
      </c>
      <c r="AL21" s="3">
        <v>0</v>
      </c>
      <c r="AM21" s="3">
        <v>583093322.40999997</v>
      </c>
      <c r="AN21" s="3">
        <v>0</v>
      </c>
      <c r="AO21" s="3">
        <v>110238989.31</v>
      </c>
      <c r="AP21" s="3">
        <v>693332311.72000003</v>
      </c>
      <c r="AQ21" s="3">
        <v>0</v>
      </c>
      <c r="AR21" s="3">
        <v>304977000</v>
      </c>
      <c r="AS21" s="3">
        <v>0</v>
      </c>
      <c r="AT21" s="3">
        <v>54909000</v>
      </c>
      <c r="AU21" s="3">
        <v>359886000</v>
      </c>
      <c r="AV21" s="3">
        <v>0</v>
      </c>
      <c r="AW21" s="3">
        <v>304977000</v>
      </c>
      <c r="AX21" s="3">
        <v>0</v>
      </c>
      <c r="AY21" s="3">
        <v>54909000</v>
      </c>
      <c r="AZ21" s="3">
        <v>359886000</v>
      </c>
      <c r="BA21" s="3">
        <v>0</v>
      </c>
      <c r="BB21" s="3">
        <v>304977000</v>
      </c>
      <c r="BC21" s="3">
        <v>0</v>
      </c>
      <c r="BD21" s="3">
        <v>54909000</v>
      </c>
      <c r="BE21" s="3">
        <v>359886000</v>
      </c>
      <c r="BF21" s="3">
        <v>0</v>
      </c>
      <c r="BG21" s="3">
        <v>303923200</v>
      </c>
      <c r="BH21" s="3">
        <v>0</v>
      </c>
      <c r="BI21" s="3">
        <v>54909000</v>
      </c>
      <c r="BJ21" s="3">
        <v>358832200</v>
      </c>
      <c r="BK21" s="3">
        <v>0</v>
      </c>
      <c r="BL21" s="3">
        <v>303923200</v>
      </c>
      <c r="BM21" s="3">
        <v>0</v>
      </c>
      <c r="BN21" s="3">
        <v>54909000</v>
      </c>
      <c r="BO21" s="3">
        <v>358832200</v>
      </c>
      <c r="BP21" s="3">
        <v>0</v>
      </c>
      <c r="BQ21" s="3">
        <v>297580183.67000002</v>
      </c>
      <c r="BR21" s="3">
        <v>0</v>
      </c>
      <c r="BS21" s="3">
        <v>52806527.619999997</v>
      </c>
      <c r="BT21" s="3">
        <v>350386711.29000002</v>
      </c>
      <c r="BU21" s="3">
        <v>0</v>
      </c>
      <c r="BV21" s="3">
        <v>246236548.55000001</v>
      </c>
      <c r="BW21" s="3">
        <v>0</v>
      </c>
      <c r="BX21" s="3">
        <v>34216365.789999999</v>
      </c>
      <c r="BY21" s="3">
        <v>280452914.33999997</v>
      </c>
      <c r="BZ21" s="3">
        <v>0</v>
      </c>
      <c r="CA21" s="3">
        <v>275887000</v>
      </c>
      <c r="CB21" s="3">
        <v>0</v>
      </c>
      <c r="CC21" s="3">
        <v>80435000</v>
      </c>
      <c r="CD21" s="3">
        <v>356322000</v>
      </c>
      <c r="CE21" s="3">
        <v>0</v>
      </c>
      <c r="CF21" s="3">
        <v>390470000</v>
      </c>
      <c r="CG21" s="3">
        <v>0</v>
      </c>
      <c r="CH21" s="3">
        <v>80435000</v>
      </c>
      <c r="CI21" s="3">
        <v>470905000</v>
      </c>
      <c r="CJ21" s="3">
        <v>0</v>
      </c>
      <c r="CK21" s="3">
        <v>390470000</v>
      </c>
      <c r="CL21" s="3">
        <v>0</v>
      </c>
      <c r="CM21" s="3">
        <v>80435000</v>
      </c>
      <c r="CN21" s="3">
        <v>470905000</v>
      </c>
      <c r="CO21" s="3">
        <v>0</v>
      </c>
      <c r="CP21" s="3">
        <v>265014351</v>
      </c>
      <c r="CQ21" s="3">
        <v>0</v>
      </c>
      <c r="CR21" s="3">
        <v>58734000</v>
      </c>
      <c r="CS21" s="3">
        <v>323748351</v>
      </c>
      <c r="CT21" s="3">
        <v>0</v>
      </c>
      <c r="CU21" s="3">
        <v>265014351</v>
      </c>
      <c r="CV21" s="3">
        <v>0</v>
      </c>
      <c r="CW21" s="3">
        <v>58734000</v>
      </c>
      <c r="CX21" s="3">
        <v>323748351</v>
      </c>
      <c r="CY21" s="3">
        <v>0</v>
      </c>
      <c r="CZ21" s="3">
        <v>261935170.24000001</v>
      </c>
      <c r="DA21" s="3">
        <v>0</v>
      </c>
      <c r="DB21" s="3">
        <v>57564747.349999994</v>
      </c>
      <c r="DC21" s="3">
        <v>319499917.58999997</v>
      </c>
      <c r="DD21" s="3">
        <v>0</v>
      </c>
      <c r="DE21" s="3">
        <v>245114107.19999999</v>
      </c>
      <c r="DF21" s="3">
        <v>0</v>
      </c>
      <c r="DG21" s="3">
        <v>39591535.359999999</v>
      </c>
      <c r="DH21" s="10">
        <v>284705642.56</v>
      </c>
      <c r="DI21" s="3">
        <v>0</v>
      </c>
      <c r="DJ21" s="3">
        <v>599985000</v>
      </c>
      <c r="DK21" s="3">
        <v>0</v>
      </c>
      <c r="DL21" s="3">
        <v>37150000</v>
      </c>
      <c r="DM21" s="3">
        <v>637135000</v>
      </c>
      <c r="DN21" s="3">
        <v>0</v>
      </c>
      <c r="DO21" s="3">
        <v>599985000</v>
      </c>
      <c r="DP21" s="3">
        <v>0</v>
      </c>
      <c r="DQ21" s="3">
        <v>37150000</v>
      </c>
      <c r="DR21" s="3">
        <v>637135000</v>
      </c>
      <c r="DS21" s="3">
        <v>0</v>
      </c>
      <c r="DT21" s="3">
        <v>599985000</v>
      </c>
      <c r="DU21" s="3">
        <v>0</v>
      </c>
      <c r="DV21" s="3">
        <v>37150000</v>
      </c>
      <c r="DW21" s="3">
        <v>637135000</v>
      </c>
      <c r="DX21" s="3">
        <v>0</v>
      </c>
      <c r="DY21" s="3">
        <v>599874375</v>
      </c>
      <c r="DZ21" s="3">
        <v>0</v>
      </c>
      <c r="EA21" s="3">
        <v>37150000</v>
      </c>
      <c r="EB21" s="3">
        <v>637024375</v>
      </c>
      <c r="EC21" s="3">
        <v>0</v>
      </c>
      <c r="ED21" s="3">
        <v>599874375</v>
      </c>
      <c r="EE21" s="3">
        <v>0</v>
      </c>
      <c r="EF21" s="3">
        <v>37150000</v>
      </c>
      <c r="EG21" s="3">
        <v>637024375</v>
      </c>
      <c r="EH21" s="3">
        <v>0</v>
      </c>
      <c r="EI21" s="3">
        <v>585374262.89999998</v>
      </c>
      <c r="EJ21" s="3">
        <v>0</v>
      </c>
      <c r="EK21" s="3">
        <v>35469363.799999997</v>
      </c>
      <c r="EL21" s="3">
        <v>620843626.69999993</v>
      </c>
      <c r="EM21" s="3">
        <v>0</v>
      </c>
      <c r="EN21" s="3">
        <v>509448576.21000004</v>
      </c>
      <c r="EO21" s="3">
        <v>0</v>
      </c>
      <c r="EP21" s="3">
        <v>27309536.050000001</v>
      </c>
      <c r="EQ21" s="3">
        <v>536758112.25999999</v>
      </c>
      <c r="ER21" s="3">
        <v>0</v>
      </c>
      <c r="ES21" s="3">
        <v>602166000</v>
      </c>
      <c r="ET21" s="3">
        <v>0</v>
      </c>
      <c r="EU21" s="3">
        <v>25250000</v>
      </c>
      <c r="EV21" s="3">
        <v>627416000</v>
      </c>
      <c r="EW21" s="3">
        <v>0</v>
      </c>
      <c r="EX21" s="3">
        <v>602166000</v>
      </c>
      <c r="EY21" s="3">
        <v>0</v>
      </c>
      <c r="EZ21" s="3">
        <v>25250000</v>
      </c>
      <c r="FA21" s="3">
        <v>627416000</v>
      </c>
      <c r="FB21" s="3">
        <v>0</v>
      </c>
      <c r="FC21" s="3">
        <v>602166000</v>
      </c>
      <c r="FD21" s="3">
        <v>0</v>
      </c>
      <c r="FE21" s="3">
        <v>25250000</v>
      </c>
      <c r="FF21" s="3">
        <v>627416000</v>
      </c>
      <c r="FG21" s="3">
        <v>0</v>
      </c>
      <c r="FH21" s="3">
        <v>601153129</v>
      </c>
      <c r="FI21" s="3">
        <v>0</v>
      </c>
      <c r="FJ21" s="3">
        <v>25250000</v>
      </c>
      <c r="FK21" s="3">
        <v>626403129</v>
      </c>
      <c r="FL21" s="3">
        <v>0</v>
      </c>
      <c r="FM21" s="3">
        <v>601153129</v>
      </c>
      <c r="FN21" s="3">
        <v>0</v>
      </c>
      <c r="FO21" s="3">
        <v>25250000</v>
      </c>
      <c r="FP21" s="3">
        <v>626403129</v>
      </c>
      <c r="FQ21" s="3">
        <v>0</v>
      </c>
      <c r="FR21" s="3">
        <v>597478360.38</v>
      </c>
      <c r="FS21" s="3">
        <v>0</v>
      </c>
      <c r="FT21" s="3">
        <v>24906830.68</v>
      </c>
      <c r="FU21" s="3">
        <v>622385191.05999994</v>
      </c>
      <c r="FV21" s="3">
        <v>0</v>
      </c>
      <c r="FW21" s="3">
        <v>561942949.40999997</v>
      </c>
      <c r="FX21" s="3">
        <v>0</v>
      </c>
      <c r="FY21" s="3">
        <v>19654633.739999998</v>
      </c>
      <c r="FZ21" s="3">
        <v>581597583.14999998</v>
      </c>
      <c r="GA21" s="3">
        <v>0</v>
      </c>
      <c r="GB21" s="3">
        <v>3981636000</v>
      </c>
      <c r="GC21" s="3">
        <v>0</v>
      </c>
      <c r="GD21" s="3">
        <v>20868000</v>
      </c>
      <c r="GE21" s="3">
        <v>4002504000</v>
      </c>
      <c r="GF21" s="3">
        <v>0</v>
      </c>
      <c r="GG21" s="3">
        <v>3236536000</v>
      </c>
      <c r="GH21" s="3">
        <v>0</v>
      </c>
      <c r="GI21" s="3">
        <v>20868000</v>
      </c>
      <c r="GJ21" s="3">
        <v>3257404000</v>
      </c>
      <c r="GK21" s="3">
        <v>0</v>
      </c>
      <c r="GL21" s="3">
        <v>3236536000</v>
      </c>
      <c r="GM21" s="3">
        <v>0</v>
      </c>
      <c r="GN21" s="3">
        <v>20868000</v>
      </c>
      <c r="GO21" s="3">
        <v>3257404000</v>
      </c>
      <c r="GP21" s="3">
        <v>0</v>
      </c>
      <c r="GQ21" s="3">
        <v>3179076902</v>
      </c>
      <c r="GR21" s="3">
        <v>0</v>
      </c>
      <c r="GS21" s="3">
        <v>20868000</v>
      </c>
      <c r="GT21" s="3">
        <v>3199944902</v>
      </c>
      <c r="GU21" s="3">
        <v>0</v>
      </c>
      <c r="GV21" s="3">
        <v>3179076902</v>
      </c>
      <c r="GW21" s="3">
        <v>0</v>
      </c>
      <c r="GX21" s="3">
        <v>20868000</v>
      </c>
      <c r="GY21" s="3">
        <v>3199944902</v>
      </c>
      <c r="GZ21" s="3">
        <v>0</v>
      </c>
      <c r="HA21" s="3">
        <v>3170778197.6500001</v>
      </c>
      <c r="HB21" s="3">
        <v>0</v>
      </c>
      <c r="HC21" s="3">
        <v>18607758.43</v>
      </c>
      <c r="HD21" s="3">
        <v>3189385956.0799999</v>
      </c>
      <c r="HE21" s="3">
        <v>0</v>
      </c>
      <c r="HF21" s="3">
        <v>2989659542.6100001</v>
      </c>
      <c r="HG21" s="3">
        <v>0</v>
      </c>
      <c r="HH21" s="3">
        <v>13353496.130000001</v>
      </c>
      <c r="HI21" s="3">
        <v>3003013038.7399998</v>
      </c>
      <c r="HJ21" s="3">
        <v>0</v>
      </c>
      <c r="HK21" s="3">
        <v>3209092000</v>
      </c>
      <c r="HL21" s="3">
        <v>0</v>
      </c>
      <c r="HM21" s="3">
        <v>59505000</v>
      </c>
      <c r="HN21" s="3">
        <v>3268597000</v>
      </c>
      <c r="HO21" s="3">
        <v>0</v>
      </c>
      <c r="HP21" s="3">
        <v>2824934000</v>
      </c>
      <c r="HQ21" s="3">
        <v>0</v>
      </c>
      <c r="HR21" s="3">
        <v>60105000</v>
      </c>
      <c r="HS21" s="3">
        <v>2885039000</v>
      </c>
      <c r="HT21" s="3">
        <v>0</v>
      </c>
      <c r="HU21" s="3">
        <v>2824934000</v>
      </c>
      <c r="HV21" s="3">
        <v>0</v>
      </c>
      <c r="HW21" s="3">
        <v>60105000</v>
      </c>
      <c r="HX21" s="3">
        <v>2885039000</v>
      </c>
      <c r="HY21" s="3">
        <v>0</v>
      </c>
      <c r="HZ21" s="3">
        <v>2824903614</v>
      </c>
      <c r="IA21" s="3">
        <v>0</v>
      </c>
      <c r="IB21" s="3">
        <v>60105000</v>
      </c>
      <c r="IC21" s="3">
        <v>2885008614</v>
      </c>
      <c r="ID21" s="3">
        <v>0</v>
      </c>
      <c r="IE21" s="3">
        <v>2824903614</v>
      </c>
      <c r="IF21" s="3">
        <v>0</v>
      </c>
      <c r="IG21" s="3">
        <v>60105000</v>
      </c>
      <c r="IH21" s="3">
        <v>2885008614</v>
      </c>
      <c r="II21" s="6">
        <v>0</v>
      </c>
      <c r="IJ21" s="6">
        <v>2787165524.6100001</v>
      </c>
      <c r="IK21" s="6">
        <v>0</v>
      </c>
      <c r="IL21" s="6">
        <v>45537856.310000002</v>
      </c>
      <c r="IM21" s="6">
        <v>2832703380.9200001</v>
      </c>
      <c r="IN21" s="3">
        <v>0</v>
      </c>
      <c r="IO21" s="3">
        <v>2397165321.9200001</v>
      </c>
      <c r="IP21" s="3">
        <v>0</v>
      </c>
      <c r="IQ21" s="3">
        <v>31619768.5</v>
      </c>
      <c r="IR21" s="6">
        <v>2428785090.4200001</v>
      </c>
      <c r="IS21" s="3">
        <v>0</v>
      </c>
      <c r="IT21" s="3">
        <v>3315059000</v>
      </c>
      <c r="IU21" s="3">
        <v>0</v>
      </c>
      <c r="IV21" s="3">
        <v>71100000</v>
      </c>
      <c r="IW21" s="3">
        <v>3386159000</v>
      </c>
      <c r="IX21" s="3">
        <v>0</v>
      </c>
      <c r="IY21" s="3">
        <v>3315059000</v>
      </c>
      <c r="IZ21" s="3">
        <v>0</v>
      </c>
      <c r="JA21" s="3">
        <v>71100000</v>
      </c>
      <c r="JB21" s="3">
        <v>3386159000</v>
      </c>
      <c r="JC21" s="3">
        <v>0</v>
      </c>
      <c r="JD21" s="3">
        <v>3315059000</v>
      </c>
      <c r="JE21" s="3">
        <v>0</v>
      </c>
      <c r="JF21" s="3">
        <v>71100000</v>
      </c>
      <c r="JG21" s="3">
        <v>3386159000</v>
      </c>
      <c r="JH21" s="3">
        <v>0</v>
      </c>
      <c r="JI21" s="3">
        <v>3314679945</v>
      </c>
      <c r="JJ21" s="3">
        <v>0</v>
      </c>
      <c r="JK21" s="3">
        <v>71100000</v>
      </c>
      <c r="JL21" s="3">
        <v>3385779945</v>
      </c>
      <c r="JM21" s="3">
        <v>0</v>
      </c>
      <c r="JN21" s="3">
        <v>3314679945</v>
      </c>
      <c r="JO21" s="3">
        <v>0</v>
      </c>
      <c r="JP21" s="3">
        <v>71100000</v>
      </c>
      <c r="JQ21" s="3">
        <v>3385779945</v>
      </c>
      <c r="JR21" s="3">
        <v>0</v>
      </c>
      <c r="JS21" s="3">
        <v>3291156312.5500002</v>
      </c>
      <c r="JT21" s="3">
        <v>0</v>
      </c>
      <c r="JU21" s="3">
        <v>69966695.870000005</v>
      </c>
      <c r="JV21" s="3">
        <v>3361123008.4200001</v>
      </c>
      <c r="JW21" s="3">
        <v>0</v>
      </c>
      <c r="JX21" s="3">
        <v>3050578074.6700001</v>
      </c>
      <c r="JY21" s="3">
        <v>0</v>
      </c>
      <c r="JZ21" s="3">
        <v>63536754.530000001</v>
      </c>
      <c r="KA21" s="3">
        <v>3114114829.1999998</v>
      </c>
      <c r="KB21" s="3">
        <v>0</v>
      </c>
      <c r="KC21" s="3">
        <v>4728793000</v>
      </c>
      <c r="KD21" s="3">
        <v>0</v>
      </c>
      <c r="KE21" s="3">
        <v>12475000</v>
      </c>
      <c r="KF21" s="3">
        <v>4741268000</v>
      </c>
      <c r="KG21" s="3">
        <v>0</v>
      </c>
      <c r="KH21" s="3">
        <v>4728793000</v>
      </c>
      <c r="KI21" s="3">
        <v>0</v>
      </c>
      <c r="KJ21" s="3">
        <v>12475000</v>
      </c>
      <c r="KK21" s="3">
        <v>4741268000</v>
      </c>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v>0</v>
      </c>
      <c r="LL21" s="3">
        <v>2782828000</v>
      </c>
      <c r="LM21">
        <v>0</v>
      </c>
      <c r="LN21" s="3">
        <v>2620000</v>
      </c>
      <c r="LO21" s="3">
        <v>2785448000</v>
      </c>
    </row>
    <row r="22" spans="1:327" x14ac:dyDescent="0.25">
      <c r="A22" t="s">
        <v>943</v>
      </c>
      <c r="B22" t="s">
        <v>944</v>
      </c>
      <c r="C22" t="s">
        <v>199</v>
      </c>
      <c r="D22" t="s">
        <v>200</v>
      </c>
      <c r="E22" t="s">
        <v>217</v>
      </c>
      <c r="F22" t="s">
        <v>948</v>
      </c>
      <c r="G22" t="s">
        <v>1040</v>
      </c>
      <c r="H22" s="3">
        <v>0</v>
      </c>
      <c r="I22" s="3">
        <v>1623895000</v>
      </c>
      <c r="J22" s="3">
        <v>0</v>
      </c>
      <c r="K22" s="3">
        <v>37255000</v>
      </c>
      <c r="L22" s="3">
        <v>1661150000</v>
      </c>
      <c r="M22" s="3">
        <v>0</v>
      </c>
      <c r="N22" s="3">
        <v>1601825000</v>
      </c>
      <c r="O22" s="3">
        <v>0</v>
      </c>
      <c r="P22" s="3">
        <v>37255000</v>
      </c>
      <c r="Q22" s="3">
        <v>1639080000</v>
      </c>
      <c r="R22" s="3">
        <v>0</v>
      </c>
      <c r="S22" s="3">
        <v>1601825000</v>
      </c>
      <c r="T22" s="3">
        <v>0</v>
      </c>
      <c r="U22" s="3">
        <v>37255000</v>
      </c>
      <c r="V22" s="3">
        <v>1639080000</v>
      </c>
      <c r="W22" s="3">
        <v>0</v>
      </c>
      <c r="X22" s="3">
        <v>1581416438</v>
      </c>
      <c r="Y22" s="3">
        <v>0</v>
      </c>
      <c r="Z22" s="3">
        <v>37412000</v>
      </c>
      <c r="AA22" s="3">
        <v>1618828438</v>
      </c>
      <c r="AB22" s="3">
        <v>0</v>
      </c>
      <c r="AC22" s="3">
        <v>1581416438</v>
      </c>
      <c r="AD22" s="3">
        <v>0</v>
      </c>
      <c r="AE22" s="3">
        <v>37412000</v>
      </c>
      <c r="AF22" s="3">
        <v>1618828438</v>
      </c>
      <c r="AG22" s="3">
        <v>0</v>
      </c>
      <c r="AH22" s="3">
        <v>1475196158.04</v>
      </c>
      <c r="AI22" s="3">
        <v>0</v>
      </c>
      <c r="AJ22" s="3">
        <v>36318243.649999999</v>
      </c>
      <c r="AK22" s="3">
        <v>1511514401.6900001</v>
      </c>
      <c r="AL22" s="3">
        <v>0</v>
      </c>
      <c r="AM22" s="3">
        <v>1187032264.6199999</v>
      </c>
      <c r="AN22" s="3">
        <v>0</v>
      </c>
      <c r="AO22" s="3">
        <v>21023071.030000001</v>
      </c>
      <c r="AP22" s="3">
        <v>1208055335.6500001</v>
      </c>
      <c r="AQ22" s="3">
        <v>0</v>
      </c>
      <c r="AR22" s="3">
        <v>465452000</v>
      </c>
      <c r="AS22" s="3">
        <v>0</v>
      </c>
      <c r="AT22" s="3">
        <v>28705000</v>
      </c>
      <c r="AU22" s="3">
        <v>494157000</v>
      </c>
      <c r="AV22" s="3">
        <v>0</v>
      </c>
      <c r="AW22" s="3">
        <v>467652000</v>
      </c>
      <c r="AX22" s="3">
        <v>0</v>
      </c>
      <c r="AY22" s="3">
        <v>28705000</v>
      </c>
      <c r="AZ22" s="3">
        <v>496357000</v>
      </c>
      <c r="BA22" s="3">
        <v>0</v>
      </c>
      <c r="BB22" s="3">
        <v>467652000</v>
      </c>
      <c r="BC22" s="3">
        <v>0</v>
      </c>
      <c r="BD22" s="3">
        <v>28705000</v>
      </c>
      <c r="BE22" s="3">
        <v>496357000</v>
      </c>
      <c r="BF22" s="3">
        <v>0</v>
      </c>
      <c r="BG22" s="3">
        <v>465058345</v>
      </c>
      <c r="BH22" s="3">
        <v>0</v>
      </c>
      <c r="BI22" s="3">
        <v>28705000</v>
      </c>
      <c r="BJ22" s="3">
        <v>493763345</v>
      </c>
      <c r="BK22" s="3">
        <v>0</v>
      </c>
      <c r="BL22" s="3">
        <v>465058345</v>
      </c>
      <c r="BM22" s="3">
        <v>0</v>
      </c>
      <c r="BN22" s="3">
        <v>28705000</v>
      </c>
      <c r="BO22" s="3">
        <v>493763345</v>
      </c>
      <c r="BP22" s="3">
        <v>0</v>
      </c>
      <c r="BQ22" s="3">
        <v>452464008.06</v>
      </c>
      <c r="BR22" s="3">
        <v>0</v>
      </c>
      <c r="BS22" s="3">
        <v>26422651.91</v>
      </c>
      <c r="BT22" s="3">
        <v>478886659.97000003</v>
      </c>
      <c r="BU22" s="3">
        <v>0</v>
      </c>
      <c r="BV22" s="3">
        <v>385620260.88</v>
      </c>
      <c r="BW22" s="3">
        <v>0</v>
      </c>
      <c r="BX22" s="3">
        <v>22263193.579999998</v>
      </c>
      <c r="BY22" s="3">
        <v>407883454.45999998</v>
      </c>
      <c r="BZ22" s="3">
        <v>0</v>
      </c>
      <c r="CA22" s="3">
        <v>469548000</v>
      </c>
      <c r="CB22" s="3">
        <v>0</v>
      </c>
      <c r="CC22" s="3">
        <v>27606000</v>
      </c>
      <c r="CD22" s="3">
        <v>497154000</v>
      </c>
      <c r="CE22" s="3">
        <v>0</v>
      </c>
      <c r="CF22" s="3">
        <v>461153000</v>
      </c>
      <c r="CG22" s="3">
        <v>0</v>
      </c>
      <c r="CH22" s="3">
        <v>27606000</v>
      </c>
      <c r="CI22" s="3">
        <v>488759000</v>
      </c>
      <c r="CJ22" s="3">
        <v>0</v>
      </c>
      <c r="CK22" s="3">
        <v>461153000</v>
      </c>
      <c r="CL22" s="3">
        <v>0</v>
      </c>
      <c r="CM22" s="3">
        <v>27606000</v>
      </c>
      <c r="CN22" s="3">
        <v>488759000</v>
      </c>
      <c r="CO22" s="3">
        <v>0</v>
      </c>
      <c r="CP22" s="3">
        <v>449522119</v>
      </c>
      <c r="CQ22" s="3">
        <v>0</v>
      </c>
      <c r="CR22" s="3">
        <v>26728200</v>
      </c>
      <c r="CS22" s="3">
        <v>476250319</v>
      </c>
      <c r="CT22" s="3">
        <v>0</v>
      </c>
      <c r="CU22" s="3">
        <v>426407119</v>
      </c>
      <c r="CV22" s="3">
        <v>0</v>
      </c>
      <c r="CW22" s="3">
        <v>26728200</v>
      </c>
      <c r="CX22" s="3">
        <v>453135319</v>
      </c>
      <c r="CY22" s="3">
        <v>0</v>
      </c>
      <c r="CZ22" s="3">
        <v>415508134.46999997</v>
      </c>
      <c r="DA22" s="3">
        <v>0</v>
      </c>
      <c r="DB22" s="3">
        <v>23962948.73</v>
      </c>
      <c r="DC22" s="3">
        <v>439471083.20000005</v>
      </c>
      <c r="DD22" s="3">
        <v>0</v>
      </c>
      <c r="DE22" s="3">
        <v>366781379.33000004</v>
      </c>
      <c r="DF22" s="3">
        <v>0</v>
      </c>
      <c r="DG22" s="3">
        <v>17439372.539999999</v>
      </c>
      <c r="DH22" s="10">
        <v>384220751.87</v>
      </c>
      <c r="DI22" s="3">
        <v>0</v>
      </c>
      <c r="DJ22" s="3">
        <v>494770000</v>
      </c>
      <c r="DK22" s="3">
        <v>0</v>
      </c>
      <c r="DL22" s="3">
        <v>27834000</v>
      </c>
      <c r="DM22" s="3">
        <v>522604000</v>
      </c>
      <c r="DN22" s="3">
        <v>0</v>
      </c>
      <c r="DO22" s="3">
        <v>511970000</v>
      </c>
      <c r="DP22" s="3">
        <v>0</v>
      </c>
      <c r="DQ22" s="3">
        <v>27834000</v>
      </c>
      <c r="DR22" s="3">
        <v>539804000</v>
      </c>
      <c r="DS22" s="3">
        <v>0</v>
      </c>
      <c r="DT22" s="3">
        <v>511970000</v>
      </c>
      <c r="DU22" s="3">
        <v>0</v>
      </c>
      <c r="DV22" s="3">
        <v>27834000</v>
      </c>
      <c r="DW22" s="3">
        <v>539804000</v>
      </c>
      <c r="DX22" s="3">
        <v>0</v>
      </c>
      <c r="DY22" s="3">
        <v>509767718</v>
      </c>
      <c r="DZ22" s="3">
        <v>0</v>
      </c>
      <c r="EA22" s="3">
        <v>27911990</v>
      </c>
      <c r="EB22" s="3">
        <v>537679708</v>
      </c>
      <c r="EC22" s="3">
        <v>0</v>
      </c>
      <c r="ED22" s="3">
        <v>509767718</v>
      </c>
      <c r="EE22" s="3">
        <v>0</v>
      </c>
      <c r="EF22" s="3">
        <v>27911990</v>
      </c>
      <c r="EG22" s="3">
        <v>537679708</v>
      </c>
      <c r="EH22" s="3">
        <v>0</v>
      </c>
      <c r="EI22" s="3">
        <v>499048802.81999999</v>
      </c>
      <c r="EJ22" s="3">
        <v>0</v>
      </c>
      <c r="EK22" s="3">
        <v>26827079.549999997</v>
      </c>
      <c r="EL22" s="3">
        <v>525875882.37000006</v>
      </c>
      <c r="EM22" s="3">
        <v>0</v>
      </c>
      <c r="EN22" s="3">
        <v>419491251.18000001</v>
      </c>
      <c r="EO22" s="3">
        <v>0</v>
      </c>
      <c r="EP22" s="3">
        <v>21739560.060000002</v>
      </c>
      <c r="EQ22" s="3">
        <v>441230811.23999995</v>
      </c>
      <c r="ER22" s="3">
        <v>0</v>
      </c>
      <c r="ES22" s="3">
        <v>476520000</v>
      </c>
      <c r="ET22" s="3">
        <v>0</v>
      </c>
      <c r="EU22" s="3">
        <v>27834000</v>
      </c>
      <c r="EV22" s="3">
        <v>504354000</v>
      </c>
      <c r="EW22" s="3">
        <v>0</v>
      </c>
      <c r="EX22" s="3">
        <v>476520000</v>
      </c>
      <c r="EY22" s="3">
        <v>0</v>
      </c>
      <c r="EZ22" s="3">
        <v>27834000</v>
      </c>
      <c r="FA22" s="3">
        <v>504354000</v>
      </c>
      <c r="FB22" s="3">
        <v>0</v>
      </c>
      <c r="FC22" s="3">
        <v>476520000</v>
      </c>
      <c r="FD22" s="3">
        <v>0</v>
      </c>
      <c r="FE22" s="3">
        <v>27834000</v>
      </c>
      <c r="FF22" s="3">
        <v>504354000</v>
      </c>
      <c r="FG22" s="3">
        <v>0</v>
      </c>
      <c r="FH22" s="3">
        <v>473146210</v>
      </c>
      <c r="FI22" s="3">
        <v>0</v>
      </c>
      <c r="FJ22" s="3">
        <v>27834000</v>
      </c>
      <c r="FK22" s="3">
        <v>500980210</v>
      </c>
      <c r="FL22" s="3">
        <v>0</v>
      </c>
      <c r="FM22" s="3">
        <v>473146210</v>
      </c>
      <c r="FN22" s="3">
        <v>0</v>
      </c>
      <c r="FO22" s="3">
        <v>27834000</v>
      </c>
      <c r="FP22" s="3">
        <v>500980210</v>
      </c>
      <c r="FQ22" s="3">
        <v>0</v>
      </c>
      <c r="FR22" s="3">
        <v>469476936.04000002</v>
      </c>
      <c r="FS22" s="3">
        <v>0</v>
      </c>
      <c r="FT22" s="3">
        <v>26754094.609999999</v>
      </c>
      <c r="FU22" s="3">
        <v>496231030.64999998</v>
      </c>
      <c r="FV22" s="3">
        <v>0</v>
      </c>
      <c r="FW22" s="3">
        <v>438159368.06999999</v>
      </c>
      <c r="FX22" s="3">
        <v>0</v>
      </c>
      <c r="FY22" s="3">
        <v>22908172.890000001</v>
      </c>
      <c r="FZ22" s="3">
        <v>461067540.95999998</v>
      </c>
      <c r="GA22" s="3">
        <v>0</v>
      </c>
      <c r="GB22" s="3">
        <v>656172000</v>
      </c>
      <c r="GC22" s="3">
        <v>0</v>
      </c>
      <c r="GD22" s="3">
        <v>39595000</v>
      </c>
      <c r="GE22" s="3">
        <v>695767000</v>
      </c>
      <c r="GF22" s="3">
        <v>0</v>
      </c>
      <c r="GG22" s="3">
        <v>656000000</v>
      </c>
      <c r="GH22" s="3">
        <v>0</v>
      </c>
      <c r="GI22" s="3">
        <v>36095000</v>
      </c>
      <c r="GJ22" s="3">
        <v>692095000</v>
      </c>
      <c r="GK22" s="3">
        <v>0</v>
      </c>
      <c r="GL22" s="3">
        <v>656000000</v>
      </c>
      <c r="GM22" s="3">
        <v>0</v>
      </c>
      <c r="GN22" s="3">
        <v>36095000</v>
      </c>
      <c r="GO22" s="3">
        <v>692095000</v>
      </c>
      <c r="GP22" s="3">
        <v>0</v>
      </c>
      <c r="GQ22" s="3">
        <v>645214330</v>
      </c>
      <c r="GR22" s="3">
        <v>0</v>
      </c>
      <c r="GS22" s="3">
        <v>36095000</v>
      </c>
      <c r="GT22" s="3">
        <v>681309330</v>
      </c>
      <c r="GU22" s="3">
        <v>0</v>
      </c>
      <c r="GV22" s="3">
        <v>645214330</v>
      </c>
      <c r="GW22" s="3">
        <v>0</v>
      </c>
      <c r="GX22" s="3">
        <v>36095000</v>
      </c>
      <c r="GY22" s="3">
        <v>681309330</v>
      </c>
      <c r="GZ22" s="3">
        <v>0</v>
      </c>
      <c r="HA22" s="3">
        <v>637599118.24000001</v>
      </c>
      <c r="HB22" s="3">
        <v>0</v>
      </c>
      <c r="HC22" s="3">
        <v>31673514.690000001</v>
      </c>
      <c r="HD22" s="3">
        <v>669272632.92999995</v>
      </c>
      <c r="HE22" s="3">
        <v>0</v>
      </c>
      <c r="HF22" s="3">
        <v>604753815.19000006</v>
      </c>
      <c r="HG22" s="3">
        <v>0</v>
      </c>
      <c r="HH22" s="3">
        <v>23490198.859999999</v>
      </c>
      <c r="HI22" s="3">
        <v>628244014.04999995</v>
      </c>
      <c r="HJ22" s="3">
        <v>0</v>
      </c>
      <c r="HK22" s="3">
        <v>607859000</v>
      </c>
      <c r="HL22" s="3">
        <v>0</v>
      </c>
      <c r="HM22" s="3">
        <v>18968000</v>
      </c>
      <c r="HN22" s="3">
        <v>626827000</v>
      </c>
      <c r="HO22" s="3">
        <v>0</v>
      </c>
      <c r="HP22" s="3">
        <v>590129000</v>
      </c>
      <c r="HQ22" s="3">
        <v>0</v>
      </c>
      <c r="HR22" s="3">
        <v>18968000</v>
      </c>
      <c r="HS22" s="3">
        <v>609097000</v>
      </c>
      <c r="HT22" s="3">
        <v>0</v>
      </c>
      <c r="HU22" s="3">
        <v>590129000</v>
      </c>
      <c r="HV22" s="3">
        <v>0</v>
      </c>
      <c r="HW22" s="3">
        <v>18968000</v>
      </c>
      <c r="HX22" s="3">
        <v>609097000</v>
      </c>
      <c r="HY22" s="3">
        <v>0</v>
      </c>
      <c r="HZ22" s="3">
        <v>590064000</v>
      </c>
      <c r="IA22" s="3">
        <v>0</v>
      </c>
      <c r="IB22" s="3">
        <v>18968000</v>
      </c>
      <c r="IC22" s="3">
        <v>609032000</v>
      </c>
      <c r="ID22" s="3">
        <v>0</v>
      </c>
      <c r="IE22" s="3">
        <v>590064000</v>
      </c>
      <c r="IF22" s="3">
        <v>0</v>
      </c>
      <c r="IG22" s="3">
        <v>18968000</v>
      </c>
      <c r="IH22" s="3">
        <v>609032000</v>
      </c>
      <c r="II22" s="6">
        <v>0</v>
      </c>
      <c r="IJ22" s="6">
        <v>557998502.58000004</v>
      </c>
      <c r="IK22" s="6">
        <v>0</v>
      </c>
      <c r="IL22" s="6">
        <v>15791608.689999999</v>
      </c>
      <c r="IM22" s="6">
        <v>573790111.26999998</v>
      </c>
      <c r="IN22" s="3">
        <v>0</v>
      </c>
      <c r="IO22" s="3">
        <v>512363156.74000001</v>
      </c>
      <c r="IP22" s="3">
        <v>0</v>
      </c>
      <c r="IQ22" s="3">
        <v>13216878.560000001</v>
      </c>
      <c r="IR22" s="6">
        <v>525580035.30000001</v>
      </c>
      <c r="IS22" s="3">
        <v>0</v>
      </c>
      <c r="IT22" s="3">
        <v>746324000</v>
      </c>
      <c r="IU22" s="3">
        <v>0</v>
      </c>
      <c r="IV22" s="3">
        <v>87428000</v>
      </c>
      <c r="IW22" s="3">
        <v>833752000</v>
      </c>
      <c r="IX22" s="3">
        <v>0</v>
      </c>
      <c r="IY22" s="3">
        <v>899324000</v>
      </c>
      <c r="IZ22" s="3">
        <v>0</v>
      </c>
      <c r="JA22" s="3">
        <v>87428000</v>
      </c>
      <c r="JB22" s="3">
        <v>986752000</v>
      </c>
      <c r="JC22" s="3">
        <v>0</v>
      </c>
      <c r="JD22" s="3">
        <v>899324000</v>
      </c>
      <c r="JE22" s="3">
        <v>0</v>
      </c>
      <c r="JF22" s="3">
        <v>87428000</v>
      </c>
      <c r="JG22" s="3">
        <v>986752000</v>
      </c>
      <c r="JH22" s="3">
        <v>0</v>
      </c>
      <c r="JI22" s="3">
        <v>899244000</v>
      </c>
      <c r="JJ22" s="3">
        <v>0</v>
      </c>
      <c r="JK22" s="3">
        <v>87428000</v>
      </c>
      <c r="JL22" s="3">
        <v>986672000</v>
      </c>
      <c r="JM22" s="3">
        <v>0</v>
      </c>
      <c r="JN22" s="3">
        <v>899244000</v>
      </c>
      <c r="JO22" s="3">
        <v>0</v>
      </c>
      <c r="JP22" s="3">
        <v>87428000</v>
      </c>
      <c r="JQ22" s="3">
        <v>986672000</v>
      </c>
      <c r="JR22" s="3">
        <v>0</v>
      </c>
      <c r="JS22" s="3">
        <v>847125686.28999996</v>
      </c>
      <c r="JT22" s="3">
        <v>0</v>
      </c>
      <c r="JU22" s="3">
        <v>73729380.590000004</v>
      </c>
      <c r="JV22" s="3">
        <v>920855066.88</v>
      </c>
      <c r="JW22" s="3">
        <v>0</v>
      </c>
      <c r="JX22" s="3">
        <v>666913457.94000006</v>
      </c>
      <c r="JY22" s="3">
        <v>0</v>
      </c>
      <c r="JZ22" s="3">
        <v>42189341.710000001</v>
      </c>
      <c r="KA22" s="3">
        <v>709102799.64999998</v>
      </c>
      <c r="KB22" s="3">
        <v>0</v>
      </c>
      <c r="KC22" s="3">
        <v>803031000</v>
      </c>
      <c r="KD22" s="3">
        <v>0</v>
      </c>
      <c r="KE22" s="3">
        <v>450000</v>
      </c>
      <c r="KF22" s="3">
        <v>803481000</v>
      </c>
      <c r="KG22" s="3">
        <v>0</v>
      </c>
      <c r="KH22" s="3">
        <v>1015031000</v>
      </c>
      <c r="KI22" s="3">
        <v>0</v>
      </c>
      <c r="KJ22" s="3">
        <v>450000</v>
      </c>
      <c r="KK22" s="3">
        <v>1015481000</v>
      </c>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v>0</v>
      </c>
      <c r="LL22" s="3">
        <v>920673000</v>
      </c>
      <c r="LM22">
        <v>0</v>
      </c>
      <c r="LN22" s="3">
        <v>1500000</v>
      </c>
      <c r="LO22" s="3">
        <v>922173000</v>
      </c>
    </row>
    <row r="23" spans="1:327" x14ac:dyDescent="0.25">
      <c r="A23" t="s">
        <v>943</v>
      </c>
      <c r="B23" t="s">
        <v>944</v>
      </c>
      <c r="C23" t="s">
        <v>199</v>
      </c>
      <c r="D23" t="s">
        <v>200</v>
      </c>
      <c r="E23" t="s">
        <v>217</v>
      </c>
      <c r="F23" t="s">
        <v>949</v>
      </c>
      <c r="G23" t="s">
        <v>1041</v>
      </c>
      <c r="H23" s="3">
        <v>0</v>
      </c>
      <c r="I23" s="3">
        <v>85150000</v>
      </c>
      <c r="J23" s="3">
        <v>0</v>
      </c>
      <c r="K23" s="3">
        <v>37315000</v>
      </c>
      <c r="L23" s="3">
        <v>122465000</v>
      </c>
      <c r="M23" s="3">
        <v>0</v>
      </c>
      <c r="N23" s="3">
        <v>85150000</v>
      </c>
      <c r="O23" s="3">
        <v>0</v>
      </c>
      <c r="P23" s="3">
        <v>37315000</v>
      </c>
      <c r="Q23" s="3">
        <v>122465000</v>
      </c>
      <c r="R23" s="3">
        <v>0</v>
      </c>
      <c r="S23" s="3">
        <v>85150000</v>
      </c>
      <c r="T23" s="3">
        <v>0</v>
      </c>
      <c r="U23" s="3">
        <v>37315000</v>
      </c>
      <c r="V23" s="3">
        <v>122465000</v>
      </c>
      <c r="W23" s="3">
        <v>0</v>
      </c>
      <c r="X23" s="3">
        <v>85069312</v>
      </c>
      <c r="Y23" s="3">
        <v>0</v>
      </c>
      <c r="Z23" s="3">
        <v>37315000</v>
      </c>
      <c r="AA23" s="3">
        <v>122384312</v>
      </c>
      <c r="AB23" s="3">
        <v>0</v>
      </c>
      <c r="AC23" s="3">
        <v>85069312</v>
      </c>
      <c r="AD23" s="3">
        <v>0</v>
      </c>
      <c r="AE23" s="3">
        <v>37315000</v>
      </c>
      <c r="AF23" s="3">
        <v>122384312</v>
      </c>
      <c r="AG23" s="3">
        <v>0</v>
      </c>
      <c r="AH23" s="3">
        <v>83232370.74000001</v>
      </c>
      <c r="AI23" s="3">
        <v>0</v>
      </c>
      <c r="AJ23" s="3">
        <v>37044311.920000002</v>
      </c>
      <c r="AK23" s="3">
        <v>120276682.66000001</v>
      </c>
      <c r="AL23" s="3">
        <v>0</v>
      </c>
      <c r="AM23" s="3">
        <v>77516905.540000007</v>
      </c>
      <c r="AN23" s="3">
        <v>0</v>
      </c>
      <c r="AO23" s="3">
        <v>28505164.440000001</v>
      </c>
      <c r="AP23" s="3">
        <v>106022069.98</v>
      </c>
      <c r="AQ23" s="3">
        <v>0</v>
      </c>
      <c r="AR23" s="3">
        <v>77494000</v>
      </c>
      <c r="AS23" s="3">
        <v>0</v>
      </c>
      <c r="AT23" s="3">
        <v>18094000</v>
      </c>
      <c r="AU23" s="3">
        <v>95588000</v>
      </c>
      <c r="AV23" s="3">
        <v>0</v>
      </c>
      <c r="AW23" s="3">
        <v>77494000</v>
      </c>
      <c r="AX23" s="3">
        <v>0</v>
      </c>
      <c r="AY23" s="3">
        <v>18094000</v>
      </c>
      <c r="AZ23" s="3">
        <v>95588000</v>
      </c>
      <c r="BA23" s="3">
        <v>0</v>
      </c>
      <c r="BB23" s="3">
        <v>77494000</v>
      </c>
      <c r="BC23" s="3">
        <v>0</v>
      </c>
      <c r="BD23" s="3">
        <v>18094000</v>
      </c>
      <c r="BE23" s="3">
        <v>95588000</v>
      </c>
      <c r="BF23" s="3">
        <v>0</v>
      </c>
      <c r="BG23" s="3">
        <v>77169610</v>
      </c>
      <c r="BH23" s="3">
        <v>0</v>
      </c>
      <c r="BI23" s="3">
        <v>18094000</v>
      </c>
      <c r="BJ23" s="3">
        <v>95263610</v>
      </c>
      <c r="BK23" s="3">
        <v>0</v>
      </c>
      <c r="BL23" s="3">
        <v>77169610</v>
      </c>
      <c r="BM23" s="3">
        <v>0</v>
      </c>
      <c r="BN23" s="3">
        <v>18094000</v>
      </c>
      <c r="BO23" s="3">
        <v>95263610</v>
      </c>
      <c r="BP23" s="3">
        <v>0</v>
      </c>
      <c r="BQ23" s="3">
        <v>75458253.469999999</v>
      </c>
      <c r="BR23" s="3">
        <v>0</v>
      </c>
      <c r="BS23" s="3">
        <v>17367173.579999998</v>
      </c>
      <c r="BT23" s="3">
        <v>92825427.049999997</v>
      </c>
      <c r="BU23" s="3">
        <v>0</v>
      </c>
      <c r="BV23" s="3">
        <v>69430433.269999996</v>
      </c>
      <c r="BW23" s="3">
        <v>0</v>
      </c>
      <c r="BX23" s="3">
        <v>11613599.949999999</v>
      </c>
      <c r="BY23" s="3">
        <v>81044033.219999999</v>
      </c>
      <c r="BZ23" s="3">
        <v>0</v>
      </c>
      <c r="CA23" s="3">
        <v>91093000</v>
      </c>
      <c r="CB23" s="3">
        <v>0</v>
      </c>
      <c r="CC23" s="3">
        <v>15563000</v>
      </c>
      <c r="CD23" s="3">
        <v>106656000</v>
      </c>
      <c r="CE23" s="3">
        <v>0</v>
      </c>
      <c r="CF23" s="3">
        <v>89764000</v>
      </c>
      <c r="CG23" s="3">
        <v>0</v>
      </c>
      <c r="CH23" s="3">
        <v>15413000</v>
      </c>
      <c r="CI23" s="3">
        <v>105177000</v>
      </c>
      <c r="CJ23" s="3">
        <v>0</v>
      </c>
      <c r="CK23" s="3">
        <v>89764000</v>
      </c>
      <c r="CL23" s="3">
        <v>0</v>
      </c>
      <c r="CM23" s="3">
        <v>15413000</v>
      </c>
      <c r="CN23" s="3">
        <v>105177000</v>
      </c>
      <c r="CO23" s="3">
        <v>0</v>
      </c>
      <c r="CP23" s="3">
        <v>84712346</v>
      </c>
      <c r="CQ23" s="3">
        <v>0</v>
      </c>
      <c r="CR23" s="3">
        <v>8951955</v>
      </c>
      <c r="CS23" s="3">
        <v>93664301</v>
      </c>
      <c r="CT23" s="3">
        <v>0</v>
      </c>
      <c r="CU23" s="3">
        <v>84712346</v>
      </c>
      <c r="CV23" s="3">
        <v>0</v>
      </c>
      <c r="CW23" s="3">
        <v>8951955</v>
      </c>
      <c r="CX23" s="3">
        <v>93664301</v>
      </c>
      <c r="CY23" s="3">
        <v>0</v>
      </c>
      <c r="CZ23" s="3">
        <v>83466717.74000001</v>
      </c>
      <c r="DA23" s="3">
        <v>0</v>
      </c>
      <c r="DB23" s="3">
        <v>8712102.3399999999</v>
      </c>
      <c r="DC23" s="3">
        <v>92178820.080000013</v>
      </c>
      <c r="DD23" s="3">
        <v>0</v>
      </c>
      <c r="DE23" s="3">
        <v>72911219.150000006</v>
      </c>
      <c r="DF23" s="3">
        <v>0</v>
      </c>
      <c r="DG23" s="3">
        <v>5549257.6399999997</v>
      </c>
      <c r="DH23" s="10">
        <v>78460476.790000007</v>
      </c>
      <c r="DI23" s="3">
        <v>0</v>
      </c>
      <c r="DJ23" s="3">
        <v>71482000</v>
      </c>
      <c r="DK23" s="3">
        <v>0</v>
      </c>
      <c r="DL23" s="3">
        <v>23293000</v>
      </c>
      <c r="DM23" s="3">
        <v>94775000</v>
      </c>
      <c r="DN23" s="3">
        <v>0</v>
      </c>
      <c r="DO23" s="3">
        <v>61358000</v>
      </c>
      <c r="DP23" s="3">
        <v>0</v>
      </c>
      <c r="DQ23" s="3">
        <v>23293000</v>
      </c>
      <c r="DR23" s="3">
        <v>84651000</v>
      </c>
      <c r="DS23" s="3">
        <v>0</v>
      </c>
      <c r="DT23" s="3">
        <v>61358000</v>
      </c>
      <c r="DU23" s="3">
        <v>0</v>
      </c>
      <c r="DV23" s="3">
        <v>23293000</v>
      </c>
      <c r="DW23" s="3">
        <v>84651000</v>
      </c>
      <c r="DX23" s="3">
        <v>0</v>
      </c>
      <c r="DY23" s="3">
        <v>59754890</v>
      </c>
      <c r="DZ23" s="3">
        <v>0</v>
      </c>
      <c r="EA23" s="3">
        <v>23293000</v>
      </c>
      <c r="EB23" s="3">
        <v>83047890</v>
      </c>
      <c r="EC23" s="3">
        <v>0</v>
      </c>
      <c r="ED23" s="3">
        <v>59754890</v>
      </c>
      <c r="EE23" s="3">
        <v>0</v>
      </c>
      <c r="EF23" s="3">
        <v>23293000</v>
      </c>
      <c r="EG23" s="3">
        <v>83047890</v>
      </c>
      <c r="EH23" s="3">
        <v>0</v>
      </c>
      <c r="EI23" s="3">
        <v>59135609.329999998</v>
      </c>
      <c r="EJ23" s="3">
        <v>0</v>
      </c>
      <c r="EK23" s="3">
        <v>22790407.280000001</v>
      </c>
      <c r="EL23" s="3">
        <v>81926016.609999999</v>
      </c>
      <c r="EM23" s="3">
        <v>0</v>
      </c>
      <c r="EN23" s="3">
        <v>52535864.890000001</v>
      </c>
      <c r="EO23" s="3">
        <v>0</v>
      </c>
      <c r="EP23" s="3">
        <v>13684085.590000002</v>
      </c>
      <c r="EQ23" s="3">
        <v>66219950.480000004</v>
      </c>
      <c r="ER23" s="3">
        <v>0</v>
      </c>
      <c r="ES23" s="3">
        <v>79968000</v>
      </c>
      <c r="ET23" s="3">
        <v>0</v>
      </c>
      <c r="EU23" s="3">
        <v>21919000</v>
      </c>
      <c r="EV23" s="3">
        <v>101887000</v>
      </c>
      <c r="EW23" s="3">
        <v>0</v>
      </c>
      <c r="EX23" s="3">
        <v>79968000</v>
      </c>
      <c r="EY23" s="3">
        <v>0</v>
      </c>
      <c r="EZ23" s="3">
        <v>21919000</v>
      </c>
      <c r="FA23" s="3">
        <v>101887000</v>
      </c>
      <c r="FB23" s="3">
        <v>0</v>
      </c>
      <c r="FC23" s="3">
        <v>79968000</v>
      </c>
      <c r="FD23" s="3">
        <v>0</v>
      </c>
      <c r="FE23" s="3">
        <v>21919000</v>
      </c>
      <c r="FF23" s="3">
        <v>101887000</v>
      </c>
      <c r="FG23" s="3">
        <v>0</v>
      </c>
      <c r="FH23" s="3">
        <v>80425638</v>
      </c>
      <c r="FI23" s="3">
        <v>0</v>
      </c>
      <c r="FJ23" s="3">
        <v>20929778</v>
      </c>
      <c r="FK23" s="3">
        <v>101355416</v>
      </c>
      <c r="FL23" s="3">
        <v>0</v>
      </c>
      <c r="FM23" s="3">
        <v>80425638</v>
      </c>
      <c r="FN23" s="3">
        <v>0</v>
      </c>
      <c r="FO23" s="3">
        <v>20929778</v>
      </c>
      <c r="FP23" s="3">
        <v>101355416</v>
      </c>
      <c r="FQ23" s="3">
        <v>0</v>
      </c>
      <c r="FR23" s="3">
        <v>79370938.489999995</v>
      </c>
      <c r="FS23" s="3">
        <v>0</v>
      </c>
      <c r="FT23" s="3">
        <v>20648508.109999999</v>
      </c>
      <c r="FU23" s="3">
        <v>100019446.59999999</v>
      </c>
      <c r="FV23" s="3">
        <v>0</v>
      </c>
      <c r="FW23" s="3">
        <v>74644452.390000001</v>
      </c>
      <c r="FX23" s="3">
        <v>0</v>
      </c>
      <c r="FY23" s="3">
        <v>14901641.6</v>
      </c>
      <c r="FZ23" s="3">
        <v>89546093.989999995</v>
      </c>
      <c r="GA23" s="3">
        <v>0</v>
      </c>
      <c r="GB23" s="3">
        <v>134970000</v>
      </c>
      <c r="GC23" s="3">
        <v>0</v>
      </c>
      <c r="GD23" s="3">
        <v>115030000</v>
      </c>
      <c r="GE23" s="3">
        <v>250000000</v>
      </c>
      <c r="GF23" s="3">
        <v>0</v>
      </c>
      <c r="GG23" s="3">
        <v>129438000</v>
      </c>
      <c r="GH23" s="3">
        <v>0</v>
      </c>
      <c r="GI23" s="3">
        <v>120562000</v>
      </c>
      <c r="GJ23" s="3">
        <v>250000000</v>
      </c>
      <c r="GK23" s="3">
        <v>0</v>
      </c>
      <c r="GL23" s="3">
        <v>129438000</v>
      </c>
      <c r="GM23" s="3">
        <v>0</v>
      </c>
      <c r="GN23" s="3">
        <v>120562000</v>
      </c>
      <c r="GO23" s="3">
        <v>250000000</v>
      </c>
      <c r="GP23" s="3">
        <v>0</v>
      </c>
      <c r="GQ23" s="3">
        <v>128912504</v>
      </c>
      <c r="GR23" s="3">
        <v>0</v>
      </c>
      <c r="GS23" s="3">
        <v>120562000</v>
      </c>
      <c r="GT23" s="3">
        <v>249474504</v>
      </c>
      <c r="GU23" s="3">
        <v>0</v>
      </c>
      <c r="GV23" s="3">
        <v>128912504</v>
      </c>
      <c r="GW23" s="3">
        <v>0</v>
      </c>
      <c r="GX23" s="3">
        <v>120562000</v>
      </c>
      <c r="GY23" s="3">
        <v>249474504</v>
      </c>
      <c r="GZ23" s="3">
        <v>0</v>
      </c>
      <c r="HA23" s="3">
        <v>122539989.93000001</v>
      </c>
      <c r="HB23" s="3">
        <v>0</v>
      </c>
      <c r="HC23" s="3">
        <v>107979105.78</v>
      </c>
      <c r="HD23" s="3">
        <v>230519095.71000001</v>
      </c>
      <c r="HE23" s="3">
        <v>0</v>
      </c>
      <c r="HF23" s="3">
        <v>109681101.15000001</v>
      </c>
      <c r="HG23" s="3">
        <v>0</v>
      </c>
      <c r="HH23" s="3">
        <v>82955442.040000007</v>
      </c>
      <c r="HI23" s="3">
        <v>192636543.19</v>
      </c>
      <c r="HJ23" s="3">
        <v>0</v>
      </c>
      <c r="HK23" s="3">
        <v>141055000</v>
      </c>
      <c r="HL23" s="3">
        <v>0</v>
      </c>
      <c r="HM23" s="3">
        <v>115030000</v>
      </c>
      <c r="HN23" s="3">
        <v>256085000</v>
      </c>
      <c r="HO23" s="3">
        <v>0</v>
      </c>
      <c r="HP23" s="3">
        <v>144365000</v>
      </c>
      <c r="HQ23" s="3">
        <v>0</v>
      </c>
      <c r="HR23" s="3">
        <v>129030000</v>
      </c>
      <c r="HS23" s="3">
        <v>273395000</v>
      </c>
      <c r="HT23" s="3">
        <v>0</v>
      </c>
      <c r="HU23" s="3">
        <v>144365000</v>
      </c>
      <c r="HV23" s="3">
        <v>0</v>
      </c>
      <c r="HW23" s="3">
        <v>129030000</v>
      </c>
      <c r="HX23" s="3">
        <v>273395000</v>
      </c>
      <c r="HY23" s="3">
        <v>0</v>
      </c>
      <c r="HZ23" s="3">
        <v>144037115</v>
      </c>
      <c r="IA23" s="3">
        <v>0</v>
      </c>
      <c r="IB23" s="3">
        <v>129030000</v>
      </c>
      <c r="IC23" s="3">
        <v>273067115</v>
      </c>
      <c r="ID23" s="3">
        <v>0</v>
      </c>
      <c r="IE23" s="3">
        <v>144037115</v>
      </c>
      <c r="IF23" s="3">
        <v>0</v>
      </c>
      <c r="IG23" s="3">
        <v>129030000</v>
      </c>
      <c r="IH23" s="3">
        <v>273067115</v>
      </c>
      <c r="II23" s="6">
        <v>0</v>
      </c>
      <c r="IJ23" s="6">
        <v>135406339.97999999</v>
      </c>
      <c r="IK23" s="6">
        <v>0</v>
      </c>
      <c r="IL23" s="6">
        <v>99832182.879999995</v>
      </c>
      <c r="IM23" s="6">
        <v>235238522.86000001</v>
      </c>
      <c r="IN23" s="3">
        <v>0</v>
      </c>
      <c r="IO23" s="3">
        <v>113510281.02</v>
      </c>
      <c r="IP23" s="3">
        <v>0</v>
      </c>
      <c r="IQ23" s="3">
        <v>66051858.789999999</v>
      </c>
      <c r="IR23" s="6">
        <v>179562139.81</v>
      </c>
      <c r="IS23" s="3">
        <v>0</v>
      </c>
      <c r="IT23" s="3">
        <v>184422000</v>
      </c>
      <c r="IU23" s="3">
        <v>0</v>
      </c>
      <c r="IV23" s="3">
        <v>109259000</v>
      </c>
      <c r="IW23" s="3">
        <v>293681000</v>
      </c>
      <c r="IX23" s="3">
        <v>0</v>
      </c>
      <c r="IY23" s="3">
        <v>184422000</v>
      </c>
      <c r="IZ23" s="3">
        <v>0</v>
      </c>
      <c r="JA23" s="3">
        <v>109259000</v>
      </c>
      <c r="JB23" s="3">
        <v>293681000</v>
      </c>
      <c r="JC23" s="3">
        <v>0</v>
      </c>
      <c r="JD23" s="3">
        <v>184422000</v>
      </c>
      <c r="JE23" s="3">
        <v>0</v>
      </c>
      <c r="JF23" s="3">
        <v>109259000</v>
      </c>
      <c r="JG23" s="3">
        <v>293681000</v>
      </c>
      <c r="JH23" s="3">
        <v>0</v>
      </c>
      <c r="JI23" s="3">
        <v>184392000</v>
      </c>
      <c r="JJ23" s="3">
        <v>0</v>
      </c>
      <c r="JK23" s="3">
        <v>109259000</v>
      </c>
      <c r="JL23" s="3">
        <v>293651000</v>
      </c>
      <c r="JM23" s="3">
        <v>0</v>
      </c>
      <c r="JN23" s="3">
        <v>184392000</v>
      </c>
      <c r="JO23" s="3">
        <v>0</v>
      </c>
      <c r="JP23" s="3">
        <v>109259000</v>
      </c>
      <c r="JQ23" s="3">
        <v>293651000</v>
      </c>
      <c r="JR23" s="3">
        <v>0</v>
      </c>
      <c r="JS23" s="3">
        <v>168001730.31999999</v>
      </c>
      <c r="JT23" s="3">
        <v>0</v>
      </c>
      <c r="JU23" s="3">
        <v>94920617.239999995</v>
      </c>
      <c r="JV23" s="3">
        <v>262922347.56</v>
      </c>
      <c r="JW23" s="3">
        <v>0</v>
      </c>
      <c r="JX23" s="3">
        <v>141129309.47999999</v>
      </c>
      <c r="JY23" s="3">
        <v>0</v>
      </c>
      <c r="JZ23" s="3">
        <v>59006235.880000003</v>
      </c>
      <c r="KA23" s="3">
        <v>200135545.36000001</v>
      </c>
      <c r="KB23" s="3">
        <v>0</v>
      </c>
      <c r="KC23" s="3">
        <v>192800000</v>
      </c>
      <c r="KD23" s="3">
        <v>0</v>
      </c>
      <c r="KE23" s="3">
        <v>87910000</v>
      </c>
      <c r="KF23" s="3">
        <v>280710000</v>
      </c>
      <c r="KG23" s="3">
        <v>0</v>
      </c>
      <c r="KH23" s="3">
        <v>192800000</v>
      </c>
      <c r="KI23" s="3">
        <v>0</v>
      </c>
      <c r="KJ23" s="3">
        <v>87910000</v>
      </c>
      <c r="KK23" s="3">
        <v>280710000</v>
      </c>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v>0</v>
      </c>
      <c r="LL23" s="3">
        <v>219773000</v>
      </c>
      <c r="LM23">
        <v>0</v>
      </c>
      <c r="LN23" s="3">
        <v>116850000</v>
      </c>
      <c r="LO23" s="3">
        <v>336623000</v>
      </c>
    </row>
    <row r="24" spans="1:327" x14ac:dyDescent="0.25">
      <c r="A24" t="s">
        <v>943</v>
      </c>
      <c r="B24" t="s">
        <v>944</v>
      </c>
      <c r="C24" t="s">
        <v>199</v>
      </c>
      <c r="D24" t="s">
        <v>200</v>
      </c>
      <c r="E24" t="s">
        <v>217</v>
      </c>
      <c r="F24" t="s">
        <v>950</v>
      </c>
      <c r="G24" t="s">
        <v>1042</v>
      </c>
      <c r="H24" s="3">
        <v>472913000</v>
      </c>
      <c r="I24" s="3">
        <v>112397000</v>
      </c>
      <c r="J24" s="3">
        <v>0</v>
      </c>
      <c r="K24" s="3">
        <v>0</v>
      </c>
      <c r="L24" s="3">
        <v>585310000</v>
      </c>
      <c r="M24" s="3">
        <v>472913000</v>
      </c>
      <c r="N24" s="3">
        <v>112397000</v>
      </c>
      <c r="O24" s="3">
        <v>0</v>
      </c>
      <c r="P24" s="3">
        <v>0</v>
      </c>
      <c r="Q24" s="3">
        <v>585310000</v>
      </c>
      <c r="R24" s="3">
        <v>472913000</v>
      </c>
      <c r="S24" s="3">
        <v>112397000</v>
      </c>
      <c r="T24" s="3">
        <v>0</v>
      </c>
      <c r="U24" s="3">
        <v>0</v>
      </c>
      <c r="V24" s="3">
        <v>585310000</v>
      </c>
      <c r="W24" s="3">
        <v>471975218</v>
      </c>
      <c r="X24" s="3">
        <v>107368291</v>
      </c>
      <c r="Y24" s="3">
        <v>0</v>
      </c>
      <c r="Z24" s="3">
        <v>0</v>
      </c>
      <c r="AA24" s="3">
        <v>579343509</v>
      </c>
      <c r="AB24" s="3">
        <v>471975218</v>
      </c>
      <c r="AC24" s="3">
        <v>107368291</v>
      </c>
      <c r="AD24" s="3">
        <v>0</v>
      </c>
      <c r="AE24" s="3">
        <v>0</v>
      </c>
      <c r="AF24" s="3">
        <v>579343509</v>
      </c>
      <c r="AG24" s="3">
        <v>471099816.58999997</v>
      </c>
      <c r="AH24" s="3">
        <v>103986905.59999999</v>
      </c>
      <c r="AI24" s="3">
        <v>0</v>
      </c>
      <c r="AJ24" s="3">
        <v>0</v>
      </c>
      <c r="AK24" s="3">
        <v>575086722.19000006</v>
      </c>
      <c r="AL24" s="3">
        <v>469701190.04000002</v>
      </c>
      <c r="AM24" s="3">
        <v>84630440.5</v>
      </c>
      <c r="AN24" s="3">
        <v>0</v>
      </c>
      <c r="AO24" s="3">
        <v>0</v>
      </c>
      <c r="AP24" s="3">
        <v>554331630.53999996</v>
      </c>
      <c r="AQ24" s="3">
        <v>308625000</v>
      </c>
      <c r="AR24" s="3">
        <v>88104000</v>
      </c>
      <c r="AS24" s="3">
        <v>0</v>
      </c>
      <c r="AT24" s="3">
        <v>0</v>
      </c>
      <c r="AU24" s="3">
        <v>396729000</v>
      </c>
      <c r="AV24" s="3">
        <v>308625000</v>
      </c>
      <c r="AW24" s="3">
        <v>97016000</v>
      </c>
      <c r="AX24" s="3">
        <v>0</v>
      </c>
      <c r="AY24" s="3">
        <v>0</v>
      </c>
      <c r="AZ24" s="3">
        <v>405641000</v>
      </c>
      <c r="BA24" s="3">
        <v>308625000</v>
      </c>
      <c r="BB24" s="3">
        <v>97016000</v>
      </c>
      <c r="BC24" s="3">
        <v>0</v>
      </c>
      <c r="BD24" s="3">
        <v>0</v>
      </c>
      <c r="BE24" s="3">
        <v>405641000</v>
      </c>
      <c r="BF24" s="3">
        <v>305500732.38999999</v>
      </c>
      <c r="BG24" s="3">
        <v>93392924</v>
      </c>
      <c r="BH24" s="3">
        <v>0</v>
      </c>
      <c r="BI24" s="3">
        <v>0</v>
      </c>
      <c r="BJ24" s="3">
        <v>398893656.38999999</v>
      </c>
      <c r="BK24" s="3">
        <v>305500732.38999999</v>
      </c>
      <c r="BL24" s="3">
        <v>93392924</v>
      </c>
      <c r="BM24" s="3">
        <v>0</v>
      </c>
      <c r="BN24" s="3">
        <v>0</v>
      </c>
      <c r="BO24" s="3">
        <v>398893656.38999999</v>
      </c>
      <c r="BP24" s="3">
        <v>305488493.36000001</v>
      </c>
      <c r="BQ24" s="3">
        <v>89435584.760000005</v>
      </c>
      <c r="BR24" s="3">
        <v>0</v>
      </c>
      <c r="BS24" s="3">
        <v>0</v>
      </c>
      <c r="BT24" s="3">
        <v>394924078.12</v>
      </c>
      <c r="BU24" s="3">
        <v>304147276.16000003</v>
      </c>
      <c r="BV24" s="3">
        <v>77335758.370000005</v>
      </c>
      <c r="BW24" s="3">
        <v>0</v>
      </c>
      <c r="BX24" s="3">
        <v>0</v>
      </c>
      <c r="BY24" s="3">
        <v>381483034.54000002</v>
      </c>
      <c r="BZ24" s="3">
        <v>333058000</v>
      </c>
      <c r="CA24" s="3">
        <v>100873000</v>
      </c>
      <c r="CB24" s="3">
        <v>0</v>
      </c>
      <c r="CC24" s="3">
        <v>0</v>
      </c>
      <c r="CD24" s="3">
        <v>433931000</v>
      </c>
      <c r="CE24" s="3">
        <v>333058000</v>
      </c>
      <c r="CF24" s="3">
        <v>100873000</v>
      </c>
      <c r="CG24" s="3">
        <v>0</v>
      </c>
      <c r="CH24" s="3">
        <v>0</v>
      </c>
      <c r="CI24" s="3">
        <v>433931000</v>
      </c>
      <c r="CJ24" s="3">
        <v>333058000</v>
      </c>
      <c r="CK24" s="3">
        <v>100873000</v>
      </c>
      <c r="CL24" s="3">
        <v>0</v>
      </c>
      <c r="CM24" s="3">
        <v>0</v>
      </c>
      <c r="CN24" s="3">
        <v>433931000</v>
      </c>
      <c r="CO24" s="3">
        <v>334194149</v>
      </c>
      <c r="CP24" s="3">
        <v>93362353</v>
      </c>
      <c r="CQ24" s="3">
        <v>0</v>
      </c>
      <c r="CR24" s="3">
        <v>0</v>
      </c>
      <c r="CS24" s="3">
        <v>427556502</v>
      </c>
      <c r="CT24" s="3">
        <v>334194149</v>
      </c>
      <c r="CU24" s="3">
        <v>93362353</v>
      </c>
      <c r="CV24" s="3">
        <v>0</v>
      </c>
      <c r="CW24" s="3">
        <v>0</v>
      </c>
      <c r="CX24" s="3">
        <v>427556502</v>
      </c>
      <c r="CY24" s="3">
        <v>334104736.92000002</v>
      </c>
      <c r="CZ24" s="3">
        <v>89323315.370000005</v>
      </c>
      <c r="DA24" s="3">
        <v>0</v>
      </c>
      <c r="DB24" s="3">
        <v>0</v>
      </c>
      <c r="DC24" s="3">
        <v>423428052.29000002</v>
      </c>
      <c r="DD24" s="3">
        <v>331941294.49000001</v>
      </c>
      <c r="DE24" s="3">
        <v>78437134.50999999</v>
      </c>
      <c r="DF24" s="3">
        <v>0</v>
      </c>
      <c r="DG24" s="3">
        <v>0</v>
      </c>
      <c r="DH24" s="10">
        <v>410378429</v>
      </c>
      <c r="DI24" s="3">
        <v>355989000</v>
      </c>
      <c r="DJ24" s="3">
        <v>88447000</v>
      </c>
      <c r="DK24" s="3">
        <v>0</v>
      </c>
      <c r="DL24" s="3">
        <v>0</v>
      </c>
      <c r="DM24" s="3">
        <v>444436000</v>
      </c>
      <c r="DN24" s="3">
        <v>355989000</v>
      </c>
      <c r="DO24" s="3">
        <v>88447000</v>
      </c>
      <c r="DP24" s="3">
        <v>0</v>
      </c>
      <c r="DQ24" s="3">
        <v>0</v>
      </c>
      <c r="DR24" s="3">
        <v>444436000</v>
      </c>
      <c r="DS24" s="3">
        <v>355989000</v>
      </c>
      <c r="DT24" s="3">
        <v>88447000</v>
      </c>
      <c r="DU24" s="3">
        <v>0</v>
      </c>
      <c r="DV24" s="3">
        <v>0</v>
      </c>
      <c r="DW24" s="3">
        <v>444436000</v>
      </c>
      <c r="DX24" s="3">
        <v>356314475.81</v>
      </c>
      <c r="DY24" s="3">
        <v>83797653</v>
      </c>
      <c r="DZ24" s="3">
        <v>0</v>
      </c>
      <c r="EA24" s="3">
        <v>0</v>
      </c>
      <c r="EB24" s="3">
        <v>440112128.81</v>
      </c>
      <c r="EC24" s="3">
        <v>356314475.81</v>
      </c>
      <c r="ED24" s="3">
        <v>83797653</v>
      </c>
      <c r="EE24" s="3">
        <v>0</v>
      </c>
      <c r="EF24" s="3">
        <v>0</v>
      </c>
      <c r="EG24" s="3">
        <v>440112128.81</v>
      </c>
      <c r="EH24" s="3">
        <v>356311974.97000003</v>
      </c>
      <c r="EI24" s="3">
        <v>82163203.180000007</v>
      </c>
      <c r="EJ24" s="3">
        <v>0</v>
      </c>
      <c r="EK24" s="3">
        <v>0</v>
      </c>
      <c r="EL24" s="3">
        <v>438475178.14999998</v>
      </c>
      <c r="EM24" s="3">
        <v>355473620.14000005</v>
      </c>
      <c r="EN24" s="3">
        <v>71109430.530000001</v>
      </c>
      <c r="EO24" s="3">
        <v>0</v>
      </c>
      <c r="EP24" s="3">
        <v>0</v>
      </c>
      <c r="EQ24" s="3">
        <v>426583050.67000002</v>
      </c>
      <c r="ER24" s="3">
        <v>255210000</v>
      </c>
      <c r="ES24" s="3">
        <v>88447000</v>
      </c>
      <c r="ET24" s="3">
        <v>0</v>
      </c>
      <c r="EU24" s="3">
        <v>0</v>
      </c>
      <c r="EV24" s="3">
        <v>343657000</v>
      </c>
      <c r="EW24" s="3">
        <v>255210000</v>
      </c>
      <c r="EX24" s="3">
        <v>88447000</v>
      </c>
      <c r="EY24" s="3">
        <v>0</v>
      </c>
      <c r="EZ24" s="3">
        <v>0</v>
      </c>
      <c r="FA24" s="3">
        <v>343657000</v>
      </c>
      <c r="FB24" s="3">
        <v>255210000</v>
      </c>
      <c r="FC24" s="3">
        <v>88447000</v>
      </c>
      <c r="FD24" s="3">
        <v>0</v>
      </c>
      <c r="FE24" s="3">
        <v>0</v>
      </c>
      <c r="FF24" s="3">
        <v>343657000</v>
      </c>
      <c r="FG24" s="3">
        <v>259081269.19</v>
      </c>
      <c r="FH24" s="3">
        <v>84164765.629999995</v>
      </c>
      <c r="FI24" s="3">
        <v>0</v>
      </c>
      <c r="FJ24" s="3">
        <v>0</v>
      </c>
      <c r="FK24" s="3">
        <v>343246034.81999999</v>
      </c>
      <c r="FL24" s="3">
        <v>259081269.19</v>
      </c>
      <c r="FM24" s="3">
        <v>84164765.629999995</v>
      </c>
      <c r="FN24" s="3">
        <v>0</v>
      </c>
      <c r="FO24" s="3">
        <v>0</v>
      </c>
      <c r="FP24" s="3">
        <v>343246034.81999999</v>
      </c>
      <c r="FQ24" s="3">
        <v>258994045.91</v>
      </c>
      <c r="FR24" s="3">
        <v>82603004.579999998</v>
      </c>
      <c r="FS24" s="3">
        <v>0</v>
      </c>
      <c r="FT24" s="3">
        <v>0</v>
      </c>
      <c r="FU24" s="3">
        <v>341597050.49000001</v>
      </c>
      <c r="FV24" s="3">
        <v>257736372.36000001</v>
      </c>
      <c r="FW24" s="3">
        <v>71302687.849999994</v>
      </c>
      <c r="FX24" s="3">
        <v>0</v>
      </c>
      <c r="FY24" s="3">
        <v>0</v>
      </c>
      <c r="FZ24" s="3">
        <v>329039060.20999998</v>
      </c>
      <c r="GA24" s="3">
        <v>260061000</v>
      </c>
      <c r="GB24" s="3">
        <v>248638000</v>
      </c>
      <c r="GC24" s="3">
        <v>0</v>
      </c>
      <c r="GD24" s="3">
        <v>16835000</v>
      </c>
      <c r="GE24" s="3">
        <v>525534000</v>
      </c>
      <c r="GF24" s="3">
        <v>260061000</v>
      </c>
      <c r="GG24" s="3">
        <v>331838000</v>
      </c>
      <c r="GH24" s="3">
        <v>0</v>
      </c>
      <c r="GI24" s="3">
        <v>28635000</v>
      </c>
      <c r="GJ24" s="3">
        <v>620534000</v>
      </c>
      <c r="GK24" s="3">
        <v>260061000</v>
      </c>
      <c r="GL24" s="3">
        <v>331838000</v>
      </c>
      <c r="GM24" s="3">
        <v>0</v>
      </c>
      <c r="GN24" s="3">
        <v>28635000</v>
      </c>
      <c r="GO24" s="3">
        <v>620534000</v>
      </c>
      <c r="GP24" s="3">
        <v>260504046.84</v>
      </c>
      <c r="GQ24" s="3">
        <v>317385211.13</v>
      </c>
      <c r="GR24" s="3">
        <v>0</v>
      </c>
      <c r="GS24" s="3">
        <v>28635000</v>
      </c>
      <c r="GT24" s="3">
        <v>606524257.97000003</v>
      </c>
      <c r="GU24" s="3">
        <v>260504046.84</v>
      </c>
      <c r="GV24" s="3">
        <v>317385211.13</v>
      </c>
      <c r="GW24" s="3">
        <v>0</v>
      </c>
      <c r="GX24" s="3">
        <v>28635000</v>
      </c>
      <c r="GY24" s="3">
        <v>606524257.97000003</v>
      </c>
      <c r="GZ24" s="3">
        <v>260006004.83000001</v>
      </c>
      <c r="HA24" s="3">
        <v>280467683.88999999</v>
      </c>
      <c r="HB24" s="3">
        <v>0</v>
      </c>
      <c r="HC24" s="3">
        <v>27634650.210000001</v>
      </c>
      <c r="HD24" s="3">
        <v>568108338.92999995</v>
      </c>
      <c r="HE24" s="3">
        <v>259528043.28</v>
      </c>
      <c r="HF24" s="3">
        <v>238274891.53</v>
      </c>
      <c r="HG24" s="3">
        <v>0</v>
      </c>
      <c r="HH24" s="3">
        <v>15410053.6</v>
      </c>
      <c r="HI24" s="3">
        <v>513212988.41000003</v>
      </c>
      <c r="HJ24" s="3">
        <v>268514000</v>
      </c>
      <c r="HK24" s="3">
        <v>617758000</v>
      </c>
      <c r="HL24" s="3">
        <v>0</v>
      </c>
      <c r="HM24" s="3">
        <v>23177000</v>
      </c>
      <c r="HN24" s="3">
        <v>909449000</v>
      </c>
      <c r="HO24" s="3">
        <v>268514000</v>
      </c>
      <c r="HP24" s="3">
        <v>875358000</v>
      </c>
      <c r="HQ24" s="3">
        <v>0</v>
      </c>
      <c r="HR24" s="3">
        <v>53077000</v>
      </c>
      <c r="HS24" s="3">
        <v>1196949000</v>
      </c>
      <c r="HT24" s="3">
        <v>268514000</v>
      </c>
      <c r="HU24" s="3">
        <v>875358000</v>
      </c>
      <c r="HV24" s="3">
        <v>0</v>
      </c>
      <c r="HW24" s="3">
        <v>53077000</v>
      </c>
      <c r="HX24" s="3">
        <v>1196949000</v>
      </c>
      <c r="HY24" s="3">
        <v>268978104.43000001</v>
      </c>
      <c r="HZ24" s="3">
        <v>860247292</v>
      </c>
      <c r="IA24" s="3">
        <v>0</v>
      </c>
      <c r="IB24" s="3">
        <v>53077000</v>
      </c>
      <c r="IC24" s="3">
        <v>1182302396.4300001</v>
      </c>
      <c r="ID24" s="3">
        <v>268978104.43000001</v>
      </c>
      <c r="IE24" s="3">
        <v>860247292</v>
      </c>
      <c r="IF24" s="3">
        <v>0</v>
      </c>
      <c r="IG24" s="3">
        <v>53077000</v>
      </c>
      <c r="IH24" s="3">
        <v>1182302396.4300001</v>
      </c>
      <c r="II24" s="6">
        <v>266887204.53999999</v>
      </c>
      <c r="IJ24" s="6">
        <v>669177605.27999997</v>
      </c>
      <c r="IK24" s="6">
        <v>0</v>
      </c>
      <c r="IL24" s="6">
        <v>27629976.140000001</v>
      </c>
      <c r="IM24" s="6">
        <v>963694785.96000004</v>
      </c>
      <c r="IN24" s="3">
        <v>262964760.21000001</v>
      </c>
      <c r="IO24" s="3">
        <v>469723794.74000001</v>
      </c>
      <c r="IP24" s="3">
        <v>0</v>
      </c>
      <c r="IQ24" s="3">
        <v>8476649.1400000006</v>
      </c>
      <c r="IR24" s="6">
        <v>741165204.09000003</v>
      </c>
      <c r="IS24" s="3">
        <v>266496000</v>
      </c>
      <c r="IT24" s="3">
        <v>743474000</v>
      </c>
      <c r="IU24" s="3">
        <v>0</v>
      </c>
      <c r="IV24" s="3">
        <v>20835000</v>
      </c>
      <c r="IW24" s="3">
        <v>1030805000</v>
      </c>
      <c r="IX24" s="3">
        <v>266496000</v>
      </c>
      <c r="IY24" s="3">
        <v>571726000</v>
      </c>
      <c r="IZ24" s="3">
        <v>0</v>
      </c>
      <c r="JA24" s="3">
        <v>20835000</v>
      </c>
      <c r="JB24" s="3">
        <v>859057000</v>
      </c>
      <c r="JC24" s="3">
        <v>266496000</v>
      </c>
      <c r="JD24" s="3">
        <v>571726000</v>
      </c>
      <c r="JE24" s="3">
        <v>0</v>
      </c>
      <c r="JF24" s="3">
        <v>20835000</v>
      </c>
      <c r="JG24" s="3">
        <v>859057000</v>
      </c>
      <c r="JH24" s="3">
        <v>264728161.72999999</v>
      </c>
      <c r="JI24" s="3">
        <v>545875863.01999998</v>
      </c>
      <c r="JJ24" s="3">
        <v>0</v>
      </c>
      <c r="JK24" s="3">
        <v>20835000</v>
      </c>
      <c r="JL24" s="3">
        <v>831439024.75</v>
      </c>
      <c r="JM24" s="3">
        <v>264728161.72999999</v>
      </c>
      <c r="JN24" s="3">
        <v>545875863.01999998</v>
      </c>
      <c r="JO24" s="3">
        <v>0</v>
      </c>
      <c r="JP24" s="3">
        <v>20835000</v>
      </c>
      <c r="JQ24" s="3">
        <v>831439024.75</v>
      </c>
      <c r="JR24" s="3">
        <v>263914848.86000001</v>
      </c>
      <c r="JS24" s="3">
        <v>486346775.47000003</v>
      </c>
      <c r="JT24" s="3">
        <v>0</v>
      </c>
      <c r="JU24" s="3">
        <v>20488635.829999998</v>
      </c>
      <c r="JV24" s="3">
        <v>770750260.15999997</v>
      </c>
      <c r="JW24" s="3">
        <v>259924815.28999999</v>
      </c>
      <c r="JX24" s="3">
        <v>353562973.48000002</v>
      </c>
      <c r="JY24" s="3">
        <v>0</v>
      </c>
      <c r="JZ24" s="3">
        <v>15835412.789999999</v>
      </c>
      <c r="KA24" s="3">
        <v>629323201.55999994</v>
      </c>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v>0</v>
      </c>
      <c r="LN24" s="3"/>
      <c r="LO24" s="3"/>
    </row>
    <row r="25" spans="1:327" x14ac:dyDescent="0.25">
      <c r="A25" t="s">
        <v>943</v>
      </c>
      <c r="B25" t="s">
        <v>944</v>
      </c>
      <c r="C25" t="s">
        <v>199</v>
      </c>
      <c r="D25" t="s">
        <v>200</v>
      </c>
      <c r="E25" t="s">
        <v>217</v>
      </c>
      <c r="F25" t="s">
        <v>951</v>
      </c>
      <c r="G25" t="s">
        <v>1043</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U25" s="3"/>
      <c r="BV25" s="3"/>
      <c r="BW25" s="3"/>
      <c r="BX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D25" s="3"/>
      <c r="DE25" s="3"/>
      <c r="DF25" s="3"/>
      <c r="DG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U25" s="3"/>
      <c r="GV25" s="3"/>
      <c r="GW25" s="3"/>
      <c r="GX25" s="3"/>
      <c r="GY25" s="3"/>
      <c r="GZ25" s="3"/>
      <c r="HA25" s="3"/>
      <c r="HB25" s="3"/>
      <c r="HC25" s="3"/>
      <c r="HE25" s="3"/>
      <c r="HF25" s="3"/>
      <c r="HG25" s="3"/>
      <c r="HH25" s="3"/>
      <c r="HJ25" s="3">
        <v>0</v>
      </c>
      <c r="HK25" s="3">
        <v>175000</v>
      </c>
      <c r="HL25" s="3">
        <v>0</v>
      </c>
      <c r="HM25" s="3">
        <v>1297000</v>
      </c>
      <c r="HN25" s="3">
        <v>1472000</v>
      </c>
      <c r="HO25" s="3">
        <v>0</v>
      </c>
      <c r="HP25" s="3">
        <v>175000</v>
      </c>
      <c r="HQ25" s="3">
        <v>0</v>
      </c>
      <c r="HR25" s="3">
        <v>1297000</v>
      </c>
      <c r="HS25" s="3">
        <v>1472000</v>
      </c>
      <c r="HT25" s="3">
        <v>0</v>
      </c>
      <c r="HU25" s="3">
        <v>175000</v>
      </c>
      <c r="HV25" s="3">
        <v>0</v>
      </c>
      <c r="HW25" s="3">
        <v>1297000</v>
      </c>
      <c r="HX25" s="3">
        <v>1472000</v>
      </c>
      <c r="HY25" s="3">
        <v>0</v>
      </c>
      <c r="HZ25" s="3">
        <v>175000</v>
      </c>
      <c r="IA25" s="3">
        <v>0</v>
      </c>
      <c r="IB25" s="3">
        <v>1297000</v>
      </c>
      <c r="IC25" s="3">
        <v>1472000</v>
      </c>
      <c r="ID25" s="3">
        <v>0</v>
      </c>
      <c r="IE25" s="3">
        <v>175000</v>
      </c>
      <c r="IF25" s="3">
        <v>0</v>
      </c>
      <c r="IG25" s="3">
        <v>1297000</v>
      </c>
      <c r="IH25" s="3">
        <v>1472000</v>
      </c>
      <c r="II25" s="6">
        <v>0</v>
      </c>
      <c r="IJ25" s="6">
        <v>0</v>
      </c>
      <c r="IK25" s="6">
        <v>0</v>
      </c>
      <c r="IL25" s="6">
        <v>568992</v>
      </c>
      <c r="IM25" s="6">
        <v>568992</v>
      </c>
      <c r="IN25" s="3">
        <v>0</v>
      </c>
      <c r="IO25" s="3">
        <v>0</v>
      </c>
      <c r="IP25" s="3">
        <v>0</v>
      </c>
      <c r="IQ25" s="6">
        <v>568992</v>
      </c>
      <c r="IR25" s="6">
        <v>568992</v>
      </c>
      <c r="IS25" s="3">
        <v>0</v>
      </c>
      <c r="IT25" s="3">
        <v>6465000</v>
      </c>
      <c r="IU25" s="3">
        <v>0</v>
      </c>
      <c r="IV25" s="3">
        <v>18510000</v>
      </c>
      <c r="IW25" s="3">
        <v>24975000</v>
      </c>
      <c r="IX25" s="3">
        <v>0</v>
      </c>
      <c r="IY25" s="3">
        <v>6465000</v>
      </c>
      <c r="IZ25" s="3">
        <v>0</v>
      </c>
      <c r="JA25" s="3">
        <v>17510000</v>
      </c>
      <c r="JB25" s="3">
        <v>23975000</v>
      </c>
      <c r="JC25" s="3">
        <v>0</v>
      </c>
      <c r="JD25" s="3">
        <v>6465000</v>
      </c>
      <c r="JE25" s="3">
        <v>0</v>
      </c>
      <c r="JF25" s="3">
        <v>17510000</v>
      </c>
      <c r="JG25" s="3">
        <v>23975000</v>
      </c>
      <c r="JH25" s="3">
        <v>0</v>
      </c>
      <c r="JI25" s="3">
        <v>6465000</v>
      </c>
      <c r="JJ25" s="3">
        <v>0</v>
      </c>
      <c r="JK25" s="3">
        <v>17510000</v>
      </c>
      <c r="JL25" s="3">
        <v>23975000</v>
      </c>
      <c r="JM25" s="3">
        <v>0</v>
      </c>
      <c r="JN25" s="3">
        <v>6465000</v>
      </c>
      <c r="JO25" s="3">
        <v>0</v>
      </c>
      <c r="JP25" s="3">
        <v>17510000</v>
      </c>
      <c r="JQ25" s="3">
        <v>23975000</v>
      </c>
      <c r="JR25" s="3">
        <v>0</v>
      </c>
      <c r="JS25" s="3">
        <v>4863130.43</v>
      </c>
      <c r="JT25" s="3">
        <v>0</v>
      </c>
      <c r="JU25" s="3">
        <v>9824350</v>
      </c>
      <c r="JV25" s="3">
        <v>14687480.43</v>
      </c>
      <c r="JW25" s="3">
        <v>0</v>
      </c>
      <c r="JX25" s="3">
        <v>3179238.65</v>
      </c>
      <c r="JY25" s="3">
        <v>0</v>
      </c>
      <c r="JZ25" s="3">
        <v>4602300</v>
      </c>
      <c r="KA25" s="3">
        <v>7781538.6500000004</v>
      </c>
      <c r="KB25" s="3">
        <v>0</v>
      </c>
      <c r="KC25" s="3">
        <v>3089000</v>
      </c>
      <c r="KD25" s="3">
        <v>0</v>
      </c>
      <c r="KE25" s="3">
        <v>9301000</v>
      </c>
      <c r="KF25" s="3">
        <v>12390000</v>
      </c>
      <c r="KG25" s="3">
        <v>0</v>
      </c>
      <c r="KH25" s="3">
        <v>3089000</v>
      </c>
      <c r="KI25" s="3">
        <v>0</v>
      </c>
      <c r="KJ25" s="3">
        <v>9301000</v>
      </c>
      <c r="KK25" s="3">
        <v>12390000</v>
      </c>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v>0</v>
      </c>
      <c r="LL25" s="3">
        <v>731000</v>
      </c>
      <c r="LM25">
        <v>0</v>
      </c>
      <c r="LN25" s="3">
        <v>2743000</v>
      </c>
      <c r="LO25" s="3">
        <v>3474000</v>
      </c>
    </row>
    <row r="26" spans="1:327" x14ac:dyDescent="0.25">
      <c r="A26" t="s">
        <v>943</v>
      </c>
      <c r="B26" t="s">
        <v>944</v>
      </c>
      <c r="C26" t="s">
        <v>199</v>
      </c>
      <c r="D26" t="s">
        <v>200</v>
      </c>
      <c r="E26" t="s">
        <v>217</v>
      </c>
      <c r="F26" t="s">
        <v>952</v>
      </c>
      <c r="G26" t="s">
        <v>1044</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U26" s="3"/>
      <c r="BV26" s="3"/>
      <c r="BW26" s="3"/>
      <c r="BX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D26" s="3"/>
      <c r="DE26" s="3"/>
      <c r="DF26" s="3"/>
      <c r="DG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v>0</v>
      </c>
      <c r="GB26" s="3">
        <v>75417000</v>
      </c>
      <c r="GC26" s="3">
        <v>0</v>
      </c>
      <c r="GD26" s="3">
        <v>22109000</v>
      </c>
      <c r="GE26" s="3">
        <v>97526000</v>
      </c>
      <c r="GF26" s="3">
        <v>0</v>
      </c>
      <c r="GG26" s="3">
        <v>51371000</v>
      </c>
      <c r="GH26" s="3">
        <v>0</v>
      </c>
      <c r="GI26" s="3">
        <v>14392000</v>
      </c>
      <c r="GJ26" s="3">
        <v>65763000</v>
      </c>
      <c r="GK26" s="3">
        <v>0</v>
      </c>
      <c r="GL26" s="3">
        <v>51371000</v>
      </c>
      <c r="GM26" s="3">
        <v>0</v>
      </c>
      <c r="GN26" s="3">
        <v>14392000</v>
      </c>
      <c r="GO26" s="3">
        <v>65763000</v>
      </c>
      <c r="GP26" s="3">
        <v>0</v>
      </c>
      <c r="GQ26" s="3">
        <v>51209605</v>
      </c>
      <c r="GR26" s="3">
        <v>0</v>
      </c>
      <c r="GS26" s="3">
        <v>14392000</v>
      </c>
      <c r="GT26" s="3">
        <v>65601605</v>
      </c>
      <c r="GU26" s="3">
        <v>0</v>
      </c>
      <c r="GV26" s="3">
        <v>51209605</v>
      </c>
      <c r="GW26" s="3">
        <v>0</v>
      </c>
      <c r="GX26" s="3">
        <v>14392000</v>
      </c>
      <c r="GY26" s="3">
        <v>65601605</v>
      </c>
      <c r="GZ26" s="3">
        <v>0</v>
      </c>
      <c r="HA26" s="3">
        <v>49741894.210000001</v>
      </c>
      <c r="HB26" s="3">
        <v>0</v>
      </c>
      <c r="HC26" s="3">
        <v>14192016.289999999</v>
      </c>
      <c r="HD26" s="3">
        <v>63933910.5</v>
      </c>
      <c r="HE26" s="3">
        <v>0</v>
      </c>
      <c r="HF26" s="3">
        <v>46947837.560000002</v>
      </c>
      <c r="HG26" s="3">
        <v>0</v>
      </c>
      <c r="HH26" s="3">
        <v>6566228.4400000004</v>
      </c>
      <c r="HI26" s="3">
        <v>53514066</v>
      </c>
      <c r="HJ26" s="3">
        <v>0</v>
      </c>
      <c r="HK26" s="3">
        <v>147576000</v>
      </c>
      <c r="HL26" s="3">
        <v>0</v>
      </c>
      <c r="HM26" s="3">
        <v>48052000</v>
      </c>
      <c r="HN26" s="3">
        <v>195628000</v>
      </c>
      <c r="HO26" s="3">
        <v>0</v>
      </c>
      <c r="HP26" s="3">
        <v>136103000</v>
      </c>
      <c r="HQ26" s="3">
        <v>0</v>
      </c>
      <c r="HR26" s="3">
        <v>43652000</v>
      </c>
      <c r="HS26" s="3">
        <v>179755000</v>
      </c>
      <c r="HT26" s="3">
        <v>0</v>
      </c>
      <c r="HU26" s="3">
        <v>136103000</v>
      </c>
      <c r="HV26" s="3">
        <v>0</v>
      </c>
      <c r="HW26" s="3">
        <v>43652000</v>
      </c>
      <c r="HX26" s="3">
        <v>179755000</v>
      </c>
      <c r="HY26" s="3">
        <v>0</v>
      </c>
      <c r="HZ26" s="3">
        <v>136103000</v>
      </c>
      <c r="IA26" s="3">
        <v>0</v>
      </c>
      <c r="IB26" s="3">
        <v>43652000</v>
      </c>
      <c r="IC26" s="3">
        <v>179755000</v>
      </c>
      <c r="ID26" s="3">
        <v>0</v>
      </c>
      <c r="IE26" s="3">
        <v>136103000</v>
      </c>
      <c r="IF26" s="3">
        <v>0</v>
      </c>
      <c r="IG26" s="3">
        <v>43652000</v>
      </c>
      <c r="IH26" s="3">
        <v>179755000</v>
      </c>
      <c r="II26" s="6">
        <v>0</v>
      </c>
      <c r="IJ26" s="6">
        <v>128753067</v>
      </c>
      <c r="IK26" s="6">
        <v>0</v>
      </c>
      <c r="IL26" s="6">
        <v>40285646.840000004</v>
      </c>
      <c r="IM26" s="6">
        <v>169038713.84</v>
      </c>
      <c r="IN26" s="3">
        <v>0</v>
      </c>
      <c r="IO26" s="3">
        <v>110957604.23999999</v>
      </c>
      <c r="IP26" s="3">
        <v>0</v>
      </c>
      <c r="IQ26" s="3">
        <v>27746539.199999999</v>
      </c>
      <c r="IR26" s="6">
        <v>138704143.44</v>
      </c>
      <c r="IS26" s="3">
        <v>0</v>
      </c>
      <c r="IT26" s="3">
        <v>178154000</v>
      </c>
      <c r="IU26" s="3">
        <v>0</v>
      </c>
      <c r="IV26" s="3">
        <v>28517000</v>
      </c>
      <c r="IW26" s="3">
        <v>206671000</v>
      </c>
      <c r="IX26" s="3">
        <v>0</v>
      </c>
      <c r="IY26" s="3">
        <v>178154000</v>
      </c>
      <c r="IZ26" s="3">
        <v>0</v>
      </c>
      <c r="JA26" s="3">
        <v>28517000</v>
      </c>
      <c r="JB26" s="3">
        <v>206671000</v>
      </c>
      <c r="JC26" s="3">
        <v>0</v>
      </c>
      <c r="JD26" s="3">
        <v>178154000</v>
      </c>
      <c r="JE26" s="3">
        <v>0</v>
      </c>
      <c r="JF26" s="3">
        <v>28517000</v>
      </c>
      <c r="JG26" s="3">
        <v>206671000</v>
      </c>
      <c r="JH26" s="3">
        <v>0</v>
      </c>
      <c r="JI26" s="3">
        <v>178154000</v>
      </c>
      <c r="JJ26" s="3">
        <v>0</v>
      </c>
      <c r="JK26" s="3">
        <v>28517000</v>
      </c>
      <c r="JL26" s="3">
        <v>206671000</v>
      </c>
      <c r="JM26" s="3">
        <v>0</v>
      </c>
      <c r="JN26" s="3">
        <v>178154000</v>
      </c>
      <c r="JO26" s="3">
        <v>0</v>
      </c>
      <c r="JP26" s="3">
        <v>28517000</v>
      </c>
      <c r="JQ26" s="3">
        <v>206671000</v>
      </c>
      <c r="JR26" s="3">
        <v>0</v>
      </c>
      <c r="JS26" s="3">
        <v>169280490.38999999</v>
      </c>
      <c r="JT26" s="3">
        <v>0</v>
      </c>
      <c r="JU26" s="3">
        <v>23001234.920000002</v>
      </c>
      <c r="JV26" s="3">
        <v>192281725.31</v>
      </c>
      <c r="JW26" s="3">
        <v>0</v>
      </c>
      <c r="JX26" s="3">
        <v>148435058.61000001</v>
      </c>
      <c r="JY26" s="3">
        <v>0</v>
      </c>
      <c r="JZ26" s="3">
        <v>13473432.619999999</v>
      </c>
      <c r="KA26" s="3">
        <v>161908491.22999999</v>
      </c>
      <c r="KB26" s="3">
        <v>0</v>
      </c>
      <c r="KC26" s="3">
        <v>128534000</v>
      </c>
      <c r="KD26" s="3">
        <v>0</v>
      </c>
      <c r="KE26" s="3">
        <v>4299000</v>
      </c>
      <c r="KF26" s="3">
        <v>132833000</v>
      </c>
      <c r="KG26" s="3">
        <v>0</v>
      </c>
      <c r="KH26" s="3">
        <v>128534000</v>
      </c>
      <c r="KI26" s="3">
        <v>0</v>
      </c>
      <c r="KJ26" s="3">
        <v>4299000</v>
      </c>
      <c r="KK26" s="3">
        <v>132833000</v>
      </c>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v>0</v>
      </c>
      <c r="LL26" s="3">
        <v>88813000</v>
      </c>
      <c r="LM26">
        <v>0</v>
      </c>
      <c r="LN26" s="3">
        <v>0</v>
      </c>
      <c r="LO26" s="3">
        <v>88813000</v>
      </c>
    </row>
    <row r="27" spans="1:327" x14ac:dyDescent="0.25">
      <c r="A27" t="s">
        <v>943</v>
      </c>
      <c r="B27" t="s">
        <v>944</v>
      </c>
      <c r="C27" t="s">
        <v>199</v>
      </c>
      <c r="D27" t="s">
        <v>200</v>
      </c>
      <c r="E27" t="s">
        <v>217</v>
      </c>
      <c r="F27" s="4" t="s">
        <v>725</v>
      </c>
      <c r="G27" t="s">
        <v>1101</v>
      </c>
      <c r="H27" s="3">
        <v>0</v>
      </c>
      <c r="I27" s="3">
        <v>19632000</v>
      </c>
      <c r="J27" s="3">
        <v>0</v>
      </c>
      <c r="K27" s="3">
        <v>5286000</v>
      </c>
      <c r="L27" s="3">
        <v>24918000</v>
      </c>
      <c r="M27" s="3">
        <v>0</v>
      </c>
      <c r="N27" s="3">
        <v>19632000</v>
      </c>
      <c r="O27" s="3">
        <v>0</v>
      </c>
      <c r="P27" s="3">
        <v>5286000</v>
      </c>
      <c r="Q27" s="3">
        <v>24918000</v>
      </c>
      <c r="R27" s="3">
        <v>0</v>
      </c>
      <c r="S27" s="3">
        <v>19632000</v>
      </c>
      <c r="T27" s="3">
        <v>0</v>
      </c>
      <c r="U27" s="3">
        <v>5286000</v>
      </c>
      <c r="V27" s="3">
        <v>24918000</v>
      </c>
      <c r="W27" s="3">
        <v>0</v>
      </c>
      <c r="X27" s="3">
        <v>19460434</v>
      </c>
      <c r="Y27" s="3">
        <v>0</v>
      </c>
      <c r="Z27" s="3">
        <v>5286000</v>
      </c>
      <c r="AA27" s="3">
        <v>24746434</v>
      </c>
      <c r="AB27" s="3">
        <v>0</v>
      </c>
      <c r="AC27" s="3">
        <v>19460434</v>
      </c>
      <c r="AD27" s="3">
        <v>0</v>
      </c>
      <c r="AE27" s="3">
        <v>5286000</v>
      </c>
      <c r="AF27" s="3">
        <v>24746434</v>
      </c>
      <c r="AG27" s="3">
        <v>0</v>
      </c>
      <c r="AH27" s="3">
        <v>18981407.600000001</v>
      </c>
      <c r="AI27" s="3">
        <v>0</v>
      </c>
      <c r="AJ27" s="3">
        <v>5285898.0199999996</v>
      </c>
      <c r="AK27" s="3">
        <v>24267305.620000001</v>
      </c>
      <c r="AL27" s="3">
        <v>0</v>
      </c>
      <c r="AM27" s="3">
        <v>13879272.23</v>
      </c>
      <c r="AN27" s="3">
        <v>0</v>
      </c>
      <c r="AO27" s="3">
        <v>4785907.9800000004</v>
      </c>
      <c r="AP27" s="3">
        <v>18665180.210000001</v>
      </c>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U27" s="3"/>
      <c r="BV27" s="3"/>
      <c r="BW27" s="3"/>
      <c r="BX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D27" s="3"/>
      <c r="DE27" s="3"/>
      <c r="DF27" s="3"/>
      <c r="DG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U27" s="3"/>
      <c r="GV27" s="3"/>
      <c r="GW27" s="3"/>
      <c r="GX27" s="3"/>
      <c r="GY27" s="3"/>
      <c r="GZ27" s="3"/>
      <c r="HA27" s="3"/>
      <c r="HB27" s="3"/>
      <c r="HC27" s="3"/>
      <c r="HE27" s="3"/>
      <c r="HF27" s="3"/>
      <c r="HG27" s="3"/>
      <c r="HH27" s="3"/>
      <c r="HJ27" s="3"/>
      <c r="HK27" s="3"/>
      <c r="HL27" s="3"/>
      <c r="HM27" s="3"/>
      <c r="HN27" s="3"/>
      <c r="HO27" s="3"/>
      <c r="HP27" s="3"/>
      <c r="HQ27" s="3"/>
      <c r="HR27" s="3"/>
      <c r="HS27" s="3"/>
      <c r="HT27" s="3"/>
      <c r="HU27" s="3"/>
      <c r="HV27" s="3"/>
      <c r="HW27" s="3"/>
      <c r="HX27" s="3"/>
      <c r="HY27" s="3"/>
      <c r="HZ27" s="3"/>
      <c r="IA27" s="3"/>
      <c r="IB27" s="3"/>
      <c r="ID27" s="3"/>
      <c r="IE27" s="3"/>
      <c r="IF27" s="3"/>
      <c r="IG27" s="3"/>
      <c r="IR27" s="5"/>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row>
    <row r="28" spans="1:327" x14ac:dyDescent="0.25">
      <c r="A28" t="s">
        <v>943</v>
      </c>
      <c r="B28" t="s">
        <v>944</v>
      </c>
      <c r="C28" t="s">
        <v>199</v>
      </c>
      <c r="D28" t="s">
        <v>200</v>
      </c>
      <c r="E28" t="s">
        <v>217</v>
      </c>
      <c r="F28" s="4" t="s">
        <v>976</v>
      </c>
      <c r="G28" t="s">
        <v>1102</v>
      </c>
      <c r="H28" s="3">
        <v>0</v>
      </c>
      <c r="I28" s="3">
        <v>9880000</v>
      </c>
      <c r="J28" s="3">
        <v>0</v>
      </c>
      <c r="K28" s="3">
        <v>0</v>
      </c>
      <c r="L28" s="3">
        <v>9880000</v>
      </c>
      <c r="M28" s="3">
        <v>0</v>
      </c>
      <c r="N28" s="3">
        <v>9880000</v>
      </c>
      <c r="O28" s="3">
        <v>0</v>
      </c>
      <c r="P28" s="3">
        <v>0</v>
      </c>
      <c r="Q28" s="3">
        <v>9880000</v>
      </c>
      <c r="R28" s="3">
        <v>0</v>
      </c>
      <c r="S28" s="3">
        <v>9880000</v>
      </c>
      <c r="T28" s="3">
        <v>0</v>
      </c>
      <c r="U28" s="3">
        <v>0</v>
      </c>
      <c r="V28" s="3">
        <v>9880000</v>
      </c>
      <c r="W28" s="3">
        <v>0</v>
      </c>
      <c r="X28" s="3">
        <v>9786359</v>
      </c>
      <c r="Y28" s="3">
        <v>0</v>
      </c>
      <c r="Z28" s="3">
        <v>0</v>
      </c>
      <c r="AA28" s="3">
        <v>9786359</v>
      </c>
      <c r="AB28" s="3">
        <v>0</v>
      </c>
      <c r="AC28" s="3">
        <v>9786359</v>
      </c>
      <c r="AD28" s="3">
        <v>0</v>
      </c>
      <c r="AE28" s="3">
        <v>0</v>
      </c>
      <c r="AF28" s="3">
        <v>9786359</v>
      </c>
      <c r="AG28" s="3">
        <v>0</v>
      </c>
      <c r="AH28" s="3">
        <v>9529920.8300000001</v>
      </c>
      <c r="AI28" s="3">
        <v>0</v>
      </c>
      <c r="AJ28" s="3">
        <v>0</v>
      </c>
      <c r="AK28" s="3">
        <v>9529920.8300000001</v>
      </c>
      <c r="AL28" s="3">
        <v>0</v>
      </c>
      <c r="AM28" s="3">
        <v>6995876.0800000001</v>
      </c>
      <c r="AN28" s="3">
        <v>0</v>
      </c>
      <c r="AO28" s="3">
        <v>0</v>
      </c>
      <c r="AP28" s="3">
        <v>6995876.0800000001</v>
      </c>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U28" s="3"/>
      <c r="BV28" s="3"/>
      <c r="BW28" s="3"/>
      <c r="BX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D28" s="3"/>
      <c r="DE28" s="3"/>
      <c r="DF28" s="3"/>
      <c r="DG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U28" s="3"/>
      <c r="GV28" s="3"/>
      <c r="GW28" s="3"/>
      <c r="GX28" s="3"/>
      <c r="GY28" s="3"/>
      <c r="GZ28" s="3"/>
      <c r="HA28" s="3"/>
      <c r="HB28" s="3"/>
      <c r="HC28" s="3"/>
      <c r="HE28" s="3"/>
      <c r="HF28" s="3"/>
      <c r="HG28" s="3"/>
      <c r="HH28" s="3"/>
      <c r="HJ28" s="3"/>
      <c r="HK28" s="3"/>
      <c r="HL28" s="3"/>
      <c r="HM28" s="3"/>
      <c r="HN28" s="3"/>
      <c r="HO28" s="3"/>
      <c r="HP28" s="3"/>
      <c r="HQ28" s="3"/>
      <c r="HR28" s="3"/>
      <c r="HS28" s="3"/>
      <c r="HT28" s="3"/>
      <c r="HU28" s="3"/>
      <c r="HV28" s="3"/>
      <c r="HW28" s="3"/>
      <c r="HX28" s="3"/>
      <c r="HY28" s="3"/>
      <c r="HZ28" s="3"/>
      <c r="IA28" s="3"/>
      <c r="IB28" s="3"/>
      <c r="ID28" s="3"/>
      <c r="IE28" s="3"/>
      <c r="IF28" s="3"/>
      <c r="IG28" s="3"/>
      <c r="IR28" s="5"/>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row>
    <row r="29" spans="1:327" x14ac:dyDescent="0.25">
      <c r="A29" t="s">
        <v>943</v>
      </c>
      <c r="B29" t="s">
        <v>944</v>
      </c>
      <c r="C29" t="s">
        <v>199</v>
      </c>
      <c r="D29" t="s">
        <v>200</v>
      </c>
      <c r="E29" t="s">
        <v>217</v>
      </c>
      <c r="F29" s="4" t="s">
        <v>1100</v>
      </c>
      <c r="G29" t="s">
        <v>1103</v>
      </c>
      <c r="H29" s="3">
        <v>0</v>
      </c>
      <c r="I29" s="3">
        <v>7133000</v>
      </c>
      <c r="J29" s="3">
        <v>0</v>
      </c>
      <c r="K29" s="3">
        <v>135000</v>
      </c>
      <c r="L29" s="3">
        <v>7268000</v>
      </c>
      <c r="M29" s="3">
        <v>0</v>
      </c>
      <c r="N29" s="3">
        <v>7133000</v>
      </c>
      <c r="O29" s="3">
        <v>0</v>
      </c>
      <c r="P29" s="3">
        <v>135000</v>
      </c>
      <c r="Q29" s="3">
        <v>7268000</v>
      </c>
      <c r="R29" s="3">
        <v>0</v>
      </c>
      <c r="S29" s="3">
        <v>7133000</v>
      </c>
      <c r="T29" s="3">
        <v>0</v>
      </c>
      <c r="U29" s="3">
        <v>135000</v>
      </c>
      <c r="V29" s="3">
        <v>7268000</v>
      </c>
      <c r="W29" s="3">
        <v>0</v>
      </c>
      <c r="X29" s="3">
        <v>7119807</v>
      </c>
      <c r="Y29" s="3">
        <v>0</v>
      </c>
      <c r="Z29" s="3">
        <v>135000</v>
      </c>
      <c r="AA29" s="3">
        <v>7254807</v>
      </c>
      <c r="AB29" s="3">
        <v>0</v>
      </c>
      <c r="AC29" s="3">
        <v>7119807</v>
      </c>
      <c r="AD29" s="3">
        <v>0</v>
      </c>
      <c r="AE29" s="3">
        <v>135000</v>
      </c>
      <c r="AF29" s="3">
        <v>7254807</v>
      </c>
      <c r="AG29" s="3">
        <v>0</v>
      </c>
      <c r="AH29" s="3">
        <v>7001894.4799999995</v>
      </c>
      <c r="AI29" s="3">
        <v>0</v>
      </c>
      <c r="AJ29" s="3">
        <v>135000</v>
      </c>
      <c r="AK29" s="3">
        <v>7136894.4799999995</v>
      </c>
      <c r="AL29" s="3">
        <v>0</v>
      </c>
      <c r="AM29" s="3">
        <v>4769104.21</v>
      </c>
      <c r="AN29" s="3">
        <v>0</v>
      </c>
      <c r="AO29" s="3">
        <v>134400</v>
      </c>
      <c r="AP29" s="3">
        <v>4903504.21</v>
      </c>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U29" s="3"/>
      <c r="BV29" s="3"/>
      <c r="BW29" s="3"/>
      <c r="BX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D29" s="3"/>
      <c r="DE29" s="3"/>
      <c r="DF29" s="3"/>
      <c r="DG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U29" s="3"/>
      <c r="GV29" s="3"/>
      <c r="GW29" s="3"/>
      <c r="GX29" s="3"/>
      <c r="GY29" s="3"/>
      <c r="GZ29" s="3"/>
      <c r="HA29" s="3"/>
      <c r="HB29" s="3"/>
      <c r="HC29" s="3"/>
      <c r="HE29" s="3"/>
      <c r="HF29" s="3"/>
      <c r="HG29" s="3"/>
      <c r="HH29" s="3"/>
      <c r="HJ29" s="3"/>
      <c r="HK29" s="3"/>
      <c r="HL29" s="3"/>
      <c r="HM29" s="3"/>
      <c r="HN29" s="3"/>
      <c r="HO29" s="3"/>
      <c r="HP29" s="3"/>
      <c r="HQ29" s="3"/>
      <c r="HR29" s="3"/>
      <c r="HS29" s="3"/>
      <c r="HT29" s="3"/>
      <c r="HU29" s="3"/>
      <c r="HV29" s="3"/>
      <c r="HW29" s="3"/>
      <c r="HX29" s="3"/>
      <c r="HY29" s="3"/>
      <c r="HZ29" s="3"/>
      <c r="IA29" s="3"/>
      <c r="IB29" s="3"/>
      <c r="ID29" s="3"/>
      <c r="IE29" s="3"/>
      <c r="IF29" s="3"/>
      <c r="IG29" s="3"/>
      <c r="IR29" s="5"/>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row>
    <row r="30" spans="1:327" x14ac:dyDescent="0.25">
      <c r="A30" t="s">
        <v>943</v>
      </c>
      <c r="B30" t="s">
        <v>944</v>
      </c>
      <c r="C30" t="s">
        <v>199</v>
      </c>
      <c r="D30" t="s">
        <v>200</v>
      </c>
      <c r="E30" t="s">
        <v>217</v>
      </c>
      <c r="F30" s="4" t="s">
        <v>1099</v>
      </c>
      <c r="G30" t="s">
        <v>1104</v>
      </c>
      <c r="H30" s="3">
        <v>0</v>
      </c>
      <c r="I30" s="3">
        <v>73461000</v>
      </c>
      <c r="J30" s="3">
        <v>0</v>
      </c>
      <c r="K30" s="3">
        <v>0</v>
      </c>
      <c r="L30" s="3">
        <v>73461000</v>
      </c>
      <c r="M30" s="3">
        <v>0</v>
      </c>
      <c r="N30" s="3">
        <v>73461000</v>
      </c>
      <c r="O30" s="3">
        <v>0</v>
      </c>
      <c r="P30" s="3">
        <v>0</v>
      </c>
      <c r="Q30" s="3">
        <v>73461000</v>
      </c>
      <c r="R30" s="3">
        <v>0</v>
      </c>
      <c r="S30" s="3">
        <v>73461000</v>
      </c>
      <c r="T30" s="3">
        <v>0</v>
      </c>
      <c r="U30" s="3">
        <v>0</v>
      </c>
      <c r="V30" s="3">
        <v>73461000</v>
      </c>
      <c r="W30" s="3">
        <v>0</v>
      </c>
      <c r="X30" s="3">
        <v>73025372</v>
      </c>
      <c r="Y30" s="3">
        <v>0</v>
      </c>
      <c r="Z30" s="3">
        <v>0</v>
      </c>
      <c r="AA30" s="3">
        <v>73025372</v>
      </c>
      <c r="AB30" s="3">
        <v>0</v>
      </c>
      <c r="AC30" s="3">
        <v>73025372</v>
      </c>
      <c r="AD30" s="3">
        <v>0</v>
      </c>
      <c r="AE30" s="3">
        <v>0</v>
      </c>
      <c r="AF30" s="3">
        <v>73025372</v>
      </c>
      <c r="AG30" s="3">
        <v>0</v>
      </c>
      <c r="AH30" s="3">
        <v>68090143.460000008</v>
      </c>
      <c r="AI30" s="3">
        <v>0</v>
      </c>
      <c r="AJ30" s="3">
        <v>0</v>
      </c>
      <c r="AK30" s="3">
        <v>68090143.460000008</v>
      </c>
      <c r="AL30" s="3">
        <v>0</v>
      </c>
      <c r="AM30" s="3">
        <v>52461125.32</v>
      </c>
      <c r="AN30" s="3">
        <v>0</v>
      </c>
      <c r="AO30" s="3">
        <v>0</v>
      </c>
      <c r="AP30" s="3">
        <v>52461125.32</v>
      </c>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U30" s="3"/>
      <c r="BV30" s="3"/>
      <c r="BW30" s="3"/>
      <c r="BX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D30" s="3"/>
      <c r="DE30" s="3"/>
      <c r="DF30" s="3"/>
      <c r="DG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U30" s="3"/>
      <c r="GV30" s="3"/>
      <c r="GW30" s="3"/>
      <c r="GX30" s="3"/>
      <c r="GY30" s="3"/>
      <c r="GZ30" s="3"/>
      <c r="HA30" s="3"/>
      <c r="HB30" s="3"/>
      <c r="HC30" s="3"/>
      <c r="HE30" s="3"/>
      <c r="HF30" s="3"/>
      <c r="HG30" s="3"/>
      <c r="HH30" s="3"/>
      <c r="HJ30" s="3"/>
      <c r="HK30" s="3"/>
      <c r="HL30" s="3"/>
      <c r="HM30" s="3"/>
      <c r="HN30" s="3"/>
      <c r="HO30" s="3"/>
      <c r="HP30" s="3"/>
      <c r="HQ30" s="3"/>
      <c r="HR30" s="3"/>
      <c r="HS30" s="3"/>
      <c r="HT30" s="3"/>
      <c r="HU30" s="3"/>
      <c r="HV30" s="3"/>
      <c r="HW30" s="3"/>
      <c r="HX30" s="3"/>
      <c r="HY30" s="3"/>
      <c r="HZ30" s="3"/>
      <c r="IA30" s="3"/>
      <c r="IB30" s="3"/>
      <c r="ID30" s="3"/>
      <c r="IE30" s="3"/>
      <c r="IF30" s="3"/>
      <c r="IG30" s="3"/>
      <c r="IR30" s="5"/>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row>
    <row r="31" spans="1:327" x14ac:dyDescent="0.25">
      <c r="A31" t="s">
        <v>943</v>
      </c>
      <c r="B31" t="s">
        <v>944</v>
      </c>
      <c r="C31" t="s">
        <v>199</v>
      </c>
      <c r="D31" t="s">
        <v>200</v>
      </c>
      <c r="E31" t="s">
        <v>217</v>
      </c>
      <c r="F31" s="4" t="s">
        <v>1098</v>
      </c>
      <c r="G31" t="s">
        <v>1105</v>
      </c>
      <c r="H31" s="3">
        <v>0</v>
      </c>
      <c r="I31" s="3">
        <v>70212000</v>
      </c>
      <c r="J31" s="3">
        <v>0</v>
      </c>
      <c r="K31" s="3">
        <v>1000000</v>
      </c>
      <c r="L31" s="3">
        <v>71212000</v>
      </c>
      <c r="M31" s="3">
        <v>0</v>
      </c>
      <c r="N31" s="3">
        <v>70212000</v>
      </c>
      <c r="O31" s="3">
        <v>0</v>
      </c>
      <c r="P31" s="3">
        <v>1000000</v>
      </c>
      <c r="Q31" s="3">
        <v>71212000</v>
      </c>
      <c r="R31" s="3">
        <v>0</v>
      </c>
      <c r="S31" s="3">
        <v>70212000</v>
      </c>
      <c r="T31" s="3">
        <v>0</v>
      </c>
      <c r="U31" s="3">
        <v>1000000</v>
      </c>
      <c r="V31" s="3">
        <v>71212000</v>
      </c>
      <c r="W31" s="3">
        <v>0</v>
      </c>
      <c r="X31" s="3">
        <v>69950000</v>
      </c>
      <c r="Y31" s="3">
        <v>0</v>
      </c>
      <c r="Z31" s="3">
        <v>1000000</v>
      </c>
      <c r="AA31" s="3">
        <v>70950000</v>
      </c>
      <c r="AB31" s="3">
        <v>0</v>
      </c>
      <c r="AC31" s="3">
        <v>69950000</v>
      </c>
      <c r="AD31" s="3">
        <v>0</v>
      </c>
      <c r="AE31" s="3">
        <v>1000000</v>
      </c>
      <c r="AF31" s="3">
        <v>70950000</v>
      </c>
      <c r="AG31" s="3">
        <v>0</v>
      </c>
      <c r="AH31" s="3">
        <v>58276896.920000002</v>
      </c>
      <c r="AI31" s="3">
        <v>0</v>
      </c>
      <c r="AJ31" s="3">
        <v>1000000</v>
      </c>
      <c r="AK31" s="3">
        <v>59276896.920000002</v>
      </c>
      <c r="AL31" s="3">
        <v>0</v>
      </c>
      <c r="AM31" s="3">
        <v>50593504.649999999</v>
      </c>
      <c r="AN31" s="3">
        <v>0</v>
      </c>
      <c r="AO31" s="3"/>
      <c r="AP31" s="3">
        <v>50593504.649999999</v>
      </c>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U31" s="3"/>
      <c r="BV31" s="3"/>
      <c r="BW31" s="3"/>
      <c r="BX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D31" s="3"/>
      <c r="DE31" s="3"/>
      <c r="DF31" s="3"/>
      <c r="DG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U31" s="3"/>
      <c r="GV31" s="3"/>
      <c r="GW31" s="3"/>
      <c r="GX31" s="3"/>
      <c r="GY31" s="3"/>
      <c r="GZ31" s="3"/>
      <c r="HA31" s="3"/>
      <c r="HB31" s="3"/>
      <c r="HC31" s="3"/>
      <c r="HE31" s="3"/>
      <c r="HF31" s="3"/>
      <c r="HG31" s="3"/>
      <c r="HH31" s="3"/>
      <c r="HJ31" s="3"/>
      <c r="HK31" s="3"/>
      <c r="HL31" s="3"/>
      <c r="HM31" s="3"/>
      <c r="HN31" s="3"/>
      <c r="HO31" s="3"/>
      <c r="HP31" s="3"/>
      <c r="HQ31" s="3"/>
      <c r="HR31" s="3"/>
      <c r="HS31" s="3"/>
      <c r="HT31" s="3"/>
      <c r="HU31" s="3"/>
      <c r="HV31" s="3"/>
      <c r="HW31" s="3"/>
      <c r="HX31" s="3"/>
      <c r="HY31" s="3"/>
      <c r="HZ31" s="3"/>
      <c r="IA31" s="3"/>
      <c r="IB31" s="3"/>
      <c r="ID31" s="3"/>
      <c r="IE31" s="3"/>
      <c r="IF31" s="3"/>
      <c r="IG31" s="3"/>
      <c r="IR31" s="5"/>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row>
    <row r="32" spans="1:327" x14ac:dyDescent="0.25">
      <c r="A32" t="s">
        <v>943</v>
      </c>
      <c r="B32" t="s">
        <v>944</v>
      </c>
      <c r="C32" t="s">
        <v>199</v>
      </c>
      <c r="D32" t="s">
        <v>200</v>
      </c>
      <c r="E32" t="s">
        <v>217</v>
      </c>
      <c r="F32" s="4" t="s">
        <v>1097</v>
      </c>
      <c r="G32" t="s">
        <v>1106</v>
      </c>
      <c r="H32" s="3">
        <v>52046000</v>
      </c>
      <c r="I32" s="3">
        <v>186533000</v>
      </c>
      <c r="J32" s="3">
        <v>0</v>
      </c>
      <c r="K32" s="3">
        <v>0</v>
      </c>
      <c r="L32" s="3">
        <v>238579000</v>
      </c>
      <c r="M32" s="3">
        <v>52046000</v>
      </c>
      <c r="N32" s="3">
        <v>186533000</v>
      </c>
      <c r="O32" s="3">
        <v>0</v>
      </c>
      <c r="P32" s="3">
        <v>0</v>
      </c>
      <c r="Q32" s="3">
        <v>238579000</v>
      </c>
      <c r="R32" s="3">
        <v>52046000</v>
      </c>
      <c r="S32" s="3">
        <v>186533000</v>
      </c>
      <c r="T32" s="3">
        <v>0</v>
      </c>
      <c r="U32" s="3">
        <v>0</v>
      </c>
      <c r="V32" s="3">
        <v>238579000</v>
      </c>
      <c r="W32" s="3">
        <v>52046000</v>
      </c>
      <c r="X32" s="3">
        <v>186157465</v>
      </c>
      <c r="Y32" s="3">
        <v>0</v>
      </c>
      <c r="Z32" s="3">
        <v>0</v>
      </c>
      <c r="AA32" s="3">
        <v>238203465</v>
      </c>
      <c r="AB32" s="3">
        <v>52046000</v>
      </c>
      <c r="AC32" s="3">
        <v>186157465</v>
      </c>
      <c r="AD32" s="3">
        <v>0</v>
      </c>
      <c r="AE32" s="3">
        <v>0</v>
      </c>
      <c r="AF32" s="3">
        <v>238203465</v>
      </c>
      <c r="AG32" s="3">
        <v>51994656.539999999</v>
      </c>
      <c r="AH32" s="3">
        <v>179825863.19999999</v>
      </c>
      <c r="AI32" s="3">
        <v>0</v>
      </c>
      <c r="AJ32" s="3">
        <v>0</v>
      </c>
      <c r="AK32" s="3">
        <v>231820519.74000001</v>
      </c>
      <c r="AL32" s="3">
        <v>50803021.280000001</v>
      </c>
      <c r="AM32" s="3">
        <v>142367079.47999999</v>
      </c>
      <c r="AN32" s="3">
        <v>0</v>
      </c>
      <c r="AO32" s="3">
        <v>0</v>
      </c>
      <c r="AP32" s="3">
        <v>193170100.75999999</v>
      </c>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U32" s="3"/>
      <c r="BV32" s="3"/>
      <c r="BW32" s="3"/>
      <c r="BX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D32" s="3"/>
      <c r="DE32" s="3"/>
      <c r="DF32" s="3"/>
      <c r="DG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U32" s="3"/>
      <c r="GV32" s="3"/>
      <c r="GW32" s="3"/>
      <c r="GX32" s="3"/>
      <c r="GY32" s="3"/>
      <c r="GZ32" s="3"/>
      <c r="HA32" s="3"/>
      <c r="HB32" s="3"/>
      <c r="HC32" s="3"/>
      <c r="HE32" s="3"/>
      <c r="HF32" s="3"/>
      <c r="HG32" s="3"/>
      <c r="HH32" s="3"/>
      <c r="HJ32" s="3"/>
      <c r="HK32" s="3"/>
      <c r="HL32" s="3"/>
      <c r="HM32" s="3"/>
      <c r="HN32" s="3"/>
      <c r="HO32" s="3"/>
      <c r="HP32" s="3"/>
      <c r="HQ32" s="3"/>
      <c r="HR32" s="3"/>
      <c r="HS32" s="3"/>
      <c r="HT32" s="3"/>
      <c r="HU32" s="3"/>
      <c r="HV32" s="3"/>
      <c r="HW32" s="3"/>
      <c r="HX32" s="3"/>
      <c r="HY32" s="3"/>
      <c r="HZ32" s="3"/>
      <c r="IA32" s="3"/>
      <c r="IB32" s="3"/>
      <c r="ID32" s="3"/>
      <c r="IE32" s="3"/>
      <c r="IF32" s="3"/>
      <c r="IG32" s="3"/>
      <c r="IR32" s="5"/>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row>
    <row r="33" spans="1:327" x14ac:dyDescent="0.25">
      <c r="A33" t="s">
        <v>943</v>
      </c>
      <c r="B33" t="s">
        <v>944</v>
      </c>
      <c r="C33" t="s">
        <v>199</v>
      </c>
      <c r="D33" t="s">
        <v>200</v>
      </c>
      <c r="E33" t="s">
        <v>217</v>
      </c>
      <c r="F33" t="s">
        <v>953</v>
      </c>
      <c r="G33" t="s">
        <v>1015</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v>96643000</v>
      </c>
      <c r="AR33" s="3">
        <v>260252000</v>
      </c>
      <c r="AS33" s="3">
        <v>0</v>
      </c>
      <c r="AT33" s="3">
        <v>150000</v>
      </c>
      <c r="AU33" s="3">
        <v>357045000</v>
      </c>
      <c r="AV33" s="3">
        <v>96643000</v>
      </c>
      <c r="AW33" s="3">
        <v>260252000</v>
      </c>
      <c r="AX33" s="3">
        <v>0</v>
      </c>
      <c r="AY33" s="3">
        <v>150000</v>
      </c>
      <c r="AZ33" s="3">
        <v>357045000</v>
      </c>
      <c r="BA33" s="3">
        <v>96643000</v>
      </c>
      <c r="BB33" s="3">
        <v>260252000</v>
      </c>
      <c r="BC33" s="3">
        <v>0</v>
      </c>
      <c r="BD33" s="3">
        <v>150000</v>
      </c>
      <c r="BE33" s="3">
        <v>357045000</v>
      </c>
      <c r="BF33" s="3">
        <v>93839465.379999995</v>
      </c>
      <c r="BG33" s="3">
        <v>259234463</v>
      </c>
      <c r="BH33" s="3">
        <v>0</v>
      </c>
      <c r="BI33" s="3">
        <v>150000</v>
      </c>
      <c r="BJ33" s="3">
        <v>353223928.38</v>
      </c>
      <c r="BK33" s="3">
        <v>93839465.379999995</v>
      </c>
      <c r="BL33" s="3">
        <v>259234463</v>
      </c>
      <c r="BM33" s="3">
        <v>0</v>
      </c>
      <c r="BN33" s="3">
        <v>150000</v>
      </c>
      <c r="BO33" s="3">
        <v>353223928.38</v>
      </c>
      <c r="BP33" s="3">
        <v>93813582.950000003</v>
      </c>
      <c r="BQ33" s="3">
        <v>254552515.72</v>
      </c>
      <c r="BR33" s="3">
        <v>0</v>
      </c>
      <c r="BS33" s="3">
        <v>112000</v>
      </c>
      <c r="BT33" s="3">
        <v>348478098.67000002</v>
      </c>
      <c r="BU33" s="3">
        <v>92858518.689999998</v>
      </c>
      <c r="BV33" s="3">
        <v>214650099.31</v>
      </c>
      <c r="BW33" s="3">
        <v>0</v>
      </c>
      <c r="BX33" s="3">
        <v>57000</v>
      </c>
      <c r="BY33" s="3">
        <v>307565618</v>
      </c>
      <c r="BZ33" s="3">
        <v>101225000</v>
      </c>
      <c r="CA33" s="3">
        <v>255928000</v>
      </c>
      <c r="CB33" s="3">
        <v>0</v>
      </c>
      <c r="CC33" s="3">
        <v>149000</v>
      </c>
      <c r="CD33" s="3">
        <v>357302000</v>
      </c>
      <c r="CE33" s="3">
        <v>101225000</v>
      </c>
      <c r="CF33" s="3">
        <v>255928000</v>
      </c>
      <c r="CG33" s="3">
        <v>0</v>
      </c>
      <c r="CH33" s="3">
        <v>149000</v>
      </c>
      <c r="CI33" s="3">
        <v>357302000</v>
      </c>
      <c r="CJ33" s="3">
        <v>101225000</v>
      </c>
      <c r="CK33" s="3">
        <v>255928000</v>
      </c>
      <c r="CL33" s="3">
        <v>0</v>
      </c>
      <c r="CM33" s="3">
        <v>149000</v>
      </c>
      <c r="CN33" s="3">
        <v>357302000</v>
      </c>
      <c r="CO33" s="3">
        <v>100123272.03</v>
      </c>
      <c r="CP33" s="3">
        <v>221503956</v>
      </c>
      <c r="CQ33" s="3">
        <v>0</v>
      </c>
      <c r="CR33" s="3">
        <v>2149000</v>
      </c>
      <c r="CS33" s="3">
        <v>323776228.02999997</v>
      </c>
      <c r="CT33" s="3">
        <v>100123272.03</v>
      </c>
      <c r="CU33" s="3">
        <v>221503956</v>
      </c>
      <c r="CV33" s="3">
        <v>0</v>
      </c>
      <c r="CW33" s="3">
        <v>2149000</v>
      </c>
      <c r="CX33" s="3">
        <v>323776228.02999997</v>
      </c>
      <c r="CY33" s="3">
        <v>99999276.840000004</v>
      </c>
      <c r="CZ33" s="3">
        <v>180256093.54000002</v>
      </c>
      <c r="DA33" s="3">
        <v>0</v>
      </c>
      <c r="DB33" s="3">
        <v>0</v>
      </c>
      <c r="DC33" s="3">
        <v>280255370.38</v>
      </c>
      <c r="DD33" s="3">
        <v>99461252.849999994</v>
      </c>
      <c r="DE33" s="3">
        <v>120172308.40000001</v>
      </c>
      <c r="DF33" s="3">
        <v>0</v>
      </c>
      <c r="DG33" s="3">
        <v>0</v>
      </c>
      <c r="DH33" s="10">
        <v>219633561.25</v>
      </c>
      <c r="DI33" s="3">
        <v>104892000</v>
      </c>
      <c r="DJ33" s="3">
        <v>466589000</v>
      </c>
      <c r="DK33" s="3">
        <v>0</v>
      </c>
      <c r="DL33" s="3">
        <v>30153000</v>
      </c>
      <c r="DM33" s="3">
        <v>601634000</v>
      </c>
      <c r="DN33" s="3">
        <v>104892000</v>
      </c>
      <c r="DO33" s="3">
        <v>466589000</v>
      </c>
      <c r="DP33" s="3">
        <v>0</v>
      </c>
      <c r="DQ33" s="3">
        <v>30153000</v>
      </c>
      <c r="DR33" s="3">
        <v>601634000</v>
      </c>
      <c r="DS33" s="3">
        <v>104892000</v>
      </c>
      <c r="DT33" s="3">
        <v>466589000</v>
      </c>
      <c r="DU33" s="3">
        <v>0</v>
      </c>
      <c r="DV33" s="3">
        <v>30153000</v>
      </c>
      <c r="DW33" s="3">
        <v>601634000</v>
      </c>
      <c r="DX33" s="3">
        <v>103140591.40000001</v>
      </c>
      <c r="DY33" s="3">
        <v>459752671</v>
      </c>
      <c r="DZ33" s="3">
        <v>0</v>
      </c>
      <c r="EA33" s="3">
        <v>30153000</v>
      </c>
      <c r="EB33" s="3">
        <v>593046262.39999998</v>
      </c>
      <c r="EC33" s="3">
        <v>103140591.40000001</v>
      </c>
      <c r="ED33" s="3">
        <v>459752671</v>
      </c>
      <c r="EE33" s="3">
        <v>0</v>
      </c>
      <c r="EF33" s="3">
        <v>30153000</v>
      </c>
      <c r="EG33" s="3">
        <v>593046262.39999998</v>
      </c>
      <c r="EH33" s="3">
        <v>103140588.59999999</v>
      </c>
      <c r="EI33" s="3">
        <v>432702914.07000005</v>
      </c>
      <c r="EJ33" s="3">
        <v>0</v>
      </c>
      <c r="EK33" s="3">
        <v>27384318</v>
      </c>
      <c r="EL33" s="3">
        <v>563227820.66999996</v>
      </c>
      <c r="EM33" s="3">
        <v>102784775.46000001</v>
      </c>
      <c r="EN33" s="3">
        <v>279081922.01999998</v>
      </c>
      <c r="EO33" s="3">
        <v>0</v>
      </c>
      <c r="EP33" s="3">
        <v>19088541.98</v>
      </c>
      <c r="EQ33" s="3">
        <v>400955239.46000004</v>
      </c>
      <c r="ER33" s="3">
        <v>108307000</v>
      </c>
      <c r="ES33" s="3">
        <v>260589000</v>
      </c>
      <c r="ET33" s="3">
        <v>0</v>
      </c>
      <c r="EU33" s="3">
        <v>153000</v>
      </c>
      <c r="EV33" s="3">
        <v>369049000</v>
      </c>
      <c r="EW33" s="3">
        <v>108307000</v>
      </c>
      <c r="EX33" s="3">
        <v>260589000</v>
      </c>
      <c r="EY33" s="3">
        <v>0</v>
      </c>
      <c r="EZ33" s="3">
        <v>153000</v>
      </c>
      <c r="FA33" s="3">
        <v>369049000</v>
      </c>
      <c r="FB33" s="3">
        <v>108307000</v>
      </c>
      <c r="FC33" s="3">
        <v>260589000</v>
      </c>
      <c r="FD33" s="3">
        <v>0</v>
      </c>
      <c r="FE33" s="3">
        <v>153000</v>
      </c>
      <c r="FF33" s="3">
        <v>369049000</v>
      </c>
      <c r="FG33" s="3">
        <v>109465670.23999999</v>
      </c>
      <c r="FH33" s="3">
        <v>251522862.22</v>
      </c>
      <c r="FI33" s="3">
        <v>0</v>
      </c>
      <c r="FJ33" s="3">
        <v>153000</v>
      </c>
      <c r="FK33" s="3">
        <v>361141532.45999998</v>
      </c>
      <c r="FL33" s="3">
        <v>109465670.23999999</v>
      </c>
      <c r="FM33" s="3">
        <v>251522862.22</v>
      </c>
      <c r="FN33" s="3">
        <v>0</v>
      </c>
      <c r="FO33" s="3">
        <v>153000</v>
      </c>
      <c r="FP33" s="3">
        <v>361141532.45999998</v>
      </c>
      <c r="FQ33" s="3">
        <v>109406524.31999999</v>
      </c>
      <c r="FR33" s="3">
        <v>227028713.59</v>
      </c>
      <c r="FS33" s="3">
        <v>0</v>
      </c>
      <c r="FT33" s="3">
        <v>0</v>
      </c>
      <c r="FU33" s="3">
        <v>336435237.91000003</v>
      </c>
      <c r="FV33" s="3">
        <v>109220786.66</v>
      </c>
      <c r="FW33" s="3">
        <v>194002326.77000001</v>
      </c>
      <c r="FX33" s="3">
        <v>0</v>
      </c>
      <c r="FY33" s="3">
        <v>0</v>
      </c>
      <c r="FZ33" s="3">
        <v>303223113.43000001</v>
      </c>
      <c r="GA33" s="3">
        <v>115456000</v>
      </c>
      <c r="GB33" s="3">
        <v>727500000</v>
      </c>
      <c r="GC33" s="3">
        <v>0</v>
      </c>
      <c r="GD33" s="3">
        <v>123000</v>
      </c>
      <c r="GE33" s="3">
        <v>843079000</v>
      </c>
      <c r="GF33" s="3">
        <v>115456000</v>
      </c>
      <c r="GG33" s="3">
        <v>1077500000</v>
      </c>
      <c r="GH33" s="3">
        <v>0</v>
      </c>
      <c r="GI33" s="3">
        <v>123000</v>
      </c>
      <c r="GJ33" s="3">
        <v>1193079000</v>
      </c>
      <c r="GK33" s="3">
        <v>115456000</v>
      </c>
      <c r="GL33" s="3">
        <v>1077500000</v>
      </c>
      <c r="GM33" s="3">
        <v>0</v>
      </c>
      <c r="GN33" s="3">
        <v>123000</v>
      </c>
      <c r="GO33" s="3">
        <v>1193079000</v>
      </c>
      <c r="GP33" s="3">
        <v>116838558.36</v>
      </c>
      <c r="GQ33" s="3">
        <v>971059935.39999998</v>
      </c>
      <c r="GR33" s="3">
        <v>0</v>
      </c>
      <c r="GS33" s="3">
        <v>100303000</v>
      </c>
      <c r="GT33" s="3">
        <v>1188201493.76</v>
      </c>
      <c r="GU33" s="3">
        <v>116838558.36</v>
      </c>
      <c r="GV33" s="3">
        <v>971059935.39999998</v>
      </c>
      <c r="GW33" s="3">
        <v>0</v>
      </c>
      <c r="GX33" s="3">
        <v>100303000</v>
      </c>
      <c r="GY33" s="3">
        <v>1188201493.76</v>
      </c>
      <c r="GZ33" s="3">
        <v>116713123.08</v>
      </c>
      <c r="HA33" s="3">
        <v>704676970.46000004</v>
      </c>
      <c r="HB33" s="3">
        <v>0</v>
      </c>
      <c r="HC33" s="3">
        <v>170550</v>
      </c>
      <c r="HD33" s="3">
        <v>821560643.53999996</v>
      </c>
      <c r="HE33" s="3">
        <v>116188244.86</v>
      </c>
      <c r="HF33" s="3">
        <v>568788587.13999999</v>
      </c>
      <c r="HG33" s="3">
        <v>0</v>
      </c>
      <c r="HH33" s="3">
        <v>0</v>
      </c>
      <c r="HI33" s="3">
        <v>684976832</v>
      </c>
      <c r="HJ33" s="3">
        <v>119664000</v>
      </c>
      <c r="HK33" s="3">
        <v>561091000</v>
      </c>
      <c r="HL33" s="3">
        <v>0</v>
      </c>
      <c r="HM33" s="3">
        <v>90111000</v>
      </c>
      <c r="HN33" s="3">
        <v>770866000</v>
      </c>
      <c r="HO33" s="3">
        <v>119664000</v>
      </c>
      <c r="HP33" s="3">
        <v>561091000</v>
      </c>
      <c r="HQ33" s="3">
        <v>0</v>
      </c>
      <c r="HR33" s="3">
        <v>90111000</v>
      </c>
      <c r="HS33" s="3">
        <v>770866000</v>
      </c>
      <c r="HT33" s="3">
        <v>119664000</v>
      </c>
      <c r="HU33" s="3">
        <v>561091000</v>
      </c>
      <c r="HV33" s="3">
        <v>0</v>
      </c>
      <c r="HW33" s="3">
        <v>90111000</v>
      </c>
      <c r="HX33" s="3">
        <v>770866000</v>
      </c>
      <c r="HY33" s="3">
        <v>116652610.54000001</v>
      </c>
      <c r="HZ33" s="3">
        <v>543832886</v>
      </c>
      <c r="IA33" s="3">
        <v>0</v>
      </c>
      <c r="IB33" s="3">
        <v>90111000</v>
      </c>
      <c r="IC33" s="3">
        <v>750596496.53999996</v>
      </c>
      <c r="ID33" s="3">
        <v>116652610.54000001</v>
      </c>
      <c r="IE33" s="3">
        <v>543832886</v>
      </c>
      <c r="IF33" s="3">
        <v>0</v>
      </c>
      <c r="IG33" s="3">
        <v>90111000</v>
      </c>
      <c r="IH33" s="3">
        <v>750596496.53999996</v>
      </c>
      <c r="II33" s="3">
        <v>116023612.19999999</v>
      </c>
      <c r="IJ33" s="3">
        <v>415706010.04000002</v>
      </c>
      <c r="IK33" s="3">
        <v>0</v>
      </c>
      <c r="IL33" s="3">
        <v>73373790</v>
      </c>
      <c r="IM33" s="3">
        <v>605103412.24000001</v>
      </c>
      <c r="IN33" s="3">
        <v>114408692.45999999</v>
      </c>
      <c r="IO33" s="3">
        <v>335066376.70999998</v>
      </c>
      <c r="IP33" s="3">
        <v>0</v>
      </c>
      <c r="IQ33" s="3">
        <v>57190517.57</v>
      </c>
      <c r="IR33" s="6">
        <v>506665586.74000001</v>
      </c>
      <c r="IS33" s="3">
        <v>111600000</v>
      </c>
      <c r="IT33" s="3">
        <v>679243000</v>
      </c>
      <c r="IU33" s="3">
        <v>0</v>
      </c>
      <c r="IV33" s="3">
        <v>985000</v>
      </c>
      <c r="IW33" s="3">
        <v>791828000</v>
      </c>
      <c r="IX33" s="3">
        <v>111600000</v>
      </c>
      <c r="IY33" s="3">
        <v>679243000</v>
      </c>
      <c r="IZ33" s="3">
        <v>0</v>
      </c>
      <c r="JA33" s="3">
        <v>985000</v>
      </c>
      <c r="JB33" s="3">
        <v>791828000</v>
      </c>
      <c r="JC33" s="3">
        <v>111600000</v>
      </c>
      <c r="JD33" s="3">
        <v>679243000</v>
      </c>
      <c r="JE33" s="3">
        <v>0</v>
      </c>
      <c r="JF33" s="3">
        <v>985000</v>
      </c>
      <c r="JG33" s="3">
        <v>791828000</v>
      </c>
      <c r="JH33" s="3">
        <v>112185526.64</v>
      </c>
      <c r="JI33" s="3">
        <v>659876835.5</v>
      </c>
      <c r="JJ33" s="3">
        <v>0</v>
      </c>
      <c r="JK33" s="3">
        <v>985000</v>
      </c>
      <c r="JL33" s="3">
        <v>773047362.13999999</v>
      </c>
      <c r="JM33" s="3">
        <v>112185526.64</v>
      </c>
      <c r="JN33" s="3">
        <v>659876835.5</v>
      </c>
      <c r="JO33" s="3">
        <v>0</v>
      </c>
      <c r="JP33" s="3">
        <v>985000</v>
      </c>
      <c r="JQ33" s="3">
        <v>773047362.13999999</v>
      </c>
      <c r="JR33" s="3">
        <v>112173345.78</v>
      </c>
      <c r="JS33" s="3">
        <v>556759465.21000004</v>
      </c>
      <c r="JT33" s="3">
        <v>0</v>
      </c>
      <c r="JU33" s="3">
        <v>0</v>
      </c>
      <c r="JV33" s="3">
        <v>668932810.99000001</v>
      </c>
      <c r="JW33" s="3">
        <v>111388951.94</v>
      </c>
      <c r="JX33" s="3">
        <v>442873791.54000002</v>
      </c>
      <c r="JY33" s="3">
        <v>0</v>
      </c>
      <c r="JZ33" s="3">
        <v>0</v>
      </c>
      <c r="KA33" s="3">
        <v>554262743.48000002</v>
      </c>
      <c r="KB33" s="3">
        <v>152085000</v>
      </c>
      <c r="KC33" s="3">
        <v>545276000</v>
      </c>
      <c r="KD33" s="3">
        <v>0</v>
      </c>
      <c r="KE33" s="3">
        <v>111000</v>
      </c>
      <c r="KF33" s="3">
        <v>697472000</v>
      </c>
      <c r="KG33" s="3">
        <v>152085000</v>
      </c>
      <c r="KH33" s="3">
        <v>545276000</v>
      </c>
      <c r="KI33" s="3">
        <v>0</v>
      </c>
      <c r="KJ33" s="3">
        <v>111000</v>
      </c>
      <c r="KK33" s="3">
        <v>697472000</v>
      </c>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v>156302000</v>
      </c>
      <c r="LL33" s="3">
        <v>950637000</v>
      </c>
      <c r="LM33">
        <v>0</v>
      </c>
      <c r="LN33" s="3">
        <v>97000</v>
      </c>
      <c r="LO33" s="3">
        <v>1107036000</v>
      </c>
    </row>
    <row r="34" spans="1:327" x14ac:dyDescent="0.25">
      <c r="A34" t="s">
        <v>943</v>
      </c>
      <c r="B34" t="s">
        <v>944</v>
      </c>
      <c r="C34" t="s">
        <v>199</v>
      </c>
      <c r="D34" t="s">
        <v>200</v>
      </c>
      <c r="E34" t="s">
        <v>217</v>
      </c>
      <c r="F34" t="s">
        <v>954</v>
      </c>
      <c r="G34" t="s">
        <v>1029</v>
      </c>
      <c r="H34" s="3">
        <v>0</v>
      </c>
      <c r="I34" s="3">
        <v>1767513000</v>
      </c>
      <c r="J34" s="3">
        <v>0</v>
      </c>
      <c r="K34" s="3">
        <v>52207000</v>
      </c>
      <c r="L34" s="3">
        <v>1819720000</v>
      </c>
      <c r="M34" s="3">
        <v>0</v>
      </c>
      <c r="N34" s="3">
        <v>1767513000</v>
      </c>
      <c r="O34" s="3">
        <v>0</v>
      </c>
      <c r="P34" s="3">
        <v>52207000</v>
      </c>
      <c r="Q34" s="3">
        <v>1819720000</v>
      </c>
      <c r="R34" s="3">
        <v>0</v>
      </c>
      <c r="S34" s="3">
        <v>1767513000</v>
      </c>
      <c r="T34" s="3">
        <v>0</v>
      </c>
      <c r="U34" s="3">
        <v>52207000</v>
      </c>
      <c r="V34" s="3">
        <v>1819720000</v>
      </c>
      <c r="W34" s="3">
        <v>0</v>
      </c>
      <c r="X34" s="3">
        <v>1761287051</v>
      </c>
      <c r="Y34" s="3">
        <v>0</v>
      </c>
      <c r="Z34" s="3">
        <v>52207000</v>
      </c>
      <c r="AA34" s="3">
        <v>1813494051</v>
      </c>
      <c r="AB34" s="3">
        <v>0</v>
      </c>
      <c r="AC34" s="3">
        <v>1761287051</v>
      </c>
      <c r="AD34" s="3">
        <v>0</v>
      </c>
      <c r="AE34" s="3">
        <v>52207000</v>
      </c>
      <c r="AF34" s="3">
        <v>1813494051</v>
      </c>
      <c r="AG34" s="3">
        <v>0</v>
      </c>
      <c r="AH34" s="3">
        <v>1721310505.3699999</v>
      </c>
      <c r="AI34" s="3">
        <v>0</v>
      </c>
      <c r="AJ34" s="3">
        <v>50367427.380000003</v>
      </c>
      <c r="AK34" s="3">
        <v>1771677932.75</v>
      </c>
      <c r="AL34" s="3">
        <v>0</v>
      </c>
      <c r="AM34" s="3">
        <v>1439060016.28</v>
      </c>
      <c r="AN34" s="3">
        <v>0</v>
      </c>
      <c r="AO34" s="3">
        <v>40649244.409999996</v>
      </c>
      <c r="AP34" s="3">
        <v>1479709260.6900001</v>
      </c>
      <c r="AQ34" s="3">
        <v>0</v>
      </c>
      <c r="AR34" s="3">
        <v>2153273000</v>
      </c>
      <c r="AS34" s="3">
        <v>0</v>
      </c>
      <c r="AT34" s="3">
        <v>88860000</v>
      </c>
      <c r="AU34" s="3">
        <v>2242133000</v>
      </c>
      <c r="AV34" s="3">
        <v>0</v>
      </c>
      <c r="AW34" s="3">
        <v>2155073000</v>
      </c>
      <c r="AX34" s="3">
        <v>0</v>
      </c>
      <c r="AY34" s="3">
        <v>88860000</v>
      </c>
      <c r="AZ34" s="3">
        <v>2243933000</v>
      </c>
      <c r="BA34" s="3">
        <v>0</v>
      </c>
      <c r="BB34" s="3">
        <v>2155073000</v>
      </c>
      <c r="BC34" s="3">
        <v>0</v>
      </c>
      <c r="BD34" s="3">
        <v>88860000</v>
      </c>
      <c r="BE34" s="3">
        <v>2243933000</v>
      </c>
      <c r="BF34" s="3">
        <v>0</v>
      </c>
      <c r="BG34" s="3">
        <v>2141597914</v>
      </c>
      <c r="BH34" s="3">
        <v>0</v>
      </c>
      <c r="BI34" s="3">
        <v>88860000</v>
      </c>
      <c r="BJ34" s="3">
        <v>2230457914</v>
      </c>
      <c r="BK34" s="3">
        <v>0</v>
      </c>
      <c r="BL34" s="3">
        <v>2141597914</v>
      </c>
      <c r="BM34" s="3">
        <v>0</v>
      </c>
      <c r="BN34" s="3">
        <v>88860000</v>
      </c>
      <c r="BO34" s="3">
        <v>2230457914</v>
      </c>
      <c r="BP34" s="3">
        <v>0</v>
      </c>
      <c r="BQ34" s="3">
        <v>2106316630.9699998</v>
      </c>
      <c r="BR34" s="3">
        <v>0</v>
      </c>
      <c r="BS34" s="3">
        <v>87378354.789999992</v>
      </c>
      <c r="BT34" s="3">
        <v>2193694985.7600002</v>
      </c>
      <c r="BU34" s="3">
        <v>0</v>
      </c>
      <c r="BV34" s="3">
        <v>1691038512.45</v>
      </c>
      <c r="BW34" s="3">
        <v>0</v>
      </c>
      <c r="BX34" s="3">
        <v>70830486.120000005</v>
      </c>
      <c r="BY34" s="3">
        <v>1761868998.5699999</v>
      </c>
      <c r="BZ34" s="3">
        <v>0</v>
      </c>
      <c r="CA34" s="3">
        <v>1709789000</v>
      </c>
      <c r="CB34" s="3">
        <v>0</v>
      </c>
      <c r="CC34" s="3">
        <v>24017000</v>
      </c>
      <c r="CD34" s="3">
        <v>1733806000</v>
      </c>
      <c r="CE34" s="3">
        <v>0</v>
      </c>
      <c r="CF34" s="3">
        <v>909627000</v>
      </c>
      <c r="CG34" s="3">
        <v>0</v>
      </c>
      <c r="CH34" s="3">
        <v>77615000</v>
      </c>
      <c r="CI34" s="3">
        <v>987242000</v>
      </c>
      <c r="CJ34" s="3">
        <v>0</v>
      </c>
      <c r="CK34" s="3">
        <v>909627000</v>
      </c>
      <c r="CL34" s="3">
        <v>0</v>
      </c>
      <c r="CM34" s="3">
        <v>77615000</v>
      </c>
      <c r="CN34" s="3">
        <v>987242000</v>
      </c>
      <c r="CO34" s="3">
        <v>0</v>
      </c>
      <c r="CP34" s="3">
        <v>823562166</v>
      </c>
      <c r="CQ34" s="3">
        <v>0</v>
      </c>
      <c r="CR34" s="3">
        <v>9290000</v>
      </c>
      <c r="CS34" s="3">
        <v>832852166</v>
      </c>
      <c r="CT34" s="3">
        <v>0</v>
      </c>
      <c r="CU34" s="3">
        <v>823562166</v>
      </c>
      <c r="CV34" s="3">
        <v>0</v>
      </c>
      <c r="CW34" s="3">
        <v>9290000</v>
      </c>
      <c r="CX34" s="3">
        <v>832852166</v>
      </c>
      <c r="CY34" s="3">
        <v>0</v>
      </c>
      <c r="CZ34" s="3">
        <v>801840937.66999996</v>
      </c>
      <c r="DA34" s="3">
        <v>0</v>
      </c>
      <c r="DB34" s="3">
        <v>4829856</v>
      </c>
      <c r="DC34" s="3">
        <v>806670793.66999996</v>
      </c>
      <c r="DD34" s="3">
        <v>0</v>
      </c>
      <c r="DE34" s="3">
        <v>628557899.80999994</v>
      </c>
      <c r="DF34" s="3">
        <v>0</v>
      </c>
      <c r="DG34" s="3">
        <v>3498143.2</v>
      </c>
      <c r="DH34" s="10">
        <v>632056043.00999999</v>
      </c>
      <c r="DI34" s="3">
        <v>0</v>
      </c>
      <c r="DJ34" s="3">
        <v>989249000</v>
      </c>
      <c r="DK34" s="3">
        <v>0</v>
      </c>
      <c r="DL34" s="3">
        <v>8975000</v>
      </c>
      <c r="DM34" s="3">
        <v>998224000</v>
      </c>
      <c r="DN34" s="3">
        <v>0</v>
      </c>
      <c r="DO34" s="3">
        <v>968249000</v>
      </c>
      <c r="DP34" s="3">
        <v>0</v>
      </c>
      <c r="DQ34" s="3">
        <v>8975000</v>
      </c>
      <c r="DR34" s="3">
        <v>977224000</v>
      </c>
      <c r="DS34" s="3">
        <v>0</v>
      </c>
      <c r="DT34" s="3">
        <v>968249000</v>
      </c>
      <c r="DU34" s="3">
        <v>0</v>
      </c>
      <c r="DV34" s="3">
        <v>8975000</v>
      </c>
      <c r="DW34" s="3">
        <v>977224000</v>
      </c>
      <c r="DX34" s="3">
        <v>0</v>
      </c>
      <c r="DY34" s="3">
        <v>962271950</v>
      </c>
      <c r="DZ34" s="3">
        <v>0</v>
      </c>
      <c r="EA34" s="3">
        <v>8975000</v>
      </c>
      <c r="EB34" s="3">
        <v>971246950</v>
      </c>
      <c r="EC34" s="3">
        <v>0</v>
      </c>
      <c r="ED34" s="3">
        <v>962271950</v>
      </c>
      <c r="EE34" s="3">
        <v>0</v>
      </c>
      <c r="EF34" s="3">
        <v>8975000</v>
      </c>
      <c r="EG34" s="3">
        <v>971246950</v>
      </c>
      <c r="EH34" s="3">
        <v>0</v>
      </c>
      <c r="EI34" s="3">
        <v>869551345.42999995</v>
      </c>
      <c r="EJ34" s="3">
        <v>0</v>
      </c>
      <c r="EK34" s="3">
        <v>8863121.4400000013</v>
      </c>
      <c r="EL34" s="3">
        <v>878414466.87000012</v>
      </c>
      <c r="EM34" s="3">
        <v>0</v>
      </c>
      <c r="EN34" s="3">
        <v>661038233.69000006</v>
      </c>
      <c r="EO34" s="3">
        <v>0</v>
      </c>
      <c r="EP34" s="3">
        <v>2636576.02</v>
      </c>
      <c r="EQ34" s="3">
        <v>663674809.71000004</v>
      </c>
      <c r="ER34" s="3">
        <v>0</v>
      </c>
      <c r="ES34" s="3">
        <v>1397748000</v>
      </c>
      <c r="ET34" s="3">
        <v>0</v>
      </c>
      <c r="EU34" s="3">
        <v>6906000</v>
      </c>
      <c r="EV34" s="3">
        <v>1404654000</v>
      </c>
      <c r="EW34" s="3">
        <v>0</v>
      </c>
      <c r="EX34" s="3">
        <v>1349985000</v>
      </c>
      <c r="EY34" s="3">
        <v>0</v>
      </c>
      <c r="EZ34" s="3">
        <v>6906000</v>
      </c>
      <c r="FA34" s="3">
        <v>1356891000</v>
      </c>
      <c r="FB34" s="3">
        <v>0</v>
      </c>
      <c r="FC34" s="3">
        <v>1349985000</v>
      </c>
      <c r="FD34" s="3">
        <v>0</v>
      </c>
      <c r="FE34" s="3">
        <v>6906000</v>
      </c>
      <c r="FF34" s="3">
        <v>1356891000</v>
      </c>
      <c r="FG34" s="3">
        <v>0</v>
      </c>
      <c r="FH34" s="3">
        <v>1199292588</v>
      </c>
      <c r="FI34" s="3">
        <v>0</v>
      </c>
      <c r="FJ34" s="3">
        <v>6906000</v>
      </c>
      <c r="FK34" s="3">
        <v>1206198588</v>
      </c>
      <c r="FL34" s="3">
        <v>0</v>
      </c>
      <c r="FM34" s="3">
        <v>1199292588</v>
      </c>
      <c r="FN34" s="3">
        <v>0</v>
      </c>
      <c r="FO34" s="3">
        <v>6906000</v>
      </c>
      <c r="FP34" s="3">
        <v>1206198588</v>
      </c>
      <c r="FQ34" s="3">
        <v>0</v>
      </c>
      <c r="FR34" s="3">
        <v>1181164401.1099999</v>
      </c>
      <c r="FS34" s="3">
        <v>0</v>
      </c>
      <c r="FT34" s="3">
        <v>5910509.8499999996</v>
      </c>
      <c r="FU34" s="3">
        <v>1187074910.96</v>
      </c>
      <c r="FV34" s="3">
        <v>0</v>
      </c>
      <c r="FW34" s="3">
        <v>911487004.05999994</v>
      </c>
      <c r="FX34" s="3">
        <v>0</v>
      </c>
      <c r="FY34" s="3">
        <v>2895185.75</v>
      </c>
      <c r="FZ34" s="3">
        <v>914382189.80999994</v>
      </c>
      <c r="GA34" s="3">
        <v>0</v>
      </c>
      <c r="GB34" s="3">
        <v>1190550000</v>
      </c>
      <c r="GC34" s="3">
        <v>0</v>
      </c>
      <c r="GD34" s="3">
        <v>6185000</v>
      </c>
      <c r="GE34" s="3">
        <v>1196735000</v>
      </c>
      <c r="GF34" s="3">
        <v>0</v>
      </c>
      <c r="GG34" s="3">
        <v>1256893000</v>
      </c>
      <c r="GH34" s="3">
        <v>0</v>
      </c>
      <c r="GI34" s="3">
        <v>6185000</v>
      </c>
      <c r="GJ34" s="3">
        <v>1263078000</v>
      </c>
      <c r="GK34" s="3">
        <v>0</v>
      </c>
      <c r="GL34" s="3">
        <v>1256893000</v>
      </c>
      <c r="GM34" s="3">
        <v>0</v>
      </c>
      <c r="GN34" s="3">
        <v>6185000</v>
      </c>
      <c r="GO34" s="3">
        <v>1263078000</v>
      </c>
      <c r="GP34" s="3">
        <v>0</v>
      </c>
      <c r="GQ34" s="3">
        <v>1227827688</v>
      </c>
      <c r="GR34" s="3">
        <v>0</v>
      </c>
      <c r="GS34" s="3">
        <v>6185000</v>
      </c>
      <c r="GT34" s="3">
        <v>1234012688</v>
      </c>
      <c r="GU34" s="3">
        <v>0</v>
      </c>
      <c r="GV34" s="3">
        <v>1227827688</v>
      </c>
      <c r="GW34" s="3">
        <v>0</v>
      </c>
      <c r="GX34" s="3">
        <v>6185000</v>
      </c>
      <c r="GY34" s="3">
        <v>1234012688</v>
      </c>
      <c r="GZ34" s="3">
        <v>0</v>
      </c>
      <c r="HA34" s="3">
        <v>1200198494.6300001</v>
      </c>
      <c r="HB34" s="3">
        <v>0</v>
      </c>
      <c r="HC34" s="3">
        <v>5804339.1799999997</v>
      </c>
      <c r="HD34" s="3">
        <v>1206002833.8099999</v>
      </c>
      <c r="HE34" s="3">
        <v>0</v>
      </c>
      <c r="HF34" s="3">
        <v>1029018790.92</v>
      </c>
      <c r="HG34" s="3">
        <v>0</v>
      </c>
      <c r="HH34" s="3">
        <v>2904549.41</v>
      </c>
      <c r="HI34" s="3">
        <v>1031923340.33</v>
      </c>
      <c r="HJ34" s="3">
        <v>0</v>
      </c>
      <c r="HK34" s="3">
        <v>3042496000</v>
      </c>
      <c r="HL34" s="3">
        <v>0</v>
      </c>
      <c r="HM34" s="3">
        <v>39661000</v>
      </c>
      <c r="HN34" s="3">
        <v>3082157000</v>
      </c>
      <c r="HO34" s="3">
        <v>0</v>
      </c>
      <c r="HP34" s="3">
        <v>2008322000</v>
      </c>
      <c r="HQ34" s="3">
        <v>0</v>
      </c>
      <c r="HR34" s="3">
        <v>36343000</v>
      </c>
      <c r="HS34" s="3">
        <v>2044665000</v>
      </c>
      <c r="HT34" s="3">
        <v>0</v>
      </c>
      <c r="HU34" s="3">
        <v>2008322000</v>
      </c>
      <c r="HV34" s="3">
        <v>0</v>
      </c>
      <c r="HW34" s="3">
        <v>36343000</v>
      </c>
      <c r="HX34" s="3">
        <v>2044665000</v>
      </c>
      <c r="HY34" s="3">
        <v>0</v>
      </c>
      <c r="HZ34" s="3">
        <v>1894266087</v>
      </c>
      <c r="IA34" s="3">
        <v>0</v>
      </c>
      <c r="IB34" s="3">
        <v>36343000</v>
      </c>
      <c r="IC34" s="3">
        <v>1930609087</v>
      </c>
      <c r="ID34" s="3">
        <v>0</v>
      </c>
      <c r="IE34" s="3">
        <v>1894266087</v>
      </c>
      <c r="IF34" s="3">
        <v>0</v>
      </c>
      <c r="IG34" s="3">
        <v>36343000</v>
      </c>
      <c r="IH34" s="3">
        <v>1930609087</v>
      </c>
      <c r="II34" s="3">
        <v>0</v>
      </c>
      <c r="IJ34" s="3">
        <v>1488220180.26</v>
      </c>
      <c r="IK34" s="3">
        <v>0</v>
      </c>
      <c r="IL34" s="3">
        <v>29995930.739999998</v>
      </c>
      <c r="IM34" s="3">
        <v>1518216111</v>
      </c>
      <c r="IN34" s="3">
        <v>0</v>
      </c>
      <c r="IO34" s="3">
        <v>1078881194.3800001</v>
      </c>
      <c r="IP34" s="3">
        <v>0</v>
      </c>
      <c r="IQ34" s="3">
        <v>930536.64</v>
      </c>
      <c r="IR34" s="6">
        <v>1079811731.02</v>
      </c>
      <c r="IS34" s="3">
        <v>0</v>
      </c>
      <c r="IT34" s="3">
        <v>2538453000</v>
      </c>
      <c r="IU34" s="3">
        <v>0</v>
      </c>
      <c r="IV34" s="3">
        <v>14614000</v>
      </c>
      <c r="IW34" s="3">
        <v>2553067000</v>
      </c>
      <c r="IX34" s="3">
        <v>0</v>
      </c>
      <c r="IY34" s="3">
        <v>2454734000</v>
      </c>
      <c r="IZ34" s="3">
        <v>0</v>
      </c>
      <c r="JA34" s="3">
        <v>10414000</v>
      </c>
      <c r="JB34" s="3">
        <v>2465148000</v>
      </c>
      <c r="JC34" s="3">
        <v>0</v>
      </c>
      <c r="JD34" s="3">
        <v>2454734000</v>
      </c>
      <c r="JE34" s="3">
        <v>0</v>
      </c>
      <c r="JF34" s="3">
        <v>10414000</v>
      </c>
      <c r="JG34" s="3">
        <v>2465148000</v>
      </c>
      <c r="JH34" s="3">
        <v>0</v>
      </c>
      <c r="JI34" s="3">
        <v>2346497348</v>
      </c>
      <c r="JJ34" s="3">
        <v>0</v>
      </c>
      <c r="JK34" s="3">
        <v>10414000</v>
      </c>
      <c r="JL34" s="3">
        <v>2356911348</v>
      </c>
      <c r="JM34" s="3">
        <v>0</v>
      </c>
      <c r="JN34" s="3">
        <v>2346497348</v>
      </c>
      <c r="JO34" s="3">
        <v>0</v>
      </c>
      <c r="JP34" s="3">
        <v>10414000</v>
      </c>
      <c r="JQ34" s="3">
        <v>2356911348</v>
      </c>
      <c r="JR34" s="3">
        <v>0</v>
      </c>
      <c r="JS34" s="3">
        <v>2066122611.55</v>
      </c>
      <c r="JT34" s="3">
        <v>0</v>
      </c>
      <c r="JU34" s="3">
        <v>7409300.2000000002</v>
      </c>
      <c r="JV34" s="3">
        <v>2073531911.75</v>
      </c>
      <c r="JW34" s="3">
        <v>0</v>
      </c>
      <c r="JX34" s="3">
        <v>1520307488.3699999</v>
      </c>
      <c r="JY34" s="3">
        <v>0</v>
      </c>
      <c r="JZ34" s="3">
        <v>4475750.1100000003</v>
      </c>
      <c r="KA34" s="3">
        <v>1524783238.48</v>
      </c>
      <c r="KB34" s="3">
        <v>0</v>
      </c>
      <c r="KC34" s="3">
        <v>1907460000</v>
      </c>
      <c r="KD34" s="3">
        <v>0</v>
      </c>
      <c r="KE34" s="3">
        <v>8375000</v>
      </c>
      <c r="KF34" s="3">
        <v>1915835000</v>
      </c>
      <c r="KG34" s="3">
        <v>0</v>
      </c>
      <c r="KH34" s="3">
        <v>1907460000</v>
      </c>
      <c r="KI34" s="3">
        <v>0</v>
      </c>
      <c r="KJ34" s="3">
        <v>8375000</v>
      </c>
      <c r="KK34" s="3">
        <v>1915835000</v>
      </c>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v>0</v>
      </c>
      <c r="LL34" s="3">
        <v>3267400000</v>
      </c>
      <c r="LM34">
        <v>0</v>
      </c>
      <c r="LN34" s="3">
        <v>60725000</v>
      </c>
      <c r="LO34" s="3">
        <v>3328125000</v>
      </c>
    </row>
    <row r="35" spans="1:327" x14ac:dyDescent="0.25">
      <c r="A35" t="s">
        <v>943</v>
      </c>
      <c r="B35" t="s">
        <v>944</v>
      </c>
      <c r="C35" t="s">
        <v>199</v>
      </c>
      <c r="D35" t="s">
        <v>200</v>
      </c>
      <c r="E35" t="s">
        <v>217</v>
      </c>
      <c r="F35" t="s">
        <v>955</v>
      </c>
      <c r="G35" t="s">
        <v>1030</v>
      </c>
      <c r="H35" s="3">
        <v>0</v>
      </c>
      <c r="I35" s="3">
        <v>209670000</v>
      </c>
      <c r="J35" s="3">
        <v>0</v>
      </c>
      <c r="K35" s="3">
        <v>15485000</v>
      </c>
      <c r="L35" s="3">
        <v>225155000</v>
      </c>
      <c r="M35" s="3">
        <v>0</v>
      </c>
      <c r="N35" s="3">
        <v>279390000</v>
      </c>
      <c r="O35" s="3">
        <v>0</v>
      </c>
      <c r="P35" s="3">
        <v>117385000</v>
      </c>
      <c r="Q35" s="3">
        <v>396775000</v>
      </c>
      <c r="R35" s="3">
        <v>0</v>
      </c>
      <c r="S35" s="3">
        <v>279390000</v>
      </c>
      <c r="T35" s="3">
        <v>0</v>
      </c>
      <c r="U35" s="3">
        <v>117385000</v>
      </c>
      <c r="V35" s="3">
        <v>396775000</v>
      </c>
      <c r="W35" s="3">
        <v>0</v>
      </c>
      <c r="X35" s="3">
        <v>278580723</v>
      </c>
      <c r="Y35" s="3">
        <v>0</v>
      </c>
      <c r="Z35" s="3">
        <v>117385000</v>
      </c>
      <c r="AA35" s="3">
        <v>395965723</v>
      </c>
      <c r="AB35" s="3">
        <v>0</v>
      </c>
      <c r="AC35" s="3">
        <v>278580723</v>
      </c>
      <c r="AD35" s="3">
        <v>0</v>
      </c>
      <c r="AE35" s="3">
        <v>117385000</v>
      </c>
      <c r="AF35" s="3">
        <v>395965723</v>
      </c>
      <c r="AG35" s="3">
        <v>0</v>
      </c>
      <c r="AH35" s="3">
        <v>272247476.74000001</v>
      </c>
      <c r="AI35" s="3">
        <v>0</v>
      </c>
      <c r="AJ35" s="3">
        <v>113643290.06</v>
      </c>
      <c r="AK35" s="3">
        <v>385890766.80000001</v>
      </c>
      <c r="AL35" s="3">
        <v>0</v>
      </c>
      <c r="AM35" s="3">
        <v>218406838.93000001</v>
      </c>
      <c r="AN35" s="3">
        <v>0</v>
      </c>
      <c r="AO35" s="3">
        <v>101003016.63</v>
      </c>
      <c r="AP35" s="3">
        <v>319409855.56</v>
      </c>
      <c r="AQ35" s="3">
        <v>0</v>
      </c>
      <c r="AR35" s="3">
        <v>265169000</v>
      </c>
      <c r="AS35" s="3">
        <v>0</v>
      </c>
      <c r="AT35" s="3">
        <v>52945000</v>
      </c>
      <c r="AU35" s="3">
        <v>318114000</v>
      </c>
      <c r="AV35" s="3">
        <v>0</v>
      </c>
      <c r="AW35" s="3">
        <v>265529000</v>
      </c>
      <c r="AX35" s="3">
        <v>0</v>
      </c>
      <c r="AY35" s="3">
        <v>52945000</v>
      </c>
      <c r="AZ35" s="3">
        <v>318474000</v>
      </c>
      <c r="BA35" s="3">
        <v>0</v>
      </c>
      <c r="BB35" s="3">
        <v>265529000</v>
      </c>
      <c r="BC35" s="3">
        <v>0</v>
      </c>
      <c r="BD35" s="3">
        <v>52945000</v>
      </c>
      <c r="BE35" s="3">
        <v>318474000</v>
      </c>
      <c r="BF35" s="3">
        <v>0</v>
      </c>
      <c r="BG35" s="3">
        <v>264256160</v>
      </c>
      <c r="BH35" s="3">
        <v>0</v>
      </c>
      <c r="BI35" s="3">
        <v>52945000</v>
      </c>
      <c r="BJ35" s="3">
        <v>317201160</v>
      </c>
      <c r="BK35" s="3">
        <v>0</v>
      </c>
      <c r="BL35" s="3">
        <v>264256160</v>
      </c>
      <c r="BM35" s="3">
        <v>0</v>
      </c>
      <c r="BN35" s="3">
        <v>52945000</v>
      </c>
      <c r="BO35" s="3">
        <v>317201160</v>
      </c>
      <c r="BP35" s="3">
        <v>0</v>
      </c>
      <c r="BQ35" s="3">
        <v>259575122.56999999</v>
      </c>
      <c r="BR35" s="3">
        <v>0</v>
      </c>
      <c r="BS35" s="3">
        <v>52722014</v>
      </c>
      <c r="BT35" s="3">
        <v>312297136.56999999</v>
      </c>
      <c r="BU35" s="3">
        <v>0</v>
      </c>
      <c r="BV35" s="3">
        <v>215570741.44999999</v>
      </c>
      <c r="BW35" s="3">
        <v>0</v>
      </c>
      <c r="BX35" s="3">
        <v>41775070.909999996</v>
      </c>
      <c r="BY35" s="3">
        <v>257345812.36000001</v>
      </c>
      <c r="BZ35" s="3">
        <v>0</v>
      </c>
      <c r="CA35" s="3">
        <v>339294000</v>
      </c>
      <c r="CB35" s="3">
        <v>0</v>
      </c>
      <c r="CC35" s="3">
        <v>43329000</v>
      </c>
      <c r="CD35" s="3">
        <v>382623000</v>
      </c>
      <c r="CE35" s="3">
        <v>0</v>
      </c>
      <c r="CF35" s="3">
        <v>331154000</v>
      </c>
      <c r="CG35" s="3">
        <v>0</v>
      </c>
      <c r="CH35" s="3">
        <v>43329000</v>
      </c>
      <c r="CI35" s="3">
        <v>374483000</v>
      </c>
      <c r="CJ35" s="3">
        <v>0</v>
      </c>
      <c r="CK35" s="3">
        <v>331154000</v>
      </c>
      <c r="CL35" s="3">
        <v>0</v>
      </c>
      <c r="CM35" s="3">
        <v>43329000</v>
      </c>
      <c r="CN35" s="3">
        <v>374483000</v>
      </c>
      <c r="CO35" s="3">
        <v>0</v>
      </c>
      <c r="CP35" s="3">
        <v>254615718</v>
      </c>
      <c r="CQ35" s="3">
        <v>0</v>
      </c>
      <c r="CR35" s="3">
        <v>31656931</v>
      </c>
      <c r="CS35" s="3">
        <v>286272649</v>
      </c>
      <c r="CT35" s="3">
        <v>0</v>
      </c>
      <c r="CU35" s="3">
        <v>254615718</v>
      </c>
      <c r="CV35" s="3">
        <v>0</v>
      </c>
      <c r="CW35" s="3">
        <v>31656931</v>
      </c>
      <c r="CX35" s="3">
        <v>286272649</v>
      </c>
      <c r="CY35" s="3">
        <v>0</v>
      </c>
      <c r="CZ35" s="3">
        <v>250551717.63999999</v>
      </c>
      <c r="DA35" s="3">
        <v>0</v>
      </c>
      <c r="DB35" s="3">
        <v>31505746</v>
      </c>
      <c r="DC35" s="3">
        <v>282057463.63999999</v>
      </c>
      <c r="DD35" s="3">
        <v>0</v>
      </c>
      <c r="DE35" s="3">
        <v>193105818.87</v>
      </c>
      <c r="DF35" s="3">
        <v>0</v>
      </c>
      <c r="DG35" s="3">
        <v>26396343.300000001</v>
      </c>
      <c r="DH35" s="10">
        <v>219502162.17000002</v>
      </c>
      <c r="DI35" s="3">
        <v>0</v>
      </c>
      <c r="DJ35" s="3">
        <v>289926000</v>
      </c>
      <c r="DK35" s="3">
        <v>0</v>
      </c>
      <c r="DL35" s="3">
        <v>13857000</v>
      </c>
      <c r="DM35" s="3">
        <v>303783000</v>
      </c>
      <c r="DN35" s="3">
        <v>0</v>
      </c>
      <c r="DO35" s="3">
        <v>289926000</v>
      </c>
      <c r="DP35" s="3">
        <v>0</v>
      </c>
      <c r="DQ35" s="3">
        <v>13857000</v>
      </c>
      <c r="DR35" s="3">
        <v>303783000</v>
      </c>
      <c r="DS35" s="3">
        <v>0</v>
      </c>
      <c r="DT35" s="3">
        <v>289926000</v>
      </c>
      <c r="DU35" s="3">
        <v>0</v>
      </c>
      <c r="DV35" s="3">
        <v>13857000</v>
      </c>
      <c r="DW35" s="3">
        <v>303783000</v>
      </c>
      <c r="DX35" s="3">
        <v>0</v>
      </c>
      <c r="DY35" s="3">
        <v>288267800</v>
      </c>
      <c r="DZ35" s="3">
        <v>0</v>
      </c>
      <c r="EA35" s="3">
        <v>13857000</v>
      </c>
      <c r="EB35" s="3">
        <v>302124800</v>
      </c>
      <c r="EC35" s="3">
        <v>0</v>
      </c>
      <c r="ED35" s="3">
        <v>288267800</v>
      </c>
      <c r="EE35" s="3">
        <v>0</v>
      </c>
      <c r="EF35" s="3">
        <v>13857000</v>
      </c>
      <c r="EG35" s="3">
        <v>302124800</v>
      </c>
      <c r="EH35" s="3">
        <v>0</v>
      </c>
      <c r="EI35" s="3">
        <v>283548487.81999999</v>
      </c>
      <c r="EJ35" s="3">
        <v>0</v>
      </c>
      <c r="EK35" s="3">
        <v>13833300</v>
      </c>
      <c r="EL35" s="3">
        <v>297381787.81999999</v>
      </c>
      <c r="EM35" s="3">
        <v>0</v>
      </c>
      <c r="EN35" s="3">
        <v>205308031.38999999</v>
      </c>
      <c r="EO35" s="3">
        <v>0</v>
      </c>
      <c r="EP35" s="3">
        <v>12204360.699999999</v>
      </c>
      <c r="EQ35" s="3">
        <v>217512392.09000003</v>
      </c>
      <c r="ER35" s="3">
        <v>0</v>
      </c>
      <c r="ES35" s="3">
        <v>535370000</v>
      </c>
      <c r="ET35" s="3">
        <v>0</v>
      </c>
      <c r="EU35" s="3">
        <v>75899000</v>
      </c>
      <c r="EV35" s="3">
        <v>611269000</v>
      </c>
      <c r="EW35" s="3">
        <v>0</v>
      </c>
      <c r="EX35" s="3">
        <v>535370000</v>
      </c>
      <c r="EY35" s="3">
        <v>0</v>
      </c>
      <c r="EZ35" s="3">
        <v>75899000</v>
      </c>
      <c r="FA35" s="3">
        <v>611269000</v>
      </c>
      <c r="FB35" s="3">
        <v>0</v>
      </c>
      <c r="FC35" s="3">
        <v>535370000</v>
      </c>
      <c r="FD35" s="3">
        <v>0</v>
      </c>
      <c r="FE35" s="3">
        <v>75899000</v>
      </c>
      <c r="FF35" s="3">
        <v>611269000</v>
      </c>
      <c r="FG35" s="3">
        <v>0</v>
      </c>
      <c r="FH35" s="3">
        <v>519195576</v>
      </c>
      <c r="FI35" s="3">
        <v>0</v>
      </c>
      <c r="FJ35" s="3">
        <v>75899000</v>
      </c>
      <c r="FK35" s="3">
        <v>595094576</v>
      </c>
      <c r="FL35" s="3">
        <v>0</v>
      </c>
      <c r="FM35" s="3">
        <v>519195576</v>
      </c>
      <c r="FN35" s="3">
        <v>0</v>
      </c>
      <c r="FO35" s="3">
        <v>75899000</v>
      </c>
      <c r="FP35" s="3">
        <v>595094576</v>
      </c>
      <c r="FQ35" s="3">
        <v>0</v>
      </c>
      <c r="FR35" s="3">
        <v>516326419.02999997</v>
      </c>
      <c r="FS35" s="3">
        <v>0</v>
      </c>
      <c r="FT35" s="3">
        <v>75899000</v>
      </c>
      <c r="FU35" s="3">
        <v>592225419.02999997</v>
      </c>
      <c r="FV35" s="3">
        <v>0</v>
      </c>
      <c r="FW35" s="3">
        <v>455474639.25999999</v>
      </c>
      <c r="FX35" s="3">
        <v>0</v>
      </c>
      <c r="FY35" s="3">
        <v>70022251.230000004</v>
      </c>
      <c r="FZ35" s="3">
        <v>525496890.49000001</v>
      </c>
      <c r="GA35" s="3">
        <v>0</v>
      </c>
      <c r="GB35" s="3">
        <v>469275000</v>
      </c>
      <c r="GC35" s="3">
        <v>0</v>
      </c>
      <c r="GD35" s="3">
        <v>59766000</v>
      </c>
      <c r="GE35" s="3">
        <v>529041000</v>
      </c>
      <c r="GF35" s="3">
        <v>0</v>
      </c>
      <c r="GG35" s="3">
        <v>469275000</v>
      </c>
      <c r="GH35" s="3">
        <v>0</v>
      </c>
      <c r="GI35" s="3">
        <v>59766000</v>
      </c>
      <c r="GJ35" s="3">
        <v>529041000</v>
      </c>
      <c r="GK35" s="3">
        <v>0</v>
      </c>
      <c r="GL35" s="3">
        <v>469275000</v>
      </c>
      <c r="GM35" s="3">
        <v>0</v>
      </c>
      <c r="GN35" s="3">
        <v>59766000</v>
      </c>
      <c r="GO35" s="3">
        <v>529041000</v>
      </c>
      <c r="GP35" s="3">
        <v>0</v>
      </c>
      <c r="GQ35" s="3">
        <v>466168974</v>
      </c>
      <c r="GR35" s="3">
        <v>0</v>
      </c>
      <c r="GS35" s="3">
        <v>59766000</v>
      </c>
      <c r="GT35" s="3">
        <v>525934974</v>
      </c>
      <c r="GU35" s="3">
        <v>0</v>
      </c>
      <c r="GV35" s="3">
        <v>466168974</v>
      </c>
      <c r="GW35" s="3">
        <v>0</v>
      </c>
      <c r="GX35" s="3">
        <v>59766000</v>
      </c>
      <c r="GY35" s="3">
        <v>525934974</v>
      </c>
      <c r="GZ35" s="3">
        <v>0</v>
      </c>
      <c r="HA35" s="3">
        <v>462022240.25999999</v>
      </c>
      <c r="HB35" s="3">
        <v>0</v>
      </c>
      <c r="HC35" s="3">
        <v>58240999.990000002</v>
      </c>
      <c r="HD35" s="3">
        <v>520263240.25</v>
      </c>
      <c r="HE35" s="3">
        <v>0</v>
      </c>
      <c r="HF35" s="3">
        <v>422536647.14999998</v>
      </c>
      <c r="HG35" s="3">
        <v>0</v>
      </c>
      <c r="HH35" s="3">
        <v>48987776.329999998</v>
      </c>
      <c r="HI35" s="3">
        <v>471524423.48000002</v>
      </c>
      <c r="HJ35" s="3">
        <v>0</v>
      </c>
      <c r="HK35" s="3">
        <v>656761000</v>
      </c>
      <c r="HL35" s="3">
        <v>0</v>
      </c>
      <c r="HM35" s="3">
        <v>48090000</v>
      </c>
      <c r="HN35" s="3">
        <v>704851000</v>
      </c>
      <c r="HO35" s="3">
        <v>0</v>
      </c>
      <c r="HP35" s="3">
        <v>654611000</v>
      </c>
      <c r="HQ35" s="3">
        <v>0</v>
      </c>
      <c r="HR35" s="3">
        <v>50240000</v>
      </c>
      <c r="HS35" s="3">
        <v>704851000</v>
      </c>
      <c r="HT35" s="3">
        <v>0</v>
      </c>
      <c r="HU35" s="3">
        <v>654611000</v>
      </c>
      <c r="HV35" s="3">
        <v>0</v>
      </c>
      <c r="HW35" s="3">
        <v>50240000</v>
      </c>
      <c r="HX35" s="3">
        <v>704851000</v>
      </c>
      <c r="HY35" s="3">
        <v>0</v>
      </c>
      <c r="HZ35" s="3">
        <v>639433156</v>
      </c>
      <c r="IA35" s="3">
        <v>0</v>
      </c>
      <c r="IB35" s="3">
        <v>58240000</v>
      </c>
      <c r="IC35" s="3">
        <v>697673156</v>
      </c>
      <c r="ID35" s="3">
        <v>0</v>
      </c>
      <c r="IE35" s="3">
        <v>639433156</v>
      </c>
      <c r="IF35" s="3">
        <v>0</v>
      </c>
      <c r="IG35" s="3">
        <v>58240000</v>
      </c>
      <c r="IH35" s="3">
        <v>697673156</v>
      </c>
      <c r="II35" s="3">
        <v>0</v>
      </c>
      <c r="IJ35" s="3">
        <v>584940154.07000005</v>
      </c>
      <c r="IK35" s="3">
        <v>0</v>
      </c>
      <c r="IL35" s="3">
        <v>58240000</v>
      </c>
      <c r="IM35" s="6">
        <v>643180154.07000005</v>
      </c>
      <c r="IN35" s="3">
        <v>0</v>
      </c>
      <c r="IO35" s="3">
        <v>461460174.83000004</v>
      </c>
      <c r="IP35" s="3">
        <v>0</v>
      </c>
      <c r="IQ35" s="3">
        <v>39009386.280000001</v>
      </c>
      <c r="IR35" s="6">
        <v>500469561.11000001</v>
      </c>
      <c r="IS35" s="3">
        <v>0</v>
      </c>
      <c r="IT35" s="3">
        <v>425785000</v>
      </c>
      <c r="IU35" s="3">
        <v>0</v>
      </c>
      <c r="IV35" s="3">
        <v>37415000</v>
      </c>
      <c r="IW35" s="3">
        <v>463200000</v>
      </c>
      <c r="IX35" s="3">
        <v>0</v>
      </c>
      <c r="IY35" s="3">
        <v>425785000</v>
      </c>
      <c r="IZ35" s="3">
        <v>0</v>
      </c>
      <c r="JA35" s="3">
        <v>37415000</v>
      </c>
      <c r="JB35" s="3">
        <v>463200000</v>
      </c>
      <c r="JC35" s="3">
        <v>0</v>
      </c>
      <c r="JD35" s="3">
        <v>425785000</v>
      </c>
      <c r="JE35" s="3">
        <v>0</v>
      </c>
      <c r="JF35" s="3">
        <v>37415000</v>
      </c>
      <c r="JG35" s="3">
        <v>463200000</v>
      </c>
      <c r="JH35" s="3">
        <v>0</v>
      </c>
      <c r="JI35" s="3">
        <v>419191802</v>
      </c>
      <c r="JJ35" s="3">
        <v>0</v>
      </c>
      <c r="JK35" s="3">
        <v>37415000</v>
      </c>
      <c r="JL35" s="3">
        <v>456606802</v>
      </c>
      <c r="JM35" s="3">
        <v>0</v>
      </c>
      <c r="JN35" s="3">
        <v>419191802</v>
      </c>
      <c r="JO35" s="3">
        <v>0</v>
      </c>
      <c r="JP35" s="3">
        <v>37415000</v>
      </c>
      <c r="JQ35" s="3">
        <v>456606802</v>
      </c>
      <c r="JR35" s="3">
        <v>0</v>
      </c>
      <c r="JS35" s="3">
        <v>361450949.73000002</v>
      </c>
      <c r="JT35" s="3">
        <v>0</v>
      </c>
      <c r="JU35" s="3">
        <v>37415000</v>
      </c>
      <c r="JV35" s="3">
        <v>398865949.73000002</v>
      </c>
      <c r="JW35" s="3">
        <v>0</v>
      </c>
      <c r="JX35" s="3">
        <v>256602351.27000001</v>
      </c>
      <c r="JY35" s="3">
        <v>0</v>
      </c>
      <c r="JZ35" s="3">
        <v>33734826</v>
      </c>
      <c r="KA35" s="3">
        <v>290337177.26999998</v>
      </c>
      <c r="KB35" s="3">
        <v>0</v>
      </c>
      <c r="KC35" s="3">
        <v>450527000</v>
      </c>
      <c r="KD35" s="3">
        <v>0</v>
      </c>
      <c r="KE35" s="3">
        <v>10680000</v>
      </c>
      <c r="KF35" s="3">
        <v>461207000</v>
      </c>
      <c r="KG35" s="3">
        <v>0</v>
      </c>
      <c r="KH35" s="3">
        <v>450527000</v>
      </c>
      <c r="KI35" s="3">
        <v>0</v>
      </c>
      <c r="KJ35" s="3">
        <v>10680000</v>
      </c>
      <c r="KK35" s="3">
        <v>461207000</v>
      </c>
      <c r="KL35" s="3"/>
      <c r="KM35" s="3"/>
      <c r="KN35" s="3"/>
      <c r="KO35" s="3"/>
      <c r="KP35" s="3"/>
      <c r="KQ35" s="3"/>
      <c r="KR35" s="3"/>
      <c r="KS35" s="3"/>
      <c r="KT35" s="3"/>
      <c r="KU35" s="3"/>
      <c r="KV35" s="3"/>
      <c r="KW35" s="3"/>
      <c r="KX35" s="3"/>
      <c r="KY35" s="3"/>
      <c r="KZ35" s="3"/>
      <c r="LA35" s="3"/>
      <c r="LB35" s="3"/>
      <c r="LC35" s="3"/>
      <c r="LD35" s="3"/>
      <c r="LE35" s="3"/>
      <c r="LF35" s="3"/>
      <c r="LG35" s="3"/>
      <c r="LH35" s="3"/>
      <c r="LI35" s="3"/>
      <c r="LJ35" s="3"/>
    </row>
    <row r="36" spans="1:327" x14ac:dyDescent="0.25">
      <c r="A36" t="s">
        <v>943</v>
      </c>
      <c r="B36" t="s">
        <v>944</v>
      </c>
      <c r="C36" t="s">
        <v>199</v>
      </c>
      <c r="D36" t="s">
        <v>200</v>
      </c>
      <c r="E36" t="s">
        <v>217</v>
      </c>
      <c r="F36" t="s">
        <v>956</v>
      </c>
      <c r="G36" t="s">
        <v>1031</v>
      </c>
      <c r="H36" s="3">
        <v>0</v>
      </c>
      <c r="I36" s="3">
        <v>381385000</v>
      </c>
      <c r="J36" s="3">
        <v>0</v>
      </c>
      <c r="K36" s="3">
        <v>3725000</v>
      </c>
      <c r="L36" s="3">
        <v>385110000</v>
      </c>
      <c r="M36" s="3">
        <v>0</v>
      </c>
      <c r="N36" s="3">
        <v>391385000</v>
      </c>
      <c r="O36" s="3">
        <v>0</v>
      </c>
      <c r="P36" s="3">
        <v>3725000</v>
      </c>
      <c r="Q36" s="3">
        <v>395110000</v>
      </c>
      <c r="R36" s="3">
        <v>0</v>
      </c>
      <c r="S36" s="3">
        <v>391385000</v>
      </c>
      <c r="T36" s="3">
        <v>0</v>
      </c>
      <c r="U36" s="3">
        <v>3725000</v>
      </c>
      <c r="V36" s="3">
        <v>395110000</v>
      </c>
      <c r="W36" s="3">
        <v>0</v>
      </c>
      <c r="X36" s="3">
        <v>390623586</v>
      </c>
      <c r="Y36" s="3">
        <v>0</v>
      </c>
      <c r="Z36" s="3">
        <v>3725000</v>
      </c>
      <c r="AA36" s="3">
        <v>394348586</v>
      </c>
      <c r="AB36" s="3">
        <v>0</v>
      </c>
      <c r="AC36" s="3">
        <v>390623586</v>
      </c>
      <c r="AD36" s="3">
        <v>0</v>
      </c>
      <c r="AE36" s="3">
        <v>3725000</v>
      </c>
      <c r="AF36" s="3">
        <v>394348586</v>
      </c>
      <c r="AG36" s="3">
        <v>0</v>
      </c>
      <c r="AH36" s="3">
        <v>380457544.89999998</v>
      </c>
      <c r="AI36" s="3">
        <v>0</v>
      </c>
      <c r="AJ36" s="3">
        <v>3717155</v>
      </c>
      <c r="AK36" s="3">
        <v>384174699.89999998</v>
      </c>
      <c r="AL36" s="3">
        <v>0</v>
      </c>
      <c r="AM36" s="3">
        <v>315670065.63999999</v>
      </c>
      <c r="AN36" s="3">
        <v>0</v>
      </c>
      <c r="AO36" s="3">
        <v>2373883.4700000002</v>
      </c>
      <c r="AP36" s="3">
        <v>318043949.11000001</v>
      </c>
      <c r="AQ36" s="3">
        <v>0</v>
      </c>
      <c r="AR36" s="3">
        <v>483769000</v>
      </c>
      <c r="AS36" s="3">
        <v>0</v>
      </c>
      <c r="AT36" s="3">
        <v>180000</v>
      </c>
      <c r="AU36" s="3">
        <v>483949000</v>
      </c>
      <c r="AV36" s="3">
        <v>0</v>
      </c>
      <c r="AW36" s="3">
        <v>483769000</v>
      </c>
      <c r="AX36" s="3">
        <v>0</v>
      </c>
      <c r="AY36" s="3">
        <v>180000</v>
      </c>
      <c r="AZ36" s="3">
        <v>483949000</v>
      </c>
      <c r="BA36" s="3">
        <v>0</v>
      </c>
      <c r="BB36" s="3">
        <v>483769000</v>
      </c>
      <c r="BC36" s="3">
        <v>0</v>
      </c>
      <c r="BD36" s="3">
        <v>180000</v>
      </c>
      <c r="BE36" s="3">
        <v>483949000</v>
      </c>
      <c r="BF36" s="3">
        <v>0</v>
      </c>
      <c r="BG36" s="3">
        <v>481198450</v>
      </c>
      <c r="BH36" s="3">
        <v>0</v>
      </c>
      <c r="BI36" s="3">
        <v>180000</v>
      </c>
      <c r="BJ36" s="3">
        <v>481378450</v>
      </c>
      <c r="BK36" s="3">
        <v>0</v>
      </c>
      <c r="BL36" s="3">
        <v>481198450</v>
      </c>
      <c r="BM36" s="3">
        <v>0</v>
      </c>
      <c r="BN36" s="3">
        <v>180000</v>
      </c>
      <c r="BO36" s="3">
        <v>481378450</v>
      </c>
      <c r="BP36" s="3">
        <v>0</v>
      </c>
      <c r="BQ36" s="3">
        <v>468715022.45999998</v>
      </c>
      <c r="BR36" s="3">
        <v>0</v>
      </c>
      <c r="BS36" s="3">
        <v>174457</v>
      </c>
      <c r="BT36" s="3">
        <v>468889479.45999998</v>
      </c>
      <c r="BU36" s="3">
        <v>0</v>
      </c>
      <c r="BV36" s="3">
        <v>375004609.13</v>
      </c>
      <c r="BW36" s="3">
        <v>0</v>
      </c>
      <c r="BX36" s="3">
        <v>141593.74</v>
      </c>
      <c r="BY36" s="3">
        <v>375146202.87</v>
      </c>
      <c r="BZ36" s="3">
        <v>0</v>
      </c>
      <c r="CA36" s="3">
        <v>430165000</v>
      </c>
      <c r="CB36" s="3">
        <v>0</v>
      </c>
      <c r="CC36" s="3">
        <v>300000</v>
      </c>
      <c r="CD36" s="3">
        <v>430465000</v>
      </c>
      <c r="CE36" s="3">
        <v>0</v>
      </c>
      <c r="CF36" s="3">
        <v>381335000</v>
      </c>
      <c r="CG36" s="3">
        <v>0</v>
      </c>
      <c r="CH36" s="3">
        <v>300000</v>
      </c>
      <c r="CI36" s="3">
        <v>381635000</v>
      </c>
      <c r="CJ36" s="3">
        <v>0</v>
      </c>
      <c r="CK36" s="3">
        <v>381335000</v>
      </c>
      <c r="CL36" s="3">
        <v>0</v>
      </c>
      <c r="CM36" s="3">
        <v>300000</v>
      </c>
      <c r="CN36" s="3">
        <v>381635000</v>
      </c>
      <c r="CO36" s="3">
        <v>0</v>
      </c>
      <c r="CP36" s="3">
        <v>345079565</v>
      </c>
      <c r="CQ36" s="3">
        <v>0</v>
      </c>
      <c r="CR36" s="3">
        <v>300000</v>
      </c>
      <c r="CS36" s="3">
        <v>345379565</v>
      </c>
      <c r="CT36" s="3">
        <v>0</v>
      </c>
      <c r="CU36" s="3">
        <v>345079565</v>
      </c>
      <c r="CV36" s="3">
        <v>0</v>
      </c>
      <c r="CW36" s="3">
        <v>300000</v>
      </c>
      <c r="CX36" s="3">
        <v>345379565</v>
      </c>
      <c r="CY36" s="3">
        <v>0</v>
      </c>
      <c r="CZ36" s="3">
        <v>329172219.05000001</v>
      </c>
      <c r="DA36" s="3">
        <v>0</v>
      </c>
      <c r="DB36" s="3">
        <v>299400</v>
      </c>
      <c r="DC36" s="3">
        <v>329471619.05000001</v>
      </c>
      <c r="DD36" s="3">
        <v>0</v>
      </c>
      <c r="DE36" s="10">
        <v>250470983.41999999</v>
      </c>
      <c r="DF36" s="3">
        <v>0</v>
      </c>
      <c r="DG36" s="3">
        <v>0</v>
      </c>
      <c r="DH36" s="10">
        <v>250470983.41999999</v>
      </c>
      <c r="DI36" s="3">
        <v>0</v>
      </c>
      <c r="DJ36" s="3">
        <v>303663000</v>
      </c>
      <c r="DK36" s="3">
        <v>0</v>
      </c>
      <c r="DL36" s="3">
        <v>50000</v>
      </c>
      <c r="DM36" s="3">
        <v>303713000</v>
      </c>
      <c r="DN36" s="3">
        <v>0</v>
      </c>
      <c r="DO36" s="3">
        <v>303663000</v>
      </c>
      <c r="DP36" s="3">
        <v>0</v>
      </c>
      <c r="DQ36" s="3">
        <v>50000</v>
      </c>
      <c r="DR36" s="3">
        <v>303713000</v>
      </c>
      <c r="DS36" s="3">
        <v>0</v>
      </c>
      <c r="DT36" s="3">
        <v>303663000</v>
      </c>
      <c r="DU36" s="3">
        <v>0</v>
      </c>
      <c r="DV36" s="3">
        <v>50000</v>
      </c>
      <c r="DW36" s="3">
        <v>303713000</v>
      </c>
      <c r="DX36" s="3">
        <v>0</v>
      </c>
      <c r="DY36" s="3">
        <v>299398196</v>
      </c>
      <c r="DZ36" s="3">
        <v>0</v>
      </c>
      <c r="EA36" s="3">
        <v>50000</v>
      </c>
      <c r="EB36" s="3">
        <v>299448196</v>
      </c>
      <c r="EC36" s="3">
        <v>0</v>
      </c>
      <c r="ED36" s="3">
        <v>299398196</v>
      </c>
      <c r="EE36" s="3">
        <v>0</v>
      </c>
      <c r="EF36" s="3">
        <v>50000</v>
      </c>
      <c r="EG36" s="3">
        <v>299448196</v>
      </c>
      <c r="EH36" s="3">
        <v>0</v>
      </c>
      <c r="EI36" s="3">
        <v>279717659.53999996</v>
      </c>
      <c r="EJ36" s="3">
        <v>0</v>
      </c>
      <c r="EK36" s="3">
        <v>44000</v>
      </c>
      <c r="EL36" s="3">
        <v>279761659.53999996</v>
      </c>
      <c r="EM36" s="3">
        <v>0</v>
      </c>
      <c r="EN36" s="3">
        <v>199496633.84999999</v>
      </c>
      <c r="EO36" s="3">
        <v>0</v>
      </c>
      <c r="EP36" s="3">
        <v>44000</v>
      </c>
      <c r="EQ36" s="3">
        <v>199540633.84999999</v>
      </c>
      <c r="ER36" s="3">
        <v>0</v>
      </c>
      <c r="ES36" s="3">
        <v>286553000</v>
      </c>
      <c r="ET36" s="3">
        <v>0</v>
      </c>
      <c r="EU36" s="3">
        <v>30000</v>
      </c>
      <c r="EV36" s="3">
        <v>286583000</v>
      </c>
      <c r="EW36" s="3">
        <v>0</v>
      </c>
      <c r="EX36" s="3">
        <v>286553000</v>
      </c>
      <c r="EY36" s="3">
        <v>0</v>
      </c>
      <c r="EZ36" s="3">
        <v>30000</v>
      </c>
      <c r="FA36" s="3">
        <v>286583000</v>
      </c>
      <c r="FB36" s="3">
        <v>0</v>
      </c>
      <c r="FC36" s="3">
        <v>286553000</v>
      </c>
      <c r="FD36" s="3">
        <v>0</v>
      </c>
      <c r="FE36" s="3">
        <v>30000</v>
      </c>
      <c r="FF36" s="3">
        <v>286583000</v>
      </c>
      <c r="FG36" s="3">
        <v>0</v>
      </c>
      <c r="FH36" s="3">
        <v>280819984</v>
      </c>
      <c r="FI36" s="3">
        <v>0</v>
      </c>
      <c r="FJ36" s="3">
        <v>30000</v>
      </c>
      <c r="FK36" s="3">
        <v>280849984</v>
      </c>
      <c r="FL36" s="3">
        <v>0</v>
      </c>
      <c r="FM36" s="3">
        <v>280819984</v>
      </c>
      <c r="FN36" s="3">
        <v>0</v>
      </c>
      <c r="FO36" s="3">
        <v>30000</v>
      </c>
      <c r="FP36" s="3">
        <v>280849984</v>
      </c>
      <c r="FQ36" s="3">
        <v>0</v>
      </c>
      <c r="FR36" s="3">
        <v>272587480.24000001</v>
      </c>
      <c r="FS36" s="3">
        <v>0</v>
      </c>
      <c r="FT36" s="3">
        <v>29485</v>
      </c>
      <c r="FU36" s="3">
        <v>272616965.24000001</v>
      </c>
      <c r="FV36" s="3">
        <v>0</v>
      </c>
      <c r="FW36" s="3">
        <v>209719350.52000001</v>
      </c>
      <c r="FX36" s="3">
        <v>0</v>
      </c>
      <c r="FY36" s="3">
        <v>29485</v>
      </c>
      <c r="FZ36" s="3">
        <v>209748835.52000001</v>
      </c>
      <c r="GA36" s="3">
        <v>0</v>
      </c>
      <c r="GB36" s="3">
        <v>304846000</v>
      </c>
      <c r="GC36" s="3">
        <v>0</v>
      </c>
      <c r="GD36" s="3">
        <v>100000</v>
      </c>
      <c r="GE36" s="3">
        <v>304946000</v>
      </c>
      <c r="GF36" s="3">
        <v>0</v>
      </c>
      <c r="GG36" s="3">
        <v>304846000</v>
      </c>
      <c r="GH36" s="3">
        <v>0</v>
      </c>
      <c r="GI36" s="3">
        <v>100000</v>
      </c>
      <c r="GJ36" s="3">
        <v>304946000</v>
      </c>
      <c r="GK36" s="3">
        <v>0</v>
      </c>
      <c r="GL36" s="3">
        <v>304846000</v>
      </c>
      <c r="GM36" s="3">
        <v>0</v>
      </c>
      <c r="GN36" s="3">
        <v>100000</v>
      </c>
      <c r="GO36" s="3">
        <v>304946000</v>
      </c>
      <c r="GP36" s="3">
        <v>0</v>
      </c>
      <c r="GQ36" s="3">
        <v>302538507</v>
      </c>
      <c r="GR36" s="3">
        <v>0</v>
      </c>
      <c r="GS36" s="3">
        <v>100000</v>
      </c>
      <c r="GT36" s="3">
        <v>302638507</v>
      </c>
      <c r="GU36" s="3">
        <v>0</v>
      </c>
      <c r="GV36" s="3">
        <v>302538507</v>
      </c>
      <c r="GW36" s="3">
        <v>0</v>
      </c>
      <c r="GX36" s="3">
        <v>100000</v>
      </c>
      <c r="GY36" s="3">
        <v>302638507</v>
      </c>
      <c r="GZ36" s="3">
        <v>0</v>
      </c>
      <c r="HA36" s="3">
        <v>291735182.52999997</v>
      </c>
      <c r="HB36" s="3">
        <v>0</v>
      </c>
      <c r="HC36" s="3">
        <v>89000</v>
      </c>
      <c r="HD36" s="3">
        <v>291824182.52999997</v>
      </c>
      <c r="HE36" s="3">
        <v>0</v>
      </c>
      <c r="HF36" s="3">
        <v>248730447.65000001</v>
      </c>
      <c r="HG36" s="3">
        <v>0</v>
      </c>
      <c r="HH36" s="3">
        <v>89000</v>
      </c>
      <c r="HI36" s="3">
        <v>248819447.65000001</v>
      </c>
      <c r="HJ36" s="3">
        <v>0</v>
      </c>
      <c r="HK36" s="3">
        <v>310333000</v>
      </c>
      <c r="HL36" s="3">
        <v>0</v>
      </c>
      <c r="HM36" s="3">
        <v>0</v>
      </c>
      <c r="HN36" s="3">
        <v>310333000</v>
      </c>
      <c r="HO36" s="3">
        <v>0</v>
      </c>
      <c r="HP36" s="3">
        <v>343891000</v>
      </c>
      <c r="HQ36" s="3">
        <v>0</v>
      </c>
      <c r="HR36" s="3">
        <v>0</v>
      </c>
      <c r="HS36" s="3">
        <v>343891000</v>
      </c>
      <c r="HT36" s="3">
        <v>0</v>
      </c>
      <c r="HU36" s="3">
        <v>343891000</v>
      </c>
      <c r="HV36" s="3">
        <v>0</v>
      </c>
      <c r="HW36" s="3">
        <v>0</v>
      </c>
      <c r="HX36" s="3">
        <v>343891000</v>
      </c>
      <c r="HY36" s="3">
        <v>0</v>
      </c>
      <c r="HZ36" s="10">
        <v>341348679</v>
      </c>
      <c r="IA36" s="3">
        <v>0</v>
      </c>
      <c r="IB36" s="3">
        <v>0</v>
      </c>
      <c r="IC36" s="3">
        <v>341348679</v>
      </c>
      <c r="ID36" s="3">
        <v>0</v>
      </c>
      <c r="IE36" s="10">
        <v>341348679</v>
      </c>
      <c r="IF36" s="3">
        <v>0</v>
      </c>
      <c r="IG36" s="3">
        <v>0</v>
      </c>
      <c r="IH36" s="3">
        <v>341348679</v>
      </c>
      <c r="II36" s="3">
        <v>0</v>
      </c>
      <c r="IJ36" s="3">
        <v>325607372.76999998</v>
      </c>
      <c r="IK36" s="3">
        <v>0</v>
      </c>
      <c r="IL36" s="3">
        <v>0</v>
      </c>
      <c r="IM36" s="6">
        <v>325607372.76999998</v>
      </c>
      <c r="IN36" s="3">
        <v>0</v>
      </c>
      <c r="IO36" s="3">
        <v>247413823.32999998</v>
      </c>
      <c r="IP36" s="3">
        <v>0</v>
      </c>
      <c r="IQ36" s="3">
        <v>0</v>
      </c>
      <c r="IR36" s="6">
        <v>247413823.32999998</v>
      </c>
      <c r="IS36" s="3">
        <v>0</v>
      </c>
      <c r="IT36" s="3">
        <v>408742000</v>
      </c>
      <c r="IU36" s="3">
        <v>0</v>
      </c>
      <c r="IV36" s="3">
        <v>300000</v>
      </c>
      <c r="IW36" s="3">
        <v>409042000</v>
      </c>
      <c r="IX36" s="3">
        <v>0</v>
      </c>
      <c r="IY36" s="3">
        <v>408742000</v>
      </c>
      <c r="IZ36" s="3">
        <v>0</v>
      </c>
      <c r="JA36" s="3">
        <v>300000</v>
      </c>
      <c r="JB36" s="3">
        <v>409042000</v>
      </c>
      <c r="JC36" s="3">
        <v>0</v>
      </c>
      <c r="JD36" s="3">
        <v>408742000</v>
      </c>
      <c r="JE36" s="3">
        <v>0</v>
      </c>
      <c r="JF36" s="3">
        <v>300000</v>
      </c>
      <c r="JG36" s="3">
        <v>409042000</v>
      </c>
      <c r="JH36" s="3">
        <v>0</v>
      </c>
      <c r="JI36" s="3">
        <v>402962370</v>
      </c>
      <c r="JJ36" s="3">
        <v>0</v>
      </c>
      <c r="JK36" s="3">
        <v>300000</v>
      </c>
      <c r="JL36" s="3">
        <v>403262370</v>
      </c>
      <c r="JM36" s="3">
        <v>0</v>
      </c>
      <c r="JN36" s="3">
        <v>402962370</v>
      </c>
      <c r="JO36" s="3">
        <v>0</v>
      </c>
      <c r="JP36" s="3">
        <v>300000</v>
      </c>
      <c r="JQ36" s="3">
        <v>403262370</v>
      </c>
      <c r="JR36" s="3">
        <v>0</v>
      </c>
      <c r="JS36" s="3">
        <v>370416749.57999998</v>
      </c>
      <c r="JT36" s="3">
        <v>0</v>
      </c>
      <c r="JU36" s="3">
        <v>299000</v>
      </c>
      <c r="JV36" s="3">
        <v>370715749.57999998</v>
      </c>
      <c r="JW36" s="3">
        <v>0</v>
      </c>
      <c r="JX36" s="3">
        <v>273811826.42000002</v>
      </c>
      <c r="JY36" s="3">
        <v>0</v>
      </c>
      <c r="JZ36" s="3">
        <v>287040</v>
      </c>
      <c r="KA36" s="3">
        <v>274098866.42000002</v>
      </c>
      <c r="KB36" s="3">
        <v>0</v>
      </c>
      <c r="KC36" s="3">
        <v>418198000</v>
      </c>
      <c r="KD36" s="3">
        <v>0</v>
      </c>
      <c r="KE36" s="3">
        <v>0</v>
      </c>
      <c r="KF36" s="3">
        <v>418198000</v>
      </c>
      <c r="KG36" s="3">
        <v>0</v>
      </c>
      <c r="KH36" s="3">
        <v>418198000</v>
      </c>
      <c r="KI36" s="3">
        <v>0</v>
      </c>
      <c r="KJ36" s="3">
        <v>0</v>
      </c>
      <c r="KK36" s="3">
        <v>418198000</v>
      </c>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v>0</v>
      </c>
      <c r="LL36" s="3">
        <v>345306000</v>
      </c>
      <c r="LM36">
        <v>0</v>
      </c>
      <c r="LN36">
        <v>0</v>
      </c>
      <c r="LO36" s="3">
        <v>345306000</v>
      </c>
    </row>
    <row r="37" spans="1:327" x14ac:dyDescent="0.25">
      <c r="A37" t="s">
        <v>943</v>
      </c>
      <c r="B37" t="s">
        <v>944</v>
      </c>
      <c r="C37" t="s">
        <v>199</v>
      </c>
      <c r="D37" t="s">
        <v>200</v>
      </c>
      <c r="E37" t="s">
        <v>217</v>
      </c>
      <c r="F37" t="s">
        <v>957</v>
      </c>
      <c r="G37" t="s">
        <v>1032</v>
      </c>
      <c r="H37" s="3">
        <v>0</v>
      </c>
      <c r="I37" s="3">
        <v>417287000</v>
      </c>
      <c r="J37" s="3">
        <v>0</v>
      </c>
      <c r="K37" s="3">
        <v>6300000</v>
      </c>
      <c r="L37" s="3">
        <v>423587000</v>
      </c>
      <c r="M37" s="3">
        <v>0</v>
      </c>
      <c r="N37" s="3">
        <v>429737000</v>
      </c>
      <c r="O37" s="3">
        <v>0</v>
      </c>
      <c r="P37" s="3">
        <v>6300000</v>
      </c>
      <c r="Q37" s="3">
        <v>436037000</v>
      </c>
      <c r="R37" s="3">
        <v>0</v>
      </c>
      <c r="S37" s="3">
        <v>429737000</v>
      </c>
      <c r="T37" s="3">
        <v>0</v>
      </c>
      <c r="U37" s="3">
        <v>6300000</v>
      </c>
      <c r="V37" s="3">
        <v>436037000</v>
      </c>
      <c r="W37" s="3">
        <v>0</v>
      </c>
      <c r="X37" s="3">
        <v>429365427</v>
      </c>
      <c r="Y37" s="3">
        <v>0</v>
      </c>
      <c r="Z37" s="3">
        <v>6300000</v>
      </c>
      <c r="AA37" s="3">
        <v>435665427</v>
      </c>
      <c r="AB37" s="3">
        <v>0</v>
      </c>
      <c r="AC37" s="3">
        <v>429365427</v>
      </c>
      <c r="AD37" s="3">
        <v>0</v>
      </c>
      <c r="AE37" s="3">
        <v>6300000</v>
      </c>
      <c r="AF37" s="3">
        <v>435665427</v>
      </c>
      <c r="AG37" s="3">
        <v>0</v>
      </c>
      <c r="AH37" s="3">
        <v>416216611.50999999</v>
      </c>
      <c r="AI37" s="3">
        <v>0</v>
      </c>
      <c r="AJ37" s="3">
        <v>5721413.2800000003</v>
      </c>
      <c r="AK37" s="3">
        <v>421938024.79000002</v>
      </c>
      <c r="AL37" s="3">
        <v>0</v>
      </c>
      <c r="AM37" s="3">
        <v>329772675.85000002</v>
      </c>
      <c r="AN37" s="3">
        <v>0</v>
      </c>
      <c r="AO37" s="3">
        <v>2884342.1399999997</v>
      </c>
      <c r="AP37" s="3">
        <v>332657017.99000001</v>
      </c>
      <c r="AQ37" s="3">
        <v>0</v>
      </c>
      <c r="AR37" s="3">
        <v>392641000</v>
      </c>
      <c r="AS37" s="3">
        <v>0</v>
      </c>
      <c r="AT37" s="3">
        <v>0</v>
      </c>
      <c r="AU37" s="3">
        <v>392641000</v>
      </c>
      <c r="AV37" s="3">
        <v>0</v>
      </c>
      <c r="AW37" s="3">
        <v>392641000</v>
      </c>
      <c r="AX37" s="3">
        <v>0</v>
      </c>
      <c r="AY37" s="3">
        <v>0</v>
      </c>
      <c r="AZ37" s="3">
        <v>392641000</v>
      </c>
      <c r="BA37" s="3">
        <v>0</v>
      </c>
      <c r="BB37" s="3">
        <v>392641000</v>
      </c>
      <c r="BC37" s="3">
        <v>0</v>
      </c>
      <c r="BD37" s="3">
        <v>0</v>
      </c>
      <c r="BE37" s="3">
        <v>392641000</v>
      </c>
      <c r="BF37" s="3">
        <v>0</v>
      </c>
      <c r="BG37" s="3">
        <v>388534155</v>
      </c>
      <c r="BH37" s="3">
        <v>0</v>
      </c>
      <c r="BI37" s="3">
        <v>0</v>
      </c>
      <c r="BJ37" s="3">
        <v>388534155</v>
      </c>
      <c r="BK37" s="3">
        <v>0</v>
      </c>
      <c r="BL37" s="3">
        <v>388534155</v>
      </c>
      <c r="BM37" s="3">
        <v>0</v>
      </c>
      <c r="BN37" s="3">
        <v>0</v>
      </c>
      <c r="BO37" s="3">
        <v>388534155</v>
      </c>
      <c r="BP37" s="3">
        <v>0</v>
      </c>
      <c r="BQ37" s="3">
        <v>378951521.74000001</v>
      </c>
      <c r="BR37" s="3">
        <v>0</v>
      </c>
      <c r="BS37" s="3">
        <v>0</v>
      </c>
      <c r="BT37" s="3">
        <v>378951521.74000001</v>
      </c>
      <c r="BU37" s="3">
        <v>0</v>
      </c>
      <c r="BV37" s="10">
        <v>316198082.18000001</v>
      </c>
      <c r="BW37" s="3">
        <v>0</v>
      </c>
      <c r="BX37" s="3">
        <v>0</v>
      </c>
      <c r="BY37" s="3">
        <v>316198082.18000001</v>
      </c>
      <c r="BZ37" s="3">
        <v>0</v>
      </c>
      <c r="CA37" s="3">
        <v>387118000</v>
      </c>
      <c r="CB37" s="3">
        <v>0</v>
      </c>
      <c r="CC37" s="3">
        <v>0</v>
      </c>
      <c r="CD37" s="3">
        <v>387118000</v>
      </c>
      <c r="CE37" s="3">
        <v>0</v>
      </c>
      <c r="CF37" s="3">
        <v>366728000</v>
      </c>
      <c r="CG37" s="3">
        <v>0</v>
      </c>
      <c r="CH37" s="3">
        <v>0</v>
      </c>
      <c r="CI37" s="3">
        <v>366728000</v>
      </c>
      <c r="CJ37" s="3">
        <v>0</v>
      </c>
      <c r="CK37" s="3">
        <v>366728000</v>
      </c>
      <c r="CL37" s="3">
        <v>0</v>
      </c>
      <c r="CM37" s="3">
        <v>0</v>
      </c>
      <c r="CN37" s="3">
        <v>366728000</v>
      </c>
      <c r="CO37" s="3">
        <v>0</v>
      </c>
      <c r="CP37" s="3">
        <v>314456444</v>
      </c>
      <c r="CQ37" s="3">
        <v>0</v>
      </c>
      <c r="CR37" s="3">
        <v>0</v>
      </c>
      <c r="CS37" s="3">
        <v>314456444</v>
      </c>
      <c r="CT37" s="3">
        <v>0</v>
      </c>
      <c r="CU37" s="3">
        <v>314456444</v>
      </c>
      <c r="CV37" s="3">
        <v>0</v>
      </c>
      <c r="CW37" s="3">
        <v>0</v>
      </c>
      <c r="CX37" s="3">
        <v>314456444</v>
      </c>
      <c r="CY37" s="3">
        <v>0</v>
      </c>
      <c r="CZ37" s="3">
        <v>306174510.45000005</v>
      </c>
      <c r="DA37" s="3">
        <v>0</v>
      </c>
      <c r="DB37" s="3">
        <v>0</v>
      </c>
      <c r="DC37" s="3">
        <v>306174510.45000005</v>
      </c>
      <c r="DD37" s="3">
        <v>0</v>
      </c>
      <c r="DE37" s="10">
        <v>241147611.71000004</v>
      </c>
      <c r="DF37" s="3">
        <v>0</v>
      </c>
      <c r="DG37" s="3">
        <v>0</v>
      </c>
      <c r="DH37" s="10">
        <v>241147611.71000004</v>
      </c>
      <c r="DI37" s="3">
        <v>0</v>
      </c>
      <c r="DJ37" s="3">
        <v>378426000</v>
      </c>
      <c r="DK37" s="3">
        <v>0</v>
      </c>
      <c r="DL37" s="3">
        <v>0</v>
      </c>
      <c r="DM37" s="3">
        <v>378426000</v>
      </c>
      <c r="DN37" s="3">
        <v>0</v>
      </c>
      <c r="DO37" s="3">
        <v>361226000</v>
      </c>
      <c r="DP37" s="3">
        <v>0</v>
      </c>
      <c r="DQ37" s="3">
        <v>0</v>
      </c>
      <c r="DR37" s="3">
        <v>361226000</v>
      </c>
      <c r="DS37" s="3">
        <v>0</v>
      </c>
      <c r="DT37" s="3">
        <v>361226000</v>
      </c>
      <c r="DU37" s="3">
        <v>0</v>
      </c>
      <c r="DV37" s="3">
        <v>0</v>
      </c>
      <c r="DW37" s="3">
        <v>361226000</v>
      </c>
      <c r="DX37" s="3">
        <v>0</v>
      </c>
      <c r="DY37" s="3">
        <v>355814791</v>
      </c>
      <c r="DZ37" s="3">
        <v>0</v>
      </c>
      <c r="EA37" s="3">
        <v>0</v>
      </c>
      <c r="EB37" s="3">
        <v>355814791</v>
      </c>
      <c r="EC37" s="3">
        <v>0</v>
      </c>
      <c r="ED37" s="3">
        <v>355814791</v>
      </c>
      <c r="EE37" s="3">
        <v>0</v>
      </c>
      <c r="EF37" s="3">
        <v>0</v>
      </c>
      <c r="EG37" s="3">
        <v>355814791</v>
      </c>
      <c r="EH37" s="3">
        <v>0</v>
      </c>
      <c r="EI37" s="3">
        <v>338397919.51999998</v>
      </c>
      <c r="EJ37" s="3">
        <v>0</v>
      </c>
      <c r="EK37" s="3">
        <v>0</v>
      </c>
      <c r="EL37" s="3">
        <v>338397919.51999998</v>
      </c>
      <c r="EM37" s="3">
        <v>0</v>
      </c>
      <c r="EN37" s="3">
        <v>256015955.66</v>
      </c>
      <c r="EO37" s="3">
        <v>0</v>
      </c>
      <c r="EP37" s="3">
        <v>0</v>
      </c>
      <c r="EQ37" s="3">
        <v>256015955.66</v>
      </c>
      <c r="ER37" s="3">
        <v>0</v>
      </c>
      <c r="ES37" s="3">
        <v>378426000</v>
      </c>
      <c r="ET37" s="3">
        <v>0</v>
      </c>
      <c r="EU37" s="3">
        <v>0</v>
      </c>
      <c r="EV37" s="3">
        <v>378426000</v>
      </c>
      <c r="EW37" s="3">
        <v>0</v>
      </c>
      <c r="EX37" s="3">
        <v>367962000</v>
      </c>
      <c r="EY37" s="3">
        <v>0</v>
      </c>
      <c r="EZ37" s="3">
        <v>0</v>
      </c>
      <c r="FA37" s="3">
        <v>367962000</v>
      </c>
      <c r="FB37" s="3">
        <v>0</v>
      </c>
      <c r="FC37" s="3">
        <v>367962000</v>
      </c>
      <c r="FD37" s="3">
        <v>0</v>
      </c>
      <c r="FE37" s="3">
        <v>0</v>
      </c>
      <c r="FF37" s="3">
        <v>367962000</v>
      </c>
      <c r="FG37" s="3">
        <v>0</v>
      </c>
      <c r="FH37" s="3">
        <v>354325865</v>
      </c>
      <c r="FI37" s="3">
        <v>0</v>
      </c>
      <c r="FJ37" s="3">
        <v>0</v>
      </c>
      <c r="FK37" s="3">
        <v>354325865</v>
      </c>
      <c r="FL37" s="3">
        <v>0</v>
      </c>
      <c r="FM37" s="3">
        <v>354325865</v>
      </c>
      <c r="FN37" s="3">
        <v>0</v>
      </c>
      <c r="FO37" s="3">
        <v>0</v>
      </c>
      <c r="FP37" s="3">
        <v>354325865</v>
      </c>
      <c r="FQ37" s="3">
        <v>0</v>
      </c>
      <c r="FR37" s="3">
        <v>347400907.67000002</v>
      </c>
      <c r="FS37" s="3">
        <v>0</v>
      </c>
      <c r="FT37" s="3">
        <v>0</v>
      </c>
      <c r="FU37" s="3">
        <v>347400907.67000002</v>
      </c>
      <c r="FV37" s="3">
        <v>0</v>
      </c>
      <c r="FW37" s="3">
        <v>289802280.33999997</v>
      </c>
      <c r="FX37" s="3">
        <v>0</v>
      </c>
      <c r="FY37" s="3">
        <v>0</v>
      </c>
      <c r="FZ37" s="3">
        <v>289802280.33999997</v>
      </c>
      <c r="GA37" s="3">
        <v>0</v>
      </c>
      <c r="GB37" s="3">
        <v>389049000</v>
      </c>
      <c r="GC37" s="3">
        <v>0</v>
      </c>
      <c r="GD37" s="3">
        <v>1500000</v>
      </c>
      <c r="GE37" s="3">
        <v>390549000</v>
      </c>
      <c r="GF37" s="3">
        <v>0</v>
      </c>
      <c r="GG37" s="3">
        <v>349556000</v>
      </c>
      <c r="GH37" s="3">
        <v>0</v>
      </c>
      <c r="GI37" s="3">
        <v>1500000</v>
      </c>
      <c r="GJ37" s="3">
        <v>351056000</v>
      </c>
      <c r="GK37" s="3">
        <v>0</v>
      </c>
      <c r="GL37" s="3">
        <v>349556000</v>
      </c>
      <c r="GM37" s="3">
        <v>0</v>
      </c>
      <c r="GN37" s="3">
        <v>1500000</v>
      </c>
      <c r="GO37" s="3">
        <v>351056000</v>
      </c>
      <c r="GP37" s="3">
        <v>0</v>
      </c>
      <c r="GQ37" s="3">
        <v>343389853</v>
      </c>
      <c r="GR37" s="3">
        <v>0</v>
      </c>
      <c r="GS37" s="3">
        <v>1500000</v>
      </c>
      <c r="GT37" s="3">
        <v>344889853</v>
      </c>
      <c r="GU37" s="3">
        <v>0</v>
      </c>
      <c r="GV37" s="3">
        <v>343389853</v>
      </c>
      <c r="GW37" s="3">
        <v>0</v>
      </c>
      <c r="GX37" s="3">
        <v>1500000</v>
      </c>
      <c r="GY37" s="3">
        <v>344889853</v>
      </c>
      <c r="GZ37" s="3">
        <v>0</v>
      </c>
      <c r="HA37" s="3">
        <v>337763512.06</v>
      </c>
      <c r="HB37" s="3">
        <v>0</v>
      </c>
      <c r="HC37" s="3">
        <v>1500000</v>
      </c>
      <c r="HD37" s="3">
        <v>339263512.06</v>
      </c>
      <c r="HE37" s="3">
        <v>0</v>
      </c>
      <c r="HF37" s="3">
        <v>297987246.25999999</v>
      </c>
      <c r="HG37" s="3">
        <v>0</v>
      </c>
      <c r="HH37" s="3">
        <v>1440450</v>
      </c>
      <c r="HI37" s="3">
        <v>299427696.25999999</v>
      </c>
      <c r="HJ37" s="3">
        <v>0</v>
      </c>
      <c r="HK37" s="3">
        <v>401662000</v>
      </c>
      <c r="HL37" s="3">
        <v>0</v>
      </c>
      <c r="HM37" s="3">
        <v>500000</v>
      </c>
      <c r="HN37" s="3">
        <v>402162000</v>
      </c>
      <c r="HO37" s="3">
        <v>0</v>
      </c>
      <c r="HP37" s="3">
        <v>397592000</v>
      </c>
      <c r="HQ37" s="3">
        <v>0</v>
      </c>
      <c r="HR37" s="3">
        <v>500000</v>
      </c>
      <c r="HS37" s="3">
        <v>398092000</v>
      </c>
      <c r="HT37" s="3">
        <v>0</v>
      </c>
      <c r="HU37" s="3">
        <v>397592000</v>
      </c>
      <c r="HV37" s="3">
        <v>0</v>
      </c>
      <c r="HW37" s="3">
        <v>500000</v>
      </c>
      <c r="HX37" s="3">
        <v>398092000</v>
      </c>
      <c r="HY37" s="3">
        <v>0</v>
      </c>
      <c r="HZ37" s="3">
        <v>396369809</v>
      </c>
      <c r="IA37" s="3">
        <v>0</v>
      </c>
      <c r="IB37" s="3">
        <v>500000</v>
      </c>
      <c r="IC37" s="3">
        <v>396869809</v>
      </c>
      <c r="ID37" s="3">
        <v>0</v>
      </c>
      <c r="IE37" s="3">
        <v>396369809</v>
      </c>
      <c r="IF37" s="3">
        <v>0</v>
      </c>
      <c r="IG37" s="3">
        <v>500000</v>
      </c>
      <c r="IH37" s="3">
        <v>396869809</v>
      </c>
      <c r="II37" s="3">
        <v>0</v>
      </c>
      <c r="IJ37" s="3">
        <v>374732912.07999998</v>
      </c>
      <c r="IK37" s="3">
        <v>0</v>
      </c>
      <c r="IL37" s="3">
        <v>497878</v>
      </c>
      <c r="IM37" s="6">
        <v>375230790.07999998</v>
      </c>
      <c r="IN37" s="3">
        <v>0</v>
      </c>
      <c r="IO37" s="3">
        <v>321076346.63999999</v>
      </c>
      <c r="IP37" s="3">
        <v>0</v>
      </c>
      <c r="IQ37" s="3">
        <v>444898</v>
      </c>
      <c r="IR37" s="6">
        <v>321521244.63999999</v>
      </c>
      <c r="IS37" s="3">
        <v>0</v>
      </c>
      <c r="IT37" s="3">
        <v>356193000</v>
      </c>
      <c r="IU37" s="3">
        <v>0</v>
      </c>
      <c r="IV37" s="3">
        <v>100000</v>
      </c>
      <c r="IW37" s="3">
        <v>356293000</v>
      </c>
      <c r="IX37" s="3">
        <v>0</v>
      </c>
      <c r="IY37" s="3">
        <v>366193000</v>
      </c>
      <c r="IZ37" s="3">
        <v>0</v>
      </c>
      <c r="JA37" s="3">
        <v>100000</v>
      </c>
      <c r="JB37" s="3">
        <v>366293000</v>
      </c>
      <c r="JC37" s="3">
        <v>0</v>
      </c>
      <c r="JD37" s="3">
        <v>366193000</v>
      </c>
      <c r="JE37" s="3">
        <v>0</v>
      </c>
      <c r="JF37" s="3">
        <v>100000</v>
      </c>
      <c r="JG37" s="3">
        <v>366293000</v>
      </c>
      <c r="JH37" s="3">
        <v>0</v>
      </c>
      <c r="JI37" s="3">
        <v>365344175</v>
      </c>
      <c r="JJ37" s="3">
        <v>0</v>
      </c>
      <c r="JK37" s="3">
        <v>100000</v>
      </c>
      <c r="JL37" s="3">
        <v>365444175</v>
      </c>
      <c r="JM37" s="3">
        <v>0</v>
      </c>
      <c r="JN37" s="3">
        <v>365344175</v>
      </c>
      <c r="JO37" s="3">
        <v>0</v>
      </c>
      <c r="JP37" s="3">
        <v>100000</v>
      </c>
      <c r="JQ37" s="3">
        <v>365444175</v>
      </c>
      <c r="JR37" s="3">
        <v>0</v>
      </c>
      <c r="JS37" s="3">
        <v>348984827.26999998</v>
      </c>
      <c r="JT37" s="3">
        <v>0</v>
      </c>
      <c r="JU37" s="3">
        <v>100000</v>
      </c>
      <c r="JV37" s="3">
        <v>349084827.26999998</v>
      </c>
      <c r="JW37" s="3">
        <v>0</v>
      </c>
      <c r="JX37" s="3">
        <v>273651068.14999998</v>
      </c>
      <c r="JY37" s="3">
        <v>0</v>
      </c>
      <c r="JZ37" s="3">
        <v>100000</v>
      </c>
      <c r="KA37" s="3">
        <v>273751068.14999998</v>
      </c>
      <c r="KB37" s="3">
        <v>0</v>
      </c>
      <c r="KC37" s="3">
        <v>516435000</v>
      </c>
      <c r="KD37" s="3">
        <v>0</v>
      </c>
      <c r="KE37" s="3">
        <v>900000</v>
      </c>
      <c r="KF37" s="3">
        <v>517335000</v>
      </c>
      <c r="KG37" s="3">
        <v>0</v>
      </c>
      <c r="KH37" s="3">
        <v>518435000</v>
      </c>
      <c r="KI37" s="3">
        <v>0</v>
      </c>
      <c r="KJ37" s="3">
        <v>900000</v>
      </c>
      <c r="KK37" s="3">
        <v>519335000</v>
      </c>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v>0</v>
      </c>
      <c r="LL37" s="3">
        <v>141258000</v>
      </c>
      <c r="LM37">
        <v>0</v>
      </c>
      <c r="LN37" s="3">
        <v>2000000</v>
      </c>
      <c r="LO37" s="3">
        <v>143258000</v>
      </c>
    </row>
    <row r="38" spans="1:327" x14ac:dyDescent="0.25">
      <c r="A38" t="s">
        <v>943</v>
      </c>
      <c r="B38" t="s">
        <v>944</v>
      </c>
      <c r="C38" t="s">
        <v>199</v>
      </c>
      <c r="D38" t="s">
        <v>200</v>
      </c>
      <c r="E38" t="s">
        <v>217</v>
      </c>
      <c r="F38" t="s">
        <v>958</v>
      </c>
      <c r="G38" t="s">
        <v>1033</v>
      </c>
      <c r="H38" s="3">
        <v>0</v>
      </c>
      <c r="I38" s="3">
        <v>196408000</v>
      </c>
      <c r="J38" s="3">
        <v>0</v>
      </c>
      <c r="K38" s="3">
        <v>2050000</v>
      </c>
      <c r="L38" s="3">
        <v>198458000</v>
      </c>
      <c r="M38" s="3">
        <v>0</v>
      </c>
      <c r="N38" s="3">
        <v>196408000</v>
      </c>
      <c r="O38" s="3">
        <v>0</v>
      </c>
      <c r="P38" s="3">
        <v>2050000</v>
      </c>
      <c r="Q38" s="3">
        <v>198458000</v>
      </c>
      <c r="R38" s="3">
        <v>0</v>
      </c>
      <c r="S38" s="3">
        <v>196408000</v>
      </c>
      <c r="T38" s="3">
        <v>0</v>
      </c>
      <c r="U38" s="3">
        <v>2050000</v>
      </c>
      <c r="V38" s="3">
        <v>198458000</v>
      </c>
      <c r="W38" s="3">
        <v>0</v>
      </c>
      <c r="X38" s="3">
        <v>195538000</v>
      </c>
      <c r="Y38" s="3">
        <v>0</v>
      </c>
      <c r="Z38" s="3">
        <v>2050000</v>
      </c>
      <c r="AA38" s="3">
        <v>197588000</v>
      </c>
      <c r="AB38" s="3">
        <v>0</v>
      </c>
      <c r="AC38" s="3">
        <v>195538000</v>
      </c>
      <c r="AD38" s="3">
        <v>0</v>
      </c>
      <c r="AE38" s="3">
        <v>2050000</v>
      </c>
      <c r="AF38" s="3">
        <v>197588000</v>
      </c>
      <c r="AG38" s="3">
        <v>0</v>
      </c>
      <c r="AH38" s="3">
        <v>187995361.13</v>
      </c>
      <c r="AI38" s="3">
        <v>0</v>
      </c>
      <c r="AJ38" s="3">
        <v>2000465.19</v>
      </c>
      <c r="AK38" s="3">
        <v>189995826.31999999</v>
      </c>
      <c r="AL38" s="3">
        <v>0</v>
      </c>
      <c r="AM38" s="3">
        <v>137797633.65000001</v>
      </c>
      <c r="AN38" s="3">
        <v>0</v>
      </c>
      <c r="AO38" s="3">
        <v>778856.11</v>
      </c>
      <c r="AP38" s="3">
        <v>138576489.75999999</v>
      </c>
      <c r="AQ38" s="3">
        <v>0</v>
      </c>
      <c r="AR38" s="3">
        <v>199897000</v>
      </c>
      <c r="AS38" s="3">
        <v>0</v>
      </c>
      <c r="AT38" s="3">
        <v>0</v>
      </c>
      <c r="AU38" s="3">
        <v>199897000</v>
      </c>
      <c r="AV38" s="3">
        <v>0</v>
      </c>
      <c r="AW38" s="3">
        <v>199897000</v>
      </c>
      <c r="AX38" s="3">
        <v>0</v>
      </c>
      <c r="AY38" s="3">
        <v>0</v>
      </c>
      <c r="AZ38" s="3">
        <v>199897000</v>
      </c>
      <c r="BA38" s="3">
        <v>0</v>
      </c>
      <c r="BB38" s="3">
        <v>199897000</v>
      </c>
      <c r="BC38" s="3">
        <v>0</v>
      </c>
      <c r="BD38" s="3">
        <v>0</v>
      </c>
      <c r="BE38" s="3">
        <v>199897000</v>
      </c>
      <c r="BF38" s="3">
        <v>0</v>
      </c>
      <c r="BG38" s="3">
        <v>196322799</v>
      </c>
      <c r="BH38" s="3">
        <v>0</v>
      </c>
      <c r="BI38" s="3">
        <v>0</v>
      </c>
      <c r="BJ38" s="3">
        <v>196322799</v>
      </c>
      <c r="BK38" s="3">
        <v>0</v>
      </c>
      <c r="BL38" s="3">
        <v>196322799</v>
      </c>
      <c r="BM38" s="3">
        <v>0</v>
      </c>
      <c r="BN38" s="3">
        <v>0</v>
      </c>
      <c r="BO38" s="3">
        <v>196322799</v>
      </c>
      <c r="BP38" s="3">
        <v>0</v>
      </c>
      <c r="BQ38" s="3">
        <v>184608875.37</v>
      </c>
      <c r="BR38" s="3">
        <v>0</v>
      </c>
      <c r="BS38" s="3">
        <v>0</v>
      </c>
      <c r="BT38" s="3">
        <v>184608875.37</v>
      </c>
      <c r="BU38" s="3">
        <v>0</v>
      </c>
      <c r="BV38" s="10">
        <v>141191223.57999998</v>
      </c>
      <c r="BW38" s="3">
        <v>0</v>
      </c>
      <c r="BX38" s="3">
        <v>0</v>
      </c>
      <c r="BY38" s="3">
        <v>141191223.57999998</v>
      </c>
      <c r="BZ38" s="3">
        <v>0</v>
      </c>
      <c r="CA38" s="3">
        <v>179918000</v>
      </c>
      <c r="CB38" s="3">
        <v>0</v>
      </c>
      <c r="CC38" s="3">
        <v>150000</v>
      </c>
      <c r="CD38" s="3">
        <v>180068000</v>
      </c>
      <c r="CE38" s="3">
        <v>0</v>
      </c>
      <c r="CF38" s="3">
        <v>180237000</v>
      </c>
      <c r="CG38" s="3">
        <v>0</v>
      </c>
      <c r="CH38" s="3">
        <v>150000</v>
      </c>
      <c r="CI38" s="3">
        <v>180387000</v>
      </c>
      <c r="CJ38" s="3">
        <v>0</v>
      </c>
      <c r="CK38" s="3">
        <v>180237000</v>
      </c>
      <c r="CL38" s="3">
        <v>0</v>
      </c>
      <c r="CM38" s="3">
        <v>150000</v>
      </c>
      <c r="CN38" s="3">
        <v>180387000</v>
      </c>
      <c r="CO38" s="3">
        <v>0</v>
      </c>
      <c r="CP38" s="3">
        <v>128040500</v>
      </c>
      <c r="CQ38" s="3">
        <v>0</v>
      </c>
      <c r="CR38" s="3">
        <v>150000</v>
      </c>
      <c r="CS38" s="3">
        <v>128190500</v>
      </c>
      <c r="CT38" s="3">
        <v>0</v>
      </c>
      <c r="CU38" s="3">
        <v>128040500</v>
      </c>
      <c r="CV38" s="3">
        <v>0</v>
      </c>
      <c r="CW38" s="3">
        <v>150000</v>
      </c>
      <c r="CX38" s="3">
        <v>128190500</v>
      </c>
      <c r="CY38" s="3">
        <v>0</v>
      </c>
      <c r="CZ38" s="3">
        <v>119534882.79999998</v>
      </c>
      <c r="DA38" s="3">
        <v>0</v>
      </c>
      <c r="DB38" s="3">
        <v>148435</v>
      </c>
      <c r="DC38" s="3">
        <v>119683317.79999998</v>
      </c>
      <c r="DD38" s="3">
        <v>0</v>
      </c>
      <c r="DE38" s="3">
        <v>90054976.030000001</v>
      </c>
      <c r="DF38" s="3">
        <v>0</v>
      </c>
      <c r="DG38" s="3">
        <v>148435</v>
      </c>
      <c r="DH38" s="10">
        <v>90203411.030000001</v>
      </c>
      <c r="DI38" s="3">
        <v>0</v>
      </c>
      <c r="DJ38" s="3">
        <v>153739000</v>
      </c>
      <c r="DK38" s="3">
        <v>0</v>
      </c>
      <c r="DL38" s="3">
        <v>0</v>
      </c>
      <c r="DM38" s="3">
        <v>153739000</v>
      </c>
      <c r="DN38" s="3">
        <v>0</v>
      </c>
      <c r="DO38" s="3">
        <v>174739000</v>
      </c>
      <c r="DP38" s="3">
        <v>0</v>
      </c>
      <c r="DQ38" s="3">
        <v>0</v>
      </c>
      <c r="DR38" s="3">
        <v>174739000</v>
      </c>
      <c r="DS38" s="3">
        <v>0</v>
      </c>
      <c r="DT38" s="3">
        <v>174739000</v>
      </c>
      <c r="DU38" s="3">
        <v>0</v>
      </c>
      <c r="DV38" s="3">
        <v>0</v>
      </c>
      <c r="DW38" s="3">
        <v>174739000</v>
      </c>
      <c r="DX38" s="3">
        <v>0</v>
      </c>
      <c r="DY38" s="3">
        <v>173519813</v>
      </c>
      <c r="DZ38" s="3">
        <v>0</v>
      </c>
      <c r="EA38" s="3">
        <v>0</v>
      </c>
      <c r="EB38" s="3">
        <v>173519813</v>
      </c>
      <c r="EC38" s="3">
        <v>0</v>
      </c>
      <c r="ED38" s="3">
        <v>173519813</v>
      </c>
      <c r="EE38" s="3">
        <v>0</v>
      </c>
      <c r="EF38" s="3">
        <v>0</v>
      </c>
      <c r="EG38" s="3">
        <v>173519813</v>
      </c>
      <c r="EH38" s="3">
        <v>0</v>
      </c>
      <c r="EI38" s="3">
        <v>148050122.22</v>
      </c>
      <c r="EJ38" s="3">
        <v>0</v>
      </c>
      <c r="EK38" s="3">
        <v>0</v>
      </c>
      <c r="EL38" s="3">
        <v>148050122.22</v>
      </c>
      <c r="EM38" s="3">
        <v>0</v>
      </c>
      <c r="EN38" s="3">
        <v>117702750.68000001</v>
      </c>
      <c r="EO38" s="3">
        <v>0</v>
      </c>
      <c r="EP38" s="3">
        <v>0</v>
      </c>
      <c r="EQ38" s="3">
        <v>117702750.68000001</v>
      </c>
      <c r="ER38" s="3">
        <v>0</v>
      </c>
      <c r="ES38" s="3">
        <v>155546000</v>
      </c>
      <c r="ET38" s="3">
        <v>0</v>
      </c>
      <c r="EU38" s="3">
        <v>1510000</v>
      </c>
      <c r="EV38" s="3">
        <v>157056000</v>
      </c>
      <c r="EW38" s="3">
        <v>0</v>
      </c>
      <c r="EX38" s="3">
        <v>155546000</v>
      </c>
      <c r="EY38" s="3">
        <v>0</v>
      </c>
      <c r="EZ38" s="3">
        <v>1510000</v>
      </c>
      <c r="FA38" s="3">
        <v>157056000</v>
      </c>
      <c r="FB38" s="3">
        <v>0</v>
      </c>
      <c r="FC38" s="3">
        <v>155546000</v>
      </c>
      <c r="FD38" s="3">
        <v>0</v>
      </c>
      <c r="FE38" s="3">
        <v>1510000</v>
      </c>
      <c r="FF38" s="3">
        <v>157056000</v>
      </c>
      <c r="FG38" s="3">
        <v>0</v>
      </c>
      <c r="FH38" s="3">
        <v>150479283</v>
      </c>
      <c r="FI38" s="3">
        <v>0</v>
      </c>
      <c r="FJ38" s="3">
        <v>1510000</v>
      </c>
      <c r="FK38" s="3">
        <v>151989283</v>
      </c>
      <c r="FL38" s="3">
        <v>0</v>
      </c>
      <c r="FM38" s="3">
        <v>150479283</v>
      </c>
      <c r="FN38" s="3">
        <v>0</v>
      </c>
      <c r="FO38" s="3">
        <v>1510000</v>
      </c>
      <c r="FP38" s="3">
        <v>151989283</v>
      </c>
      <c r="FQ38" s="3">
        <v>0</v>
      </c>
      <c r="FR38" s="3">
        <v>145200329.87</v>
      </c>
      <c r="FS38" s="3">
        <v>0</v>
      </c>
      <c r="FT38" s="3">
        <v>1500495</v>
      </c>
      <c r="FU38" s="3">
        <v>146700824.87</v>
      </c>
      <c r="FV38" s="3">
        <v>0</v>
      </c>
      <c r="FW38" s="3">
        <v>112936232.93000001</v>
      </c>
      <c r="FX38" s="3">
        <v>0</v>
      </c>
      <c r="FY38" s="3">
        <v>1428645.04</v>
      </c>
      <c r="FZ38" s="3">
        <v>114364877.97</v>
      </c>
      <c r="GA38" s="3">
        <v>0</v>
      </c>
      <c r="GB38" s="3">
        <v>199142000</v>
      </c>
      <c r="GC38" s="3">
        <v>0</v>
      </c>
      <c r="GD38" s="3">
        <v>858000</v>
      </c>
      <c r="GE38" s="3">
        <v>200000000</v>
      </c>
      <c r="GF38" s="3">
        <v>0</v>
      </c>
      <c r="GG38" s="3">
        <v>199142000</v>
      </c>
      <c r="GH38" s="3">
        <v>0</v>
      </c>
      <c r="GI38" s="3">
        <v>858000</v>
      </c>
      <c r="GJ38" s="3">
        <v>200000000</v>
      </c>
      <c r="GK38" s="3">
        <v>0</v>
      </c>
      <c r="GL38" s="3">
        <v>199142000</v>
      </c>
      <c r="GM38" s="3">
        <v>0</v>
      </c>
      <c r="GN38" s="3">
        <v>858000</v>
      </c>
      <c r="GO38" s="3">
        <v>200000000</v>
      </c>
      <c r="GP38" s="3">
        <v>0</v>
      </c>
      <c r="GQ38" s="3">
        <v>190493669</v>
      </c>
      <c r="GR38" s="3">
        <v>0</v>
      </c>
      <c r="GS38" s="3">
        <v>858000</v>
      </c>
      <c r="GT38" s="3">
        <v>191351669</v>
      </c>
      <c r="GU38" s="3">
        <v>0</v>
      </c>
      <c r="GV38" s="3">
        <v>190493669</v>
      </c>
      <c r="GW38" s="3">
        <v>0</v>
      </c>
      <c r="GX38" s="3">
        <v>858000</v>
      </c>
      <c r="GY38" s="3">
        <v>191351669</v>
      </c>
      <c r="GZ38" s="3">
        <v>0</v>
      </c>
      <c r="HA38" s="3">
        <v>178272768.28999999</v>
      </c>
      <c r="HB38" s="3">
        <v>0</v>
      </c>
      <c r="HC38" s="3">
        <v>619777</v>
      </c>
      <c r="HD38" s="3">
        <v>178892545.28999999</v>
      </c>
      <c r="HE38" s="3">
        <v>0</v>
      </c>
      <c r="HF38" s="3">
        <v>160672947.09999999</v>
      </c>
      <c r="HG38" s="3">
        <v>0</v>
      </c>
      <c r="HH38" s="3">
        <v>92000</v>
      </c>
      <c r="HI38" s="3">
        <v>160764947.09999999</v>
      </c>
      <c r="HJ38" s="3">
        <v>0</v>
      </c>
      <c r="HK38" s="3">
        <v>204010000</v>
      </c>
      <c r="HL38" s="3">
        <v>0</v>
      </c>
      <c r="HM38" s="3">
        <v>858000</v>
      </c>
      <c r="HN38" s="3">
        <v>204868000</v>
      </c>
      <c r="HO38" s="3">
        <v>0</v>
      </c>
      <c r="HP38" s="3">
        <v>186700000</v>
      </c>
      <c r="HQ38" s="3">
        <v>0</v>
      </c>
      <c r="HR38" s="3">
        <v>858000</v>
      </c>
      <c r="HS38" s="3">
        <v>187558000</v>
      </c>
      <c r="HT38" s="3">
        <v>0</v>
      </c>
      <c r="HU38" s="3">
        <v>186700000</v>
      </c>
      <c r="HV38" s="3">
        <v>0</v>
      </c>
      <c r="HW38" s="3">
        <v>858000</v>
      </c>
      <c r="HX38" s="3">
        <v>187558000</v>
      </c>
      <c r="HY38" s="3">
        <v>0</v>
      </c>
      <c r="HZ38" s="3">
        <v>186165119</v>
      </c>
      <c r="IA38" s="3">
        <v>0</v>
      </c>
      <c r="IB38" s="3">
        <v>858000</v>
      </c>
      <c r="IC38" s="3">
        <v>187023119</v>
      </c>
      <c r="ID38" s="3">
        <v>0</v>
      </c>
      <c r="IE38" s="3">
        <v>186165119</v>
      </c>
      <c r="IF38" s="3">
        <v>0</v>
      </c>
      <c r="IG38" s="3">
        <v>858000</v>
      </c>
      <c r="IH38" s="3">
        <v>187023119</v>
      </c>
      <c r="II38" s="3">
        <v>0</v>
      </c>
      <c r="IJ38" s="3">
        <v>178869117.88999999</v>
      </c>
      <c r="IK38" s="3">
        <v>0</v>
      </c>
      <c r="IL38" s="3">
        <v>749601.74</v>
      </c>
      <c r="IM38" s="6">
        <v>179618719.63</v>
      </c>
      <c r="IN38" s="3">
        <v>0</v>
      </c>
      <c r="IO38" s="3">
        <v>157237635.25999999</v>
      </c>
      <c r="IP38" s="3">
        <v>0</v>
      </c>
      <c r="IQ38" s="3">
        <v>0</v>
      </c>
      <c r="IR38" s="6">
        <v>157237635.25999999</v>
      </c>
      <c r="IS38" s="3">
        <v>0</v>
      </c>
      <c r="IT38" s="3">
        <v>238281000</v>
      </c>
      <c r="IU38" s="3">
        <v>0</v>
      </c>
      <c r="IV38" s="3">
        <v>0</v>
      </c>
      <c r="IW38" s="3">
        <v>238281000</v>
      </c>
      <c r="IX38" s="3">
        <v>0</v>
      </c>
      <c r="IY38" s="3">
        <v>238281000</v>
      </c>
      <c r="IZ38" s="3">
        <v>0</v>
      </c>
      <c r="JA38" s="3">
        <v>0</v>
      </c>
      <c r="JB38" s="3">
        <v>238281000</v>
      </c>
      <c r="JC38" s="3">
        <v>0</v>
      </c>
      <c r="JD38" s="3">
        <v>238281000</v>
      </c>
      <c r="JE38" s="3">
        <v>0</v>
      </c>
      <c r="JF38" s="3">
        <v>0</v>
      </c>
      <c r="JG38" s="3">
        <v>238281000</v>
      </c>
      <c r="JH38" s="3">
        <v>0</v>
      </c>
      <c r="JI38" s="3">
        <v>237800700</v>
      </c>
      <c r="JJ38" s="3">
        <v>0</v>
      </c>
      <c r="JK38" s="3">
        <v>0</v>
      </c>
      <c r="JL38" s="3">
        <v>237800700</v>
      </c>
      <c r="JM38" s="3">
        <v>0</v>
      </c>
      <c r="JN38" s="3">
        <v>237800700</v>
      </c>
      <c r="JO38" s="3">
        <v>0</v>
      </c>
      <c r="JP38" s="3">
        <v>0</v>
      </c>
      <c r="JQ38" s="3">
        <v>237800700</v>
      </c>
      <c r="JR38" s="3">
        <v>0</v>
      </c>
      <c r="JS38" s="3">
        <v>229628057.72</v>
      </c>
      <c r="JT38" s="3">
        <v>0</v>
      </c>
      <c r="JU38" s="3">
        <v>0</v>
      </c>
      <c r="JV38" s="3">
        <v>229628057.72</v>
      </c>
      <c r="JW38" s="3">
        <v>0</v>
      </c>
      <c r="JX38" s="3">
        <v>202178227.47999999</v>
      </c>
      <c r="JY38" s="3">
        <v>0</v>
      </c>
      <c r="JZ38" s="3">
        <v>0</v>
      </c>
      <c r="KA38" s="3">
        <v>202178227.47999999</v>
      </c>
      <c r="KB38" s="3">
        <v>0</v>
      </c>
      <c r="KC38" s="3">
        <v>293720000</v>
      </c>
      <c r="KD38" s="3">
        <v>0</v>
      </c>
      <c r="KE38" s="3">
        <v>0</v>
      </c>
      <c r="KF38" s="3">
        <v>293720000</v>
      </c>
      <c r="KG38" s="3">
        <v>0</v>
      </c>
      <c r="KH38" s="3">
        <v>293720000</v>
      </c>
      <c r="KI38" s="3">
        <v>0</v>
      </c>
      <c r="KJ38" s="3">
        <v>0</v>
      </c>
      <c r="KK38" s="3">
        <v>293720000</v>
      </c>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v>0</v>
      </c>
      <c r="LL38" s="3">
        <v>370927000</v>
      </c>
      <c r="LM38">
        <v>0</v>
      </c>
      <c r="LN38">
        <v>0</v>
      </c>
      <c r="LO38" s="3">
        <v>370927000</v>
      </c>
    </row>
    <row r="39" spans="1:327" x14ac:dyDescent="0.25">
      <c r="A39" t="s">
        <v>943</v>
      </c>
      <c r="B39" t="s">
        <v>944</v>
      </c>
      <c r="C39" t="s">
        <v>199</v>
      </c>
      <c r="D39" t="s">
        <v>200</v>
      </c>
      <c r="E39" t="s">
        <v>217</v>
      </c>
      <c r="F39" t="s">
        <v>959</v>
      </c>
      <c r="G39" t="s">
        <v>1034</v>
      </c>
      <c r="H39" s="3">
        <v>231637000</v>
      </c>
      <c r="I39" s="3">
        <v>556917000</v>
      </c>
      <c r="J39" s="3">
        <v>0</v>
      </c>
      <c r="K39" s="3">
        <v>229000000</v>
      </c>
      <c r="L39" s="3">
        <v>1017554000</v>
      </c>
      <c r="M39" s="3">
        <v>231637000</v>
      </c>
      <c r="N39" s="3">
        <v>556917000</v>
      </c>
      <c r="O39" s="3">
        <v>0</v>
      </c>
      <c r="P39" s="3">
        <v>229000000</v>
      </c>
      <c r="Q39" s="3">
        <v>1017554000</v>
      </c>
      <c r="R39" s="3">
        <v>231637000</v>
      </c>
      <c r="S39" s="3">
        <v>556917000</v>
      </c>
      <c r="T39" s="3">
        <v>0</v>
      </c>
      <c r="U39" s="3">
        <v>229000000</v>
      </c>
      <c r="V39" s="3">
        <v>1017554000</v>
      </c>
      <c r="W39" s="3">
        <v>231637000</v>
      </c>
      <c r="X39" s="3">
        <v>543409743</v>
      </c>
      <c r="Y39" s="3">
        <v>0</v>
      </c>
      <c r="Z39" s="3">
        <v>229000000</v>
      </c>
      <c r="AA39" s="3">
        <v>1004046743</v>
      </c>
      <c r="AB39" s="3">
        <v>231637000</v>
      </c>
      <c r="AC39" s="3">
        <v>543409743</v>
      </c>
      <c r="AD39" s="3">
        <v>0</v>
      </c>
      <c r="AE39" s="3">
        <v>229000000</v>
      </c>
      <c r="AF39" s="3">
        <v>1004046743</v>
      </c>
      <c r="AG39" s="3">
        <v>230539402.33000001</v>
      </c>
      <c r="AH39" s="3">
        <v>525297831.50000006</v>
      </c>
      <c r="AI39" s="3">
        <v>0</v>
      </c>
      <c r="AJ39" s="3">
        <v>223030545.82999998</v>
      </c>
      <c r="AK39" s="3">
        <v>978867779.65999997</v>
      </c>
      <c r="AL39" s="3">
        <v>230532403.28999999</v>
      </c>
      <c r="AM39" s="3">
        <v>469923464.69999999</v>
      </c>
      <c r="AN39" s="3">
        <v>0</v>
      </c>
      <c r="AO39" s="3">
        <v>97831718.480000004</v>
      </c>
      <c r="AP39" s="3">
        <v>798287586.47000003</v>
      </c>
      <c r="AQ39" s="3">
        <v>244998000</v>
      </c>
      <c r="AR39" s="3">
        <v>278108000</v>
      </c>
      <c r="AS39" s="3">
        <v>0</v>
      </c>
      <c r="AT39" s="3">
        <v>32000000</v>
      </c>
      <c r="AU39" s="3">
        <v>555106000</v>
      </c>
      <c r="AV39" s="3">
        <v>244998000</v>
      </c>
      <c r="AW39" s="3">
        <v>278108000</v>
      </c>
      <c r="AX39" s="3">
        <v>0</v>
      </c>
      <c r="AY39" s="3">
        <v>35000000</v>
      </c>
      <c r="AZ39" s="3">
        <v>558106000</v>
      </c>
      <c r="BA39" s="3">
        <v>244998000</v>
      </c>
      <c r="BB39" s="3">
        <v>278108000</v>
      </c>
      <c r="BC39" s="3">
        <v>0</v>
      </c>
      <c r="BD39" s="3">
        <v>35000000</v>
      </c>
      <c r="BE39" s="3">
        <v>558106000</v>
      </c>
      <c r="BF39" s="3">
        <v>248993738.40000001</v>
      </c>
      <c r="BG39" s="3">
        <v>273574879</v>
      </c>
      <c r="BH39" s="3">
        <v>0</v>
      </c>
      <c r="BI39" s="3">
        <v>35000000</v>
      </c>
      <c r="BJ39" s="3">
        <v>557568617.39999998</v>
      </c>
      <c r="BK39" s="3">
        <v>248993738.40000001</v>
      </c>
      <c r="BL39" s="3">
        <v>273574879</v>
      </c>
      <c r="BM39" s="3">
        <v>0</v>
      </c>
      <c r="BN39" s="3">
        <v>35000000</v>
      </c>
      <c r="BO39" s="3">
        <v>557568617.39999998</v>
      </c>
      <c r="BP39" s="3">
        <v>248742586.06999999</v>
      </c>
      <c r="BQ39" s="3">
        <v>270570116.41000003</v>
      </c>
      <c r="BR39" s="3">
        <v>0</v>
      </c>
      <c r="BS39" s="3">
        <v>31930905.619999997</v>
      </c>
      <c r="BT39" s="3">
        <v>551243608.10000002</v>
      </c>
      <c r="BU39" s="3">
        <v>246489326.44999999</v>
      </c>
      <c r="BV39" s="3">
        <v>242625920.97999999</v>
      </c>
      <c r="BW39" s="3">
        <v>0</v>
      </c>
      <c r="BX39" s="3">
        <v>27575371.129999999</v>
      </c>
      <c r="BY39" s="3">
        <v>516690618.56</v>
      </c>
      <c r="BZ39" s="3">
        <v>259462000</v>
      </c>
      <c r="CA39" s="3">
        <v>283037000</v>
      </c>
      <c r="CB39" s="3">
        <v>0</v>
      </c>
      <c r="CC39" s="3">
        <v>31932000</v>
      </c>
      <c r="CD39" s="3">
        <v>574431000</v>
      </c>
      <c r="CE39" s="3">
        <v>259462000</v>
      </c>
      <c r="CF39" s="3">
        <v>283037000</v>
      </c>
      <c r="CG39" s="3">
        <v>0</v>
      </c>
      <c r="CH39" s="3">
        <v>31932000</v>
      </c>
      <c r="CI39" s="3">
        <v>574431000</v>
      </c>
      <c r="CJ39" s="3">
        <v>259462000</v>
      </c>
      <c r="CK39" s="3">
        <v>283037000</v>
      </c>
      <c r="CL39" s="3">
        <v>0</v>
      </c>
      <c r="CM39" s="3">
        <v>31932000</v>
      </c>
      <c r="CN39" s="3">
        <v>574431000</v>
      </c>
      <c r="CO39" s="3">
        <v>255817777.24000001</v>
      </c>
      <c r="CP39" s="3">
        <v>255762919</v>
      </c>
      <c r="CQ39" s="3">
        <v>0</v>
      </c>
      <c r="CR39" s="3">
        <v>14250000</v>
      </c>
      <c r="CS39" s="3">
        <v>525830696.24000001</v>
      </c>
      <c r="CT39" s="3">
        <v>255817777.24000001</v>
      </c>
      <c r="CU39" s="3">
        <v>255762919</v>
      </c>
      <c r="CV39" s="3">
        <v>0</v>
      </c>
      <c r="CW39" s="3">
        <v>14250000</v>
      </c>
      <c r="CX39" s="3">
        <v>525830696.24000001</v>
      </c>
      <c r="CY39" s="3">
        <v>255585482.99999997</v>
      </c>
      <c r="CZ39" s="3">
        <v>252779418.63999999</v>
      </c>
      <c r="DA39" s="3">
        <v>0</v>
      </c>
      <c r="DB39" s="3">
        <v>14071746</v>
      </c>
      <c r="DC39" s="3">
        <v>522436647.63999999</v>
      </c>
      <c r="DD39" s="3">
        <v>254205846.34999999</v>
      </c>
      <c r="DE39" s="3">
        <v>209085934.38</v>
      </c>
      <c r="DF39" s="3">
        <v>0</v>
      </c>
      <c r="DG39" s="3">
        <v>11097755.039999999</v>
      </c>
      <c r="DH39" s="10">
        <v>474391536.37</v>
      </c>
      <c r="DI39" s="3">
        <v>263138000</v>
      </c>
      <c r="DJ39" s="3">
        <v>279283000</v>
      </c>
      <c r="DK39" s="3">
        <v>0</v>
      </c>
      <c r="DL39" s="3">
        <v>32890000</v>
      </c>
      <c r="DM39" s="3">
        <v>575311000</v>
      </c>
      <c r="DN39" s="3">
        <v>263138000</v>
      </c>
      <c r="DO39" s="3">
        <v>279283000</v>
      </c>
      <c r="DP39" s="3">
        <v>0</v>
      </c>
      <c r="DQ39" s="3">
        <v>32890000</v>
      </c>
      <c r="DR39" s="3">
        <v>575311000</v>
      </c>
      <c r="DS39" s="3">
        <v>263138000</v>
      </c>
      <c r="DT39" s="3">
        <v>279283000</v>
      </c>
      <c r="DU39" s="3">
        <v>0</v>
      </c>
      <c r="DV39" s="3">
        <v>32890000</v>
      </c>
      <c r="DW39" s="3">
        <v>575311000</v>
      </c>
      <c r="DX39" s="3">
        <v>273041805.87</v>
      </c>
      <c r="DY39" s="3">
        <v>259737746</v>
      </c>
      <c r="DZ39" s="3">
        <v>0</v>
      </c>
      <c r="EA39" s="3">
        <v>32890000</v>
      </c>
      <c r="EB39" s="3">
        <v>565669551.87</v>
      </c>
      <c r="EC39" s="3">
        <v>273041805.87</v>
      </c>
      <c r="ED39" s="3">
        <v>259737746</v>
      </c>
      <c r="EE39" s="3">
        <v>0</v>
      </c>
      <c r="EF39" s="3">
        <v>32890000</v>
      </c>
      <c r="EG39" s="3">
        <v>565669551.87</v>
      </c>
      <c r="EH39" s="3">
        <v>273006355.06999999</v>
      </c>
      <c r="EI39" s="3">
        <v>255420138.03999999</v>
      </c>
      <c r="EJ39" s="3">
        <v>0</v>
      </c>
      <c r="EK39" s="3">
        <v>32040808.469999999</v>
      </c>
      <c r="EL39" s="3">
        <v>560467301.57999992</v>
      </c>
      <c r="EM39" s="3">
        <v>271098341.54000002</v>
      </c>
      <c r="EN39" s="3">
        <v>220834814.18000001</v>
      </c>
      <c r="EO39" s="3">
        <v>0</v>
      </c>
      <c r="EP39" s="3">
        <v>6646713.9199999999</v>
      </c>
      <c r="EQ39" s="3">
        <v>498579869.63999999</v>
      </c>
      <c r="ER39" s="3">
        <v>273408000</v>
      </c>
      <c r="ES39" s="3">
        <v>279283000</v>
      </c>
      <c r="ET39" s="3">
        <v>0</v>
      </c>
      <c r="EU39" s="3">
        <v>32890000</v>
      </c>
      <c r="EV39" s="3">
        <v>585581000</v>
      </c>
      <c r="EW39" s="3">
        <v>273408000</v>
      </c>
      <c r="EX39" s="3">
        <v>279283000</v>
      </c>
      <c r="EY39" s="3">
        <v>0</v>
      </c>
      <c r="EZ39" s="3">
        <v>32890000</v>
      </c>
      <c r="FA39" s="3">
        <v>585581000</v>
      </c>
      <c r="FB39" s="3">
        <v>273408000</v>
      </c>
      <c r="FC39" s="3">
        <v>279283000</v>
      </c>
      <c r="FD39" s="3">
        <v>0</v>
      </c>
      <c r="FE39" s="3">
        <v>32890000</v>
      </c>
      <c r="FF39" s="3">
        <v>585581000</v>
      </c>
      <c r="FG39" s="3">
        <v>281438067.13999999</v>
      </c>
      <c r="FH39" s="3">
        <v>267018567.80000001</v>
      </c>
      <c r="FI39" s="3">
        <v>0</v>
      </c>
      <c r="FJ39" s="3">
        <v>32890000</v>
      </c>
      <c r="FK39" s="3">
        <v>581346634.94000006</v>
      </c>
      <c r="FL39" s="3">
        <v>281438067.13999999</v>
      </c>
      <c r="FM39" s="3">
        <v>267018567.80000001</v>
      </c>
      <c r="FN39" s="3">
        <v>0</v>
      </c>
      <c r="FO39" s="3">
        <v>32890000</v>
      </c>
      <c r="FP39" s="3">
        <v>581346634.94000006</v>
      </c>
      <c r="FQ39" s="3">
        <v>281339966.48000002</v>
      </c>
      <c r="FR39" s="3">
        <v>265490111.16</v>
      </c>
      <c r="FS39" s="3">
        <v>0</v>
      </c>
      <c r="FT39" s="3">
        <v>30794043.949999999</v>
      </c>
      <c r="FU39" s="3">
        <v>577624121.59000003</v>
      </c>
      <c r="FV39" s="3">
        <v>280532650.42000002</v>
      </c>
      <c r="FW39" s="3">
        <v>239603264.31</v>
      </c>
      <c r="FX39" s="3">
        <v>0</v>
      </c>
      <c r="FY39" s="3">
        <v>23386668.579999998</v>
      </c>
      <c r="FZ39" s="3">
        <v>543522583.30999994</v>
      </c>
      <c r="GA39" s="3">
        <v>275149000</v>
      </c>
      <c r="GB39" s="3">
        <v>286038000</v>
      </c>
      <c r="GC39" s="3">
        <v>0</v>
      </c>
      <c r="GD39" s="3">
        <v>9450000</v>
      </c>
      <c r="GE39" s="3">
        <v>570637000</v>
      </c>
      <c r="GF39" s="3">
        <v>275149000</v>
      </c>
      <c r="GG39" s="3">
        <v>286038000</v>
      </c>
      <c r="GH39" s="3">
        <v>0</v>
      </c>
      <c r="GI39" s="3">
        <v>9450000</v>
      </c>
      <c r="GJ39" s="3">
        <v>570637000</v>
      </c>
      <c r="GK39" s="3">
        <v>275149000</v>
      </c>
      <c r="GL39" s="3">
        <v>286038000</v>
      </c>
      <c r="GM39" s="3">
        <v>0</v>
      </c>
      <c r="GN39" s="3">
        <v>9450000</v>
      </c>
      <c r="GO39" s="3">
        <v>570637000</v>
      </c>
      <c r="GP39" s="3">
        <v>269541803.33999997</v>
      </c>
      <c r="GQ39" s="3">
        <v>271245100.23000002</v>
      </c>
      <c r="GR39" s="3">
        <v>0</v>
      </c>
      <c r="GS39" s="3">
        <v>9450000</v>
      </c>
      <c r="GT39" s="3">
        <v>550236903.57000005</v>
      </c>
      <c r="GU39" s="3">
        <v>269541803.33999997</v>
      </c>
      <c r="GV39" s="3">
        <v>271245100.23000002</v>
      </c>
      <c r="GW39" s="3">
        <v>0</v>
      </c>
      <c r="GX39" s="3">
        <v>9450000</v>
      </c>
      <c r="GY39" s="3">
        <v>550236903.57000005</v>
      </c>
      <c r="GZ39" s="3">
        <v>269521125.26999998</v>
      </c>
      <c r="HA39" s="3">
        <v>265102841.30000001</v>
      </c>
      <c r="HB39" s="3">
        <v>0</v>
      </c>
      <c r="HC39" s="3">
        <v>9450000</v>
      </c>
      <c r="HD39" s="3">
        <v>544073966.57000005</v>
      </c>
      <c r="HE39" s="3">
        <v>268448445.89999998</v>
      </c>
      <c r="HF39" s="3">
        <v>248072854.11000001</v>
      </c>
      <c r="HG39" s="3">
        <v>0</v>
      </c>
      <c r="HH39" s="3">
        <v>8508052.9299999997</v>
      </c>
      <c r="HI39" s="3">
        <v>525029352.94</v>
      </c>
      <c r="HJ39" s="3">
        <v>274939000</v>
      </c>
      <c r="HK39" s="3">
        <v>291187000</v>
      </c>
      <c r="HL39" s="3">
        <v>0</v>
      </c>
      <c r="HM39" s="3">
        <v>9450000</v>
      </c>
      <c r="HN39" s="3">
        <v>575576000</v>
      </c>
      <c r="HO39" s="3">
        <v>274939000</v>
      </c>
      <c r="HP39" s="3">
        <v>291187000</v>
      </c>
      <c r="HQ39" s="3">
        <v>0</v>
      </c>
      <c r="HR39" s="3">
        <v>9450000</v>
      </c>
      <c r="HS39" s="3">
        <v>575576000</v>
      </c>
      <c r="HT39" s="3">
        <v>274939000</v>
      </c>
      <c r="HU39" s="3">
        <v>291187000</v>
      </c>
      <c r="HV39" s="3">
        <v>0</v>
      </c>
      <c r="HW39" s="3">
        <v>9450000</v>
      </c>
      <c r="HX39" s="3">
        <v>575576000</v>
      </c>
      <c r="HY39" s="3">
        <v>269174868.95999998</v>
      </c>
      <c r="HZ39" s="3">
        <v>276249846</v>
      </c>
      <c r="IA39" s="3">
        <v>0</v>
      </c>
      <c r="IB39" s="3">
        <v>9450000</v>
      </c>
      <c r="IC39" s="3">
        <v>554874714.96000004</v>
      </c>
      <c r="ID39" s="3">
        <v>269174868.95999998</v>
      </c>
      <c r="IE39" s="3">
        <v>276249846</v>
      </c>
      <c r="IF39" s="3">
        <v>0</v>
      </c>
      <c r="IG39" s="3">
        <v>9450000</v>
      </c>
      <c r="IH39" s="3">
        <v>554874714.96000004</v>
      </c>
      <c r="II39" s="3">
        <v>268789404.30000001</v>
      </c>
      <c r="IJ39" s="3">
        <v>268870822.54000002</v>
      </c>
      <c r="IK39" s="3">
        <v>0</v>
      </c>
      <c r="IL39" s="3">
        <v>9366421.5199999996</v>
      </c>
      <c r="IM39" s="6">
        <v>547026648.36000001</v>
      </c>
      <c r="IN39" s="3">
        <v>266220342.66999999</v>
      </c>
      <c r="IO39" s="3">
        <v>248780508.72</v>
      </c>
      <c r="IP39" s="3">
        <v>0</v>
      </c>
      <c r="IQ39" s="3">
        <v>8875782.2100000009</v>
      </c>
      <c r="IR39" s="6">
        <v>523876633.60000002</v>
      </c>
      <c r="IS39" s="3">
        <v>252674000</v>
      </c>
      <c r="IT39" s="3">
        <v>296428000</v>
      </c>
      <c r="IU39" s="3">
        <v>0</v>
      </c>
      <c r="IV39" s="3">
        <v>9450000</v>
      </c>
      <c r="IW39" s="3">
        <v>558552000</v>
      </c>
      <c r="IX39" s="3">
        <v>252674000</v>
      </c>
      <c r="IY39" s="3">
        <v>296428000</v>
      </c>
      <c r="IZ39" s="3">
        <v>0</v>
      </c>
      <c r="JA39" s="3">
        <v>9450000</v>
      </c>
      <c r="JB39" s="3">
        <v>558552000</v>
      </c>
      <c r="JC39" s="3">
        <v>252674000</v>
      </c>
      <c r="JD39" s="3">
        <v>296428000</v>
      </c>
      <c r="JE39" s="3">
        <v>0</v>
      </c>
      <c r="JF39" s="3">
        <v>9450000</v>
      </c>
      <c r="JG39" s="3">
        <v>558552000</v>
      </c>
      <c r="JH39" s="3">
        <v>252402595.00999999</v>
      </c>
      <c r="JI39" s="3">
        <v>282774621.91000003</v>
      </c>
      <c r="JJ39" s="3">
        <v>0</v>
      </c>
      <c r="JK39" s="3">
        <v>9450000</v>
      </c>
      <c r="JL39" s="3">
        <v>544627216.91999996</v>
      </c>
      <c r="JM39" s="3">
        <v>252402595.00999999</v>
      </c>
      <c r="JN39" s="3">
        <v>282774621.91000003</v>
      </c>
      <c r="JO39" s="3">
        <v>0</v>
      </c>
      <c r="JP39" s="3">
        <v>9450000</v>
      </c>
      <c r="JQ39" s="3">
        <v>544627216.91999996</v>
      </c>
      <c r="JR39" s="3">
        <v>252384452.91</v>
      </c>
      <c r="JS39" s="3">
        <v>275975279.47000003</v>
      </c>
      <c r="JT39" s="3">
        <v>0</v>
      </c>
      <c r="JU39" s="3">
        <v>9315876</v>
      </c>
      <c r="JV39" s="3">
        <v>537675608.38</v>
      </c>
      <c r="JW39" s="3">
        <v>250482580.91</v>
      </c>
      <c r="JX39" s="3">
        <v>252945932.81999999</v>
      </c>
      <c r="JY39" s="3">
        <v>0</v>
      </c>
      <c r="JZ39" s="3">
        <v>8667509.9100000001</v>
      </c>
      <c r="KA39" s="3">
        <v>512096023.63999999</v>
      </c>
      <c r="KB39" s="3">
        <v>289189000</v>
      </c>
      <c r="KC39" s="3">
        <v>275169000</v>
      </c>
      <c r="KD39" s="3">
        <v>0</v>
      </c>
      <c r="KE39" s="3">
        <v>14450000</v>
      </c>
      <c r="KF39" s="3">
        <v>578808000</v>
      </c>
      <c r="KG39" s="3">
        <v>289189000</v>
      </c>
      <c r="KH39" s="3">
        <v>624366000</v>
      </c>
      <c r="KI39" s="3">
        <v>0</v>
      </c>
      <c r="KJ39" s="3">
        <v>14450000</v>
      </c>
      <c r="KK39" s="3">
        <v>928005000</v>
      </c>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v>306008000</v>
      </c>
      <c r="LL39" s="3">
        <v>1168539000</v>
      </c>
      <c r="LM39">
        <v>0</v>
      </c>
      <c r="LN39" s="3">
        <v>146586000</v>
      </c>
      <c r="LO39" s="3">
        <v>1621133000</v>
      </c>
    </row>
    <row r="40" spans="1:327" x14ac:dyDescent="0.25">
      <c r="A40" t="s">
        <v>943</v>
      </c>
      <c r="B40" t="s">
        <v>944</v>
      </c>
      <c r="C40" t="s">
        <v>199</v>
      </c>
      <c r="D40" t="s">
        <v>200</v>
      </c>
      <c r="E40" t="s">
        <v>217</v>
      </c>
      <c r="F40" t="s">
        <v>960</v>
      </c>
      <c r="G40" t="s">
        <v>1035</v>
      </c>
      <c r="H40" s="3">
        <v>0</v>
      </c>
      <c r="I40" s="3">
        <v>44630000</v>
      </c>
      <c r="J40" s="3">
        <v>0</v>
      </c>
      <c r="K40" s="3">
        <v>0</v>
      </c>
      <c r="L40" s="3">
        <v>44630000</v>
      </c>
      <c r="M40" s="3">
        <v>0</v>
      </c>
      <c r="N40" s="3">
        <v>44630000</v>
      </c>
      <c r="O40" s="3">
        <v>0</v>
      </c>
      <c r="P40" s="3">
        <v>0</v>
      </c>
      <c r="Q40" s="3">
        <v>44630000</v>
      </c>
      <c r="R40" s="3">
        <v>0</v>
      </c>
      <c r="S40" s="3">
        <v>44630000</v>
      </c>
      <c r="T40" s="3">
        <v>0</v>
      </c>
      <c r="U40" s="3">
        <v>0</v>
      </c>
      <c r="V40" s="3">
        <v>44630000</v>
      </c>
      <c r="W40" s="3">
        <v>0</v>
      </c>
      <c r="X40" s="3">
        <v>44570000</v>
      </c>
      <c r="Y40" s="3">
        <v>0</v>
      </c>
      <c r="Z40" s="3">
        <v>0</v>
      </c>
      <c r="AA40" s="3">
        <v>44570000</v>
      </c>
      <c r="AB40" s="3">
        <v>0</v>
      </c>
      <c r="AC40" s="3">
        <v>44570000</v>
      </c>
      <c r="AD40" s="3">
        <v>0</v>
      </c>
      <c r="AE40" s="3">
        <v>0</v>
      </c>
      <c r="AF40" s="3">
        <v>44570000</v>
      </c>
      <c r="AG40" s="3">
        <v>0</v>
      </c>
      <c r="AH40" s="3">
        <v>22270677.550000001</v>
      </c>
      <c r="AI40" s="3">
        <v>0</v>
      </c>
      <c r="AJ40" s="3">
        <v>0</v>
      </c>
      <c r="AK40" s="3">
        <v>22270677.550000001</v>
      </c>
      <c r="AL40" s="3">
        <v>0</v>
      </c>
      <c r="AM40" s="3">
        <v>15776694.890000001</v>
      </c>
      <c r="AN40" s="3">
        <v>0</v>
      </c>
      <c r="AO40" s="3">
        <v>0</v>
      </c>
      <c r="AP40" s="3">
        <v>15776694.890000001</v>
      </c>
      <c r="AQ40" s="3">
        <v>0</v>
      </c>
      <c r="AR40" s="3">
        <v>44630000</v>
      </c>
      <c r="AS40" s="3">
        <v>0</v>
      </c>
      <c r="AT40" s="3">
        <v>0</v>
      </c>
      <c r="AU40" s="3">
        <v>44630000</v>
      </c>
      <c r="AV40" s="3">
        <v>0</v>
      </c>
      <c r="AW40" s="3">
        <v>44630000</v>
      </c>
      <c r="AX40" s="3">
        <v>0</v>
      </c>
      <c r="AY40" s="3">
        <v>0</v>
      </c>
      <c r="AZ40" s="3">
        <v>44630000</v>
      </c>
      <c r="BA40" s="3">
        <v>0</v>
      </c>
      <c r="BB40" s="3">
        <v>44630000</v>
      </c>
      <c r="BC40" s="3">
        <v>0</v>
      </c>
      <c r="BD40" s="3">
        <v>0</v>
      </c>
      <c r="BE40" s="3">
        <v>44630000</v>
      </c>
      <c r="BF40" s="3">
        <v>0</v>
      </c>
      <c r="BG40" s="3">
        <v>44558019</v>
      </c>
      <c r="BH40" s="3">
        <v>0</v>
      </c>
      <c r="BI40" s="3">
        <v>0</v>
      </c>
      <c r="BJ40" s="3">
        <v>44558019</v>
      </c>
      <c r="BK40" s="3">
        <v>0</v>
      </c>
      <c r="BL40" s="3">
        <v>44558019</v>
      </c>
      <c r="BM40" s="3">
        <v>0</v>
      </c>
      <c r="BN40" s="3">
        <v>0</v>
      </c>
      <c r="BO40" s="3">
        <v>44558019</v>
      </c>
      <c r="BP40" s="3">
        <v>0</v>
      </c>
      <c r="BQ40" s="3">
        <v>38902712.780000001</v>
      </c>
      <c r="BR40" s="3">
        <v>0</v>
      </c>
      <c r="BS40" s="3">
        <v>0</v>
      </c>
      <c r="BT40" s="3">
        <v>38902712.780000001</v>
      </c>
      <c r="BU40" s="3">
        <v>0</v>
      </c>
      <c r="BV40" s="10">
        <v>32800183.850000001</v>
      </c>
      <c r="BW40" s="3">
        <v>0</v>
      </c>
      <c r="BX40" s="3">
        <v>0</v>
      </c>
      <c r="BY40" s="3">
        <v>32800183.850000001</v>
      </c>
      <c r="BZ40" s="3">
        <v>0</v>
      </c>
      <c r="CA40" s="3">
        <v>22703000</v>
      </c>
      <c r="CB40" s="3">
        <v>0</v>
      </c>
      <c r="CC40" s="3">
        <v>0</v>
      </c>
      <c r="CD40" s="3">
        <v>22703000</v>
      </c>
      <c r="CE40" s="3">
        <v>0</v>
      </c>
      <c r="CF40" s="3">
        <v>22703000</v>
      </c>
      <c r="CG40" s="3">
        <v>0</v>
      </c>
      <c r="CH40" s="3">
        <v>0</v>
      </c>
      <c r="CI40" s="3">
        <v>22703000</v>
      </c>
      <c r="CJ40" s="3">
        <v>0</v>
      </c>
      <c r="CK40" s="3">
        <v>22703000</v>
      </c>
      <c r="CL40" s="3">
        <v>0</v>
      </c>
      <c r="CM40" s="3">
        <v>0</v>
      </c>
      <c r="CN40" s="3">
        <v>22703000</v>
      </c>
      <c r="CO40" s="3">
        <v>0</v>
      </c>
      <c r="CP40" s="3">
        <v>22195975</v>
      </c>
      <c r="CQ40" s="3">
        <v>0</v>
      </c>
      <c r="CR40" s="3">
        <v>0</v>
      </c>
      <c r="CS40" s="3">
        <v>22195975</v>
      </c>
      <c r="CT40" s="3">
        <v>0</v>
      </c>
      <c r="CU40" s="3">
        <v>22195975</v>
      </c>
      <c r="CV40" s="3">
        <v>0</v>
      </c>
      <c r="CW40" s="3">
        <v>0</v>
      </c>
      <c r="CX40" s="3">
        <v>22195975</v>
      </c>
      <c r="CY40" s="3">
        <v>0</v>
      </c>
      <c r="CZ40" s="3">
        <v>19516477.850000001</v>
      </c>
      <c r="DA40" s="3">
        <v>0</v>
      </c>
      <c r="DB40" s="3">
        <v>0</v>
      </c>
      <c r="DC40" s="3">
        <v>19516477.850000001</v>
      </c>
      <c r="DD40" s="3">
        <v>0</v>
      </c>
      <c r="DE40" s="10">
        <v>15212819.949999999</v>
      </c>
      <c r="DF40" s="3">
        <v>0</v>
      </c>
      <c r="DG40" s="3">
        <v>0</v>
      </c>
      <c r="DH40" s="10">
        <v>15212819.949999999</v>
      </c>
      <c r="DI40" s="3">
        <v>0</v>
      </c>
      <c r="DJ40" s="3">
        <v>23117000</v>
      </c>
      <c r="DK40" s="3">
        <v>0</v>
      </c>
      <c r="DL40" s="3">
        <v>0</v>
      </c>
      <c r="DM40" s="3">
        <v>23117000</v>
      </c>
      <c r="DN40" s="3">
        <v>0</v>
      </c>
      <c r="DO40" s="3">
        <v>23117000</v>
      </c>
      <c r="DP40" s="3">
        <v>0</v>
      </c>
      <c r="DQ40" s="3">
        <v>0</v>
      </c>
      <c r="DR40" s="3">
        <v>23117000</v>
      </c>
      <c r="DS40" s="3">
        <v>0</v>
      </c>
      <c r="DT40" s="3">
        <v>23117000</v>
      </c>
      <c r="DU40" s="3">
        <v>0</v>
      </c>
      <c r="DV40" s="3">
        <v>0</v>
      </c>
      <c r="DW40" s="3">
        <v>23117000</v>
      </c>
      <c r="DX40" s="3">
        <v>0</v>
      </c>
      <c r="DY40" s="3">
        <v>22809461</v>
      </c>
      <c r="DZ40" s="3">
        <v>0</v>
      </c>
      <c r="EA40" s="3">
        <v>0</v>
      </c>
      <c r="EB40" s="3">
        <v>22809461</v>
      </c>
      <c r="EC40" s="3">
        <v>0</v>
      </c>
      <c r="ED40" s="3">
        <v>22809461</v>
      </c>
      <c r="EE40" s="3">
        <v>0</v>
      </c>
      <c r="EF40" s="3">
        <v>0</v>
      </c>
      <c r="EG40" s="3">
        <v>22809461</v>
      </c>
      <c r="EH40" s="3">
        <v>0</v>
      </c>
      <c r="EI40" s="3">
        <v>20559428.629999999</v>
      </c>
      <c r="EJ40" s="3">
        <v>0</v>
      </c>
      <c r="EK40" s="3">
        <v>0</v>
      </c>
      <c r="EL40" s="3">
        <v>20559428.629999999</v>
      </c>
      <c r="EM40" s="3">
        <v>0</v>
      </c>
      <c r="EN40" s="3">
        <v>16631939.82</v>
      </c>
      <c r="EO40" s="3">
        <v>0</v>
      </c>
      <c r="EP40" s="3">
        <v>0</v>
      </c>
      <c r="EQ40" s="3">
        <v>16631939.82</v>
      </c>
      <c r="ER40" s="3">
        <v>0</v>
      </c>
      <c r="ES40" s="3">
        <v>23117000</v>
      </c>
      <c r="ET40" s="3">
        <v>0</v>
      </c>
      <c r="EU40" s="3">
        <v>0</v>
      </c>
      <c r="EV40" s="3">
        <v>23117000</v>
      </c>
      <c r="EW40" s="3">
        <v>0</v>
      </c>
      <c r="EX40" s="3">
        <v>23117000</v>
      </c>
      <c r="EY40" s="3">
        <v>0</v>
      </c>
      <c r="EZ40" s="3">
        <v>0</v>
      </c>
      <c r="FA40" s="3">
        <v>23117000</v>
      </c>
      <c r="FB40" s="3">
        <v>0</v>
      </c>
      <c r="FC40" s="3">
        <v>23117000</v>
      </c>
      <c r="FD40" s="3">
        <v>0</v>
      </c>
      <c r="FE40" s="3">
        <v>0</v>
      </c>
      <c r="FF40" s="3">
        <v>23117000</v>
      </c>
      <c r="FG40" s="3">
        <v>0</v>
      </c>
      <c r="FH40" s="3">
        <v>23046227</v>
      </c>
      <c r="FI40" s="3">
        <v>0</v>
      </c>
      <c r="FJ40" s="3">
        <v>0</v>
      </c>
      <c r="FK40" s="3">
        <v>23046227</v>
      </c>
      <c r="FL40" s="3">
        <v>0</v>
      </c>
      <c r="FM40" s="3">
        <v>23046227</v>
      </c>
      <c r="FN40" s="3">
        <v>0</v>
      </c>
      <c r="FO40" s="3">
        <v>0</v>
      </c>
      <c r="FP40" s="3">
        <v>23046227</v>
      </c>
      <c r="FQ40" s="3">
        <v>0</v>
      </c>
      <c r="FR40" s="3">
        <v>20604765.09</v>
      </c>
      <c r="FS40" s="3">
        <v>0</v>
      </c>
      <c r="FT40" s="3">
        <v>0</v>
      </c>
      <c r="FU40" s="3">
        <v>20604765.09</v>
      </c>
      <c r="FV40" s="3">
        <v>0</v>
      </c>
      <c r="FW40" s="3">
        <v>17970582.649999999</v>
      </c>
      <c r="FX40" s="3">
        <v>0</v>
      </c>
      <c r="FY40" s="3">
        <v>0</v>
      </c>
      <c r="FZ40" s="3">
        <v>17970582.649999999</v>
      </c>
      <c r="GA40" s="3">
        <v>0</v>
      </c>
      <c r="GB40" s="3">
        <v>21063000</v>
      </c>
      <c r="GC40" s="3">
        <v>0</v>
      </c>
      <c r="GD40" s="3">
        <v>0</v>
      </c>
      <c r="GE40" s="3">
        <v>21063000</v>
      </c>
      <c r="GF40" s="3">
        <v>0</v>
      </c>
      <c r="GG40" s="3">
        <v>21063000</v>
      </c>
      <c r="GH40" s="3">
        <v>0</v>
      </c>
      <c r="GI40" s="3">
        <v>0</v>
      </c>
      <c r="GJ40" s="3">
        <v>21063000</v>
      </c>
      <c r="GK40" s="3">
        <v>0</v>
      </c>
      <c r="GL40" s="3">
        <v>21063000</v>
      </c>
      <c r="GM40" s="3">
        <v>0</v>
      </c>
      <c r="GN40" s="3">
        <v>0</v>
      </c>
      <c r="GO40" s="3">
        <v>21063000</v>
      </c>
      <c r="GP40" s="3">
        <v>0</v>
      </c>
      <c r="GQ40" s="10">
        <v>21063000</v>
      </c>
      <c r="GR40" s="3">
        <v>0</v>
      </c>
      <c r="GS40" s="3">
        <v>0</v>
      </c>
      <c r="GT40" s="3">
        <v>21063000</v>
      </c>
      <c r="GU40" s="3">
        <v>0</v>
      </c>
      <c r="GV40" s="10">
        <v>21063000</v>
      </c>
      <c r="GW40" s="3">
        <v>0</v>
      </c>
      <c r="GX40" s="3">
        <v>0</v>
      </c>
      <c r="GY40" s="3">
        <v>21063000</v>
      </c>
      <c r="GZ40" s="3">
        <v>0</v>
      </c>
      <c r="HA40" s="3">
        <v>18018350.399999999</v>
      </c>
      <c r="HB40" s="3">
        <v>0</v>
      </c>
      <c r="HC40" s="3">
        <v>0</v>
      </c>
      <c r="HD40" s="3">
        <v>18018350.399999999</v>
      </c>
      <c r="HE40" s="3">
        <v>0</v>
      </c>
      <c r="HF40" s="3">
        <v>16100695.289999999</v>
      </c>
      <c r="HG40" s="3">
        <v>0</v>
      </c>
      <c r="HH40" s="3">
        <v>0</v>
      </c>
      <c r="HI40" s="3">
        <v>16100695.289999999</v>
      </c>
      <c r="HJ40" s="3">
        <v>0</v>
      </c>
      <c r="HK40" s="3">
        <v>17699000</v>
      </c>
      <c r="HL40" s="3">
        <v>0</v>
      </c>
      <c r="HM40" s="3">
        <v>0</v>
      </c>
      <c r="HN40" s="3">
        <v>17699000</v>
      </c>
      <c r="HO40" s="3">
        <v>0</v>
      </c>
      <c r="HP40" s="3">
        <v>17699000</v>
      </c>
      <c r="HQ40" s="3">
        <v>0</v>
      </c>
      <c r="HR40" s="3">
        <v>0</v>
      </c>
      <c r="HS40" s="3">
        <v>17699000</v>
      </c>
      <c r="HT40" s="3">
        <v>0</v>
      </c>
      <c r="HU40" s="3">
        <v>17699000</v>
      </c>
      <c r="HV40" s="3">
        <v>0</v>
      </c>
      <c r="HW40" s="3">
        <v>0</v>
      </c>
      <c r="HX40" s="3">
        <v>17699000</v>
      </c>
      <c r="HY40" s="3">
        <v>0</v>
      </c>
      <c r="HZ40" s="10">
        <v>17596028</v>
      </c>
      <c r="IA40" s="3">
        <v>0</v>
      </c>
      <c r="IB40" s="3">
        <v>0</v>
      </c>
      <c r="IC40" s="3">
        <v>17596028</v>
      </c>
      <c r="ID40" s="3">
        <v>0</v>
      </c>
      <c r="IE40" s="10">
        <v>17596028</v>
      </c>
      <c r="IF40" s="3">
        <v>0</v>
      </c>
      <c r="IG40" s="3">
        <v>0</v>
      </c>
      <c r="IH40" s="3">
        <v>17596028</v>
      </c>
      <c r="II40" s="3">
        <v>0</v>
      </c>
      <c r="IJ40" s="3">
        <v>16361806.23</v>
      </c>
      <c r="IK40" s="3">
        <v>0</v>
      </c>
      <c r="IL40" s="3">
        <v>0</v>
      </c>
      <c r="IM40" s="6">
        <v>16361806.23</v>
      </c>
      <c r="IN40" s="3">
        <v>0</v>
      </c>
      <c r="IO40" s="3">
        <v>13286323.99</v>
      </c>
      <c r="IP40" s="3">
        <v>0</v>
      </c>
      <c r="IQ40" s="3">
        <v>0</v>
      </c>
      <c r="IR40" s="6">
        <v>13286323.99</v>
      </c>
      <c r="IS40" s="3">
        <v>0</v>
      </c>
      <c r="IT40" s="3">
        <v>19516000</v>
      </c>
      <c r="IU40" s="3">
        <v>0</v>
      </c>
      <c r="IV40" s="3">
        <v>0</v>
      </c>
      <c r="IW40" s="3">
        <v>19516000</v>
      </c>
      <c r="IX40" s="3">
        <v>0</v>
      </c>
      <c r="IY40" s="3">
        <v>19516000</v>
      </c>
      <c r="IZ40" s="3">
        <v>0</v>
      </c>
      <c r="JA40" s="3">
        <v>0</v>
      </c>
      <c r="JB40" s="3">
        <v>19516000</v>
      </c>
      <c r="JC40" s="3">
        <v>0</v>
      </c>
      <c r="JD40" s="3">
        <v>19516000</v>
      </c>
      <c r="JE40" s="3">
        <v>0</v>
      </c>
      <c r="JF40" s="3">
        <v>0</v>
      </c>
      <c r="JG40" s="3">
        <v>19516000</v>
      </c>
      <c r="JH40" s="3">
        <v>0</v>
      </c>
      <c r="JI40" s="3">
        <v>19516000</v>
      </c>
      <c r="JJ40" s="3">
        <v>0</v>
      </c>
      <c r="JK40" s="3">
        <v>0</v>
      </c>
      <c r="JL40" s="3">
        <v>19516000</v>
      </c>
      <c r="JM40" s="3">
        <v>0</v>
      </c>
      <c r="JN40" s="3">
        <v>19516000</v>
      </c>
      <c r="JO40" s="3">
        <v>0</v>
      </c>
      <c r="JP40" s="3">
        <v>0</v>
      </c>
      <c r="JQ40" s="3">
        <v>19516000</v>
      </c>
      <c r="JR40" s="3">
        <v>0</v>
      </c>
      <c r="JS40" s="3">
        <v>17557618.760000002</v>
      </c>
      <c r="JT40" s="3">
        <v>0</v>
      </c>
      <c r="JU40" s="3">
        <v>0</v>
      </c>
      <c r="JV40" s="3">
        <v>17557618.760000002</v>
      </c>
      <c r="JW40" s="3">
        <v>0</v>
      </c>
      <c r="JX40" s="3">
        <v>14724582.960000001</v>
      </c>
      <c r="JY40" s="3">
        <v>0</v>
      </c>
      <c r="JZ40" s="3">
        <v>0</v>
      </c>
      <c r="KA40" s="3">
        <v>14724582.960000001</v>
      </c>
      <c r="KB40" s="3">
        <v>0</v>
      </c>
      <c r="KC40" s="3">
        <v>47161000</v>
      </c>
      <c r="KD40" s="3">
        <v>0</v>
      </c>
      <c r="KE40" s="3">
        <v>100000</v>
      </c>
      <c r="KF40" s="3">
        <v>47261000</v>
      </c>
      <c r="KG40" s="3">
        <v>0</v>
      </c>
      <c r="KH40" s="3">
        <v>47161000</v>
      </c>
      <c r="KI40" s="3">
        <v>0</v>
      </c>
      <c r="KJ40" s="3">
        <v>100000</v>
      </c>
      <c r="KK40" s="3">
        <v>47261000</v>
      </c>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v>0</v>
      </c>
      <c r="LL40" s="3">
        <v>58411000</v>
      </c>
      <c r="LM40">
        <v>0</v>
      </c>
      <c r="LN40" s="3">
        <v>500000</v>
      </c>
      <c r="LO40" s="3">
        <v>58911000</v>
      </c>
    </row>
    <row r="41" spans="1:327" x14ac:dyDescent="0.25">
      <c r="A41" t="s">
        <v>943</v>
      </c>
      <c r="B41" t="s">
        <v>944</v>
      </c>
      <c r="C41" t="s">
        <v>199</v>
      </c>
      <c r="D41" t="s">
        <v>200</v>
      </c>
      <c r="E41" t="s">
        <v>217</v>
      </c>
      <c r="F41" t="s">
        <v>961</v>
      </c>
      <c r="G41" t="s">
        <v>1036</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U41" s="3"/>
      <c r="BV41" s="3"/>
      <c r="BW41" s="3"/>
      <c r="BX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D41" s="3"/>
      <c r="DE41" s="3"/>
      <c r="DF41" s="3"/>
      <c r="DG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v>0</v>
      </c>
      <c r="GB41" s="3">
        <v>78561000</v>
      </c>
      <c r="GC41" s="3">
        <v>0</v>
      </c>
      <c r="GD41" s="3">
        <v>12700000</v>
      </c>
      <c r="GE41" s="3">
        <v>91261000</v>
      </c>
      <c r="GF41" s="3">
        <v>0</v>
      </c>
      <c r="GG41" s="3">
        <v>65148000</v>
      </c>
      <c r="GH41" s="3">
        <v>0</v>
      </c>
      <c r="GI41" s="3">
        <v>8257000</v>
      </c>
      <c r="GJ41" s="3">
        <v>73405000</v>
      </c>
      <c r="GK41" s="3">
        <v>0</v>
      </c>
      <c r="GL41" s="3">
        <v>65148000</v>
      </c>
      <c r="GM41" s="3">
        <v>0</v>
      </c>
      <c r="GN41" s="3">
        <v>8257000</v>
      </c>
      <c r="GO41" s="3">
        <v>73405000</v>
      </c>
      <c r="GP41" s="3">
        <v>0</v>
      </c>
      <c r="GQ41" s="3">
        <v>66383490</v>
      </c>
      <c r="GR41" s="3">
        <v>0</v>
      </c>
      <c r="GS41" s="3">
        <v>6757000</v>
      </c>
      <c r="GT41" s="3">
        <v>73140490</v>
      </c>
      <c r="GU41" s="3">
        <v>0</v>
      </c>
      <c r="GV41" s="3">
        <v>66383490</v>
      </c>
      <c r="GW41" s="3">
        <v>0</v>
      </c>
      <c r="GX41" s="3">
        <v>6757000</v>
      </c>
      <c r="GY41" s="3">
        <v>73140490</v>
      </c>
      <c r="GZ41" s="3">
        <v>0</v>
      </c>
      <c r="HA41" s="3">
        <v>65384752.460000001</v>
      </c>
      <c r="HB41" s="3">
        <v>0</v>
      </c>
      <c r="HC41" s="3">
        <v>6166570.2800000003</v>
      </c>
      <c r="HD41" s="3">
        <v>71551322.739999995</v>
      </c>
      <c r="HE41" s="3">
        <v>0</v>
      </c>
      <c r="HF41" s="3">
        <v>60562868.719999999</v>
      </c>
      <c r="HG41" s="3">
        <v>0</v>
      </c>
      <c r="HH41" s="3">
        <v>4447430.09</v>
      </c>
      <c r="HI41" s="3">
        <v>65010298.810000002</v>
      </c>
      <c r="HJ41" s="3">
        <v>0</v>
      </c>
      <c r="HK41" s="3">
        <v>104067000</v>
      </c>
      <c r="HL41" s="3">
        <v>0</v>
      </c>
      <c r="HM41" s="3">
        <v>0</v>
      </c>
      <c r="HN41" s="3">
        <v>104067000</v>
      </c>
      <c r="HO41" s="3">
        <v>0</v>
      </c>
      <c r="HP41" s="3">
        <v>101495000</v>
      </c>
      <c r="HQ41" s="3">
        <v>0</v>
      </c>
      <c r="HR41" s="3">
        <v>0</v>
      </c>
      <c r="HS41" s="3">
        <v>101495000</v>
      </c>
      <c r="HT41" s="3">
        <v>0</v>
      </c>
      <c r="HU41" s="3">
        <v>101495000</v>
      </c>
      <c r="HV41" s="3">
        <v>0</v>
      </c>
      <c r="HW41" s="3">
        <v>0</v>
      </c>
      <c r="HX41" s="3">
        <v>101495000</v>
      </c>
      <c r="HY41" s="3">
        <v>0</v>
      </c>
      <c r="HZ41" s="10">
        <v>101383000</v>
      </c>
      <c r="IA41" s="3">
        <v>0</v>
      </c>
      <c r="IB41" s="3">
        <v>0</v>
      </c>
      <c r="IC41" s="3">
        <v>101383000</v>
      </c>
      <c r="ID41" s="3">
        <v>0</v>
      </c>
      <c r="IE41" s="10">
        <v>101383000</v>
      </c>
      <c r="IF41" s="3">
        <v>0</v>
      </c>
      <c r="IG41" s="3">
        <v>0</v>
      </c>
      <c r="IH41" s="3">
        <v>101383000</v>
      </c>
      <c r="II41" s="3">
        <v>0</v>
      </c>
      <c r="IJ41" s="3">
        <v>97511792.659999996</v>
      </c>
      <c r="IK41" s="3">
        <v>0</v>
      </c>
      <c r="IL41" s="3">
        <v>0</v>
      </c>
      <c r="IM41" s="6">
        <v>97511792.659999996</v>
      </c>
      <c r="IN41" s="3">
        <v>0</v>
      </c>
      <c r="IO41" s="3">
        <v>83051004.269999996</v>
      </c>
      <c r="IP41" s="3">
        <v>0</v>
      </c>
      <c r="IQ41" s="3">
        <v>0</v>
      </c>
      <c r="IR41" s="6">
        <v>83051004.269999996</v>
      </c>
      <c r="IS41" s="3">
        <v>0</v>
      </c>
      <c r="IT41" s="3">
        <v>88897000</v>
      </c>
      <c r="IU41" s="3">
        <v>0</v>
      </c>
      <c r="IV41" s="3">
        <v>460000</v>
      </c>
      <c r="IW41" s="3">
        <v>89357000</v>
      </c>
      <c r="IX41" s="3">
        <v>0</v>
      </c>
      <c r="IY41" s="3">
        <v>88897000</v>
      </c>
      <c r="IZ41" s="3">
        <v>0</v>
      </c>
      <c r="JA41" s="3">
        <v>460000</v>
      </c>
      <c r="JB41" s="3">
        <v>89357000</v>
      </c>
      <c r="JC41" s="3">
        <v>0</v>
      </c>
      <c r="JD41" s="3">
        <v>88897000</v>
      </c>
      <c r="JE41" s="3">
        <v>0</v>
      </c>
      <c r="JF41" s="3">
        <v>460000</v>
      </c>
      <c r="JG41" s="3">
        <v>89357000</v>
      </c>
      <c r="JH41" s="3">
        <v>0</v>
      </c>
      <c r="JI41" s="3">
        <v>88747000</v>
      </c>
      <c r="JJ41" s="3">
        <v>0</v>
      </c>
      <c r="JK41" s="3">
        <v>460000</v>
      </c>
      <c r="JL41" s="3">
        <v>89207000</v>
      </c>
      <c r="JM41" s="3">
        <v>0</v>
      </c>
      <c r="JN41" s="3">
        <v>88747000</v>
      </c>
      <c r="JO41" s="3">
        <v>0</v>
      </c>
      <c r="JP41" s="3">
        <v>460000</v>
      </c>
      <c r="JQ41" s="3">
        <v>89207000</v>
      </c>
      <c r="JR41" s="3">
        <v>0</v>
      </c>
      <c r="JS41" s="3">
        <v>85497137.989999995</v>
      </c>
      <c r="JT41" s="3">
        <v>0</v>
      </c>
      <c r="JU41" s="3">
        <v>349944</v>
      </c>
      <c r="JV41" s="3">
        <v>85847081.989999995</v>
      </c>
      <c r="JW41" s="3">
        <v>0</v>
      </c>
      <c r="JX41" s="3">
        <v>76003221.640000001</v>
      </c>
      <c r="JY41" s="3">
        <v>0</v>
      </c>
      <c r="JZ41" s="3">
        <v>0</v>
      </c>
      <c r="KA41" s="3">
        <v>76003221.640000001</v>
      </c>
      <c r="KB41" s="3">
        <v>0</v>
      </c>
      <c r="KC41" s="3">
        <v>71318000</v>
      </c>
      <c r="KD41" s="3">
        <v>0</v>
      </c>
      <c r="KE41" s="3">
        <v>485000</v>
      </c>
      <c r="KF41" s="3">
        <v>71803000</v>
      </c>
      <c r="KG41" s="3">
        <v>0</v>
      </c>
      <c r="KH41" s="3">
        <v>71318000</v>
      </c>
      <c r="KI41" s="3">
        <v>0</v>
      </c>
      <c r="KJ41" s="3">
        <v>485000</v>
      </c>
      <c r="KK41" s="3">
        <v>71803000</v>
      </c>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v>0</v>
      </c>
      <c r="LL41" s="3">
        <v>40061000</v>
      </c>
      <c r="LM41">
        <v>0</v>
      </c>
      <c r="LN41" s="3">
        <v>70000</v>
      </c>
      <c r="LO41" s="3">
        <v>40131000</v>
      </c>
    </row>
    <row r="42" spans="1:327" x14ac:dyDescent="0.25">
      <c r="A42" t="s">
        <v>943</v>
      </c>
      <c r="B42" t="s">
        <v>944</v>
      </c>
      <c r="C42" t="s">
        <v>199</v>
      </c>
      <c r="D42" t="s">
        <v>200</v>
      </c>
      <c r="E42" t="s">
        <v>217</v>
      </c>
      <c r="F42" s="4" t="s">
        <v>1107</v>
      </c>
      <c r="G42" s="15" t="s">
        <v>1108</v>
      </c>
      <c r="H42" s="3">
        <v>0</v>
      </c>
      <c r="I42" s="3">
        <v>30800000</v>
      </c>
      <c r="J42" s="3">
        <v>0</v>
      </c>
      <c r="K42" s="3">
        <v>0</v>
      </c>
      <c r="L42" s="3">
        <v>30800000</v>
      </c>
      <c r="M42" s="3">
        <v>0</v>
      </c>
      <c r="N42" s="3">
        <v>30800000</v>
      </c>
      <c r="O42" s="3">
        <v>0</v>
      </c>
      <c r="P42" s="3">
        <v>0</v>
      </c>
      <c r="Q42" s="3">
        <v>30800000</v>
      </c>
      <c r="R42" s="3">
        <v>0</v>
      </c>
      <c r="S42" s="3">
        <v>30800000</v>
      </c>
      <c r="T42" s="3">
        <v>0</v>
      </c>
      <c r="U42" s="3">
        <v>0</v>
      </c>
      <c r="V42" s="3">
        <v>30800000</v>
      </c>
      <c r="W42" s="3">
        <v>0</v>
      </c>
      <c r="X42" s="3">
        <v>30800000</v>
      </c>
      <c r="Y42" s="3">
        <v>0</v>
      </c>
      <c r="Z42" s="3">
        <v>0</v>
      </c>
      <c r="AA42" s="3">
        <v>30800000</v>
      </c>
      <c r="AB42" s="3">
        <v>0</v>
      </c>
      <c r="AC42" s="3">
        <v>30800000</v>
      </c>
      <c r="AD42" s="3">
        <v>0</v>
      </c>
      <c r="AE42" s="3">
        <v>0</v>
      </c>
      <c r="AF42" s="3">
        <v>30800000</v>
      </c>
      <c r="AG42" s="3">
        <v>0</v>
      </c>
      <c r="AH42" s="3">
        <v>30379907.98</v>
      </c>
      <c r="AI42" s="3">
        <v>0</v>
      </c>
      <c r="AJ42" s="3">
        <v>0</v>
      </c>
      <c r="AK42" s="3">
        <v>30379907.98</v>
      </c>
      <c r="AL42" s="3">
        <v>0</v>
      </c>
      <c r="AM42" s="3">
        <v>29757304.68</v>
      </c>
      <c r="AN42" s="3">
        <v>0</v>
      </c>
      <c r="AO42" s="3">
        <v>0</v>
      </c>
      <c r="AP42" s="3">
        <v>29757304.68</v>
      </c>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U42" s="3"/>
      <c r="BV42" s="3"/>
      <c r="BW42" s="3"/>
      <c r="BX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D42" s="3"/>
      <c r="DE42" s="3"/>
      <c r="DF42" s="3"/>
      <c r="DG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U42" s="3"/>
      <c r="GV42" s="3"/>
      <c r="GW42" s="3"/>
      <c r="GX42" s="3"/>
      <c r="GY42" s="3"/>
      <c r="GZ42" s="3"/>
      <c r="HA42" s="3"/>
      <c r="HB42" s="3"/>
      <c r="HC42" s="3"/>
      <c r="HE42" s="3"/>
      <c r="HF42" s="3"/>
      <c r="HG42" s="3"/>
      <c r="HH42" s="3"/>
      <c r="HJ42" s="3"/>
      <c r="HK42" s="3"/>
      <c r="HL42" s="3"/>
      <c r="HM42" s="3"/>
      <c r="HN42" s="3"/>
      <c r="HO42" s="3"/>
      <c r="HP42" s="3"/>
      <c r="HQ42" s="3"/>
      <c r="HR42" s="3"/>
      <c r="HS42" s="3"/>
      <c r="HT42" s="3"/>
      <c r="HU42" s="3"/>
      <c r="HV42" s="3"/>
      <c r="HW42" s="3"/>
      <c r="HX42" s="3"/>
      <c r="HY42" s="3"/>
      <c r="HZ42" s="3"/>
      <c r="IA42" s="3"/>
      <c r="IB42" s="3"/>
      <c r="ID42" s="3"/>
      <c r="IE42" s="3"/>
      <c r="IF42" s="3"/>
      <c r="IG42" s="3"/>
      <c r="IM42" s="5"/>
      <c r="IR42" s="5"/>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c r="KS42" s="3"/>
      <c r="KT42" s="3"/>
      <c r="KU42" s="3"/>
      <c r="KV42" s="3"/>
      <c r="KW42" s="3"/>
      <c r="KX42" s="3"/>
      <c r="KY42" s="3"/>
      <c r="KZ42" s="3"/>
      <c r="LA42" s="3"/>
      <c r="LB42" s="3"/>
      <c r="LC42" s="3"/>
      <c r="LD42" s="3"/>
      <c r="LE42" s="3"/>
      <c r="LF42" s="3"/>
      <c r="LG42" s="3"/>
      <c r="LH42" s="3"/>
      <c r="LI42" s="3"/>
      <c r="LJ42" s="3"/>
    </row>
    <row r="43" spans="1:327" x14ac:dyDescent="0.25">
      <c r="A43" t="s">
        <v>943</v>
      </c>
      <c r="B43" t="s">
        <v>944</v>
      </c>
      <c r="C43" t="s">
        <v>199</v>
      </c>
      <c r="D43" t="s">
        <v>200</v>
      </c>
      <c r="E43" t="s">
        <v>217</v>
      </c>
      <c r="F43" t="s">
        <v>962</v>
      </c>
      <c r="G43" t="s">
        <v>1017</v>
      </c>
      <c r="H43" s="3">
        <v>0</v>
      </c>
      <c r="I43" s="3">
        <v>836670000</v>
      </c>
      <c r="J43" s="3">
        <v>0</v>
      </c>
      <c r="K43" s="3">
        <v>61242000</v>
      </c>
      <c r="L43" s="3">
        <v>897912000</v>
      </c>
      <c r="M43" s="3">
        <v>0</v>
      </c>
      <c r="N43" s="3">
        <v>836670000</v>
      </c>
      <c r="O43" s="3">
        <v>0</v>
      </c>
      <c r="P43" s="3">
        <v>61242000</v>
      </c>
      <c r="Q43" s="3">
        <v>897912000</v>
      </c>
      <c r="R43" s="3">
        <v>0</v>
      </c>
      <c r="S43" s="3">
        <v>836670000</v>
      </c>
      <c r="T43" s="3">
        <v>0</v>
      </c>
      <c r="U43" s="3">
        <v>61242000</v>
      </c>
      <c r="V43" s="3">
        <v>897912000</v>
      </c>
      <c r="W43" s="3">
        <v>0</v>
      </c>
      <c r="X43" s="3">
        <v>829882310</v>
      </c>
      <c r="Y43" s="3">
        <v>0</v>
      </c>
      <c r="Z43" s="3">
        <v>61242000</v>
      </c>
      <c r="AA43" s="3">
        <v>891124310</v>
      </c>
      <c r="AB43" s="3">
        <v>0</v>
      </c>
      <c r="AC43" s="3">
        <v>829882310</v>
      </c>
      <c r="AD43" s="3">
        <v>0</v>
      </c>
      <c r="AE43" s="3">
        <v>61242000</v>
      </c>
      <c r="AF43" s="3">
        <v>891124310</v>
      </c>
      <c r="AG43" s="3">
        <v>0</v>
      </c>
      <c r="AH43" s="3">
        <v>815383869.62000012</v>
      </c>
      <c r="AI43" s="3">
        <v>0</v>
      </c>
      <c r="AJ43" s="3">
        <v>59711804.340000004</v>
      </c>
      <c r="AK43" s="3">
        <v>875095673.96000004</v>
      </c>
      <c r="AL43" s="3">
        <v>0</v>
      </c>
      <c r="AM43" s="3">
        <v>701723476.00999999</v>
      </c>
      <c r="AN43" s="3">
        <v>0</v>
      </c>
      <c r="AO43" s="3">
        <v>27126745.100000001</v>
      </c>
      <c r="AP43" s="3">
        <v>728850221.11000001</v>
      </c>
      <c r="AQ43" s="3">
        <v>0</v>
      </c>
      <c r="AR43" s="3">
        <v>825782000</v>
      </c>
      <c r="AS43" s="3">
        <v>0</v>
      </c>
      <c r="AT43" s="3">
        <v>27587000</v>
      </c>
      <c r="AU43" s="3">
        <v>853369000</v>
      </c>
      <c r="AV43" s="3">
        <v>0</v>
      </c>
      <c r="AW43" s="3">
        <v>825782000</v>
      </c>
      <c r="AX43" s="3">
        <v>0</v>
      </c>
      <c r="AY43" s="3">
        <v>27587000</v>
      </c>
      <c r="AZ43" s="3">
        <v>853369000</v>
      </c>
      <c r="BA43" s="3">
        <v>0</v>
      </c>
      <c r="BB43" s="3">
        <v>825782000</v>
      </c>
      <c r="BC43" s="3">
        <v>0</v>
      </c>
      <c r="BD43" s="3">
        <v>27587000</v>
      </c>
      <c r="BE43" s="3">
        <v>853369000</v>
      </c>
      <c r="BF43" s="3">
        <v>0</v>
      </c>
      <c r="BG43" s="3">
        <v>818966205</v>
      </c>
      <c r="BH43" s="3">
        <v>0</v>
      </c>
      <c r="BI43" s="3">
        <v>27587000</v>
      </c>
      <c r="BJ43" s="3">
        <v>846553205</v>
      </c>
      <c r="BK43" s="3">
        <v>0</v>
      </c>
      <c r="BL43" s="3">
        <v>818966205</v>
      </c>
      <c r="BM43" s="3">
        <v>0</v>
      </c>
      <c r="BN43" s="3">
        <v>27587000</v>
      </c>
      <c r="BO43" s="3">
        <v>846553205</v>
      </c>
      <c r="BP43" s="3">
        <v>0</v>
      </c>
      <c r="BQ43" s="3">
        <v>812553425.25999999</v>
      </c>
      <c r="BR43" s="3">
        <v>0</v>
      </c>
      <c r="BS43" s="3">
        <v>25736893.649999999</v>
      </c>
      <c r="BT43" s="3">
        <v>838290318.90999997</v>
      </c>
      <c r="BU43" s="3">
        <v>0</v>
      </c>
      <c r="BV43" s="3">
        <v>702606339.25</v>
      </c>
      <c r="BW43" s="3">
        <v>0</v>
      </c>
      <c r="BX43" s="3">
        <v>11566977.470000001</v>
      </c>
      <c r="BY43" s="3">
        <v>714173316.72000003</v>
      </c>
      <c r="BZ43" s="3">
        <v>0</v>
      </c>
      <c r="CA43" s="3">
        <v>706228000</v>
      </c>
      <c r="CB43" s="3">
        <v>0</v>
      </c>
      <c r="CC43" s="3">
        <v>122266000</v>
      </c>
      <c r="CD43" s="3">
        <v>828494000</v>
      </c>
      <c r="CE43" s="3">
        <v>0</v>
      </c>
      <c r="CF43" s="3">
        <v>644021000</v>
      </c>
      <c r="CG43" s="3">
        <v>0</v>
      </c>
      <c r="CH43" s="3">
        <v>122266000</v>
      </c>
      <c r="CI43" s="3">
        <v>766287000</v>
      </c>
      <c r="CJ43" s="3">
        <v>0</v>
      </c>
      <c r="CK43" s="3">
        <v>644021000</v>
      </c>
      <c r="CL43" s="3">
        <v>0</v>
      </c>
      <c r="CM43" s="3">
        <v>122266000</v>
      </c>
      <c r="CN43" s="3">
        <v>766287000</v>
      </c>
      <c r="CO43" s="3">
        <v>0</v>
      </c>
      <c r="CP43" s="3">
        <v>603057694</v>
      </c>
      <c r="CQ43" s="3">
        <v>0</v>
      </c>
      <c r="CR43" s="3">
        <v>113623600</v>
      </c>
      <c r="CS43" s="3">
        <v>716681294</v>
      </c>
      <c r="CT43" s="3">
        <v>0</v>
      </c>
      <c r="CU43" s="3">
        <v>603057694</v>
      </c>
      <c r="CV43" s="3">
        <v>0</v>
      </c>
      <c r="CW43" s="3">
        <v>113623600</v>
      </c>
      <c r="CX43" s="3">
        <v>716681294</v>
      </c>
      <c r="CY43" s="3">
        <v>0</v>
      </c>
      <c r="CZ43" s="3">
        <v>593630644.02999997</v>
      </c>
      <c r="DA43" s="3">
        <v>0</v>
      </c>
      <c r="DB43" s="3">
        <v>112937573.58000001</v>
      </c>
      <c r="DC43" s="3">
        <v>706568217.6099999</v>
      </c>
      <c r="DD43" s="3">
        <v>0</v>
      </c>
      <c r="DE43" s="3">
        <v>553796034.45000005</v>
      </c>
      <c r="DF43" s="3">
        <v>0</v>
      </c>
      <c r="DG43" s="3">
        <v>76465794.640000001</v>
      </c>
      <c r="DH43" s="10">
        <v>630261829.09000003</v>
      </c>
      <c r="DI43" s="3">
        <v>0</v>
      </c>
      <c r="DJ43" s="3">
        <v>552766000</v>
      </c>
      <c r="DK43" s="3">
        <v>0</v>
      </c>
      <c r="DL43" s="3">
        <v>106022000</v>
      </c>
      <c r="DM43" s="3">
        <v>658788000</v>
      </c>
      <c r="DN43" s="3">
        <v>0</v>
      </c>
      <c r="DO43" s="3">
        <v>552766000</v>
      </c>
      <c r="DP43" s="3">
        <v>0</v>
      </c>
      <c r="DQ43" s="3">
        <v>106022000</v>
      </c>
      <c r="DR43" s="3">
        <v>658788000</v>
      </c>
      <c r="DS43" s="3">
        <v>0</v>
      </c>
      <c r="DT43" s="3">
        <v>552766000</v>
      </c>
      <c r="DU43" s="3">
        <v>0</v>
      </c>
      <c r="DV43" s="3">
        <v>106022000</v>
      </c>
      <c r="DW43" s="3">
        <v>658788000</v>
      </c>
      <c r="DX43" s="3">
        <v>0</v>
      </c>
      <c r="DY43" s="3">
        <v>551073196</v>
      </c>
      <c r="DZ43" s="3">
        <v>0</v>
      </c>
      <c r="EA43" s="3">
        <v>106022000</v>
      </c>
      <c r="EB43" s="3">
        <v>657095196</v>
      </c>
      <c r="EC43" s="3">
        <v>0</v>
      </c>
      <c r="ED43" s="3">
        <v>551073196</v>
      </c>
      <c r="EE43" s="3">
        <v>0</v>
      </c>
      <c r="EF43" s="3">
        <v>106022000</v>
      </c>
      <c r="EG43" s="3">
        <v>657095196</v>
      </c>
      <c r="EH43" s="3">
        <v>0</v>
      </c>
      <c r="EI43" s="3">
        <v>538649469.22000003</v>
      </c>
      <c r="EJ43" s="3">
        <v>0</v>
      </c>
      <c r="EK43" s="3">
        <v>99391788.310000002</v>
      </c>
      <c r="EL43" s="3">
        <v>638041257.52999997</v>
      </c>
      <c r="EM43" s="3">
        <v>0</v>
      </c>
      <c r="EN43" s="3">
        <v>481626597.78999996</v>
      </c>
      <c r="EO43" s="3">
        <v>0</v>
      </c>
      <c r="EP43" s="3">
        <v>51381974.339999996</v>
      </c>
      <c r="EQ43" s="3">
        <v>533008572.13</v>
      </c>
      <c r="ER43" s="3">
        <v>0</v>
      </c>
      <c r="ES43" s="3">
        <v>513322000</v>
      </c>
      <c r="ET43" s="3">
        <v>0</v>
      </c>
      <c r="EU43" s="3">
        <v>119165000</v>
      </c>
      <c r="EV43" s="3">
        <v>632487000</v>
      </c>
      <c r="EW43" s="3">
        <v>0</v>
      </c>
      <c r="EX43" s="3">
        <v>513322000</v>
      </c>
      <c r="EY43" s="3">
        <v>0</v>
      </c>
      <c r="EZ43" s="3">
        <v>119165000</v>
      </c>
      <c r="FA43" s="3">
        <v>632487000</v>
      </c>
      <c r="FB43" s="3">
        <v>0</v>
      </c>
      <c r="FC43" s="3">
        <v>513322000</v>
      </c>
      <c r="FD43" s="3">
        <v>0</v>
      </c>
      <c r="FE43" s="3">
        <v>119165000</v>
      </c>
      <c r="FF43" s="3">
        <v>632487000</v>
      </c>
      <c r="FG43" s="3">
        <v>0</v>
      </c>
      <c r="FH43" s="3">
        <v>508648064</v>
      </c>
      <c r="FI43" s="3">
        <v>0</v>
      </c>
      <c r="FJ43" s="3">
        <v>119165000</v>
      </c>
      <c r="FK43" s="3">
        <v>627813064</v>
      </c>
      <c r="FL43" s="3">
        <v>0</v>
      </c>
      <c r="FM43" s="3">
        <v>508648064</v>
      </c>
      <c r="FN43" s="3">
        <v>0</v>
      </c>
      <c r="FO43" s="3">
        <v>119165000</v>
      </c>
      <c r="FP43" s="3">
        <v>627813064</v>
      </c>
      <c r="FQ43" s="3">
        <v>0</v>
      </c>
      <c r="FR43" s="3">
        <v>500600706.63999999</v>
      </c>
      <c r="FS43" s="3">
        <v>0</v>
      </c>
      <c r="FT43" s="3">
        <v>112835646.67</v>
      </c>
      <c r="FU43" s="3">
        <v>613436353.30999994</v>
      </c>
      <c r="FV43" s="3">
        <v>0</v>
      </c>
      <c r="FW43" s="3">
        <v>450874562.10000002</v>
      </c>
      <c r="FX43" s="3">
        <v>0</v>
      </c>
      <c r="FY43" s="3">
        <v>82201973.900000006</v>
      </c>
      <c r="FZ43" s="3">
        <v>533076536</v>
      </c>
      <c r="GA43" s="3">
        <v>0</v>
      </c>
      <c r="GB43" s="3">
        <v>535632000</v>
      </c>
      <c r="GC43" s="3">
        <v>0</v>
      </c>
      <c r="GD43" s="3">
        <v>119335000</v>
      </c>
      <c r="GE43" s="3">
        <v>654967000</v>
      </c>
      <c r="GF43" s="3">
        <v>0</v>
      </c>
      <c r="GG43" s="3">
        <v>563482000</v>
      </c>
      <c r="GH43" s="3">
        <v>0</v>
      </c>
      <c r="GI43" s="3">
        <v>145045000</v>
      </c>
      <c r="GJ43" s="3">
        <v>708527000</v>
      </c>
      <c r="GK43" s="3">
        <v>0</v>
      </c>
      <c r="GL43" s="3">
        <v>563482000</v>
      </c>
      <c r="GM43" s="3">
        <v>0</v>
      </c>
      <c r="GN43" s="3">
        <v>145045000</v>
      </c>
      <c r="GO43" s="3">
        <v>708527000</v>
      </c>
      <c r="GP43" s="3">
        <v>0</v>
      </c>
      <c r="GQ43" s="3">
        <v>402367412</v>
      </c>
      <c r="GR43" s="3">
        <v>0</v>
      </c>
      <c r="GS43" s="3">
        <v>120045000</v>
      </c>
      <c r="GT43" s="3">
        <v>522412412</v>
      </c>
      <c r="GU43" s="3">
        <v>0</v>
      </c>
      <c r="GV43" s="3">
        <v>402367412</v>
      </c>
      <c r="GW43" s="3">
        <v>0</v>
      </c>
      <c r="GX43" s="3">
        <v>120045000</v>
      </c>
      <c r="GY43" s="3">
        <v>522412412</v>
      </c>
      <c r="GZ43" s="3">
        <v>0</v>
      </c>
      <c r="HA43" s="3">
        <v>391144084.62</v>
      </c>
      <c r="HB43" s="3">
        <v>0</v>
      </c>
      <c r="HC43" s="3">
        <v>119101241.13</v>
      </c>
      <c r="HD43" s="3">
        <v>510245325.75</v>
      </c>
      <c r="HE43" s="3">
        <v>0</v>
      </c>
      <c r="HF43" s="3">
        <v>344159122.69999999</v>
      </c>
      <c r="HG43" s="3">
        <v>0</v>
      </c>
      <c r="HH43" s="3">
        <v>93500914.629999995</v>
      </c>
      <c r="HI43" s="3">
        <v>437660037.32999998</v>
      </c>
      <c r="HJ43" s="3">
        <v>0</v>
      </c>
      <c r="HK43" s="3">
        <v>596952000</v>
      </c>
      <c r="HL43" s="3">
        <v>0</v>
      </c>
      <c r="HM43" s="3">
        <v>54340000</v>
      </c>
      <c r="HN43" s="3">
        <v>651292000</v>
      </c>
      <c r="HO43" s="3">
        <v>0</v>
      </c>
      <c r="HP43" s="3">
        <v>550458000</v>
      </c>
      <c r="HQ43" s="3">
        <v>0</v>
      </c>
      <c r="HR43" s="3">
        <v>50590000</v>
      </c>
      <c r="HS43" s="3">
        <v>601048000</v>
      </c>
      <c r="HT43" s="3">
        <v>0</v>
      </c>
      <c r="HU43" s="3">
        <v>550458000</v>
      </c>
      <c r="HV43" s="3">
        <v>0</v>
      </c>
      <c r="HW43" s="3">
        <v>50590000</v>
      </c>
      <c r="HX43" s="3">
        <v>601048000</v>
      </c>
      <c r="HY43" s="3">
        <v>0</v>
      </c>
      <c r="HZ43" s="3">
        <v>360634383</v>
      </c>
      <c r="IA43" s="3">
        <v>0</v>
      </c>
      <c r="IB43" s="3">
        <v>50590000</v>
      </c>
      <c r="IC43" s="3">
        <v>411224383</v>
      </c>
      <c r="ID43" s="3">
        <v>0</v>
      </c>
      <c r="IE43" s="3">
        <v>360634383</v>
      </c>
      <c r="IF43" s="3">
        <v>0</v>
      </c>
      <c r="IG43" s="3">
        <v>50590000</v>
      </c>
      <c r="IH43" s="3">
        <v>411224383</v>
      </c>
      <c r="II43" s="3">
        <v>0</v>
      </c>
      <c r="IJ43" s="3">
        <v>348703185.69</v>
      </c>
      <c r="IK43" s="3">
        <v>0</v>
      </c>
      <c r="IL43" s="3">
        <v>33186546.119999997</v>
      </c>
      <c r="IM43" s="6">
        <v>381889731.81</v>
      </c>
      <c r="IN43" s="3">
        <v>0</v>
      </c>
      <c r="IO43" s="3">
        <v>327164760.59999996</v>
      </c>
      <c r="IP43" s="3">
        <v>0</v>
      </c>
      <c r="IQ43" s="3">
        <v>20844937.890000001</v>
      </c>
      <c r="IR43" s="6">
        <v>348009698.49000001</v>
      </c>
      <c r="IS43" s="3">
        <v>0</v>
      </c>
      <c r="IT43" s="3">
        <v>605349000</v>
      </c>
      <c r="IU43" s="3">
        <v>0</v>
      </c>
      <c r="IV43" s="3">
        <v>46870000</v>
      </c>
      <c r="IW43" s="3">
        <v>652219000</v>
      </c>
      <c r="IX43" s="3">
        <v>0</v>
      </c>
      <c r="IY43" s="3">
        <v>635349000</v>
      </c>
      <c r="IZ43" s="3">
        <v>0</v>
      </c>
      <c r="JA43" s="3">
        <v>46870000</v>
      </c>
      <c r="JB43" s="3">
        <v>682219000</v>
      </c>
      <c r="JC43" s="3">
        <v>0</v>
      </c>
      <c r="JD43" s="3">
        <v>635349000</v>
      </c>
      <c r="JE43" s="3">
        <v>0</v>
      </c>
      <c r="JF43" s="3">
        <v>46870000</v>
      </c>
      <c r="JG43" s="3">
        <v>682219000</v>
      </c>
      <c r="JH43" s="3">
        <v>0</v>
      </c>
      <c r="JI43" s="3">
        <v>355531000</v>
      </c>
      <c r="JJ43" s="3">
        <v>0</v>
      </c>
      <c r="JK43" s="3">
        <v>46870000</v>
      </c>
      <c r="JL43" s="3">
        <v>402401000</v>
      </c>
      <c r="JM43" s="3">
        <v>0</v>
      </c>
      <c r="JN43" s="3">
        <v>355531000</v>
      </c>
      <c r="JO43" s="3">
        <v>0</v>
      </c>
      <c r="JP43" s="3">
        <v>46870000</v>
      </c>
      <c r="JQ43" s="3">
        <v>402401000</v>
      </c>
      <c r="JR43" s="3">
        <v>0</v>
      </c>
      <c r="JS43" s="3">
        <v>329333681.93000001</v>
      </c>
      <c r="JT43" s="3">
        <v>0</v>
      </c>
      <c r="JU43" s="3">
        <v>44714525.25</v>
      </c>
      <c r="JV43" s="3">
        <v>374048207.18000001</v>
      </c>
      <c r="JW43" s="3">
        <v>0</v>
      </c>
      <c r="JX43" s="3">
        <v>267175442.03999999</v>
      </c>
      <c r="JY43" s="3">
        <v>0</v>
      </c>
      <c r="JZ43" s="3">
        <v>27529897.620000001</v>
      </c>
      <c r="KA43" s="3">
        <v>294705339.66000003</v>
      </c>
      <c r="KB43" s="3">
        <v>0</v>
      </c>
      <c r="KC43" s="3">
        <v>803295000</v>
      </c>
      <c r="KD43" s="3">
        <v>0</v>
      </c>
      <c r="KE43" s="3">
        <v>90860000</v>
      </c>
      <c r="KF43" s="3">
        <v>894155000</v>
      </c>
      <c r="KG43" s="3">
        <v>0</v>
      </c>
      <c r="KH43" s="3">
        <v>803295000</v>
      </c>
      <c r="KI43" s="3">
        <v>0</v>
      </c>
      <c r="KJ43" s="3">
        <v>90860000</v>
      </c>
      <c r="KK43" s="3">
        <v>894155000</v>
      </c>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v>0</v>
      </c>
      <c r="LL43" s="3">
        <v>739048000</v>
      </c>
      <c r="LM43">
        <v>0</v>
      </c>
      <c r="LN43">
        <v>0</v>
      </c>
      <c r="LO43" s="3">
        <v>739048000</v>
      </c>
    </row>
    <row r="44" spans="1:327" x14ac:dyDescent="0.25">
      <c r="A44" t="s">
        <v>943</v>
      </c>
      <c r="B44" t="s">
        <v>944</v>
      </c>
      <c r="C44" t="s">
        <v>199</v>
      </c>
      <c r="D44" t="s">
        <v>200</v>
      </c>
      <c r="E44" t="s">
        <v>217</v>
      </c>
      <c r="F44" t="s">
        <v>963</v>
      </c>
      <c r="G44" t="s">
        <v>1018</v>
      </c>
      <c r="H44" s="3">
        <v>0</v>
      </c>
      <c r="I44" s="3">
        <v>23282000</v>
      </c>
      <c r="J44" s="3">
        <v>0</v>
      </c>
      <c r="K44" s="3">
        <v>4070000</v>
      </c>
      <c r="L44" s="3">
        <v>27352000</v>
      </c>
      <c r="M44" s="3">
        <v>0</v>
      </c>
      <c r="N44" s="3">
        <v>43282000</v>
      </c>
      <c r="O44" s="3">
        <v>0</v>
      </c>
      <c r="P44" s="3">
        <v>86070000</v>
      </c>
      <c r="Q44" s="3">
        <v>129352000</v>
      </c>
      <c r="R44" s="3">
        <v>0</v>
      </c>
      <c r="S44" s="3">
        <v>43282000</v>
      </c>
      <c r="T44" s="3">
        <v>0</v>
      </c>
      <c r="U44" s="3">
        <v>86070000</v>
      </c>
      <c r="V44" s="3">
        <v>129352000</v>
      </c>
      <c r="W44" s="3">
        <v>0</v>
      </c>
      <c r="X44" s="3">
        <v>42883563</v>
      </c>
      <c r="Y44" s="3">
        <v>0</v>
      </c>
      <c r="Z44" s="3">
        <v>86070000</v>
      </c>
      <c r="AA44" s="3">
        <v>128953563</v>
      </c>
      <c r="AB44" s="3">
        <v>0</v>
      </c>
      <c r="AC44" s="3">
        <v>42883563</v>
      </c>
      <c r="AD44" s="3">
        <v>0</v>
      </c>
      <c r="AE44" s="3">
        <v>86070000</v>
      </c>
      <c r="AF44" s="3">
        <v>128953563</v>
      </c>
      <c r="AG44" s="3">
        <v>0</v>
      </c>
      <c r="AH44" s="3">
        <v>42338644.389999993</v>
      </c>
      <c r="AI44" s="3">
        <v>0</v>
      </c>
      <c r="AJ44" s="3">
        <v>85862043.109999999</v>
      </c>
      <c r="AK44" s="3">
        <v>128200687.5</v>
      </c>
      <c r="AL44" s="3">
        <v>0</v>
      </c>
      <c r="AM44" s="3">
        <v>26897026.399999999</v>
      </c>
      <c r="AN44" s="3">
        <v>0</v>
      </c>
      <c r="AO44" s="3">
        <v>67649137.040000007</v>
      </c>
      <c r="AP44" s="3">
        <v>94546163.439999998</v>
      </c>
      <c r="AQ44" s="3">
        <v>0</v>
      </c>
      <c r="AR44" s="3">
        <v>35268000</v>
      </c>
      <c r="AS44" s="3">
        <v>0</v>
      </c>
      <c r="AT44" s="3">
        <v>2286000</v>
      </c>
      <c r="AU44" s="3">
        <v>37554000</v>
      </c>
      <c r="AV44" s="3">
        <v>0</v>
      </c>
      <c r="AW44" s="3">
        <v>35268000</v>
      </c>
      <c r="AX44" s="3">
        <v>0</v>
      </c>
      <c r="AY44" s="3">
        <v>2286000</v>
      </c>
      <c r="AZ44" s="3">
        <v>37554000</v>
      </c>
      <c r="BA44" s="3">
        <v>0</v>
      </c>
      <c r="BB44" s="3">
        <v>35268000</v>
      </c>
      <c r="BC44" s="3">
        <v>0</v>
      </c>
      <c r="BD44" s="3">
        <v>2286000</v>
      </c>
      <c r="BE44" s="3">
        <v>37554000</v>
      </c>
      <c r="BF44" s="3">
        <v>0</v>
      </c>
      <c r="BG44" s="3">
        <v>34704016</v>
      </c>
      <c r="BH44" s="3">
        <v>0</v>
      </c>
      <c r="BI44" s="3">
        <v>2286000</v>
      </c>
      <c r="BJ44" s="3">
        <v>36990016</v>
      </c>
      <c r="BK44" s="3">
        <v>0</v>
      </c>
      <c r="BL44" s="3">
        <v>34704016</v>
      </c>
      <c r="BM44" s="3">
        <v>0</v>
      </c>
      <c r="BN44" s="3">
        <v>2286000</v>
      </c>
      <c r="BO44" s="3">
        <v>36990016</v>
      </c>
      <c r="BP44" s="3">
        <v>0</v>
      </c>
      <c r="BQ44" s="3">
        <v>33016990.559999999</v>
      </c>
      <c r="BR44" s="3">
        <v>0</v>
      </c>
      <c r="BS44" s="3">
        <v>2175603.8199999998</v>
      </c>
      <c r="BT44" s="3">
        <v>35192594.380000003</v>
      </c>
      <c r="BU44" s="3">
        <v>0</v>
      </c>
      <c r="BV44" s="3">
        <v>26140131.09</v>
      </c>
      <c r="BW44" s="3">
        <v>0</v>
      </c>
      <c r="BX44" s="3">
        <v>1464796.13</v>
      </c>
      <c r="BY44" s="3">
        <v>27604927.219999999</v>
      </c>
      <c r="BZ44" s="3">
        <v>0</v>
      </c>
      <c r="CA44" s="3">
        <v>34311000</v>
      </c>
      <c r="CB44" s="3">
        <v>0</v>
      </c>
      <c r="CC44" s="3">
        <v>152000</v>
      </c>
      <c r="CD44" s="3">
        <v>34463000</v>
      </c>
      <c r="CE44" s="3">
        <v>0</v>
      </c>
      <c r="CF44" s="3">
        <v>34311000</v>
      </c>
      <c r="CG44" s="3">
        <v>0</v>
      </c>
      <c r="CH44" s="3">
        <v>152000</v>
      </c>
      <c r="CI44" s="3">
        <v>34463000</v>
      </c>
      <c r="CJ44" s="3">
        <v>0</v>
      </c>
      <c r="CK44" s="3">
        <v>34311000</v>
      </c>
      <c r="CL44" s="3">
        <v>0</v>
      </c>
      <c r="CM44" s="3">
        <v>152000</v>
      </c>
      <c r="CN44" s="3">
        <v>34463000</v>
      </c>
      <c r="CO44" s="3">
        <v>0</v>
      </c>
      <c r="CP44" s="3">
        <v>29107138</v>
      </c>
      <c r="CQ44" s="3">
        <v>0</v>
      </c>
      <c r="CR44" s="3">
        <v>152000</v>
      </c>
      <c r="CS44" s="3">
        <v>29259138</v>
      </c>
      <c r="CT44" s="3">
        <v>0</v>
      </c>
      <c r="CU44" s="3">
        <v>29107138</v>
      </c>
      <c r="CV44" s="3">
        <v>0</v>
      </c>
      <c r="CW44" s="3">
        <v>152000</v>
      </c>
      <c r="CX44" s="3">
        <v>29259138</v>
      </c>
      <c r="CY44" s="3">
        <v>0</v>
      </c>
      <c r="CZ44" s="3">
        <v>27668095.390000001</v>
      </c>
      <c r="DA44" s="3">
        <v>0</v>
      </c>
      <c r="DB44" s="3">
        <v>145820</v>
      </c>
      <c r="DC44" s="3">
        <v>27813915.390000001</v>
      </c>
      <c r="DD44" s="3">
        <v>0</v>
      </c>
      <c r="DE44" s="3">
        <v>17923421.420000002</v>
      </c>
      <c r="DF44" s="3">
        <v>0</v>
      </c>
      <c r="DG44" s="3">
        <v>145820</v>
      </c>
      <c r="DH44" s="10">
        <v>18069241.420000002</v>
      </c>
      <c r="DI44" s="3">
        <v>0</v>
      </c>
      <c r="DJ44" s="3">
        <v>24734000</v>
      </c>
      <c r="DK44" s="3">
        <v>0</v>
      </c>
      <c r="DL44" s="3">
        <v>457000</v>
      </c>
      <c r="DM44" s="3">
        <v>25191000</v>
      </c>
      <c r="DN44" s="3">
        <v>0</v>
      </c>
      <c r="DO44" s="3">
        <v>24734000</v>
      </c>
      <c r="DP44" s="3">
        <v>0</v>
      </c>
      <c r="DQ44" s="3">
        <v>457000</v>
      </c>
      <c r="DR44" s="3">
        <v>25191000</v>
      </c>
      <c r="DS44" s="3">
        <v>0</v>
      </c>
      <c r="DT44" s="3">
        <v>24734000</v>
      </c>
      <c r="DU44" s="3">
        <v>0</v>
      </c>
      <c r="DV44" s="3">
        <v>457000</v>
      </c>
      <c r="DW44" s="3">
        <v>25191000</v>
      </c>
      <c r="DX44" s="3">
        <v>0</v>
      </c>
      <c r="DY44" s="3">
        <v>24512232</v>
      </c>
      <c r="DZ44" s="3">
        <v>0</v>
      </c>
      <c r="EA44" s="3">
        <v>457000</v>
      </c>
      <c r="EB44" s="3">
        <v>24969232</v>
      </c>
      <c r="EC44" s="3">
        <v>0</v>
      </c>
      <c r="ED44" s="3">
        <v>24512232</v>
      </c>
      <c r="EE44" s="3">
        <v>0</v>
      </c>
      <c r="EF44" s="3">
        <v>457000</v>
      </c>
      <c r="EG44" s="3">
        <v>24969232</v>
      </c>
      <c r="EH44" s="3">
        <v>0</v>
      </c>
      <c r="EI44" s="3">
        <v>23749165</v>
      </c>
      <c r="EJ44" s="3">
        <v>0</v>
      </c>
      <c r="EK44" s="3">
        <v>403400</v>
      </c>
      <c r="EL44" s="3">
        <v>24152565</v>
      </c>
      <c r="EM44" s="3">
        <v>0</v>
      </c>
      <c r="EN44" s="3">
        <v>17622537.810000002</v>
      </c>
      <c r="EO44" s="3">
        <v>0</v>
      </c>
      <c r="EP44" s="3">
        <v>154300</v>
      </c>
      <c r="EQ44" s="3">
        <v>17776837.809999999</v>
      </c>
      <c r="ER44" s="3">
        <v>0</v>
      </c>
      <c r="ES44" s="3">
        <v>1000000</v>
      </c>
      <c r="ET44" s="3">
        <v>0</v>
      </c>
      <c r="EU44" s="3">
        <v>0</v>
      </c>
      <c r="EV44" s="3">
        <v>1000000</v>
      </c>
      <c r="EW44" s="3">
        <v>0</v>
      </c>
      <c r="EX44" s="3">
        <v>1000000</v>
      </c>
      <c r="EY44" s="3">
        <v>0</v>
      </c>
      <c r="EZ44" s="3">
        <v>0</v>
      </c>
      <c r="FA44" s="3">
        <v>1000000</v>
      </c>
      <c r="FB44" s="3">
        <v>0</v>
      </c>
      <c r="FC44" s="3">
        <v>1000000</v>
      </c>
      <c r="FD44" s="3">
        <v>0</v>
      </c>
      <c r="FE44" s="3">
        <v>0</v>
      </c>
      <c r="FF44" s="3">
        <v>1000000</v>
      </c>
      <c r="FG44" s="3">
        <v>0</v>
      </c>
      <c r="FH44" s="3">
        <v>1000000</v>
      </c>
      <c r="FI44" s="3">
        <v>0</v>
      </c>
      <c r="FJ44" s="3">
        <v>0</v>
      </c>
      <c r="FK44" s="3">
        <v>1000000</v>
      </c>
      <c r="FL44" s="3">
        <v>0</v>
      </c>
      <c r="FM44" s="3">
        <v>1000000</v>
      </c>
      <c r="FN44" s="3">
        <v>0</v>
      </c>
      <c r="FO44" s="3">
        <v>0</v>
      </c>
      <c r="FP44" s="3">
        <v>1000000</v>
      </c>
      <c r="FQ44" s="3">
        <v>0</v>
      </c>
      <c r="FR44" s="3">
        <v>1000000</v>
      </c>
      <c r="FS44" s="3">
        <v>0</v>
      </c>
      <c r="FT44" s="3">
        <v>0</v>
      </c>
      <c r="FU44" s="3">
        <v>1000000</v>
      </c>
      <c r="FV44" s="3">
        <v>0</v>
      </c>
      <c r="FW44" s="3">
        <v>1000000</v>
      </c>
      <c r="FX44" s="3">
        <v>0</v>
      </c>
      <c r="FY44" s="3">
        <v>0</v>
      </c>
      <c r="FZ44" s="3">
        <v>1000000</v>
      </c>
      <c r="GA44" s="3">
        <v>0</v>
      </c>
      <c r="GB44" s="3">
        <v>60000000</v>
      </c>
      <c r="GC44" s="3">
        <v>0</v>
      </c>
      <c r="GD44" s="3">
        <v>0</v>
      </c>
      <c r="GE44" s="3">
        <v>60000000</v>
      </c>
      <c r="GF44" s="3">
        <v>0</v>
      </c>
      <c r="GG44" s="3">
        <v>60000000</v>
      </c>
      <c r="GH44" s="3">
        <v>0</v>
      </c>
      <c r="GI44" s="3">
        <v>0</v>
      </c>
      <c r="GJ44" s="3">
        <v>60000000</v>
      </c>
      <c r="GK44" s="3">
        <v>0</v>
      </c>
      <c r="GL44" s="3">
        <v>60000000</v>
      </c>
      <c r="GM44" s="3">
        <v>0</v>
      </c>
      <c r="GN44" s="3">
        <v>0</v>
      </c>
      <c r="GO44" s="3">
        <v>60000000</v>
      </c>
      <c r="GP44" s="3">
        <v>0</v>
      </c>
      <c r="GQ44" s="10">
        <v>60000000</v>
      </c>
      <c r="GR44" s="3">
        <v>0</v>
      </c>
      <c r="GS44" s="3">
        <v>0</v>
      </c>
      <c r="GT44" s="3">
        <v>60000000</v>
      </c>
      <c r="GU44" s="3">
        <v>0</v>
      </c>
      <c r="GV44" s="10">
        <v>60000000</v>
      </c>
      <c r="GW44" s="3">
        <v>0</v>
      </c>
      <c r="GX44" s="3">
        <v>0</v>
      </c>
      <c r="GY44" s="3">
        <v>60000000</v>
      </c>
      <c r="GZ44" s="3">
        <v>0</v>
      </c>
      <c r="HA44" s="3">
        <v>59999999.100000001</v>
      </c>
      <c r="HB44" s="3">
        <v>0</v>
      </c>
      <c r="HC44" s="3">
        <v>0</v>
      </c>
      <c r="HD44" s="3">
        <v>59999999.100000001</v>
      </c>
      <c r="HE44" s="3">
        <v>0</v>
      </c>
      <c r="HF44" s="3">
        <v>59999999.100000001</v>
      </c>
      <c r="HG44" s="3">
        <v>0</v>
      </c>
      <c r="HH44" s="3">
        <v>0</v>
      </c>
      <c r="HI44" s="3">
        <v>59999999.100000001</v>
      </c>
      <c r="HJ44" s="3">
        <v>0</v>
      </c>
      <c r="HK44" s="3">
        <v>50000000</v>
      </c>
      <c r="HL44" s="3">
        <v>0</v>
      </c>
      <c r="HM44" s="3">
        <v>0</v>
      </c>
      <c r="HN44" s="3">
        <v>50000000</v>
      </c>
      <c r="HO44" s="3">
        <v>0</v>
      </c>
      <c r="HP44" s="3">
        <v>50000000</v>
      </c>
      <c r="HQ44" s="3">
        <v>0</v>
      </c>
      <c r="HR44" s="3">
        <v>0</v>
      </c>
      <c r="HS44" s="3">
        <v>50000000</v>
      </c>
      <c r="HT44" s="3">
        <v>0</v>
      </c>
      <c r="HU44" s="3">
        <v>50000000</v>
      </c>
      <c r="HV44" s="3">
        <v>0</v>
      </c>
      <c r="HW44" s="3">
        <v>0</v>
      </c>
      <c r="HX44" s="3">
        <v>50000000</v>
      </c>
      <c r="HY44" s="3">
        <v>0</v>
      </c>
      <c r="HZ44" s="10">
        <v>50000000</v>
      </c>
      <c r="IA44" s="3">
        <v>0</v>
      </c>
      <c r="IB44" s="3">
        <v>0</v>
      </c>
      <c r="IC44" s="3">
        <v>50000000</v>
      </c>
      <c r="ID44" s="3">
        <v>0</v>
      </c>
      <c r="IE44" s="10">
        <v>50000000</v>
      </c>
      <c r="IF44" s="3">
        <v>0</v>
      </c>
      <c r="IG44" s="3">
        <v>0</v>
      </c>
      <c r="IH44" s="3">
        <v>50000000</v>
      </c>
      <c r="II44" s="3">
        <v>0</v>
      </c>
      <c r="IJ44" s="3">
        <v>49913544.310000002</v>
      </c>
      <c r="IK44" s="3">
        <v>0</v>
      </c>
      <c r="IL44" s="3">
        <v>0</v>
      </c>
      <c r="IM44" s="6">
        <v>49913544.310000002</v>
      </c>
      <c r="IN44" s="3">
        <v>0</v>
      </c>
      <c r="IO44" s="3">
        <v>49913544.310000002</v>
      </c>
      <c r="IP44" s="3">
        <v>0</v>
      </c>
      <c r="IQ44" s="3">
        <v>0</v>
      </c>
      <c r="IR44" s="6">
        <v>49913544.310000002</v>
      </c>
      <c r="IS44" s="3">
        <v>0</v>
      </c>
      <c r="IT44" s="3">
        <v>50000000</v>
      </c>
      <c r="IU44" s="3">
        <v>0</v>
      </c>
      <c r="IV44" s="3">
        <v>0</v>
      </c>
      <c r="IW44" s="3">
        <v>50000000</v>
      </c>
      <c r="IX44" s="3">
        <v>0</v>
      </c>
      <c r="IY44" s="3">
        <v>50000000</v>
      </c>
      <c r="IZ44" s="3">
        <v>0</v>
      </c>
      <c r="JA44" s="3">
        <v>0</v>
      </c>
      <c r="JB44" s="3">
        <v>50000000</v>
      </c>
      <c r="JC44" s="3">
        <v>0</v>
      </c>
      <c r="JD44" s="3">
        <v>50000000</v>
      </c>
      <c r="JE44" s="3">
        <v>0</v>
      </c>
      <c r="JF44" s="3">
        <v>0</v>
      </c>
      <c r="JG44" s="3">
        <v>50000000</v>
      </c>
      <c r="JH44" s="3">
        <v>0</v>
      </c>
      <c r="JI44" s="3">
        <v>50000000</v>
      </c>
      <c r="JJ44" s="3">
        <v>0</v>
      </c>
      <c r="JK44" s="3">
        <v>0</v>
      </c>
      <c r="JL44" s="3">
        <v>50000000</v>
      </c>
      <c r="JM44" s="3">
        <v>0</v>
      </c>
      <c r="JN44" s="3">
        <v>50000000</v>
      </c>
      <c r="JO44" s="3">
        <v>0</v>
      </c>
      <c r="JP44" s="3">
        <v>0</v>
      </c>
      <c r="JQ44" s="3">
        <v>50000000</v>
      </c>
      <c r="JR44" s="3">
        <v>0</v>
      </c>
      <c r="JS44" s="3">
        <v>45711118.600000001</v>
      </c>
      <c r="JT44" s="3">
        <v>0</v>
      </c>
      <c r="JU44" s="3">
        <v>0</v>
      </c>
      <c r="JV44" s="3">
        <v>45711118.600000001</v>
      </c>
      <c r="JW44" s="3">
        <v>0</v>
      </c>
      <c r="JX44" s="3">
        <v>41734684.909999996</v>
      </c>
      <c r="JY44" s="3">
        <v>0</v>
      </c>
      <c r="JZ44" s="3">
        <v>0</v>
      </c>
      <c r="KA44" s="3">
        <v>41734684.909999996</v>
      </c>
      <c r="KB44" s="3">
        <v>0</v>
      </c>
      <c r="KC44" s="3">
        <v>60000000</v>
      </c>
      <c r="KD44" s="3">
        <v>0</v>
      </c>
      <c r="KE44" s="3">
        <v>0</v>
      </c>
      <c r="KF44" s="3">
        <v>60000000</v>
      </c>
      <c r="KG44" s="3">
        <v>0</v>
      </c>
      <c r="KH44" s="3">
        <v>60000000</v>
      </c>
      <c r="KI44" s="3">
        <v>0</v>
      </c>
      <c r="KJ44" s="3">
        <v>0</v>
      </c>
      <c r="KK44" s="3">
        <v>60000000</v>
      </c>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L44" s="3"/>
      <c r="LO44" s="3"/>
    </row>
    <row r="45" spans="1:327" x14ac:dyDescent="0.25">
      <c r="A45" t="s">
        <v>943</v>
      </c>
      <c r="B45" t="s">
        <v>944</v>
      </c>
      <c r="C45" t="s">
        <v>199</v>
      </c>
      <c r="D45" t="s">
        <v>200</v>
      </c>
      <c r="E45" t="s">
        <v>217</v>
      </c>
      <c r="F45" t="s">
        <v>964</v>
      </c>
      <c r="G45" t="s">
        <v>1019</v>
      </c>
      <c r="H45" s="3">
        <v>0</v>
      </c>
      <c r="I45" s="3">
        <v>140750000</v>
      </c>
      <c r="J45" s="3">
        <v>0</v>
      </c>
      <c r="K45" s="3">
        <v>0</v>
      </c>
      <c r="L45" s="3">
        <v>140750000</v>
      </c>
      <c r="M45" s="3">
        <v>0</v>
      </c>
      <c r="N45" s="3">
        <v>140750000</v>
      </c>
      <c r="O45" s="3">
        <v>0</v>
      </c>
      <c r="P45" s="3">
        <v>0</v>
      </c>
      <c r="Q45" s="3">
        <v>140750000</v>
      </c>
      <c r="R45" s="3">
        <v>0</v>
      </c>
      <c r="S45" s="3">
        <v>140750000</v>
      </c>
      <c r="T45" s="3">
        <v>0</v>
      </c>
      <c r="U45" s="3">
        <v>0</v>
      </c>
      <c r="V45" s="3">
        <v>140750000</v>
      </c>
      <c r="W45" s="3">
        <v>0</v>
      </c>
      <c r="X45" s="3">
        <v>140403499</v>
      </c>
      <c r="Y45" s="3">
        <v>0</v>
      </c>
      <c r="Z45" s="3">
        <v>0</v>
      </c>
      <c r="AA45" s="3">
        <v>140403499</v>
      </c>
      <c r="AB45" s="3">
        <v>0</v>
      </c>
      <c r="AC45" s="3">
        <v>140403499</v>
      </c>
      <c r="AD45" s="3">
        <v>0</v>
      </c>
      <c r="AE45" s="3">
        <v>0</v>
      </c>
      <c r="AF45" s="3">
        <v>140403499</v>
      </c>
      <c r="AG45" s="3">
        <v>0</v>
      </c>
      <c r="AH45" s="3">
        <v>138470987.14000002</v>
      </c>
      <c r="AI45" s="3">
        <v>0</v>
      </c>
      <c r="AJ45" s="3">
        <v>0</v>
      </c>
      <c r="AK45" s="3">
        <v>138470987.14000002</v>
      </c>
      <c r="AL45" s="3">
        <v>0</v>
      </c>
      <c r="AM45" s="3">
        <v>124739481.65000001</v>
      </c>
      <c r="AN45" s="3">
        <v>0</v>
      </c>
      <c r="AO45" s="3">
        <v>0</v>
      </c>
      <c r="AP45" s="3">
        <v>124739481.65000001</v>
      </c>
      <c r="AQ45" s="3">
        <v>0</v>
      </c>
      <c r="AR45" s="3">
        <v>149887000</v>
      </c>
      <c r="AS45" s="3">
        <v>0</v>
      </c>
      <c r="AT45" s="3">
        <v>4622000</v>
      </c>
      <c r="AU45" s="3">
        <v>154509000</v>
      </c>
      <c r="AV45" s="3">
        <v>0</v>
      </c>
      <c r="AW45" s="3">
        <v>149887000</v>
      </c>
      <c r="AX45" s="3">
        <v>0</v>
      </c>
      <c r="AY45" s="3">
        <v>4622000</v>
      </c>
      <c r="AZ45" s="3">
        <v>154509000</v>
      </c>
      <c r="BA45" s="3">
        <v>0</v>
      </c>
      <c r="BB45" s="3">
        <v>149887000</v>
      </c>
      <c r="BC45" s="3">
        <v>0</v>
      </c>
      <c r="BD45" s="3">
        <v>4622000</v>
      </c>
      <c r="BE45" s="3">
        <v>154509000</v>
      </c>
      <c r="BF45" s="3">
        <v>0</v>
      </c>
      <c r="BG45" s="3">
        <v>148348872</v>
      </c>
      <c r="BH45" s="3">
        <v>0</v>
      </c>
      <c r="BI45" s="3">
        <v>4622000</v>
      </c>
      <c r="BJ45" s="3">
        <v>152970872</v>
      </c>
      <c r="BK45" s="3">
        <v>0</v>
      </c>
      <c r="BL45" s="3">
        <v>148348872</v>
      </c>
      <c r="BM45" s="3">
        <v>0</v>
      </c>
      <c r="BN45" s="3">
        <v>4622000</v>
      </c>
      <c r="BO45" s="3">
        <v>152970872</v>
      </c>
      <c r="BP45" s="3">
        <v>0</v>
      </c>
      <c r="BQ45" s="3">
        <v>144841154</v>
      </c>
      <c r="BR45" s="3">
        <v>0</v>
      </c>
      <c r="BS45" s="3">
        <v>4089989</v>
      </c>
      <c r="BT45" s="3">
        <v>148931143</v>
      </c>
      <c r="BU45" s="3">
        <v>0</v>
      </c>
      <c r="BV45" s="3">
        <v>131219452.67</v>
      </c>
      <c r="BW45" s="3">
        <v>0</v>
      </c>
      <c r="BX45" s="3">
        <v>2191207.13</v>
      </c>
      <c r="BY45" s="3">
        <v>133410659.80000001</v>
      </c>
      <c r="BZ45" s="3">
        <v>0</v>
      </c>
      <c r="CA45" s="3">
        <v>148206000</v>
      </c>
      <c r="CB45" s="3">
        <v>0</v>
      </c>
      <c r="CC45" s="3">
        <v>2930000</v>
      </c>
      <c r="CD45" s="3">
        <v>151136000</v>
      </c>
      <c r="CE45" s="3">
        <v>0</v>
      </c>
      <c r="CF45" s="3">
        <v>97853000</v>
      </c>
      <c r="CG45" s="3">
        <v>0</v>
      </c>
      <c r="CH45" s="3">
        <v>2930000</v>
      </c>
      <c r="CI45" s="3">
        <v>100783000</v>
      </c>
      <c r="CJ45" s="3">
        <v>0</v>
      </c>
      <c r="CK45" s="3">
        <v>97853000</v>
      </c>
      <c r="CL45" s="3">
        <v>0</v>
      </c>
      <c r="CM45" s="3">
        <v>2930000</v>
      </c>
      <c r="CN45" s="3">
        <v>100783000</v>
      </c>
      <c r="CO45" s="3">
        <v>0</v>
      </c>
      <c r="CP45" s="3">
        <v>94746000</v>
      </c>
      <c r="CQ45" s="3">
        <v>0</v>
      </c>
      <c r="CR45" s="3">
        <v>2930000</v>
      </c>
      <c r="CS45" s="3">
        <v>97676000</v>
      </c>
      <c r="CT45" s="3">
        <v>0</v>
      </c>
      <c r="CU45" s="3">
        <v>94746000</v>
      </c>
      <c r="CV45" s="3">
        <v>0</v>
      </c>
      <c r="CW45" s="3">
        <v>2930000</v>
      </c>
      <c r="CX45" s="3">
        <v>97676000</v>
      </c>
      <c r="CY45" s="3">
        <v>0</v>
      </c>
      <c r="CZ45" s="3">
        <v>90724903.040000007</v>
      </c>
      <c r="DA45" s="3">
        <v>0</v>
      </c>
      <c r="DB45" s="3">
        <v>2893600</v>
      </c>
      <c r="DC45" s="3">
        <v>93618503.040000007</v>
      </c>
      <c r="DD45" s="3">
        <v>0</v>
      </c>
      <c r="DE45" s="3">
        <v>87790226.5</v>
      </c>
      <c r="DF45" s="3">
        <v>0</v>
      </c>
      <c r="DG45" s="3">
        <v>2849600</v>
      </c>
      <c r="DH45" s="10">
        <v>90639826.5</v>
      </c>
      <c r="DI45" s="3">
        <v>0</v>
      </c>
      <c r="DJ45" s="3">
        <v>119204000</v>
      </c>
      <c r="DK45" s="3">
        <v>0</v>
      </c>
      <c r="DL45" s="3">
        <v>800000</v>
      </c>
      <c r="DM45" s="3">
        <v>120004000</v>
      </c>
      <c r="DN45" s="3">
        <v>0</v>
      </c>
      <c r="DO45" s="3">
        <v>119204000</v>
      </c>
      <c r="DP45" s="3">
        <v>0</v>
      </c>
      <c r="DQ45" s="3">
        <v>800000</v>
      </c>
      <c r="DR45" s="3">
        <v>120004000</v>
      </c>
      <c r="DS45" s="3">
        <v>0</v>
      </c>
      <c r="DT45" s="3">
        <v>119204000</v>
      </c>
      <c r="DU45" s="3">
        <v>0</v>
      </c>
      <c r="DV45" s="3">
        <v>800000</v>
      </c>
      <c r="DW45" s="3">
        <v>120004000</v>
      </c>
      <c r="DX45" s="3">
        <v>0</v>
      </c>
      <c r="DY45" s="3">
        <v>118653144</v>
      </c>
      <c r="DZ45" s="3">
        <v>0</v>
      </c>
      <c r="EA45" s="3">
        <v>800000</v>
      </c>
      <c r="EB45" s="3">
        <v>119453144</v>
      </c>
      <c r="EC45" s="3">
        <v>0</v>
      </c>
      <c r="ED45" s="3">
        <v>118653144</v>
      </c>
      <c r="EE45" s="3">
        <v>0</v>
      </c>
      <c r="EF45" s="3">
        <v>800000</v>
      </c>
      <c r="EG45" s="3">
        <v>119453144</v>
      </c>
      <c r="EH45" s="3">
        <v>0</v>
      </c>
      <c r="EI45" s="3">
        <v>110790998.44999999</v>
      </c>
      <c r="EJ45" s="3">
        <v>0</v>
      </c>
      <c r="EK45" s="3">
        <v>795830</v>
      </c>
      <c r="EL45" s="3">
        <v>111586828.44999999</v>
      </c>
      <c r="EM45" s="3">
        <v>0</v>
      </c>
      <c r="EN45" s="3">
        <v>101070613.41</v>
      </c>
      <c r="EO45" s="3">
        <v>0</v>
      </c>
      <c r="EP45" s="3">
        <v>528530</v>
      </c>
      <c r="EQ45" s="3">
        <v>101599143.41</v>
      </c>
      <c r="ER45" s="3">
        <v>0</v>
      </c>
      <c r="ES45" s="3">
        <v>127345000</v>
      </c>
      <c r="ET45" s="3">
        <v>0</v>
      </c>
      <c r="EU45" s="3">
        <v>150000</v>
      </c>
      <c r="EV45" s="3">
        <v>127495000</v>
      </c>
      <c r="EW45" s="3">
        <v>0</v>
      </c>
      <c r="EX45" s="3">
        <v>127345000</v>
      </c>
      <c r="EY45" s="3">
        <v>0</v>
      </c>
      <c r="EZ45" s="3">
        <v>150000</v>
      </c>
      <c r="FA45" s="3">
        <v>127495000</v>
      </c>
      <c r="FB45" s="3">
        <v>0</v>
      </c>
      <c r="FC45" s="3">
        <v>127345000</v>
      </c>
      <c r="FD45" s="3">
        <v>0</v>
      </c>
      <c r="FE45" s="3">
        <v>150000</v>
      </c>
      <c r="FF45" s="3">
        <v>127495000</v>
      </c>
      <c r="FG45" s="3">
        <v>0</v>
      </c>
      <c r="FH45" s="3">
        <v>125302269</v>
      </c>
      <c r="FI45" s="3">
        <v>0</v>
      </c>
      <c r="FJ45" s="3">
        <v>150000</v>
      </c>
      <c r="FK45" s="3">
        <v>125452269</v>
      </c>
      <c r="FL45" s="3">
        <v>0</v>
      </c>
      <c r="FM45" s="3">
        <v>125302269</v>
      </c>
      <c r="FN45" s="3">
        <v>0</v>
      </c>
      <c r="FO45" s="3">
        <v>150000</v>
      </c>
      <c r="FP45" s="3">
        <v>125452269</v>
      </c>
      <c r="FQ45" s="3">
        <v>0</v>
      </c>
      <c r="FR45" s="3">
        <v>122002124.2</v>
      </c>
      <c r="FS45" s="3">
        <v>0</v>
      </c>
      <c r="FT45" s="3">
        <v>150000</v>
      </c>
      <c r="FU45" s="3">
        <v>122152124.2</v>
      </c>
      <c r="FV45" s="3">
        <v>0</v>
      </c>
      <c r="FW45" s="3">
        <v>112627803.15000001</v>
      </c>
      <c r="FX45" s="3">
        <v>0</v>
      </c>
      <c r="FY45" s="3">
        <v>60000</v>
      </c>
      <c r="FZ45" s="3">
        <v>112687803.15000001</v>
      </c>
      <c r="GA45" s="3">
        <v>0</v>
      </c>
      <c r="GB45" s="3">
        <v>121862000</v>
      </c>
      <c r="GC45" s="3">
        <v>0</v>
      </c>
      <c r="GD45" s="3">
        <v>1500000</v>
      </c>
      <c r="GE45" s="3">
        <v>123362000</v>
      </c>
      <c r="GF45" s="3">
        <v>0</v>
      </c>
      <c r="GG45" s="3">
        <v>121862000</v>
      </c>
      <c r="GH45" s="3">
        <v>0</v>
      </c>
      <c r="GI45" s="3">
        <v>1500000</v>
      </c>
      <c r="GJ45" s="3">
        <v>123362000</v>
      </c>
      <c r="GK45" s="3">
        <v>0</v>
      </c>
      <c r="GL45" s="3">
        <v>121862000</v>
      </c>
      <c r="GM45" s="3">
        <v>0</v>
      </c>
      <c r="GN45" s="3">
        <v>1500000</v>
      </c>
      <c r="GO45" s="3">
        <v>123362000</v>
      </c>
      <c r="GP45" s="3">
        <v>0</v>
      </c>
      <c r="GQ45" s="3">
        <v>121614266</v>
      </c>
      <c r="GR45" s="3">
        <v>0</v>
      </c>
      <c r="GS45" s="3">
        <v>1500000</v>
      </c>
      <c r="GT45" s="3">
        <v>123114266</v>
      </c>
      <c r="GU45" s="3">
        <v>0</v>
      </c>
      <c r="GV45" s="3">
        <v>121614266</v>
      </c>
      <c r="GW45" s="3">
        <v>0</v>
      </c>
      <c r="GX45" s="3">
        <v>1500000</v>
      </c>
      <c r="GY45" s="3">
        <v>123114266</v>
      </c>
      <c r="GZ45" s="3">
        <v>0</v>
      </c>
      <c r="HA45" s="3">
        <v>118522874.28</v>
      </c>
      <c r="HB45" s="3">
        <v>0</v>
      </c>
      <c r="HC45" s="3">
        <v>1498000</v>
      </c>
      <c r="HD45" s="3">
        <v>120020874.28</v>
      </c>
      <c r="HE45" s="3">
        <v>0</v>
      </c>
      <c r="HF45" s="3">
        <v>111353445.06</v>
      </c>
      <c r="HG45" s="3">
        <v>0</v>
      </c>
      <c r="HH45" s="3">
        <v>0</v>
      </c>
      <c r="HI45" s="3">
        <v>111353445.06</v>
      </c>
      <c r="HJ45" s="3">
        <v>0</v>
      </c>
      <c r="HK45" s="3">
        <v>188658000</v>
      </c>
      <c r="HL45" s="3">
        <v>0</v>
      </c>
      <c r="HM45" s="3">
        <v>1527000</v>
      </c>
      <c r="HN45" s="3">
        <v>190185000</v>
      </c>
      <c r="HO45" s="3">
        <v>0</v>
      </c>
      <c r="HP45" s="3">
        <v>187458000</v>
      </c>
      <c r="HQ45" s="3">
        <v>0</v>
      </c>
      <c r="HR45" s="3">
        <v>2727000</v>
      </c>
      <c r="HS45" s="3">
        <v>190185000</v>
      </c>
      <c r="HT45" s="3">
        <v>0</v>
      </c>
      <c r="HU45" s="3">
        <v>187458000</v>
      </c>
      <c r="HV45" s="3">
        <v>0</v>
      </c>
      <c r="HW45" s="3">
        <v>2727000</v>
      </c>
      <c r="HX45" s="3">
        <v>190185000</v>
      </c>
      <c r="HY45" s="3">
        <v>0</v>
      </c>
      <c r="HZ45" s="3">
        <v>187022868</v>
      </c>
      <c r="IA45" s="3">
        <v>0</v>
      </c>
      <c r="IB45" s="3">
        <v>2727000</v>
      </c>
      <c r="IC45" s="3">
        <v>189749868</v>
      </c>
      <c r="ID45" s="3">
        <v>0</v>
      </c>
      <c r="IE45" s="3">
        <v>187022868</v>
      </c>
      <c r="IF45" s="3">
        <v>0</v>
      </c>
      <c r="IG45" s="3">
        <v>2727000</v>
      </c>
      <c r="IH45" s="3">
        <v>189749868</v>
      </c>
      <c r="II45" s="3">
        <v>0</v>
      </c>
      <c r="IJ45" s="3">
        <v>179370564.58000001</v>
      </c>
      <c r="IK45" s="3">
        <v>0</v>
      </c>
      <c r="IL45" s="3">
        <v>2628450</v>
      </c>
      <c r="IM45" s="6">
        <v>181999014.58000001</v>
      </c>
      <c r="IN45" s="3">
        <v>0</v>
      </c>
      <c r="IO45" s="3">
        <v>163961211.91999999</v>
      </c>
      <c r="IP45" s="3">
        <v>0</v>
      </c>
      <c r="IQ45" s="3">
        <v>2372557.2000000002</v>
      </c>
      <c r="IR45" s="6">
        <v>166333769.12</v>
      </c>
      <c r="IS45" s="3">
        <v>0</v>
      </c>
      <c r="IT45" s="3">
        <v>162205000</v>
      </c>
      <c r="IU45" s="3">
        <v>0</v>
      </c>
      <c r="IV45" s="3">
        <v>1580000</v>
      </c>
      <c r="IW45" s="3">
        <v>163785000</v>
      </c>
      <c r="IX45" s="3">
        <v>0</v>
      </c>
      <c r="IY45" s="3">
        <v>162205000</v>
      </c>
      <c r="IZ45" s="3">
        <v>0</v>
      </c>
      <c r="JA45" s="3">
        <v>1580000</v>
      </c>
      <c r="JB45" s="3">
        <v>163785000</v>
      </c>
      <c r="JC45" s="3">
        <v>0</v>
      </c>
      <c r="JD45" s="3">
        <v>162205000</v>
      </c>
      <c r="JE45" s="3">
        <v>0</v>
      </c>
      <c r="JF45" s="3">
        <v>1580000</v>
      </c>
      <c r="JG45" s="3">
        <v>163785000</v>
      </c>
      <c r="JH45" s="3">
        <v>0</v>
      </c>
      <c r="JI45" s="3">
        <v>162205000</v>
      </c>
      <c r="JJ45" s="3">
        <v>0</v>
      </c>
      <c r="JK45" s="3">
        <v>1580000</v>
      </c>
      <c r="JL45" s="3">
        <v>163785000</v>
      </c>
      <c r="JM45" s="3">
        <v>0</v>
      </c>
      <c r="JN45" s="3">
        <v>162205000</v>
      </c>
      <c r="JO45" s="3">
        <v>0</v>
      </c>
      <c r="JP45" s="3">
        <v>1580000</v>
      </c>
      <c r="JQ45" s="3">
        <v>163785000</v>
      </c>
      <c r="JR45" s="3">
        <v>0</v>
      </c>
      <c r="JS45" s="3">
        <v>151786900.94</v>
      </c>
      <c r="JT45" s="3">
        <v>0</v>
      </c>
      <c r="JU45" s="3">
        <v>1484822</v>
      </c>
      <c r="JV45" s="3">
        <v>153271722.94</v>
      </c>
      <c r="JW45" s="3">
        <v>0</v>
      </c>
      <c r="JX45" s="3">
        <v>127236275.59999999</v>
      </c>
      <c r="JY45" s="3">
        <v>0</v>
      </c>
      <c r="JZ45" s="3">
        <v>0</v>
      </c>
      <c r="KA45" s="3">
        <v>127236275.59999999</v>
      </c>
      <c r="KB45" s="3">
        <v>0</v>
      </c>
      <c r="KC45" s="3">
        <v>171660000</v>
      </c>
      <c r="KD45" s="3">
        <v>0</v>
      </c>
      <c r="KE45" s="3">
        <v>120000</v>
      </c>
      <c r="KF45" s="3">
        <v>171780000</v>
      </c>
      <c r="KG45" s="3">
        <v>0</v>
      </c>
      <c r="KH45" s="3">
        <v>171660000</v>
      </c>
      <c r="KI45" s="3">
        <v>0</v>
      </c>
      <c r="KJ45" s="3">
        <v>120000</v>
      </c>
      <c r="KK45" s="3">
        <v>171780000</v>
      </c>
      <c r="KL45" s="3"/>
      <c r="KM45" s="3"/>
      <c r="KN45" s="3"/>
      <c r="KO45" s="3"/>
      <c r="KP45" s="3"/>
      <c r="KQ45" s="3"/>
      <c r="KR45" s="3"/>
      <c r="KS45" s="3"/>
      <c r="KT45" s="3"/>
      <c r="KU45" s="3"/>
      <c r="KV45" s="3"/>
      <c r="KW45" s="3"/>
      <c r="KX45" s="3"/>
      <c r="KY45" s="3"/>
      <c r="KZ45" s="3"/>
      <c r="LA45" s="3"/>
      <c r="LB45" s="3"/>
      <c r="LC45" s="3"/>
      <c r="LD45" s="3"/>
      <c r="LE45" s="3"/>
      <c r="LF45" s="3"/>
      <c r="LG45" s="3"/>
      <c r="LH45" s="3"/>
      <c r="LI45" s="3"/>
      <c r="LJ45" s="3"/>
      <c r="LK45">
        <v>0</v>
      </c>
      <c r="LL45" s="3">
        <v>155941000</v>
      </c>
      <c r="LM45">
        <v>0</v>
      </c>
      <c r="LN45">
        <v>0</v>
      </c>
      <c r="LO45" s="3">
        <v>155941000</v>
      </c>
    </row>
    <row r="46" spans="1:327" x14ac:dyDescent="0.25">
      <c r="A46" t="s">
        <v>943</v>
      </c>
      <c r="B46" t="s">
        <v>944</v>
      </c>
      <c r="C46" t="s">
        <v>199</v>
      </c>
      <c r="D46" t="s">
        <v>200</v>
      </c>
      <c r="E46" t="s">
        <v>217</v>
      </c>
      <c r="F46" t="s">
        <v>965</v>
      </c>
      <c r="G46" t="s">
        <v>1020</v>
      </c>
      <c r="H46" s="3">
        <v>0</v>
      </c>
      <c r="I46" s="3">
        <v>126624000</v>
      </c>
      <c r="J46" s="3">
        <v>0</v>
      </c>
      <c r="K46" s="3">
        <v>0</v>
      </c>
      <c r="L46" s="3">
        <v>126624000</v>
      </c>
      <c r="M46" s="3">
        <v>0</v>
      </c>
      <c r="N46" s="3">
        <v>130124000</v>
      </c>
      <c r="O46" s="3">
        <v>0</v>
      </c>
      <c r="P46" s="3">
        <v>0</v>
      </c>
      <c r="Q46" s="3">
        <v>130124000</v>
      </c>
      <c r="R46" s="3">
        <v>0</v>
      </c>
      <c r="S46" s="3">
        <v>130124000</v>
      </c>
      <c r="T46" s="3">
        <v>0</v>
      </c>
      <c r="U46" s="3">
        <v>0</v>
      </c>
      <c r="V46" s="3">
        <v>130124000</v>
      </c>
      <c r="W46" s="3">
        <v>0</v>
      </c>
      <c r="X46" s="3">
        <v>130124000</v>
      </c>
      <c r="Y46" s="3">
        <v>0</v>
      </c>
      <c r="Z46" s="3">
        <v>0</v>
      </c>
      <c r="AA46" s="3">
        <v>130124000</v>
      </c>
      <c r="AB46" s="3">
        <v>0</v>
      </c>
      <c r="AC46" s="3">
        <v>130124000</v>
      </c>
      <c r="AD46" s="3">
        <v>0</v>
      </c>
      <c r="AE46" s="3">
        <v>0</v>
      </c>
      <c r="AF46" s="3">
        <v>130124000</v>
      </c>
      <c r="AG46" s="3">
        <v>0</v>
      </c>
      <c r="AH46" s="3">
        <v>130011038.00000001</v>
      </c>
      <c r="AI46" s="3">
        <v>0</v>
      </c>
      <c r="AJ46" s="3">
        <v>0</v>
      </c>
      <c r="AK46" s="3">
        <v>130011038.00000001</v>
      </c>
      <c r="AL46" s="3">
        <v>0</v>
      </c>
      <c r="AM46" s="3">
        <v>129297709.37</v>
      </c>
      <c r="AN46" s="3">
        <v>0</v>
      </c>
      <c r="AO46" s="3">
        <v>0</v>
      </c>
      <c r="AP46" s="3">
        <v>129297709.37</v>
      </c>
      <c r="AQ46" s="3">
        <v>0</v>
      </c>
      <c r="AR46" s="3">
        <v>105356000</v>
      </c>
      <c r="AS46" s="3">
        <v>0</v>
      </c>
      <c r="AT46" s="3">
        <v>0</v>
      </c>
      <c r="AU46" s="3">
        <v>105356000</v>
      </c>
      <c r="AV46" s="3">
        <v>0</v>
      </c>
      <c r="AW46" s="3">
        <v>105356000</v>
      </c>
      <c r="AX46" s="3">
        <v>0</v>
      </c>
      <c r="AY46" s="3">
        <v>0</v>
      </c>
      <c r="AZ46" s="3">
        <v>105356000</v>
      </c>
      <c r="BA46" s="3">
        <v>0</v>
      </c>
      <c r="BB46" s="3">
        <v>105356000</v>
      </c>
      <c r="BC46" s="3">
        <v>0</v>
      </c>
      <c r="BD46" s="3">
        <v>0</v>
      </c>
      <c r="BE46" s="3">
        <v>105356000</v>
      </c>
      <c r="BF46" s="3">
        <v>0</v>
      </c>
      <c r="BG46" s="3">
        <v>105356000</v>
      </c>
      <c r="BH46" s="3">
        <v>0</v>
      </c>
      <c r="BI46" s="3">
        <v>0</v>
      </c>
      <c r="BJ46" s="3">
        <v>105356000</v>
      </c>
      <c r="BK46" s="3">
        <v>0</v>
      </c>
      <c r="BL46" s="3">
        <v>105356000</v>
      </c>
      <c r="BM46" s="3">
        <v>0</v>
      </c>
      <c r="BN46" s="3">
        <v>0</v>
      </c>
      <c r="BO46" s="3">
        <v>105356000</v>
      </c>
      <c r="BP46" s="3">
        <v>0</v>
      </c>
      <c r="BQ46" s="10">
        <v>105341444.34</v>
      </c>
      <c r="BR46" s="3">
        <v>0</v>
      </c>
      <c r="BS46" s="3">
        <v>0</v>
      </c>
      <c r="BT46" s="3">
        <v>105341444.34</v>
      </c>
      <c r="BU46" s="3">
        <v>0</v>
      </c>
      <c r="BV46" s="10">
        <v>101090601.34</v>
      </c>
      <c r="BW46" s="3">
        <v>0</v>
      </c>
      <c r="BX46" s="3">
        <v>0</v>
      </c>
      <c r="BY46" s="3">
        <v>101090601.34</v>
      </c>
      <c r="BZ46" s="3">
        <v>0</v>
      </c>
      <c r="CA46" s="3">
        <v>107156000</v>
      </c>
      <c r="CB46" s="3">
        <v>0</v>
      </c>
      <c r="CC46" s="3">
        <v>0</v>
      </c>
      <c r="CD46" s="3">
        <v>107156000</v>
      </c>
      <c r="CE46" s="3">
        <v>0</v>
      </c>
      <c r="CF46" s="3">
        <v>107156000</v>
      </c>
      <c r="CG46" s="3">
        <v>0</v>
      </c>
      <c r="CH46" s="3">
        <v>0</v>
      </c>
      <c r="CI46" s="3">
        <v>107156000</v>
      </c>
      <c r="CJ46" s="3">
        <v>0</v>
      </c>
      <c r="CK46" s="3">
        <v>107156000</v>
      </c>
      <c r="CL46" s="3">
        <v>0</v>
      </c>
      <c r="CM46" s="3">
        <v>0</v>
      </c>
      <c r="CN46" s="3">
        <v>107156000</v>
      </c>
      <c r="CO46" s="3">
        <v>0</v>
      </c>
      <c r="CP46" s="3">
        <v>107156000</v>
      </c>
      <c r="CQ46" s="3">
        <v>0</v>
      </c>
      <c r="CR46" s="3">
        <v>0</v>
      </c>
      <c r="CS46" s="3">
        <v>107156000</v>
      </c>
      <c r="CT46" s="3">
        <v>0</v>
      </c>
      <c r="CU46" s="3">
        <v>107156000</v>
      </c>
      <c r="CV46" s="3">
        <v>0</v>
      </c>
      <c r="CW46" s="3">
        <v>0</v>
      </c>
      <c r="CX46" s="3">
        <v>107156000</v>
      </c>
      <c r="CY46" s="3">
        <v>0</v>
      </c>
      <c r="CZ46" s="3">
        <v>107156000</v>
      </c>
      <c r="DA46" s="3">
        <v>0</v>
      </c>
      <c r="DB46" s="3">
        <v>0</v>
      </c>
      <c r="DC46" s="3">
        <v>107156000</v>
      </c>
      <c r="DD46" s="3">
        <v>0</v>
      </c>
      <c r="DE46" s="10">
        <v>107156000</v>
      </c>
      <c r="DF46" s="3">
        <v>0</v>
      </c>
      <c r="DG46" s="3">
        <v>0</v>
      </c>
      <c r="DH46" s="10">
        <v>107156000</v>
      </c>
      <c r="DI46" s="3">
        <v>0</v>
      </c>
      <c r="DJ46" s="3">
        <v>109107000</v>
      </c>
      <c r="DK46" s="3">
        <v>0</v>
      </c>
      <c r="DL46" s="3">
        <v>0</v>
      </c>
      <c r="DM46" s="3">
        <v>109107000</v>
      </c>
      <c r="DN46" s="3">
        <v>0</v>
      </c>
      <c r="DO46" s="3">
        <v>109107000</v>
      </c>
      <c r="DP46" s="3">
        <v>0</v>
      </c>
      <c r="DQ46" s="3">
        <v>0</v>
      </c>
      <c r="DR46" s="3">
        <v>109107000</v>
      </c>
      <c r="DS46" s="3">
        <v>0</v>
      </c>
      <c r="DT46" s="3">
        <v>109107000</v>
      </c>
      <c r="DU46" s="3">
        <v>0</v>
      </c>
      <c r="DV46" s="3">
        <v>0</v>
      </c>
      <c r="DW46" s="3">
        <v>109107000</v>
      </c>
      <c r="DX46" s="3">
        <v>0</v>
      </c>
      <c r="DY46" s="3">
        <v>109107000</v>
      </c>
      <c r="DZ46" s="3">
        <v>0</v>
      </c>
      <c r="EA46" s="3">
        <v>0</v>
      </c>
      <c r="EB46" s="3">
        <v>109107000</v>
      </c>
      <c r="EC46" s="3">
        <v>0</v>
      </c>
      <c r="ED46" s="3">
        <v>109107000</v>
      </c>
      <c r="EE46" s="3">
        <v>0</v>
      </c>
      <c r="EF46" s="3">
        <v>0</v>
      </c>
      <c r="EG46" s="3">
        <v>109107000</v>
      </c>
      <c r="EH46" s="3">
        <v>0</v>
      </c>
      <c r="EI46" s="3">
        <v>109107000</v>
      </c>
      <c r="EJ46" s="3">
        <v>0</v>
      </c>
      <c r="EK46" s="3">
        <v>0</v>
      </c>
      <c r="EL46" s="3">
        <v>109107000</v>
      </c>
      <c r="EM46" s="3">
        <v>0</v>
      </c>
      <c r="EN46" s="3">
        <v>107893398.94</v>
      </c>
      <c r="EO46" s="3">
        <v>0</v>
      </c>
      <c r="EP46" s="3">
        <v>0</v>
      </c>
      <c r="EQ46" s="3">
        <v>107893398.94</v>
      </c>
      <c r="ER46" s="3">
        <v>0</v>
      </c>
      <c r="ES46" s="3">
        <v>109107000</v>
      </c>
      <c r="ET46" s="3">
        <v>0</v>
      </c>
      <c r="EU46" s="3">
        <v>0</v>
      </c>
      <c r="EV46" s="3">
        <v>109107000</v>
      </c>
      <c r="EW46" s="3">
        <v>0</v>
      </c>
      <c r="EX46" s="3">
        <v>100107000</v>
      </c>
      <c r="EY46" s="3">
        <v>0</v>
      </c>
      <c r="EZ46" s="3">
        <v>0</v>
      </c>
      <c r="FA46" s="3">
        <v>100107000</v>
      </c>
      <c r="FB46" s="3">
        <v>0</v>
      </c>
      <c r="FC46" s="3">
        <v>100107000</v>
      </c>
      <c r="FD46" s="3">
        <v>0</v>
      </c>
      <c r="FE46" s="3">
        <v>0</v>
      </c>
      <c r="FF46" s="3">
        <v>100107000</v>
      </c>
      <c r="FG46" s="3">
        <v>0</v>
      </c>
      <c r="FH46" s="3">
        <v>100107000</v>
      </c>
      <c r="FI46" s="3">
        <v>0</v>
      </c>
      <c r="FJ46" s="3">
        <v>0</v>
      </c>
      <c r="FK46" s="3">
        <v>100107000</v>
      </c>
      <c r="FL46" s="3">
        <v>0</v>
      </c>
      <c r="FM46" s="3">
        <v>100107000</v>
      </c>
      <c r="FN46" s="3">
        <v>0</v>
      </c>
      <c r="FO46" s="3">
        <v>0</v>
      </c>
      <c r="FP46" s="3">
        <v>100107000</v>
      </c>
      <c r="FQ46" s="3">
        <v>0</v>
      </c>
      <c r="FR46" s="3">
        <v>100106792.68000001</v>
      </c>
      <c r="FS46" s="3">
        <v>0</v>
      </c>
      <c r="FT46" s="3">
        <v>0</v>
      </c>
      <c r="FU46" s="3">
        <v>100106792.68000001</v>
      </c>
      <c r="FV46" s="3">
        <v>0</v>
      </c>
      <c r="FW46" s="3">
        <v>93337326.5</v>
      </c>
      <c r="FX46" s="3">
        <v>0</v>
      </c>
      <c r="FY46" s="3">
        <v>0</v>
      </c>
      <c r="FZ46" s="3">
        <v>93337326.5</v>
      </c>
      <c r="GA46" s="3">
        <v>0</v>
      </c>
      <c r="GB46" s="3">
        <v>101000000</v>
      </c>
      <c r="GC46" s="3">
        <v>0</v>
      </c>
      <c r="GD46" s="3">
        <v>0</v>
      </c>
      <c r="GE46" s="3">
        <v>101000000</v>
      </c>
      <c r="GF46" s="3">
        <v>0</v>
      </c>
      <c r="GG46" s="3">
        <v>82440000</v>
      </c>
      <c r="GH46" s="3">
        <v>0</v>
      </c>
      <c r="GI46" s="3">
        <v>0</v>
      </c>
      <c r="GJ46" s="3">
        <v>82440000</v>
      </c>
      <c r="GK46" s="3">
        <v>0</v>
      </c>
      <c r="GL46" s="3">
        <v>82440000</v>
      </c>
      <c r="GM46" s="3">
        <v>0</v>
      </c>
      <c r="GN46" s="3">
        <v>0</v>
      </c>
      <c r="GO46" s="3">
        <v>82440000</v>
      </c>
      <c r="GP46" s="3">
        <v>0</v>
      </c>
      <c r="GQ46" s="10">
        <v>82440000</v>
      </c>
      <c r="GR46" s="3">
        <v>0</v>
      </c>
      <c r="GS46" s="3">
        <v>0</v>
      </c>
      <c r="GT46" s="3">
        <v>82440000</v>
      </c>
      <c r="GU46" s="3">
        <v>0</v>
      </c>
      <c r="GV46" s="10">
        <v>82440000</v>
      </c>
      <c r="GW46" s="3">
        <v>0</v>
      </c>
      <c r="GX46" s="3">
        <v>0</v>
      </c>
      <c r="GY46" s="3">
        <v>82440000</v>
      </c>
      <c r="GZ46" s="3">
        <v>0</v>
      </c>
      <c r="HA46" s="3">
        <v>82438736.939999998</v>
      </c>
      <c r="HB46" s="3">
        <v>0</v>
      </c>
      <c r="HC46" s="3">
        <v>0</v>
      </c>
      <c r="HD46" s="3">
        <v>82438736.939999998</v>
      </c>
      <c r="HE46" s="3">
        <v>0</v>
      </c>
      <c r="HF46" s="3">
        <v>82127122.140000001</v>
      </c>
      <c r="HG46" s="3">
        <v>0</v>
      </c>
      <c r="HH46" s="3">
        <v>0</v>
      </c>
      <c r="HI46" s="3">
        <v>82127122.140000001</v>
      </c>
      <c r="HJ46" s="3">
        <v>0</v>
      </c>
      <c r="HK46" s="3">
        <v>92508000</v>
      </c>
      <c r="HL46" s="3">
        <v>0</v>
      </c>
      <c r="HM46" s="3">
        <v>0</v>
      </c>
      <c r="HN46" s="3">
        <v>92508000</v>
      </c>
      <c r="HO46" s="3">
        <v>0</v>
      </c>
      <c r="HP46" s="3">
        <v>82508000</v>
      </c>
      <c r="HQ46" s="3">
        <v>0</v>
      </c>
      <c r="HR46" s="3">
        <v>0</v>
      </c>
      <c r="HS46" s="3">
        <v>82508000</v>
      </c>
      <c r="HT46" s="3">
        <v>0</v>
      </c>
      <c r="HU46" s="3">
        <v>82508000</v>
      </c>
      <c r="HV46" s="3">
        <v>0</v>
      </c>
      <c r="HW46" s="3">
        <v>0</v>
      </c>
      <c r="HX46" s="3">
        <v>82508000</v>
      </c>
      <c r="HY46" s="3">
        <v>0</v>
      </c>
      <c r="HZ46" s="10">
        <v>82508000</v>
      </c>
      <c r="IA46" s="3">
        <v>0</v>
      </c>
      <c r="IB46" s="3">
        <v>0</v>
      </c>
      <c r="IC46" s="3">
        <v>82508000</v>
      </c>
      <c r="ID46" s="3">
        <v>0</v>
      </c>
      <c r="IE46" s="10">
        <v>82508000</v>
      </c>
      <c r="IF46" s="3">
        <v>0</v>
      </c>
      <c r="IG46" s="3">
        <v>0</v>
      </c>
      <c r="IH46" s="3">
        <v>82508000</v>
      </c>
      <c r="II46" s="3">
        <v>0</v>
      </c>
      <c r="IJ46" s="3">
        <v>78678196.290000007</v>
      </c>
      <c r="IK46" s="3">
        <v>0</v>
      </c>
      <c r="IL46" s="3">
        <v>0</v>
      </c>
      <c r="IM46" s="6">
        <v>78678196.290000007</v>
      </c>
      <c r="IN46" s="3">
        <v>0</v>
      </c>
      <c r="IO46" s="3">
        <v>77370850.550000012</v>
      </c>
      <c r="IP46" s="3">
        <v>0</v>
      </c>
      <c r="IQ46" s="3">
        <v>0</v>
      </c>
      <c r="IR46" s="6">
        <v>77370850.550000012</v>
      </c>
      <c r="IS46" s="3">
        <v>0</v>
      </c>
      <c r="IT46" s="3">
        <v>74419000</v>
      </c>
      <c r="IU46" s="3">
        <v>0</v>
      </c>
      <c r="IV46" s="3">
        <v>0</v>
      </c>
      <c r="IW46" s="3">
        <v>74419000</v>
      </c>
      <c r="IX46" s="3">
        <v>0</v>
      </c>
      <c r="IY46" s="3">
        <v>74419000</v>
      </c>
      <c r="IZ46" s="3">
        <v>0</v>
      </c>
      <c r="JA46" s="3">
        <v>0</v>
      </c>
      <c r="JB46" s="3">
        <v>74419000</v>
      </c>
      <c r="JC46" s="3">
        <v>0</v>
      </c>
      <c r="JD46" s="3">
        <v>74419000</v>
      </c>
      <c r="JE46" s="3">
        <v>0</v>
      </c>
      <c r="JF46" s="3">
        <v>0</v>
      </c>
      <c r="JG46" s="3">
        <v>74419000</v>
      </c>
      <c r="JH46" s="3">
        <v>0</v>
      </c>
      <c r="JI46" s="3">
        <v>74419000</v>
      </c>
      <c r="JJ46" s="3">
        <v>0</v>
      </c>
      <c r="JK46" s="3">
        <v>0</v>
      </c>
      <c r="JL46" s="3">
        <v>74419000</v>
      </c>
      <c r="JM46" s="3">
        <v>0</v>
      </c>
      <c r="JN46" s="3">
        <v>74419000</v>
      </c>
      <c r="JO46" s="3">
        <v>0</v>
      </c>
      <c r="JP46" s="3">
        <v>0</v>
      </c>
      <c r="JQ46" s="3">
        <v>74419000</v>
      </c>
      <c r="JR46" s="3">
        <v>0</v>
      </c>
      <c r="JS46" s="3">
        <v>60320746.609999999</v>
      </c>
      <c r="JT46" s="3">
        <v>0</v>
      </c>
      <c r="JU46" s="3">
        <v>0</v>
      </c>
      <c r="JV46" s="3">
        <v>60320746.609999999</v>
      </c>
      <c r="JW46" s="3">
        <v>0</v>
      </c>
      <c r="JX46" s="3">
        <v>33972191.560000002</v>
      </c>
      <c r="JY46" s="3">
        <v>0</v>
      </c>
      <c r="JZ46" s="3">
        <v>0</v>
      </c>
      <c r="KA46" s="3">
        <v>33972191.560000002</v>
      </c>
      <c r="KB46" s="3">
        <v>0</v>
      </c>
      <c r="KC46" s="3">
        <v>82272000</v>
      </c>
      <c r="KD46" s="3">
        <v>0</v>
      </c>
      <c r="KE46" s="3">
        <v>0</v>
      </c>
      <c r="KF46" s="3">
        <v>82272000</v>
      </c>
      <c r="KG46" s="3">
        <v>0</v>
      </c>
      <c r="KH46" s="3">
        <v>82272000</v>
      </c>
      <c r="KI46" s="3">
        <v>0</v>
      </c>
      <c r="KJ46" s="3">
        <v>0</v>
      </c>
      <c r="KK46" s="3">
        <v>82272000</v>
      </c>
      <c r="KL46" s="3"/>
      <c r="KM46" s="3"/>
      <c r="KN46" s="3"/>
      <c r="KO46" s="3"/>
      <c r="KP46" s="3"/>
      <c r="KQ46" s="3"/>
      <c r="KR46" s="3"/>
      <c r="KS46" s="3"/>
      <c r="KT46" s="3"/>
      <c r="KU46" s="3"/>
      <c r="KV46" s="3"/>
      <c r="KW46" s="3"/>
      <c r="KX46" s="3"/>
      <c r="KY46" s="3"/>
      <c r="KZ46" s="3"/>
      <c r="LA46" s="3"/>
      <c r="LB46" s="3"/>
      <c r="LC46" s="3"/>
      <c r="LD46" s="3"/>
      <c r="LE46" s="3"/>
      <c r="LF46" s="3"/>
      <c r="LG46" s="3"/>
      <c r="LH46" s="3"/>
      <c r="LI46" s="3"/>
      <c r="LJ46" s="3"/>
      <c r="LK46">
        <v>0</v>
      </c>
      <c r="LL46" s="3">
        <v>82726000</v>
      </c>
      <c r="LM46">
        <v>0</v>
      </c>
      <c r="LN46">
        <v>0</v>
      </c>
      <c r="LO46" s="3">
        <v>82726000</v>
      </c>
    </row>
    <row r="47" spans="1:327" x14ac:dyDescent="0.25">
      <c r="A47" t="s">
        <v>943</v>
      </c>
      <c r="B47" t="s">
        <v>944</v>
      </c>
      <c r="C47" t="s">
        <v>199</v>
      </c>
      <c r="D47" t="s">
        <v>200</v>
      </c>
      <c r="E47" t="s">
        <v>217</v>
      </c>
      <c r="F47" t="s">
        <v>966</v>
      </c>
      <c r="G47" t="s">
        <v>1021</v>
      </c>
      <c r="H47" s="3">
        <v>0</v>
      </c>
      <c r="I47" s="3">
        <v>64337000</v>
      </c>
      <c r="J47" s="3">
        <v>0</v>
      </c>
      <c r="K47" s="3">
        <v>1302000</v>
      </c>
      <c r="L47" s="3">
        <v>65639000</v>
      </c>
      <c r="M47" s="3">
        <v>0</v>
      </c>
      <c r="N47" s="3">
        <v>64337000</v>
      </c>
      <c r="O47" s="3">
        <v>0</v>
      </c>
      <c r="P47" s="3">
        <v>1302000</v>
      </c>
      <c r="Q47" s="3">
        <v>65639000</v>
      </c>
      <c r="R47" s="3">
        <v>0</v>
      </c>
      <c r="S47" s="3">
        <v>64337000</v>
      </c>
      <c r="T47" s="3">
        <v>0</v>
      </c>
      <c r="U47" s="3">
        <v>1302000</v>
      </c>
      <c r="V47" s="3">
        <v>65639000</v>
      </c>
      <c r="W47" s="3">
        <v>0</v>
      </c>
      <c r="X47" s="3">
        <v>64337000</v>
      </c>
      <c r="Y47" s="3">
        <v>0</v>
      </c>
      <c r="Z47" s="3">
        <v>1302000</v>
      </c>
      <c r="AA47" s="3">
        <v>65639000</v>
      </c>
      <c r="AB47" s="3">
        <v>0</v>
      </c>
      <c r="AC47" s="3">
        <v>64337000</v>
      </c>
      <c r="AD47" s="3">
        <v>0</v>
      </c>
      <c r="AE47" s="3">
        <v>1302000</v>
      </c>
      <c r="AF47" s="3">
        <v>65639000</v>
      </c>
      <c r="AG47" s="3">
        <v>0</v>
      </c>
      <c r="AH47" s="3">
        <v>62140245.709999993</v>
      </c>
      <c r="AI47" s="3">
        <v>0</v>
      </c>
      <c r="AJ47" s="3">
        <v>684868</v>
      </c>
      <c r="AK47" s="3">
        <v>62825113.709999993</v>
      </c>
      <c r="AL47" s="3">
        <v>0</v>
      </c>
      <c r="AM47" s="3">
        <v>57770076.420000002</v>
      </c>
      <c r="AN47" s="3">
        <v>0</v>
      </c>
      <c r="AO47" s="3">
        <v>0</v>
      </c>
      <c r="AP47" s="3">
        <v>57770076.420000002</v>
      </c>
      <c r="AQ47" s="3">
        <v>0</v>
      </c>
      <c r="AR47" s="3">
        <v>60716000</v>
      </c>
      <c r="AS47" s="3">
        <v>0</v>
      </c>
      <c r="AT47" s="3">
        <v>0</v>
      </c>
      <c r="AU47" s="3">
        <v>60716000</v>
      </c>
      <c r="AV47" s="3">
        <v>0</v>
      </c>
      <c r="AW47" s="3">
        <v>60716000</v>
      </c>
      <c r="AX47" s="3">
        <v>0</v>
      </c>
      <c r="AY47" s="3">
        <v>0</v>
      </c>
      <c r="AZ47" s="3">
        <v>60716000</v>
      </c>
      <c r="BA47" s="3">
        <v>0</v>
      </c>
      <c r="BB47" s="3">
        <v>60716000</v>
      </c>
      <c r="BC47" s="3">
        <v>0</v>
      </c>
      <c r="BD47" s="3">
        <v>0</v>
      </c>
      <c r="BE47" s="3">
        <v>60716000</v>
      </c>
      <c r="BF47" s="3">
        <v>0</v>
      </c>
      <c r="BG47" s="3">
        <v>60391000</v>
      </c>
      <c r="BH47" s="3">
        <v>0</v>
      </c>
      <c r="BI47" s="3">
        <v>0</v>
      </c>
      <c r="BJ47" s="3">
        <v>60391000</v>
      </c>
      <c r="BK47" s="3">
        <v>0</v>
      </c>
      <c r="BL47" s="3">
        <v>60391000</v>
      </c>
      <c r="BM47" s="3">
        <v>0</v>
      </c>
      <c r="BN47" s="3">
        <v>0</v>
      </c>
      <c r="BO47" s="3">
        <v>60391000</v>
      </c>
      <c r="BP47" s="3">
        <v>0</v>
      </c>
      <c r="BQ47" s="3">
        <v>57342820.469999999</v>
      </c>
      <c r="BR47" s="3">
        <v>0</v>
      </c>
      <c r="BS47" s="3">
        <v>0</v>
      </c>
      <c r="BT47" s="3">
        <v>57342820.469999999</v>
      </c>
      <c r="BU47" s="3">
        <v>0</v>
      </c>
      <c r="BV47" s="10">
        <v>55062600.939999998</v>
      </c>
      <c r="BW47" s="3">
        <v>0</v>
      </c>
      <c r="BX47" s="3">
        <v>0</v>
      </c>
      <c r="BY47" s="3">
        <v>55062600.939999998</v>
      </c>
      <c r="BZ47" s="3">
        <v>0</v>
      </c>
      <c r="CA47" s="3">
        <v>60941000</v>
      </c>
      <c r="CB47" s="3">
        <v>0</v>
      </c>
      <c r="CC47" s="3">
        <v>0</v>
      </c>
      <c r="CD47" s="3">
        <v>60941000</v>
      </c>
      <c r="CE47" s="3">
        <v>0</v>
      </c>
      <c r="CF47" s="3">
        <v>60941000</v>
      </c>
      <c r="CG47" s="3">
        <v>0</v>
      </c>
      <c r="CH47" s="3">
        <v>0</v>
      </c>
      <c r="CI47" s="3">
        <v>60941000</v>
      </c>
      <c r="CJ47" s="3">
        <v>0</v>
      </c>
      <c r="CK47" s="3">
        <v>60941000</v>
      </c>
      <c r="CL47" s="3">
        <v>0</v>
      </c>
      <c r="CM47" s="3">
        <v>0</v>
      </c>
      <c r="CN47" s="3">
        <v>60941000</v>
      </c>
      <c r="CO47" s="3">
        <v>0</v>
      </c>
      <c r="CP47" s="3">
        <v>59255174</v>
      </c>
      <c r="CQ47" s="3">
        <v>0</v>
      </c>
      <c r="CR47" s="3">
        <v>0</v>
      </c>
      <c r="CS47" s="3">
        <v>59255174</v>
      </c>
      <c r="CT47" s="3">
        <v>0</v>
      </c>
      <c r="CU47" s="3">
        <v>59255174</v>
      </c>
      <c r="CV47" s="3">
        <v>0</v>
      </c>
      <c r="CW47" s="3">
        <v>0</v>
      </c>
      <c r="CX47" s="3">
        <v>59255174</v>
      </c>
      <c r="CY47" s="3">
        <v>0</v>
      </c>
      <c r="CZ47" s="3">
        <v>55762238.149999999</v>
      </c>
      <c r="DA47" s="3">
        <v>0</v>
      </c>
      <c r="DB47" s="3">
        <v>0</v>
      </c>
      <c r="DC47" s="3">
        <v>55762238.149999999</v>
      </c>
      <c r="DD47" s="3">
        <v>0</v>
      </c>
      <c r="DE47" s="10">
        <v>48641291.189999998</v>
      </c>
      <c r="DF47" s="3">
        <v>0</v>
      </c>
      <c r="DG47" s="3">
        <v>0</v>
      </c>
      <c r="DH47" s="10">
        <v>48641291.189999998</v>
      </c>
      <c r="DI47" s="3">
        <v>0</v>
      </c>
      <c r="DJ47" s="3">
        <v>59824000</v>
      </c>
      <c r="DK47" s="3">
        <v>0</v>
      </c>
      <c r="DL47" s="3">
        <v>0</v>
      </c>
      <c r="DM47" s="3">
        <v>59824000</v>
      </c>
      <c r="DN47" s="3">
        <v>0</v>
      </c>
      <c r="DO47" s="3">
        <v>59824000</v>
      </c>
      <c r="DP47" s="3">
        <v>0</v>
      </c>
      <c r="DQ47" s="3">
        <v>0</v>
      </c>
      <c r="DR47" s="3">
        <v>59824000</v>
      </c>
      <c r="DS47" s="3">
        <v>0</v>
      </c>
      <c r="DT47" s="3">
        <v>59824000</v>
      </c>
      <c r="DU47" s="3">
        <v>0</v>
      </c>
      <c r="DV47" s="3">
        <v>0</v>
      </c>
      <c r="DW47" s="3">
        <v>59824000</v>
      </c>
      <c r="DX47" s="3">
        <v>0</v>
      </c>
      <c r="DY47" s="3">
        <v>59824000</v>
      </c>
      <c r="DZ47" s="3">
        <v>0</v>
      </c>
      <c r="EA47" s="3">
        <v>0</v>
      </c>
      <c r="EB47" s="3">
        <v>59824000</v>
      </c>
      <c r="EC47" s="3">
        <v>0</v>
      </c>
      <c r="ED47" s="3">
        <v>59824000</v>
      </c>
      <c r="EE47" s="3">
        <v>0</v>
      </c>
      <c r="EF47" s="3">
        <v>0</v>
      </c>
      <c r="EG47" s="3">
        <v>59824000</v>
      </c>
      <c r="EH47" s="3">
        <v>0</v>
      </c>
      <c r="EI47" s="3">
        <v>54753562.379999995</v>
      </c>
      <c r="EJ47" s="3">
        <v>0</v>
      </c>
      <c r="EK47" s="3">
        <v>0</v>
      </c>
      <c r="EL47" s="3">
        <v>54753562.379999995</v>
      </c>
      <c r="EM47" s="3">
        <v>0</v>
      </c>
      <c r="EN47" s="3">
        <v>50453122.310000002</v>
      </c>
      <c r="EO47" s="3">
        <v>0</v>
      </c>
      <c r="EP47" s="3">
        <v>0</v>
      </c>
      <c r="EQ47" s="3">
        <v>50453122.310000002</v>
      </c>
      <c r="ER47" s="3">
        <v>0</v>
      </c>
      <c r="ES47" s="3">
        <v>49250000</v>
      </c>
      <c r="ET47" s="3">
        <v>0</v>
      </c>
      <c r="EU47" s="3">
        <v>750000</v>
      </c>
      <c r="EV47" s="3">
        <v>50000000</v>
      </c>
      <c r="EW47" s="3">
        <v>0</v>
      </c>
      <c r="EX47" s="3">
        <v>49250000</v>
      </c>
      <c r="EY47" s="3">
        <v>0</v>
      </c>
      <c r="EZ47" s="3">
        <v>750000</v>
      </c>
      <c r="FA47" s="3">
        <v>50000000</v>
      </c>
      <c r="FB47" s="3">
        <v>0</v>
      </c>
      <c r="FC47" s="3">
        <v>49250000</v>
      </c>
      <c r="FD47" s="3">
        <v>0</v>
      </c>
      <c r="FE47" s="3">
        <v>750000</v>
      </c>
      <c r="FF47" s="3">
        <v>50000000</v>
      </c>
      <c r="FG47" s="3">
        <v>0</v>
      </c>
      <c r="FH47" s="3">
        <v>49194180</v>
      </c>
      <c r="FI47" s="3">
        <v>0</v>
      </c>
      <c r="FJ47" s="3">
        <v>750000</v>
      </c>
      <c r="FK47" s="3">
        <v>49944180</v>
      </c>
      <c r="FL47" s="3">
        <v>0</v>
      </c>
      <c r="FM47" s="3">
        <v>49194180</v>
      </c>
      <c r="FN47" s="3">
        <v>0</v>
      </c>
      <c r="FO47" s="3">
        <v>750000</v>
      </c>
      <c r="FP47" s="3">
        <v>49944180</v>
      </c>
      <c r="FQ47" s="3">
        <v>0</v>
      </c>
      <c r="FR47" s="3">
        <v>48837778.68</v>
      </c>
      <c r="FS47" s="3">
        <v>0</v>
      </c>
      <c r="FT47" s="3">
        <v>682400</v>
      </c>
      <c r="FU47" s="3">
        <v>49520178.68</v>
      </c>
      <c r="FV47" s="3">
        <v>0</v>
      </c>
      <c r="FW47" s="3">
        <v>48242130.240000002</v>
      </c>
      <c r="FX47" s="3">
        <v>0</v>
      </c>
      <c r="FY47" s="3">
        <v>433285.71</v>
      </c>
      <c r="FZ47" s="3">
        <v>48675415.950000003</v>
      </c>
      <c r="GA47" s="3">
        <v>0</v>
      </c>
      <c r="GB47" s="3">
        <v>50000000</v>
      </c>
      <c r="GC47" s="3">
        <v>0</v>
      </c>
      <c r="GD47" s="3">
        <v>0</v>
      </c>
      <c r="GE47" s="3">
        <v>50000000</v>
      </c>
      <c r="GF47" s="3">
        <v>0</v>
      </c>
      <c r="GG47" s="3">
        <v>50000000</v>
      </c>
      <c r="GH47" s="3">
        <v>0</v>
      </c>
      <c r="GI47" s="3">
        <v>0</v>
      </c>
      <c r="GJ47" s="3">
        <v>50000000</v>
      </c>
      <c r="GK47" s="3">
        <v>0</v>
      </c>
      <c r="GL47" s="3">
        <v>50000000</v>
      </c>
      <c r="GM47" s="3">
        <v>0</v>
      </c>
      <c r="GN47" s="3">
        <v>0</v>
      </c>
      <c r="GO47" s="3">
        <v>50000000</v>
      </c>
      <c r="GP47" s="3">
        <v>0</v>
      </c>
      <c r="GQ47" s="10">
        <v>49906200</v>
      </c>
      <c r="GR47" s="3">
        <v>0</v>
      </c>
      <c r="GS47" s="3">
        <v>0</v>
      </c>
      <c r="GT47" s="3">
        <v>49906200</v>
      </c>
      <c r="GU47" s="3">
        <v>0</v>
      </c>
      <c r="GV47" s="10">
        <v>49906200</v>
      </c>
      <c r="GW47" s="3">
        <v>0</v>
      </c>
      <c r="GX47" s="3">
        <v>0</v>
      </c>
      <c r="GY47" s="3">
        <v>49906200</v>
      </c>
      <c r="GZ47" s="3">
        <v>0</v>
      </c>
      <c r="HA47" s="3">
        <v>48020376.130000003</v>
      </c>
      <c r="HB47" s="3">
        <v>0</v>
      </c>
      <c r="HC47" s="3">
        <v>0</v>
      </c>
      <c r="HD47" s="3">
        <v>48020376.130000003</v>
      </c>
      <c r="HE47" s="3">
        <v>0</v>
      </c>
      <c r="HF47" s="3">
        <v>47477616.509999998</v>
      </c>
      <c r="HG47" s="3">
        <v>0</v>
      </c>
      <c r="HH47" s="3">
        <v>0</v>
      </c>
      <c r="HI47" s="3">
        <v>47477616.509999998</v>
      </c>
      <c r="HJ47" s="3">
        <v>0</v>
      </c>
      <c r="HK47" s="3">
        <v>51217000</v>
      </c>
      <c r="HL47" s="3">
        <v>0</v>
      </c>
      <c r="HM47" s="3">
        <v>0</v>
      </c>
      <c r="HN47" s="3">
        <v>51217000</v>
      </c>
      <c r="HO47" s="3">
        <v>0</v>
      </c>
      <c r="HP47" s="3">
        <v>51217000</v>
      </c>
      <c r="HQ47" s="3">
        <v>0</v>
      </c>
      <c r="HR47" s="3">
        <v>0</v>
      </c>
      <c r="HS47" s="3">
        <v>51217000</v>
      </c>
      <c r="HT47" s="3">
        <v>0</v>
      </c>
      <c r="HU47" s="3">
        <v>51217000</v>
      </c>
      <c r="HV47" s="3">
        <v>0</v>
      </c>
      <c r="HW47" s="3">
        <v>0</v>
      </c>
      <c r="HX47" s="3">
        <v>51217000</v>
      </c>
      <c r="HY47" s="3">
        <v>0</v>
      </c>
      <c r="HZ47" s="10">
        <v>51217000</v>
      </c>
      <c r="IA47" s="3">
        <v>0</v>
      </c>
      <c r="IB47" s="3">
        <v>0</v>
      </c>
      <c r="IC47" s="3">
        <v>51217000</v>
      </c>
      <c r="ID47" s="3">
        <v>0</v>
      </c>
      <c r="IE47" s="10">
        <v>51217000</v>
      </c>
      <c r="IF47" s="3">
        <v>0</v>
      </c>
      <c r="IG47" s="3">
        <v>0</v>
      </c>
      <c r="IH47" s="3">
        <v>51217000</v>
      </c>
      <c r="II47" s="3">
        <v>0</v>
      </c>
      <c r="IJ47" s="3">
        <v>50060027.469999999</v>
      </c>
      <c r="IK47" s="3">
        <v>0</v>
      </c>
      <c r="IL47" s="3">
        <v>0</v>
      </c>
      <c r="IM47" s="6">
        <v>50060027.469999999</v>
      </c>
      <c r="IN47" s="3">
        <v>0</v>
      </c>
      <c r="IO47" s="3">
        <v>49796364.18</v>
      </c>
      <c r="IP47" s="3">
        <v>0</v>
      </c>
      <c r="IQ47" s="3">
        <v>0</v>
      </c>
      <c r="IR47" s="6">
        <v>49796364.18</v>
      </c>
      <c r="IS47" s="3">
        <v>0</v>
      </c>
      <c r="IT47" s="3">
        <v>50900000</v>
      </c>
      <c r="IU47" s="3">
        <v>0</v>
      </c>
      <c r="IV47" s="3">
        <v>0</v>
      </c>
      <c r="IW47" s="3">
        <v>50900000</v>
      </c>
      <c r="IX47" s="3">
        <v>0</v>
      </c>
      <c r="IY47" s="3">
        <v>50900000</v>
      </c>
      <c r="IZ47" s="3">
        <v>0</v>
      </c>
      <c r="JA47" s="3">
        <v>0</v>
      </c>
      <c r="JB47" s="3">
        <v>50900000</v>
      </c>
      <c r="JC47" s="3">
        <v>0</v>
      </c>
      <c r="JD47" s="3">
        <v>50900000</v>
      </c>
      <c r="JE47" s="3">
        <v>0</v>
      </c>
      <c r="JF47" s="3">
        <v>0</v>
      </c>
      <c r="JG47" s="3">
        <v>50900000</v>
      </c>
      <c r="JH47" s="3">
        <v>0</v>
      </c>
      <c r="JI47" s="3">
        <v>50900000</v>
      </c>
      <c r="JJ47" s="3">
        <v>0</v>
      </c>
      <c r="JK47" s="3">
        <v>0</v>
      </c>
      <c r="JL47" s="3">
        <v>50900000</v>
      </c>
      <c r="JM47" s="3">
        <v>0</v>
      </c>
      <c r="JN47" s="3">
        <v>50900000</v>
      </c>
      <c r="JO47" s="3">
        <v>0</v>
      </c>
      <c r="JP47" s="3">
        <v>0</v>
      </c>
      <c r="JQ47" s="3">
        <v>50900000</v>
      </c>
      <c r="JR47" s="3">
        <v>0</v>
      </c>
      <c r="JS47" s="3">
        <v>41101913.600000001</v>
      </c>
      <c r="JT47" s="3">
        <v>0</v>
      </c>
      <c r="JU47" s="3">
        <v>0</v>
      </c>
      <c r="JV47" s="3">
        <v>41101913.600000001</v>
      </c>
      <c r="JW47" s="3">
        <v>0</v>
      </c>
      <c r="JX47" s="3">
        <v>25630862.629999999</v>
      </c>
      <c r="JY47" s="3">
        <v>0</v>
      </c>
      <c r="JZ47" s="3">
        <v>0</v>
      </c>
      <c r="KA47" s="3">
        <v>25630862.629999999</v>
      </c>
      <c r="KB47" s="3">
        <v>0</v>
      </c>
      <c r="KC47" s="3">
        <v>55000000</v>
      </c>
      <c r="KD47" s="3">
        <v>0</v>
      </c>
      <c r="KE47" s="3">
        <v>0</v>
      </c>
      <c r="KF47" s="3">
        <v>55000000</v>
      </c>
      <c r="KG47" s="3">
        <v>0</v>
      </c>
      <c r="KH47" s="3">
        <v>55000000</v>
      </c>
      <c r="KI47" s="3">
        <v>0</v>
      </c>
      <c r="KJ47" s="3">
        <v>0</v>
      </c>
      <c r="KK47" s="3">
        <v>55000000</v>
      </c>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v>0</v>
      </c>
      <c r="LL47" s="3">
        <v>50000000</v>
      </c>
      <c r="LM47">
        <v>0</v>
      </c>
      <c r="LN47">
        <v>0</v>
      </c>
      <c r="LO47" s="3">
        <v>50000000</v>
      </c>
    </row>
    <row r="48" spans="1:327" x14ac:dyDescent="0.25">
      <c r="A48" t="s">
        <v>943</v>
      </c>
      <c r="B48" t="s">
        <v>944</v>
      </c>
      <c r="C48" t="s">
        <v>199</v>
      </c>
      <c r="D48" t="s">
        <v>200</v>
      </c>
      <c r="E48" t="s">
        <v>217</v>
      </c>
      <c r="F48" t="s">
        <v>967</v>
      </c>
      <c r="G48" t="s">
        <v>1016</v>
      </c>
      <c r="H48" s="3">
        <v>778953000</v>
      </c>
      <c r="I48" s="3">
        <v>605307000</v>
      </c>
      <c r="J48" s="3">
        <v>0</v>
      </c>
      <c r="K48" s="3">
        <v>19614000</v>
      </c>
      <c r="L48" s="3">
        <v>1403874000</v>
      </c>
      <c r="M48" s="3">
        <v>778953000</v>
      </c>
      <c r="N48" s="3">
        <v>605307000</v>
      </c>
      <c r="O48" s="3">
        <v>0</v>
      </c>
      <c r="P48" s="3">
        <v>19614000</v>
      </c>
      <c r="Q48" s="3">
        <v>1403874000</v>
      </c>
      <c r="R48" s="3">
        <v>778953000</v>
      </c>
      <c r="S48" s="3">
        <v>605307000</v>
      </c>
      <c r="T48" s="3">
        <v>0</v>
      </c>
      <c r="U48" s="3">
        <v>19614000</v>
      </c>
      <c r="V48" s="3">
        <v>1403874000</v>
      </c>
      <c r="W48" s="3">
        <v>778777227.28999996</v>
      </c>
      <c r="X48" s="3">
        <v>603272934</v>
      </c>
      <c r="Y48" s="3">
        <v>0</v>
      </c>
      <c r="Z48" s="3">
        <v>19614000</v>
      </c>
      <c r="AA48" s="3">
        <v>1401664161.29</v>
      </c>
      <c r="AB48" s="3">
        <v>778777227.28999996</v>
      </c>
      <c r="AC48" s="3">
        <v>603272934</v>
      </c>
      <c r="AD48" s="3">
        <v>0</v>
      </c>
      <c r="AE48" s="3">
        <v>19614000</v>
      </c>
      <c r="AF48" s="3">
        <v>1401664161.29</v>
      </c>
      <c r="AG48" s="3">
        <v>778520891.15999997</v>
      </c>
      <c r="AH48" s="3">
        <v>590129953.46000004</v>
      </c>
      <c r="AI48" s="3">
        <v>0</v>
      </c>
      <c r="AJ48" s="3">
        <v>17524041.759999998</v>
      </c>
      <c r="AK48" s="3">
        <v>1386174886.3800001</v>
      </c>
      <c r="AL48" s="3">
        <v>775723508.98000002</v>
      </c>
      <c r="AM48" s="3">
        <v>538364878.69000006</v>
      </c>
      <c r="AN48" s="3">
        <v>0</v>
      </c>
      <c r="AO48" s="3">
        <v>9437005.2699999996</v>
      </c>
      <c r="AP48" s="3">
        <v>1323525392.9400001</v>
      </c>
      <c r="AQ48" s="3">
        <v>675669000</v>
      </c>
      <c r="AR48" s="3">
        <v>474476000</v>
      </c>
      <c r="AS48" s="3">
        <v>0</v>
      </c>
      <c r="AT48" s="3">
        <v>0</v>
      </c>
      <c r="AU48" s="3">
        <v>1150145000</v>
      </c>
      <c r="AV48" s="3">
        <v>675669000</v>
      </c>
      <c r="AW48" s="3">
        <v>474476000</v>
      </c>
      <c r="AX48" s="3">
        <v>0</v>
      </c>
      <c r="AY48" s="3">
        <v>0</v>
      </c>
      <c r="AZ48" s="3">
        <v>1150145000</v>
      </c>
      <c r="BA48" s="3">
        <v>675669000</v>
      </c>
      <c r="BB48" s="3">
        <v>474476000</v>
      </c>
      <c r="BC48" s="3">
        <v>0</v>
      </c>
      <c r="BD48" s="3">
        <v>0</v>
      </c>
      <c r="BE48" s="3">
        <v>1150145000</v>
      </c>
      <c r="BF48" s="3">
        <v>678141821.40999997</v>
      </c>
      <c r="BG48" s="3">
        <v>471583076</v>
      </c>
      <c r="BH48" s="3">
        <v>0</v>
      </c>
      <c r="BI48" s="3">
        <v>0</v>
      </c>
      <c r="BJ48" s="3">
        <v>1149724897.4100001</v>
      </c>
      <c r="BK48" s="3">
        <v>678141821.40999997</v>
      </c>
      <c r="BL48" s="3">
        <v>471583076</v>
      </c>
      <c r="BM48" s="3">
        <v>0</v>
      </c>
      <c r="BN48" s="3">
        <v>0</v>
      </c>
      <c r="BO48" s="3">
        <v>1149724897.4100001</v>
      </c>
      <c r="BP48" s="3">
        <v>678115823.00999999</v>
      </c>
      <c r="BQ48" s="3">
        <v>466799359.13999999</v>
      </c>
      <c r="BR48" s="3">
        <v>0</v>
      </c>
      <c r="BS48" s="3">
        <v>0</v>
      </c>
      <c r="BT48" s="3">
        <v>1144915182.1500001</v>
      </c>
      <c r="BU48" s="3">
        <v>666166008.09000003</v>
      </c>
      <c r="BV48" s="3">
        <v>435027062.16000003</v>
      </c>
      <c r="BW48" s="3">
        <v>0</v>
      </c>
      <c r="BX48" s="3">
        <v>0</v>
      </c>
      <c r="BY48" s="3">
        <v>1101193070.26</v>
      </c>
      <c r="BZ48" s="3">
        <v>634895000</v>
      </c>
      <c r="CA48" s="3">
        <v>483907000</v>
      </c>
      <c r="CB48" s="3">
        <v>0</v>
      </c>
      <c r="CC48" s="3">
        <v>0</v>
      </c>
      <c r="CD48" s="3">
        <v>1118802000</v>
      </c>
      <c r="CE48" s="3">
        <v>634895000</v>
      </c>
      <c r="CF48" s="3">
        <v>419383000</v>
      </c>
      <c r="CG48" s="3">
        <v>0</v>
      </c>
      <c r="CH48" s="3">
        <v>0</v>
      </c>
      <c r="CI48" s="3">
        <v>1054278000</v>
      </c>
      <c r="CJ48" s="3">
        <v>634895000</v>
      </c>
      <c r="CK48" s="3">
        <v>419383000</v>
      </c>
      <c r="CL48" s="3">
        <v>0</v>
      </c>
      <c r="CM48" s="3">
        <v>0</v>
      </c>
      <c r="CN48" s="3">
        <v>1054278000</v>
      </c>
      <c r="CO48" s="3">
        <v>646477555.96000004</v>
      </c>
      <c r="CP48" s="3">
        <v>405915372</v>
      </c>
      <c r="CQ48" s="3">
        <v>0</v>
      </c>
      <c r="CR48" s="3">
        <v>0</v>
      </c>
      <c r="CS48" s="3">
        <v>1052392927.96</v>
      </c>
      <c r="CT48" s="3">
        <v>646477555.96000004</v>
      </c>
      <c r="CU48" s="3">
        <v>405915372</v>
      </c>
      <c r="CV48" s="3">
        <v>0</v>
      </c>
      <c r="CW48" s="3">
        <v>0</v>
      </c>
      <c r="CX48" s="3">
        <v>1052392927.96</v>
      </c>
      <c r="CY48" s="3">
        <v>646228825.54999995</v>
      </c>
      <c r="CZ48" s="3">
        <v>398451053.15999997</v>
      </c>
      <c r="DA48" s="3">
        <v>0</v>
      </c>
      <c r="DB48" s="3">
        <v>0</v>
      </c>
      <c r="DC48" s="3">
        <v>1044679878.71</v>
      </c>
      <c r="DD48" s="3">
        <v>638131292.84000003</v>
      </c>
      <c r="DE48" s="3">
        <v>379343234.09999996</v>
      </c>
      <c r="DF48" s="3">
        <v>0</v>
      </c>
      <c r="DG48" s="3">
        <v>0</v>
      </c>
      <c r="DH48" s="10">
        <v>1017474526.9400001</v>
      </c>
      <c r="DI48" s="3">
        <v>638057000</v>
      </c>
      <c r="DJ48" s="3">
        <v>480407000</v>
      </c>
      <c r="DK48" s="3">
        <v>0</v>
      </c>
      <c r="DL48" s="3">
        <v>24412000</v>
      </c>
      <c r="DM48" s="3">
        <v>1142876000</v>
      </c>
      <c r="DN48" s="3">
        <v>638057000</v>
      </c>
      <c r="DO48" s="3">
        <v>480407000</v>
      </c>
      <c r="DP48" s="3">
        <v>0</v>
      </c>
      <c r="DQ48" s="3">
        <v>24412000</v>
      </c>
      <c r="DR48" s="3">
        <v>1142876000</v>
      </c>
      <c r="DS48" s="3">
        <v>638057000</v>
      </c>
      <c r="DT48" s="3">
        <v>480407000</v>
      </c>
      <c r="DU48" s="3">
        <v>0</v>
      </c>
      <c r="DV48" s="3">
        <v>24412000</v>
      </c>
      <c r="DW48" s="3">
        <v>1142876000</v>
      </c>
      <c r="DX48" s="3">
        <v>636585944.23000002</v>
      </c>
      <c r="DY48" s="3">
        <v>478606719</v>
      </c>
      <c r="DZ48" s="3">
        <v>0</v>
      </c>
      <c r="EA48" s="3">
        <v>24412000</v>
      </c>
      <c r="EB48" s="3">
        <v>1139604663.23</v>
      </c>
      <c r="EC48" s="3">
        <v>636585944.23000002</v>
      </c>
      <c r="ED48" s="3">
        <v>478606719</v>
      </c>
      <c r="EE48" s="3">
        <v>0</v>
      </c>
      <c r="EF48" s="3">
        <v>24412000</v>
      </c>
      <c r="EG48" s="3">
        <v>1139604663.23</v>
      </c>
      <c r="EH48" s="3">
        <v>636580446.90999997</v>
      </c>
      <c r="EI48" s="3">
        <v>455216756.02999997</v>
      </c>
      <c r="EJ48" s="3">
        <v>0</v>
      </c>
      <c r="EK48" s="3">
        <v>21839919.899999999</v>
      </c>
      <c r="EL48" s="3">
        <v>1113637122.8400002</v>
      </c>
      <c r="EM48" s="3">
        <v>633617619.57999992</v>
      </c>
      <c r="EN48" s="3">
        <v>360925205.94999999</v>
      </c>
      <c r="EO48" s="3">
        <v>0</v>
      </c>
      <c r="EP48" s="3">
        <v>11513894.640000001</v>
      </c>
      <c r="EQ48" s="3">
        <v>1006056720.1700001</v>
      </c>
      <c r="ER48" s="3">
        <v>648708000</v>
      </c>
      <c r="ES48" s="3">
        <v>480407000</v>
      </c>
      <c r="ET48" s="3">
        <v>0</v>
      </c>
      <c r="EU48" s="3">
        <v>0</v>
      </c>
      <c r="EV48" s="3">
        <v>1129115000</v>
      </c>
      <c r="EW48" s="3">
        <v>648708000</v>
      </c>
      <c r="EX48" s="3">
        <v>480407000</v>
      </c>
      <c r="EY48" s="3">
        <v>0</v>
      </c>
      <c r="EZ48" s="3">
        <v>0</v>
      </c>
      <c r="FA48" s="3">
        <v>1129115000</v>
      </c>
      <c r="FB48" s="3">
        <v>648708000</v>
      </c>
      <c r="FC48" s="3">
        <v>480407000</v>
      </c>
      <c r="FD48" s="3">
        <v>0</v>
      </c>
      <c r="FE48" s="3">
        <v>0</v>
      </c>
      <c r="FF48" s="3">
        <v>1129115000</v>
      </c>
      <c r="FG48" s="3">
        <v>653379571.80999994</v>
      </c>
      <c r="FH48" s="3">
        <v>476443379.39999998</v>
      </c>
      <c r="FI48" s="3">
        <v>0</v>
      </c>
      <c r="FJ48" s="3">
        <v>0</v>
      </c>
      <c r="FK48" s="3">
        <v>1129822951.21</v>
      </c>
      <c r="FL48" s="3">
        <v>653379571.80999994</v>
      </c>
      <c r="FM48" s="3">
        <v>476443379.39999998</v>
      </c>
      <c r="FN48" s="3">
        <v>0</v>
      </c>
      <c r="FO48" s="3">
        <v>0</v>
      </c>
      <c r="FP48" s="3">
        <v>1129822951.21</v>
      </c>
      <c r="FQ48" s="3">
        <v>653338958.86000001</v>
      </c>
      <c r="FR48" s="3">
        <v>466869164.38</v>
      </c>
      <c r="FS48" s="3">
        <v>0</v>
      </c>
      <c r="FT48" s="3">
        <v>0</v>
      </c>
      <c r="FU48" s="3">
        <v>1120208123.24</v>
      </c>
      <c r="FV48" s="3">
        <v>651169532.5</v>
      </c>
      <c r="FW48" s="3">
        <v>425652201.68000001</v>
      </c>
      <c r="FX48" s="3">
        <v>0</v>
      </c>
      <c r="FY48" s="3">
        <v>0</v>
      </c>
      <c r="FZ48" s="3">
        <v>1076821734.1800001</v>
      </c>
      <c r="GA48" s="3">
        <v>689020000</v>
      </c>
      <c r="GB48" s="3">
        <v>491793000</v>
      </c>
      <c r="GC48" s="3">
        <v>0</v>
      </c>
      <c r="GD48" s="3">
        <v>34005000</v>
      </c>
      <c r="GE48" s="3">
        <v>1214818000</v>
      </c>
      <c r="GF48" s="3">
        <v>689020000</v>
      </c>
      <c r="GG48" s="3">
        <v>492793000</v>
      </c>
      <c r="GH48" s="3">
        <v>0</v>
      </c>
      <c r="GI48" s="3">
        <v>67005000</v>
      </c>
      <c r="GJ48" s="3">
        <v>1248818000</v>
      </c>
      <c r="GK48" s="3">
        <v>689020000</v>
      </c>
      <c r="GL48" s="3">
        <v>492793000</v>
      </c>
      <c r="GM48" s="3">
        <v>0</v>
      </c>
      <c r="GN48" s="3">
        <v>67005000</v>
      </c>
      <c r="GO48" s="3">
        <v>1248818000</v>
      </c>
      <c r="GP48" s="3">
        <v>667306129.63999999</v>
      </c>
      <c r="GQ48" s="3">
        <v>489144128.63999999</v>
      </c>
      <c r="GR48" s="3">
        <v>0</v>
      </c>
      <c r="GS48" s="3">
        <v>67005000</v>
      </c>
      <c r="GT48" s="3">
        <v>1223455258.28</v>
      </c>
      <c r="GU48" s="3">
        <v>667306129.63999999</v>
      </c>
      <c r="GV48" s="3">
        <v>489144128.63999999</v>
      </c>
      <c r="GW48" s="3">
        <v>0</v>
      </c>
      <c r="GX48" s="3">
        <v>67005000</v>
      </c>
      <c r="GY48" s="3">
        <v>1223455258.28</v>
      </c>
      <c r="GZ48" s="3">
        <v>664402522.88</v>
      </c>
      <c r="HA48" s="3">
        <v>467626510.86000001</v>
      </c>
      <c r="HB48" s="3">
        <v>0</v>
      </c>
      <c r="HC48" s="3">
        <v>43684046.009999998</v>
      </c>
      <c r="HD48" s="3">
        <v>1175713079.75</v>
      </c>
      <c r="HE48" s="3">
        <v>661452725.38</v>
      </c>
      <c r="HF48" s="3">
        <v>434599802.79000002</v>
      </c>
      <c r="HG48" s="3">
        <v>0</v>
      </c>
      <c r="HH48" s="3">
        <v>34223792.170000002</v>
      </c>
      <c r="HI48" s="3">
        <v>1130276320.3399999</v>
      </c>
      <c r="HJ48" s="3">
        <v>688870000</v>
      </c>
      <c r="HK48" s="3">
        <v>531964000</v>
      </c>
      <c r="HL48" s="3">
        <v>0</v>
      </c>
      <c r="HM48" s="3">
        <v>34005000</v>
      </c>
      <c r="HN48" s="3">
        <v>1254839000</v>
      </c>
      <c r="HO48" s="3">
        <v>688870000</v>
      </c>
      <c r="HP48" s="3">
        <v>531964000</v>
      </c>
      <c r="HQ48" s="3">
        <v>0</v>
      </c>
      <c r="HR48" s="3">
        <v>34005000</v>
      </c>
      <c r="HS48" s="3">
        <v>1254839000</v>
      </c>
      <c r="HT48" s="3">
        <v>688870000</v>
      </c>
      <c r="HU48" s="3">
        <v>531964000</v>
      </c>
      <c r="HV48" s="3">
        <v>0</v>
      </c>
      <c r="HW48" s="3">
        <v>34005000</v>
      </c>
      <c r="HX48" s="3">
        <v>1254839000</v>
      </c>
      <c r="HY48" s="3">
        <v>664530717.85000002</v>
      </c>
      <c r="HZ48" s="3">
        <v>528636699</v>
      </c>
      <c r="IA48" s="3">
        <v>0</v>
      </c>
      <c r="IB48" s="3">
        <v>34005000</v>
      </c>
      <c r="IC48" s="3">
        <v>1227172416.8499999</v>
      </c>
      <c r="ID48" s="3">
        <v>664530717.85000002</v>
      </c>
      <c r="IE48" s="3">
        <v>528636699</v>
      </c>
      <c r="IF48" s="3">
        <v>0</v>
      </c>
      <c r="IG48" s="3">
        <v>34005000</v>
      </c>
      <c r="IH48" s="3">
        <v>1227172416.8499999</v>
      </c>
      <c r="II48" s="3">
        <v>659566337.48000002</v>
      </c>
      <c r="IJ48" s="3">
        <v>481612952.51999998</v>
      </c>
      <c r="IK48" s="3">
        <v>0</v>
      </c>
      <c r="IL48" s="3">
        <v>32213179.16</v>
      </c>
      <c r="IM48" s="6">
        <v>1173392469.1600001</v>
      </c>
      <c r="IN48" s="3">
        <v>650029345.78999996</v>
      </c>
      <c r="IO48" s="3">
        <v>439730899.08999997</v>
      </c>
      <c r="IP48" s="3">
        <v>0</v>
      </c>
      <c r="IQ48" s="3">
        <v>27390388.350000001</v>
      </c>
      <c r="IR48" s="6">
        <v>1117150633.23</v>
      </c>
      <c r="IS48" s="3">
        <v>703389000</v>
      </c>
      <c r="IT48" s="3">
        <v>509657000</v>
      </c>
      <c r="IU48" s="3">
        <v>0</v>
      </c>
      <c r="IV48" s="3">
        <v>34005000</v>
      </c>
      <c r="IW48" s="3">
        <v>1247051000</v>
      </c>
      <c r="IX48" s="3">
        <v>703389000</v>
      </c>
      <c r="IY48" s="3">
        <v>502457000</v>
      </c>
      <c r="IZ48" s="3">
        <v>0</v>
      </c>
      <c r="JA48" s="3">
        <v>34005000</v>
      </c>
      <c r="JB48" s="3">
        <v>1239851000</v>
      </c>
      <c r="JC48" s="3">
        <v>703389000</v>
      </c>
      <c r="JD48" s="3">
        <v>502457000</v>
      </c>
      <c r="JE48" s="3">
        <v>0</v>
      </c>
      <c r="JF48" s="3">
        <v>34005000</v>
      </c>
      <c r="JG48" s="3">
        <v>1239851000</v>
      </c>
      <c r="JH48" s="3">
        <v>682173891.48000002</v>
      </c>
      <c r="JI48" s="3">
        <v>499662239.99000001</v>
      </c>
      <c r="JJ48" s="3">
        <v>0</v>
      </c>
      <c r="JK48" s="3">
        <v>34005000</v>
      </c>
      <c r="JL48" s="3">
        <v>1215841131.47</v>
      </c>
      <c r="JM48" s="3">
        <v>682173891.48000002</v>
      </c>
      <c r="JN48" s="3">
        <v>499662239.99000001</v>
      </c>
      <c r="JO48" s="3">
        <v>0</v>
      </c>
      <c r="JP48" s="3">
        <v>34005000</v>
      </c>
      <c r="JQ48" s="3">
        <v>1215841131.47</v>
      </c>
      <c r="JR48" s="3">
        <v>680566709.66999996</v>
      </c>
      <c r="JS48" s="3">
        <v>445114529.50999999</v>
      </c>
      <c r="JT48" s="3">
        <v>0</v>
      </c>
      <c r="JU48" s="3">
        <v>26957262.16</v>
      </c>
      <c r="JV48" s="3">
        <v>1152638501.3399999</v>
      </c>
      <c r="JW48" s="3">
        <v>673314789.86000001</v>
      </c>
      <c r="JX48" s="3">
        <v>346138046.85000002</v>
      </c>
      <c r="JY48" s="3">
        <v>0</v>
      </c>
      <c r="JZ48" s="3">
        <v>5751223.79</v>
      </c>
      <c r="KA48" s="3">
        <v>1025204060.5</v>
      </c>
      <c r="KB48" s="3">
        <v>717280000</v>
      </c>
      <c r="KC48" s="3">
        <v>508928000</v>
      </c>
      <c r="KD48" s="3">
        <v>0</v>
      </c>
      <c r="KE48" s="3">
        <v>0</v>
      </c>
      <c r="KF48" s="3">
        <v>1226208000</v>
      </c>
      <c r="KG48" s="3">
        <v>717280000</v>
      </c>
      <c r="KH48" s="3">
        <v>508928000</v>
      </c>
      <c r="KI48" s="3">
        <v>0</v>
      </c>
      <c r="KJ48" s="3">
        <v>0</v>
      </c>
      <c r="KK48" s="3">
        <v>1226208000</v>
      </c>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v>301502000</v>
      </c>
      <c r="LL48" s="3">
        <v>464300000</v>
      </c>
      <c r="LM48">
        <v>0</v>
      </c>
      <c r="LN48">
        <v>0</v>
      </c>
      <c r="LO48" s="3">
        <v>765802000</v>
      </c>
    </row>
    <row r="49" spans="1:327" x14ac:dyDescent="0.25">
      <c r="A49" t="s">
        <v>943</v>
      </c>
      <c r="B49" t="s">
        <v>944</v>
      </c>
      <c r="C49" t="s">
        <v>199</v>
      </c>
      <c r="D49" t="s">
        <v>200</v>
      </c>
      <c r="E49" t="s">
        <v>224</v>
      </c>
      <c r="F49" t="s">
        <v>225</v>
      </c>
      <c r="G49" t="s">
        <v>1022</v>
      </c>
      <c r="H49" s="3">
        <v>0</v>
      </c>
      <c r="I49" s="3">
        <v>342360000</v>
      </c>
      <c r="J49" s="3">
        <v>0</v>
      </c>
      <c r="K49" s="3">
        <v>1579383000</v>
      </c>
      <c r="L49" s="3">
        <v>1921743000</v>
      </c>
      <c r="M49" s="3">
        <v>0</v>
      </c>
      <c r="N49" s="3">
        <v>342360000</v>
      </c>
      <c r="O49" s="3">
        <v>0</v>
      </c>
      <c r="P49" s="3">
        <v>1579383000</v>
      </c>
      <c r="Q49" s="3">
        <v>1921743000</v>
      </c>
      <c r="R49" s="3">
        <v>0</v>
      </c>
      <c r="S49" s="3">
        <v>342360000</v>
      </c>
      <c r="T49" s="3">
        <v>0</v>
      </c>
      <c r="U49" s="3">
        <v>1579383000</v>
      </c>
      <c r="V49" s="3">
        <v>1921743000</v>
      </c>
      <c r="W49" s="3">
        <v>0</v>
      </c>
      <c r="X49" s="3">
        <v>342360000</v>
      </c>
      <c r="Y49" s="3">
        <v>0</v>
      </c>
      <c r="Z49" s="3">
        <v>1579383000</v>
      </c>
      <c r="AA49" s="3">
        <v>1921743000</v>
      </c>
      <c r="AB49" s="3">
        <v>0</v>
      </c>
      <c r="AC49" s="3">
        <v>342360000</v>
      </c>
      <c r="AD49" s="3">
        <v>0</v>
      </c>
      <c r="AE49" s="3">
        <v>1579383000</v>
      </c>
      <c r="AF49" s="3">
        <v>1921743000</v>
      </c>
      <c r="AG49" s="3">
        <v>0</v>
      </c>
      <c r="AH49" s="3">
        <v>340281555.31</v>
      </c>
      <c r="AI49" s="3">
        <v>0</v>
      </c>
      <c r="AJ49" s="3">
        <v>1570574062.7799997</v>
      </c>
      <c r="AK49" s="3">
        <v>1910855618.0899999</v>
      </c>
      <c r="AL49" s="3">
        <v>0</v>
      </c>
      <c r="AM49" s="3">
        <v>236297482.86000001</v>
      </c>
      <c r="AN49" s="3">
        <v>0</v>
      </c>
      <c r="AO49" s="3">
        <v>1349968336.29</v>
      </c>
      <c r="AP49" s="3">
        <v>1586265819.1499999</v>
      </c>
      <c r="AQ49" s="3">
        <v>0</v>
      </c>
      <c r="AR49" s="3">
        <v>58675000</v>
      </c>
      <c r="AS49" s="3">
        <v>0</v>
      </c>
      <c r="AT49" s="3">
        <v>592162000</v>
      </c>
      <c r="AU49" s="3">
        <v>650837000</v>
      </c>
      <c r="AV49" s="3">
        <v>0</v>
      </c>
      <c r="AW49" s="3">
        <v>83675000</v>
      </c>
      <c r="AX49" s="3">
        <v>0</v>
      </c>
      <c r="AY49" s="3">
        <v>597162000</v>
      </c>
      <c r="AZ49" s="3">
        <v>680837000</v>
      </c>
      <c r="BA49" s="3">
        <v>0</v>
      </c>
      <c r="BB49" s="3">
        <v>83675000</v>
      </c>
      <c r="BC49" s="3">
        <v>0</v>
      </c>
      <c r="BD49" s="3">
        <v>597162000</v>
      </c>
      <c r="BE49" s="3">
        <v>680837000</v>
      </c>
      <c r="BF49" s="3">
        <v>0</v>
      </c>
      <c r="BG49" s="3">
        <v>83675000</v>
      </c>
      <c r="BH49" s="3">
        <v>0</v>
      </c>
      <c r="BI49" s="3">
        <v>597162000</v>
      </c>
      <c r="BJ49" s="3">
        <v>680837000</v>
      </c>
      <c r="BK49" s="3">
        <v>0</v>
      </c>
      <c r="BL49" s="3">
        <v>83675000</v>
      </c>
      <c r="BM49" s="3">
        <v>0</v>
      </c>
      <c r="BN49" s="3">
        <v>597162000</v>
      </c>
      <c r="BO49" s="3">
        <v>680837000</v>
      </c>
      <c r="BP49" s="3">
        <v>0</v>
      </c>
      <c r="BQ49" s="3">
        <v>82655719</v>
      </c>
      <c r="BR49" s="3">
        <v>0</v>
      </c>
      <c r="BS49" s="3">
        <v>574914655.98000002</v>
      </c>
      <c r="BT49" s="3">
        <v>657570374.98000002</v>
      </c>
      <c r="BU49" s="3">
        <v>0</v>
      </c>
      <c r="BV49" s="3">
        <v>48388643.380000003</v>
      </c>
      <c r="BW49" s="3">
        <v>0</v>
      </c>
      <c r="BX49" s="3">
        <v>485830280.44</v>
      </c>
      <c r="BY49" s="3">
        <v>534218923.81999999</v>
      </c>
      <c r="BZ49" s="3">
        <v>0</v>
      </c>
      <c r="CA49" s="3">
        <v>6400000</v>
      </c>
      <c r="CB49" s="3">
        <v>0</v>
      </c>
      <c r="CC49" s="3">
        <v>1008219000</v>
      </c>
      <c r="CD49" s="3">
        <v>1014619000</v>
      </c>
      <c r="CE49" s="3">
        <v>0</v>
      </c>
      <c r="CF49" s="3">
        <v>9400000</v>
      </c>
      <c r="CG49" s="3">
        <v>0</v>
      </c>
      <c r="CH49" s="3">
        <v>884238000</v>
      </c>
      <c r="CI49" s="3">
        <v>893638000</v>
      </c>
      <c r="CJ49" s="3">
        <v>0</v>
      </c>
      <c r="CK49" s="3">
        <v>9400000</v>
      </c>
      <c r="CL49" s="3">
        <v>0</v>
      </c>
      <c r="CM49" s="3">
        <v>884238000</v>
      </c>
      <c r="CN49" s="3">
        <v>893638000</v>
      </c>
      <c r="CO49" s="3">
        <v>0</v>
      </c>
      <c r="CP49" s="3">
        <v>5400000</v>
      </c>
      <c r="CQ49" s="3">
        <v>0</v>
      </c>
      <c r="CR49" s="3">
        <v>728030440</v>
      </c>
      <c r="CS49" s="3">
        <v>733430440</v>
      </c>
      <c r="CT49" s="3">
        <v>0</v>
      </c>
      <c r="CU49" s="3">
        <v>5400000</v>
      </c>
      <c r="CV49" s="3">
        <v>0</v>
      </c>
      <c r="CW49" s="3">
        <v>728030440</v>
      </c>
      <c r="CX49" s="3">
        <v>733430440</v>
      </c>
      <c r="CY49" s="3">
        <v>0</v>
      </c>
      <c r="CZ49" s="3">
        <v>5347388.13</v>
      </c>
      <c r="DA49" s="3">
        <v>0</v>
      </c>
      <c r="DB49" s="3">
        <v>720068038.24000001</v>
      </c>
      <c r="DC49" s="3">
        <v>725415426.37</v>
      </c>
      <c r="DD49" s="3">
        <v>0</v>
      </c>
      <c r="DE49" s="3">
        <v>3347388.13</v>
      </c>
      <c r="DF49" s="3">
        <v>0</v>
      </c>
      <c r="DG49" s="3">
        <v>609834794.41999996</v>
      </c>
      <c r="DH49" s="10">
        <v>613182182.54999995</v>
      </c>
      <c r="DI49" s="3">
        <v>0</v>
      </c>
      <c r="DJ49" s="3">
        <v>3000000</v>
      </c>
      <c r="DK49" s="3">
        <v>0</v>
      </c>
      <c r="DL49" s="3">
        <v>418381000</v>
      </c>
      <c r="DM49" s="3">
        <v>421381000</v>
      </c>
      <c r="DN49" s="3">
        <v>0</v>
      </c>
      <c r="DO49" s="3">
        <v>3000000</v>
      </c>
      <c r="DP49" s="3">
        <v>0</v>
      </c>
      <c r="DQ49" s="3">
        <v>925520000</v>
      </c>
      <c r="DR49" s="3">
        <v>928520000</v>
      </c>
      <c r="DS49" s="3">
        <v>0</v>
      </c>
      <c r="DT49" s="3">
        <v>3000000</v>
      </c>
      <c r="DU49" s="3">
        <v>0</v>
      </c>
      <c r="DV49" s="3">
        <v>925520000</v>
      </c>
      <c r="DW49" s="3">
        <v>928520000</v>
      </c>
      <c r="DX49" s="3">
        <v>0</v>
      </c>
      <c r="DY49" s="3">
        <v>3000000</v>
      </c>
      <c r="DZ49" s="3">
        <v>0</v>
      </c>
      <c r="EA49" s="3">
        <v>925520000</v>
      </c>
      <c r="EB49" s="3">
        <v>928520000</v>
      </c>
      <c r="EC49" s="3">
        <v>0</v>
      </c>
      <c r="ED49" s="3">
        <v>3000000</v>
      </c>
      <c r="EE49" s="3">
        <v>0</v>
      </c>
      <c r="EF49" s="3">
        <v>925520000</v>
      </c>
      <c r="EG49" s="3">
        <v>928520000</v>
      </c>
      <c r="EH49" s="3">
        <v>0</v>
      </c>
      <c r="EI49" s="3">
        <v>3000000</v>
      </c>
      <c r="EJ49" s="3">
        <v>0</v>
      </c>
      <c r="EK49" s="3">
        <v>865034090.20000005</v>
      </c>
      <c r="EL49" s="3">
        <v>868034090.20000005</v>
      </c>
      <c r="EM49" s="3">
        <v>0</v>
      </c>
      <c r="EN49" s="3">
        <v>1500000</v>
      </c>
      <c r="EO49" s="3">
        <v>0</v>
      </c>
      <c r="EP49" s="3">
        <v>623353219.63999999</v>
      </c>
      <c r="EQ49" s="3">
        <v>624853219.63999999</v>
      </c>
      <c r="ER49" s="3">
        <v>0</v>
      </c>
      <c r="ES49" s="3">
        <v>9200000</v>
      </c>
      <c r="ET49" s="3">
        <v>0</v>
      </c>
      <c r="EU49" s="3">
        <v>955426000</v>
      </c>
      <c r="EV49" s="3">
        <v>964626000</v>
      </c>
      <c r="EW49" s="3">
        <v>0</v>
      </c>
      <c r="EX49" s="3">
        <v>9200000</v>
      </c>
      <c r="EY49" s="3">
        <v>0</v>
      </c>
      <c r="EZ49" s="3">
        <v>1955426000</v>
      </c>
      <c r="FA49" s="3">
        <v>1964626000</v>
      </c>
      <c r="FB49" s="3">
        <v>0</v>
      </c>
      <c r="FC49" s="3">
        <v>9200000</v>
      </c>
      <c r="FD49" s="3">
        <v>0</v>
      </c>
      <c r="FE49" s="3">
        <v>1955426000</v>
      </c>
      <c r="FF49" s="3">
        <v>1964626000</v>
      </c>
      <c r="FG49" s="3">
        <v>0</v>
      </c>
      <c r="FH49" s="3">
        <v>9200000</v>
      </c>
      <c r="FI49" s="3">
        <v>0</v>
      </c>
      <c r="FJ49" s="3">
        <v>1955426000</v>
      </c>
      <c r="FK49" s="3">
        <v>1964626000</v>
      </c>
      <c r="FL49" s="3">
        <v>0</v>
      </c>
      <c r="FM49" s="3">
        <v>9200000</v>
      </c>
      <c r="FN49" s="3">
        <v>0</v>
      </c>
      <c r="FO49" s="3">
        <v>1955426000</v>
      </c>
      <c r="FP49" s="3">
        <v>1964626000</v>
      </c>
      <c r="FQ49" s="3">
        <v>0</v>
      </c>
      <c r="FR49" s="3">
        <v>9200000</v>
      </c>
      <c r="FS49" s="3">
        <v>0</v>
      </c>
      <c r="FT49" s="3">
        <v>1854054260.71</v>
      </c>
      <c r="FU49" s="3">
        <v>1863254260.71</v>
      </c>
      <c r="FV49" s="3">
        <v>0</v>
      </c>
      <c r="FW49" s="3">
        <v>5000000</v>
      </c>
      <c r="FX49" s="3">
        <v>0</v>
      </c>
      <c r="FY49" s="3">
        <v>851309131.42999995</v>
      </c>
      <c r="FZ49" s="3">
        <v>856309131.42999995</v>
      </c>
      <c r="GA49" s="3">
        <v>0</v>
      </c>
      <c r="GB49" s="3">
        <v>0</v>
      </c>
      <c r="GC49" s="3">
        <v>0</v>
      </c>
      <c r="GD49" s="3">
        <v>700567000</v>
      </c>
      <c r="GE49" s="3">
        <v>700567000</v>
      </c>
      <c r="GF49" s="3">
        <v>0</v>
      </c>
      <c r="GG49" s="3">
        <v>121200000</v>
      </c>
      <c r="GH49" s="3">
        <v>0</v>
      </c>
      <c r="GI49" s="3">
        <v>4613067000</v>
      </c>
      <c r="GJ49" s="3">
        <v>4734267000</v>
      </c>
      <c r="GK49" s="3">
        <v>0</v>
      </c>
      <c r="GL49" s="3">
        <v>121200000</v>
      </c>
      <c r="GM49" s="3">
        <v>0</v>
      </c>
      <c r="GN49" s="3">
        <v>4613067000</v>
      </c>
      <c r="GO49" s="3">
        <v>4734267000</v>
      </c>
      <c r="GP49" s="3">
        <v>0</v>
      </c>
      <c r="GQ49" s="3">
        <v>121200000</v>
      </c>
      <c r="GR49" s="3">
        <v>0</v>
      </c>
      <c r="GS49" s="3">
        <v>4579067000</v>
      </c>
      <c r="GT49" s="3">
        <v>4700267000</v>
      </c>
      <c r="GU49" s="3">
        <v>0</v>
      </c>
      <c r="GV49" s="3">
        <v>121200000</v>
      </c>
      <c r="GW49" s="3">
        <v>0</v>
      </c>
      <c r="GX49" s="3">
        <v>4579067000</v>
      </c>
      <c r="GY49" s="3">
        <v>4700267000</v>
      </c>
      <c r="GZ49" s="3">
        <v>0</v>
      </c>
      <c r="HA49" s="3">
        <v>46611384.32</v>
      </c>
      <c r="HB49" s="3">
        <v>0</v>
      </c>
      <c r="HC49" s="3">
        <v>3720792244.3000002</v>
      </c>
      <c r="HD49" s="3">
        <v>3767403628.6199999</v>
      </c>
      <c r="HE49" s="3">
        <v>0</v>
      </c>
      <c r="HF49" s="3">
        <v>18782603.52</v>
      </c>
      <c r="HG49" s="3">
        <v>0</v>
      </c>
      <c r="HH49" s="3">
        <v>658274535.12</v>
      </c>
      <c r="HI49" s="3">
        <v>677057138.63999999</v>
      </c>
      <c r="HJ49" s="3">
        <v>0</v>
      </c>
      <c r="HK49" s="3">
        <v>34050000</v>
      </c>
      <c r="HL49" s="3">
        <v>0</v>
      </c>
      <c r="HM49" s="3">
        <v>1782077000</v>
      </c>
      <c r="HN49" s="3">
        <v>1816127000</v>
      </c>
      <c r="HO49" s="3">
        <v>0</v>
      </c>
      <c r="HP49" s="3">
        <v>34050000</v>
      </c>
      <c r="HQ49" s="3">
        <v>0</v>
      </c>
      <c r="HR49" s="3">
        <v>3091677000</v>
      </c>
      <c r="HS49" s="3">
        <v>3125727000</v>
      </c>
      <c r="HT49" s="3">
        <v>0</v>
      </c>
      <c r="HU49" s="3">
        <v>34050000</v>
      </c>
      <c r="HV49" s="3">
        <v>0</v>
      </c>
      <c r="HW49" s="3">
        <v>3091677000</v>
      </c>
      <c r="HX49" s="3">
        <v>3125727000</v>
      </c>
      <c r="HY49" s="3">
        <v>0</v>
      </c>
      <c r="HZ49" s="3">
        <v>34050000</v>
      </c>
      <c r="IA49" s="3">
        <v>0</v>
      </c>
      <c r="IB49" s="3">
        <v>3091677000</v>
      </c>
      <c r="IC49" s="3">
        <v>3125727000</v>
      </c>
      <c r="ID49" s="3">
        <v>0</v>
      </c>
      <c r="IE49" s="3">
        <v>34050000</v>
      </c>
      <c r="IF49" s="3">
        <v>0</v>
      </c>
      <c r="IG49" s="3">
        <v>3091677000</v>
      </c>
      <c r="IH49" s="3">
        <v>3125727000</v>
      </c>
      <c r="II49" s="3">
        <v>0</v>
      </c>
      <c r="IJ49" s="3">
        <v>19113384.760000002</v>
      </c>
      <c r="IK49" s="3">
        <v>0</v>
      </c>
      <c r="IL49" s="3">
        <v>2646916683.8099999</v>
      </c>
      <c r="IM49" s="6">
        <v>2666030068.5799999</v>
      </c>
      <c r="IN49" s="3">
        <v>0</v>
      </c>
      <c r="IO49" s="3">
        <v>18354680.899999999</v>
      </c>
      <c r="IP49" s="3">
        <v>0</v>
      </c>
      <c r="IQ49" s="3">
        <v>615709948.75999999</v>
      </c>
      <c r="IR49" s="6">
        <v>634064629.65999997</v>
      </c>
      <c r="IS49" s="3">
        <v>0</v>
      </c>
      <c r="IT49" s="3">
        <v>44500000</v>
      </c>
      <c r="IU49" s="3">
        <v>0</v>
      </c>
      <c r="IV49" s="3">
        <v>1566767000</v>
      </c>
      <c r="IW49" s="3">
        <v>1611267000</v>
      </c>
      <c r="IX49" s="3">
        <v>0</v>
      </c>
      <c r="IY49" s="3">
        <v>44500000</v>
      </c>
      <c r="IZ49" s="3">
        <v>0</v>
      </c>
      <c r="JA49" s="3">
        <v>1556767000</v>
      </c>
      <c r="JB49" s="3">
        <v>1601267000</v>
      </c>
      <c r="JC49" s="3">
        <v>0</v>
      </c>
      <c r="JD49" s="3">
        <v>44500000</v>
      </c>
      <c r="JE49" s="3">
        <v>0</v>
      </c>
      <c r="JF49" s="3">
        <v>1556767000</v>
      </c>
      <c r="JG49" s="3">
        <v>1601267000</v>
      </c>
      <c r="JH49" s="3">
        <v>0</v>
      </c>
      <c r="JI49" s="3">
        <v>44500000</v>
      </c>
      <c r="JJ49" s="3">
        <v>0</v>
      </c>
      <c r="JK49" s="3">
        <v>1556767000</v>
      </c>
      <c r="JL49" s="3">
        <v>1601267000</v>
      </c>
      <c r="JM49" s="3">
        <v>0</v>
      </c>
      <c r="JN49" s="3">
        <v>44500000</v>
      </c>
      <c r="JO49" s="3">
        <v>0</v>
      </c>
      <c r="JP49" s="3">
        <v>1556767000</v>
      </c>
      <c r="JQ49" s="3">
        <v>1601267000</v>
      </c>
      <c r="JR49" s="3">
        <v>0</v>
      </c>
      <c r="JS49" s="3">
        <v>40868466.299999997</v>
      </c>
      <c r="JT49" s="3">
        <v>0</v>
      </c>
      <c r="JU49" s="3">
        <v>852556128.74000001</v>
      </c>
      <c r="JV49" s="3">
        <v>893424595.03999996</v>
      </c>
      <c r="JW49" s="3">
        <v>0</v>
      </c>
      <c r="JX49" s="3">
        <v>35205704.07</v>
      </c>
      <c r="JY49" s="3">
        <v>0</v>
      </c>
      <c r="JZ49" s="3">
        <v>562010638.66999996</v>
      </c>
      <c r="KA49" s="3">
        <v>597216342.74000001</v>
      </c>
      <c r="KB49" s="3">
        <v>0</v>
      </c>
      <c r="KC49" s="3">
        <v>0</v>
      </c>
      <c r="KD49" s="3">
        <v>0</v>
      </c>
      <c r="KE49" s="3">
        <v>238100000</v>
      </c>
      <c r="KF49" s="3">
        <v>238100000</v>
      </c>
      <c r="KG49" s="3">
        <v>0</v>
      </c>
      <c r="KH49" s="3">
        <v>0</v>
      </c>
      <c r="KI49" s="3">
        <v>0</v>
      </c>
      <c r="KJ49" s="3">
        <v>479100000</v>
      </c>
      <c r="KK49" s="3">
        <v>479100000</v>
      </c>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v>0</v>
      </c>
      <c r="LL49" s="3">
        <v>0</v>
      </c>
      <c r="LM49">
        <v>0</v>
      </c>
      <c r="LN49" s="3">
        <v>227100000</v>
      </c>
      <c r="LO49" s="3">
        <v>227100000</v>
      </c>
    </row>
    <row r="50" spans="1:327" x14ac:dyDescent="0.25">
      <c r="A50" t="s">
        <v>943</v>
      </c>
      <c r="B50" t="s">
        <v>944</v>
      </c>
      <c r="C50" t="s">
        <v>199</v>
      </c>
      <c r="D50" t="s">
        <v>200</v>
      </c>
      <c r="E50" t="s">
        <v>224</v>
      </c>
      <c r="F50" t="s">
        <v>227</v>
      </c>
      <c r="G50" t="s">
        <v>1023</v>
      </c>
      <c r="H50" s="3">
        <v>0</v>
      </c>
      <c r="I50" s="3">
        <v>143494000</v>
      </c>
      <c r="J50" s="3">
        <v>0</v>
      </c>
      <c r="K50" s="3">
        <v>192447000</v>
      </c>
      <c r="L50" s="3">
        <v>335941000</v>
      </c>
      <c r="M50" s="3">
        <v>0</v>
      </c>
      <c r="N50" s="3">
        <v>193494000</v>
      </c>
      <c r="O50" s="3">
        <v>0</v>
      </c>
      <c r="P50" s="3">
        <v>192447000</v>
      </c>
      <c r="Q50" s="3">
        <v>385941000</v>
      </c>
      <c r="R50" s="3">
        <v>0</v>
      </c>
      <c r="S50" s="3">
        <v>193494000</v>
      </c>
      <c r="T50" s="3">
        <v>0</v>
      </c>
      <c r="U50" s="3">
        <v>192447000</v>
      </c>
      <c r="V50" s="3">
        <v>385941000</v>
      </c>
      <c r="W50" s="3">
        <v>0</v>
      </c>
      <c r="X50" s="3">
        <v>193494000</v>
      </c>
      <c r="Y50" s="3">
        <v>0</v>
      </c>
      <c r="Z50" s="3">
        <v>192447000</v>
      </c>
      <c r="AA50" s="3">
        <v>385941000</v>
      </c>
      <c r="AB50" s="3">
        <v>0</v>
      </c>
      <c r="AC50" s="3">
        <v>193494000</v>
      </c>
      <c r="AD50" s="3">
        <v>0</v>
      </c>
      <c r="AE50" s="3">
        <v>192447000</v>
      </c>
      <c r="AF50" s="3">
        <v>385941000</v>
      </c>
      <c r="AG50" s="3">
        <v>0</v>
      </c>
      <c r="AH50" s="3">
        <v>159404957.69</v>
      </c>
      <c r="AI50" s="3">
        <v>0</v>
      </c>
      <c r="AJ50" s="3">
        <v>185905851.61000001</v>
      </c>
      <c r="AK50" s="3">
        <v>345310809.30000001</v>
      </c>
      <c r="AL50" s="3">
        <v>0</v>
      </c>
      <c r="AM50" s="3">
        <v>100384079.70999999</v>
      </c>
      <c r="AN50" s="3">
        <v>0</v>
      </c>
      <c r="AO50" s="3">
        <v>85280672.460000008</v>
      </c>
      <c r="AP50" s="3">
        <v>185664752.16999999</v>
      </c>
      <c r="AQ50" s="3">
        <v>0</v>
      </c>
      <c r="AR50" s="3">
        <v>13251000</v>
      </c>
      <c r="AS50" s="3">
        <v>0</v>
      </c>
      <c r="AT50" s="3">
        <v>48327000</v>
      </c>
      <c r="AU50" s="3">
        <v>61578000</v>
      </c>
      <c r="AV50" s="3">
        <v>0</v>
      </c>
      <c r="AW50" s="3">
        <v>68251000</v>
      </c>
      <c r="AX50" s="3">
        <v>0</v>
      </c>
      <c r="AY50" s="3">
        <v>48327000</v>
      </c>
      <c r="AZ50" s="3">
        <v>116578000</v>
      </c>
      <c r="BA50" s="3">
        <v>0</v>
      </c>
      <c r="BB50" s="3">
        <v>68251000</v>
      </c>
      <c r="BC50" s="3">
        <v>0</v>
      </c>
      <c r="BD50" s="3">
        <v>48327000</v>
      </c>
      <c r="BE50" s="3">
        <v>116578000</v>
      </c>
      <c r="BF50" s="3">
        <v>0</v>
      </c>
      <c r="BG50" s="3">
        <v>68251000</v>
      </c>
      <c r="BH50" s="3">
        <v>0</v>
      </c>
      <c r="BI50" s="3">
        <v>48327000</v>
      </c>
      <c r="BJ50" s="3">
        <v>116578000</v>
      </c>
      <c r="BK50" s="3">
        <v>0</v>
      </c>
      <c r="BL50" s="3">
        <v>68251000</v>
      </c>
      <c r="BM50" s="3">
        <v>0</v>
      </c>
      <c r="BN50" s="3">
        <v>48327000</v>
      </c>
      <c r="BO50" s="3">
        <v>116578000</v>
      </c>
      <c r="BP50" s="3">
        <v>0</v>
      </c>
      <c r="BQ50" s="3">
        <v>68044024.390000001</v>
      </c>
      <c r="BR50" s="3">
        <v>0</v>
      </c>
      <c r="BS50" s="3">
        <v>38662376.600000001</v>
      </c>
      <c r="BT50" s="3">
        <v>106706400.98999999</v>
      </c>
      <c r="BU50" s="3">
        <v>0</v>
      </c>
      <c r="BV50" s="3">
        <v>49592353.950000003</v>
      </c>
      <c r="BW50" s="3">
        <v>0</v>
      </c>
      <c r="BX50" s="3">
        <v>21789743.48</v>
      </c>
      <c r="BY50" s="3">
        <v>71382097.430000007</v>
      </c>
      <c r="BZ50" s="3">
        <v>0</v>
      </c>
      <c r="CA50" s="3">
        <v>6135000</v>
      </c>
      <c r="CB50" s="3">
        <v>0</v>
      </c>
      <c r="CC50" s="3">
        <v>32248000</v>
      </c>
      <c r="CD50" s="3">
        <v>38383000</v>
      </c>
      <c r="CE50" s="3">
        <v>0</v>
      </c>
      <c r="CF50" s="3">
        <v>45435000</v>
      </c>
      <c r="CG50" s="3">
        <v>0</v>
      </c>
      <c r="CH50" s="3">
        <v>43757000</v>
      </c>
      <c r="CI50" s="3">
        <v>89192000</v>
      </c>
      <c r="CJ50" s="3">
        <v>0</v>
      </c>
      <c r="CK50" s="3">
        <v>45435000</v>
      </c>
      <c r="CL50" s="3">
        <v>0</v>
      </c>
      <c r="CM50" s="3">
        <v>43757000</v>
      </c>
      <c r="CN50" s="3">
        <v>89192000</v>
      </c>
      <c r="CO50" s="3">
        <v>0</v>
      </c>
      <c r="CP50" s="3">
        <v>2246785</v>
      </c>
      <c r="CQ50" s="3">
        <v>0</v>
      </c>
      <c r="CR50" s="3">
        <v>18253750</v>
      </c>
      <c r="CS50" s="3">
        <v>20500535</v>
      </c>
      <c r="CT50" s="3">
        <v>0</v>
      </c>
      <c r="CU50" s="3">
        <v>2246785</v>
      </c>
      <c r="CV50" s="3">
        <v>0</v>
      </c>
      <c r="CW50" s="3">
        <v>18253750</v>
      </c>
      <c r="CX50" s="3">
        <v>20500535</v>
      </c>
      <c r="CY50" s="3">
        <v>0</v>
      </c>
      <c r="CZ50" s="3">
        <v>2107634.7999999998</v>
      </c>
      <c r="DA50" s="3">
        <v>0</v>
      </c>
      <c r="DB50" s="3">
        <v>17940661.289999999</v>
      </c>
      <c r="DC50" s="3">
        <v>20048296.09</v>
      </c>
      <c r="DD50" s="3">
        <v>0</v>
      </c>
      <c r="DE50" s="3">
        <v>94425</v>
      </c>
      <c r="DF50" s="3">
        <v>0</v>
      </c>
      <c r="DG50" s="3">
        <v>13015293.65</v>
      </c>
      <c r="DH50" s="10">
        <v>13109718.65</v>
      </c>
      <c r="DI50" s="3">
        <v>0</v>
      </c>
      <c r="DJ50" s="3">
        <v>2841000</v>
      </c>
      <c r="DK50" s="3">
        <v>0</v>
      </c>
      <c r="DL50" s="3">
        <v>66141000</v>
      </c>
      <c r="DM50" s="3">
        <v>68982000</v>
      </c>
      <c r="DN50" s="3">
        <v>0</v>
      </c>
      <c r="DO50" s="3">
        <v>2841000</v>
      </c>
      <c r="DP50" s="3">
        <v>0</v>
      </c>
      <c r="DQ50" s="3">
        <v>86141000</v>
      </c>
      <c r="DR50" s="3">
        <v>88982000</v>
      </c>
      <c r="DS50" s="3">
        <v>0</v>
      </c>
      <c r="DT50" s="3">
        <v>2841000</v>
      </c>
      <c r="DU50" s="3">
        <v>0</v>
      </c>
      <c r="DV50" s="3">
        <v>86141000</v>
      </c>
      <c r="DW50" s="3">
        <v>88982000</v>
      </c>
      <c r="DX50" s="3">
        <v>0</v>
      </c>
      <c r="DY50" s="3">
        <v>2821000</v>
      </c>
      <c r="DZ50" s="3">
        <v>0</v>
      </c>
      <c r="EA50" s="3">
        <v>86141000</v>
      </c>
      <c r="EB50" s="3">
        <v>88962000</v>
      </c>
      <c r="EC50" s="3">
        <v>0</v>
      </c>
      <c r="ED50" s="3">
        <v>2821000</v>
      </c>
      <c r="EE50" s="3">
        <v>0</v>
      </c>
      <c r="EF50" s="3">
        <v>86141000</v>
      </c>
      <c r="EG50" s="3">
        <v>88962000</v>
      </c>
      <c r="EH50" s="3">
        <v>0</v>
      </c>
      <c r="EI50" s="3">
        <v>2789240</v>
      </c>
      <c r="EJ50" s="3">
        <v>0</v>
      </c>
      <c r="EK50" s="3">
        <v>83725999.439999998</v>
      </c>
      <c r="EL50" s="3">
        <v>86515239.439999998</v>
      </c>
      <c r="EM50" s="3">
        <v>0</v>
      </c>
      <c r="EN50" s="3">
        <v>1954418.22</v>
      </c>
      <c r="EO50" s="3">
        <v>0</v>
      </c>
      <c r="EP50" s="3">
        <v>38689508.32</v>
      </c>
      <c r="EQ50" s="3">
        <v>40643926.540000007</v>
      </c>
      <c r="ER50" s="3">
        <v>0</v>
      </c>
      <c r="ES50" s="3">
        <v>3153000000</v>
      </c>
      <c r="ET50" s="3">
        <v>0</v>
      </c>
      <c r="EU50" s="3">
        <v>21000000</v>
      </c>
      <c r="EV50" s="3">
        <v>3174000000</v>
      </c>
      <c r="EW50" s="3">
        <v>0</v>
      </c>
      <c r="EX50" s="3">
        <v>3153000000</v>
      </c>
      <c r="EY50" s="3">
        <v>0</v>
      </c>
      <c r="EZ50" s="3">
        <v>21000000</v>
      </c>
      <c r="FA50" s="3">
        <v>3174000000</v>
      </c>
      <c r="FB50" s="3">
        <v>0</v>
      </c>
      <c r="FC50" s="3">
        <v>3153000000</v>
      </c>
      <c r="FD50" s="3">
        <v>0</v>
      </c>
      <c r="FE50" s="3">
        <v>21000000</v>
      </c>
      <c r="FF50" s="3">
        <v>3174000000</v>
      </c>
      <c r="FG50" s="3">
        <v>0</v>
      </c>
      <c r="FH50" s="3">
        <v>3094313986</v>
      </c>
      <c r="FI50" s="3">
        <v>0</v>
      </c>
      <c r="FJ50" s="3">
        <v>21000000</v>
      </c>
      <c r="FK50" s="3">
        <v>3115313986</v>
      </c>
      <c r="FL50" s="3">
        <v>0</v>
      </c>
      <c r="FM50" s="3">
        <v>3094313986</v>
      </c>
      <c r="FN50" s="3">
        <v>0</v>
      </c>
      <c r="FO50" s="3">
        <v>21000000</v>
      </c>
      <c r="FP50" s="3">
        <v>3115313986</v>
      </c>
      <c r="FQ50" s="3">
        <v>0</v>
      </c>
      <c r="FR50" s="3">
        <v>2587678993.1100001</v>
      </c>
      <c r="FS50" s="3">
        <v>0</v>
      </c>
      <c r="FT50" s="3">
        <v>18930020</v>
      </c>
      <c r="FU50" s="3">
        <v>2606609013.1100001</v>
      </c>
      <c r="FV50" s="3">
        <v>0</v>
      </c>
      <c r="FW50" s="3">
        <v>1507601945.6099999</v>
      </c>
      <c r="FX50" s="3">
        <v>0</v>
      </c>
      <c r="FY50" s="3">
        <v>17286254.98</v>
      </c>
      <c r="FZ50" s="3">
        <v>1524888200.5899999</v>
      </c>
      <c r="GA50" s="3">
        <v>0</v>
      </c>
      <c r="GB50" s="3">
        <v>3139190000</v>
      </c>
      <c r="GC50" s="3">
        <v>0</v>
      </c>
      <c r="GD50" s="3">
        <v>23935000</v>
      </c>
      <c r="GE50" s="3">
        <v>3163125000</v>
      </c>
      <c r="GF50" s="3">
        <v>0</v>
      </c>
      <c r="GG50" s="3">
        <v>3139190000</v>
      </c>
      <c r="GH50" s="3">
        <v>0</v>
      </c>
      <c r="GI50" s="3">
        <v>23935000</v>
      </c>
      <c r="GJ50" s="3">
        <v>3163125000</v>
      </c>
      <c r="GK50" s="3">
        <v>0</v>
      </c>
      <c r="GL50" s="3">
        <v>3139190000</v>
      </c>
      <c r="GM50" s="3">
        <v>0</v>
      </c>
      <c r="GN50" s="3">
        <v>23935000</v>
      </c>
      <c r="GO50" s="3">
        <v>3163125000</v>
      </c>
      <c r="GP50" s="3">
        <v>0</v>
      </c>
      <c r="GQ50" s="3">
        <v>3081525000</v>
      </c>
      <c r="GR50" s="3">
        <v>0</v>
      </c>
      <c r="GS50" s="3">
        <v>74725000</v>
      </c>
      <c r="GT50" s="3">
        <v>3156250000</v>
      </c>
      <c r="GU50" s="3">
        <v>0</v>
      </c>
      <c r="GV50" s="3">
        <v>3081525000</v>
      </c>
      <c r="GW50" s="3">
        <v>0</v>
      </c>
      <c r="GX50" s="3">
        <v>74725000</v>
      </c>
      <c r="GY50" s="3">
        <v>3156250000</v>
      </c>
      <c r="GZ50" s="3">
        <v>0</v>
      </c>
      <c r="HA50" s="3">
        <v>2291147183.54</v>
      </c>
      <c r="HB50" s="3">
        <v>0</v>
      </c>
      <c r="HC50" s="3">
        <v>69032314.530000001</v>
      </c>
      <c r="HD50" s="3">
        <v>2360179498.0700002</v>
      </c>
      <c r="HE50" s="3">
        <v>0</v>
      </c>
      <c r="HF50" s="3">
        <v>1466715386.8</v>
      </c>
      <c r="HG50" s="3">
        <v>0</v>
      </c>
      <c r="HH50" s="3">
        <v>60140798.340000004</v>
      </c>
      <c r="HI50" s="3">
        <v>1526856185.1400001</v>
      </c>
      <c r="HJ50" s="3">
        <v>0</v>
      </c>
      <c r="HK50" s="3">
        <v>1308654000</v>
      </c>
      <c r="HL50" s="3">
        <v>0</v>
      </c>
      <c r="HM50" s="3">
        <v>1135439000</v>
      </c>
      <c r="HN50" s="3">
        <v>2444093000</v>
      </c>
      <c r="HO50" s="3">
        <v>0</v>
      </c>
      <c r="HP50" s="3">
        <v>384786000</v>
      </c>
      <c r="HQ50" s="3">
        <v>0</v>
      </c>
      <c r="HR50" s="3">
        <v>2059307000</v>
      </c>
      <c r="HS50" s="3">
        <v>2444093000</v>
      </c>
      <c r="HT50" s="3">
        <v>0</v>
      </c>
      <c r="HU50" s="3">
        <v>384786000</v>
      </c>
      <c r="HV50" s="3">
        <v>0</v>
      </c>
      <c r="HW50" s="3">
        <v>2059307000</v>
      </c>
      <c r="HX50" s="3">
        <v>2444093000</v>
      </c>
      <c r="HY50" s="3">
        <v>0</v>
      </c>
      <c r="HZ50" s="3">
        <v>384786000</v>
      </c>
      <c r="IA50" s="3">
        <v>0</v>
      </c>
      <c r="IB50" s="3">
        <v>2059307000</v>
      </c>
      <c r="IC50" s="3">
        <v>2444093000</v>
      </c>
      <c r="ID50" s="3">
        <v>0</v>
      </c>
      <c r="IE50" s="3">
        <v>384786000</v>
      </c>
      <c r="IF50" s="3">
        <v>0</v>
      </c>
      <c r="IG50" s="3">
        <v>2059307000</v>
      </c>
      <c r="IH50" s="3">
        <v>2444093000</v>
      </c>
      <c r="II50" s="3">
        <v>0</v>
      </c>
      <c r="IJ50" s="3">
        <v>323834346.75</v>
      </c>
      <c r="IK50" s="3">
        <v>0</v>
      </c>
      <c r="IL50" s="3">
        <v>1446482724.4000001</v>
      </c>
      <c r="IM50" s="6">
        <v>1770317071.1500001</v>
      </c>
      <c r="IN50" s="3">
        <v>0</v>
      </c>
      <c r="IO50" s="6">
        <v>71260166.680000007</v>
      </c>
      <c r="IP50" s="6">
        <v>0</v>
      </c>
      <c r="IQ50" s="6">
        <v>586379978.88999999</v>
      </c>
      <c r="IR50" s="6">
        <v>657640145.57000005</v>
      </c>
      <c r="IS50" s="3">
        <v>0</v>
      </c>
      <c r="IT50" s="3">
        <v>1339046000</v>
      </c>
      <c r="IU50" s="3">
        <v>0</v>
      </c>
      <c r="IV50" s="3">
        <v>508941000</v>
      </c>
      <c r="IW50" s="3">
        <v>1847987000</v>
      </c>
      <c r="IX50" s="3">
        <v>0</v>
      </c>
      <c r="IY50" s="3">
        <v>1339046000</v>
      </c>
      <c r="IZ50" s="3">
        <v>0</v>
      </c>
      <c r="JA50" s="3">
        <v>508941000</v>
      </c>
      <c r="JB50" s="3">
        <v>1847987000</v>
      </c>
      <c r="JC50" s="3">
        <v>0</v>
      </c>
      <c r="JD50" s="3">
        <v>1339046000</v>
      </c>
      <c r="JE50" s="3">
        <v>0</v>
      </c>
      <c r="JF50" s="3">
        <v>508941000</v>
      </c>
      <c r="JG50" s="3">
        <v>1847987000</v>
      </c>
      <c r="JH50" s="3">
        <v>0</v>
      </c>
      <c r="JI50" s="3">
        <v>1339046000</v>
      </c>
      <c r="JJ50" s="3">
        <v>0</v>
      </c>
      <c r="JK50" s="3">
        <v>508941000</v>
      </c>
      <c r="JL50" s="3">
        <v>1847987000</v>
      </c>
      <c r="JM50" s="3">
        <v>0</v>
      </c>
      <c r="JN50" s="3">
        <v>1339046000</v>
      </c>
      <c r="JO50" s="3">
        <v>0</v>
      </c>
      <c r="JP50" s="3">
        <v>508941000</v>
      </c>
      <c r="JQ50" s="3">
        <v>1847987000</v>
      </c>
      <c r="JR50" s="3">
        <v>0</v>
      </c>
      <c r="JS50" s="3">
        <v>702156678.39999998</v>
      </c>
      <c r="JT50" s="3">
        <v>0</v>
      </c>
      <c r="JU50" s="3">
        <v>334975263.07999998</v>
      </c>
      <c r="JV50" s="3">
        <v>1037131941.48</v>
      </c>
      <c r="JW50" s="3">
        <v>0</v>
      </c>
      <c r="JX50" s="3">
        <v>386118267.61000001</v>
      </c>
      <c r="JY50" s="3">
        <v>0</v>
      </c>
      <c r="JZ50" s="3">
        <v>105558345.91</v>
      </c>
      <c r="KA50" s="3">
        <v>491676613.51999998</v>
      </c>
      <c r="KB50" s="3">
        <v>0</v>
      </c>
      <c r="KC50" s="3">
        <v>25807000</v>
      </c>
      <c r="KD50" s="3">
        <v>0</v>
      </c>
      <c r="KE50" s="3">
        <v>283745000</v>
      </c>
      <c r="KF50" s="3">
        <v>309552000</v>
      </c>
      <c r="KG50" s="3">
        <v>0</v>
      </c>
      <c r="KH50" s="3">
        <v>25807000</v>
      </c>
      <c r="KI50" s="3">
        <v>0</v>
      </c>
      <c r="KJ50" s="3">
        <v>283745000</v>
      </c>
      <c r="KK50" s="3">
        <v>309552000</v>
      </c>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L50" s="3"/>
      <c r="LN50" s="3"/>
      <c r="LO50" s="3"/>
    </row>
    <row r="51" spans="1:327" x14ac:dyDescent="0.25">
      <c r="A51" t="s">
        <v>943</v>
      </c>
      <c r="B51" t="s">
        <v>944</v>
      </c>
      <c r="C51" t="s">
        <v>199</v>
      </c>
      <c r="D51" t="s">
        <v>200</v>
      </c>
      <c r="E51" t="s">
        <v>224</v>
      </c>
      <c r="F51" t="s">
        <v>229</v>
      </c>
      <c r="G51" t="s">
        <v>1024</v>
      </c>
      <c r="H51" s="3">
        <v>0</v>
      </c>
      <c r="I51" s="3">
        <v>11553000</v>
      </c>
      <c r="J51" s="3">
        <v>0</v>
      </c>
      <c r="K51" s="3">
        <v>1092438000</v>
      </c>
      <c r="L51" s="3">
        <v>1103991000</v>
      </c>
      <c r="M51" s="3">
        <v>0</v>
      </c>
      <c r="N51" s="3">
        <v>11553000</v>
      </c>
      <c r="O51" s="3">
        <v>0</v>
      </c>
      <c r="P51" s="3">
        <v>1092438000</v>
      </c>
      <c r="Q51" s="3">
        <v>1103991000</v>
      </c>
      <c r="R51" s="3">
        <v>0</v>
      </c>
      <c r="S51" s="3">
        <v>11553000</v>
      </c>
      <c r="T51" s="3">
        <v>0</v>
      </c>
      <c r="U51" s="3">
        <v>1092438000</v>
      </c>
      <c r="V51" s="3">
        <v>1103991000</v>
      </c>
      <c r="W51" s="3">
        <v>0</v>
      </c>
      <c r="X51" s="3">
        <v>11553000</v>
      </c>
      <c r="Y51" s="3">
        <v>0</v>
      </c>
      <c r="Z51" s="3">
        <v>1092438000</v>
      </c>
      <c r="AA51" s="3">
        <v>1103991000</v>
      </c>
      <c r="AB51" s="3">
        <v>0</v>
      </c>
      <c r="AC51" s="3">
        <v>11553000</v>
      </c>
      <c r="AD51" s="3">
        <v>0</v>
      </c>
      <c r="AE51" s="3">
        <v>1092438000</v>
      </c>
      <c r="AF51" s="3">
        <v>1103991000</v>
      </c>
      <c r="AG51" s="3">
        <v>0</v>
      </c>
      <c r="AH51" s="3">
        <v>11553000</v>
      </c>
      <c r="AI51" s="3">
        <v>0</v>
      </c>
      <c r="AJ51" s="3">
        <v>1082429916.3800001</v>
      </c>
      <c r="AK51" s="3">
        <v>1093982916.3800001</v>
      </c>
      <c r="AL51" s="3">
        <v>0</v>
      </c>
      <c r="AM51" s="3">
        <v>53000</v>
      </c>
      <c r="AN51" s="3">
        <v>0</v>
      </c>
      <c r="AO51" s="3">
        <v>878111589.04999995</v>
      </c>
      <c r="AP51" s="3">
        <v>878164589.04999995</v>
      </c>
      <c r="AQ51" s="3">
        <v>0</v>
      </c>
      <c r="AR51" s="3">
        <v>0</v>
      </c>
      <c r="AS51" s="3">
        <v>0</v>
      </c>
      <c r="AT51" s="3">
        <v>503130000</v>
      </c>
      <c r="AU51" s="3">
        <v>503130000</v>
      </c>
      <c r="AV51" s="3">
        <v>0</v>
      </c>
      <c r="AW51" s="3">
        <v>25000000</v>
      </c>
      <c r="AX51" s="3">
        <v>0</v>
      </c>
      <c r="AY51" s="3">
        <v>503130000</v>
      </c>
      <c r="AZ51" s="3">
        <v>528130000</v>
      </c>
      <c r="BA51" s="3">
        <v>0</v>
      </c>
      <c r="BB51" s="3">
        <v>25000000</v>
      </c>
      <c r="BC51" s="3">
        <v>0</v>
      </c>
      <c r="BD51" s="3">
        <v>503130000</v>
      </c>
      <c r="BE51" s="3">
        <v>528130000</v>
      </c>
      <c r="BF51" s="3">
        <v>0</v>
      </c>
      <c r="BG51" s="3">
        <v>25000000</v>
      </c>
      <c r="BH51" s="3">
        <v>0</v>
      </c>
      <c r="BI51" s="3">
        <v>503130000</v>
      </c>
      <c r="BJ51" s="3">
        <v>528130000</v>
      </c>
      <c r="BK51" s="3">
        <v>0</v>
      </c>
      <c r="BL51" s="3">
        <v>25000000</v>
      </c>
      <c r="BM51" s="3">
        <v>0</v>
      </c>
      <c r="BN51" s="3">
        <v>503130000</v>
      </c>
      <c r="BO51" s="3">
        <v>528130000</v>
      </c>
      <c r="BP51" s="3">
        <v>0</v>
      </c>
      <c r="BQ51" s="3">
        <v>25000000</v>
      </c>
      <c r="BR51" s="3">
        <v>0</v>
      </c>
      <c r="BS51" s="3">
        <v>496405046.10000002</v>
      </c>
      <c r="BT51" s="3">
        <v>521405046.10000002</v>
      </c>
      <c r="BU51" s="3">
        <v>0</v>
      </c>
      <c r="BV51" s="3">
        <v>25000000</v>
      </c>
      <c r="BW51" s="3">
        <v>0</v>
      </c>
      <c r="BX51" s="3">
        <v>410105822.83000004</v>
      </c>
      <c r="BY51" s="3">
        <v>435105822.83000004</v>
      </c>
      <c r="BZ51" s="3">
        <v>0</v>
      </c>
      <c r="CA51" s="3">
        <v>8000000</v>
      </c>
      <c r="CB51" s="3">
        <v>0</v>
      </c>
      <c r="CC51" s="3">
        <v>474800000</v>
      </c>
      <c r="CD51" s="3">
        <v>482800000</v>
      </c>
      <c r="CE51" s="3">
        <v>0</v>
      </c>
      <c r="CF51" s="3">
        <v>8000000</v>
      </c>
      <c r="CG51" s="3">
        <v>0</v>
      </c>
      <c r="CH51" s="3">
        <v>460300000</v>
      </c>
      <c r="CI51" s="3">
        <v>468300000</v>
      </c>
      <c r="CJ51" s="3">
        <v>0</v>
      </c>
      <c r="CK51" s="3">
        <v>8000000</v>
      </c>
      <c r="CL51" s="3">
        <v>0</v>
      </c>
      <c r="CM51" s="3">
        <v>460300000</v>
      </c>
      <c r="CN51" s="3">
        <v>468300000</v>
      </c>
      <c r="CO51" s="3">
        <v>0</v>
      </c>
      <c r="CP51" s="3">
        <v>8000000</v>
      </c>
      <c r="CQ51" s="3">
        <v>0</v>
      </c>
      <c r="CR51" s="3">
        <v>374254704</v>
      </c>
      <c r="CS51" s="3">
        <v>382254704</v>
      </c>
      <c r="CT51" s="3">
        <v>0</v>
      </c>
      <c r="CU51" s="3">
        <v>8000000</v>
      </c>
      <c r="CV51" s="3">
        <v>0</v>
      </c>
      <c r="CW51" s="3">
        <v>374254704</v>
      </c>
      <c r="CX51" s="3">
        <v>382254704</v>
      </c>
      <c r="CY51" s="3">
        <v>0</v>
      </c>
      <c r="CZ51" s="3">
        <v>8000000</v>
      </c>
      <c r="DA51" s="3">
        <v>0</v>
      </c>
      <c r="DB51" s="3">
        <v>373719039.34999996</v>
      </c>
      <c r="DC51" s="3">
        <v>381719039.35000002</v>
      </c>
      <c r="DD51" s="3">
        <v>0</v>
      </c>
      <c r="DE51" s="3">
        <v>5600000</v>
      </c>
      <c r="DF51" s="3">
        <v>0</v>
      </c>
      <c r="DG51" s="3">
        <v>333039251.02999997</v>
      </c>
      <c r="DH51" s="10">
        <v>338639251.02999997</v>
      </c>
      <c r="DI51" s="3">
        <v>0</v>
      </c>
      <c r="DJ51" s="3">
        <v>8000000</v>
      </c>
      <c r="DK51" s="3">
        <v>0</v>
      </c>
      <c r="DL51" s="3">
        <v>392268000</v>
      </c>
      <c r="DM51" s="3">
        <v>400268000</v>
      </c>
      <c r="DN51" s="3">
        <v>0</v>
      </c>
      <c r="DO51" s="3">
        <v>8000000</v>
      </c>
      <c r="DP51" s="3">
        <v>0</v>
      </c>
      <c r="DQ51" s="3">
        <v>412268000</v>
      </c>
      <c r="DR51" s="3">
        <v>420268000</v>
      </c>
      <c r="DS51" s="3">
        <v>0</v>
      </c>
      <c r="DT51" s="3">
        <v>8000000</v>
      </c>
      <c r="DU51" s="3">
        <v>0</v>
      </c>
      <c r="DV51" s="3">
        <v>412268000</v>
      </c>
      <c r="DW51" s="3">
        <v>420268000</v>
      </c>
      <c r="DX51" s="3">
        <v>0</v>
      </c>
      <c r="DY51" s="3">
        <v>8000000</v>
      </c>
      <c r="DZ51" s="3">
        <v>0</v>
      </c>
      <c r="EA51" s="3">
        <v>412268000</v>
      </c>
      <c r="EB51" s="3">
        <v>420268000</v>
      </c>
      <c r="EC51" s="3">
        <v>0</v>
      </c>
      <c r="ED51" s="3">
        <v>8000000</v>
      </c>
      <c r="EE51" s="3">
        <v>0</v>
      </c>
      <c r="EF51" s="3">
        <v>412268000</v>
      </c>
      <c r="EG51" s="3">
        <v>420268000</v>
      </c>
      <c r="EH51" s="3">
        <v>0</v>
      </c>
      <c r="EI51" s="3">
        <v>8000000</v>
      </c>
      <c r="EJ51" s="3">
        <v>0</v>
      </c>
      <c r="EK51" s="3">
        <v>381191044.93000001</v>
      </c>
      <c r="EL51" s="3">
        <v>389191044.93000001</v>
      </c>
      <c r="EM51" s="3">
        <v>0</v>
      </c>
      <c r="EN51" s="3">
        <v>8000000</v>
      </c>
      <c r="EO51" s="3">
        <v>0</v>
      </c>
      <c r="EP51" s="3">
        <v>321494552.10000002</v>
      </c>
      <c r="EQ51" s="3">
        <v>329494552.10000002</v>
      </c>
      <c r="ER51" s="3">
        <v>0</v>
      </c>
      <c r="ES51" s="3">
        <v>6800000</v>
      </c>
      <c r="ET51" s="3">
        <v>0</v>
      </c>
      <c r="EU51" s="3">
        <v>415206000</v>
      </c>
      <c r="EV51" s="3">
        <v>422006000</v>
      </c>
      <c r="EW51" s="3">
        <v>0</v>
      </c>
      <c r="EX51" s="3">
        <v>6800000</v>
      </c>
      <c r="EY51" s="3">
        <v>0</v>
      </c>
      <c r="EZ51" s="3">
        <v>415206000</v>
      </c>
      <c r="FA51" s="3">
        <v>422006000</v>
      </c>
      <c r="FB51" s="3">
        <v>0</v>
      </c>
      <c r="FC51" s="3">
        <v>6800000</v>
      </c>
      <c r="FD51" s="3">
        <v>0</v>
      </c>
      <c r="FE51" s="3">
        <v>415206000</v>
      </c>
      <c r="FF51" s="3">
        <v>422006000</v>
      </c>
      <c r="FG51" s="3">
        <v>0</v>
      </c>
      <c r="FH51" s="3">
        <v>6800000</v>
      </c>
      <c r="FI51" s="3">
        <v>0</v>
      </c>
      <c r="FJ51" s="3">
        <v>415206000</v>
      </c>
      <c r="FK51" s="3">
        <v>422006000</v>
      </c>
      <c r="FL51" s="3">
        <v>0</v>
      </c>
      <c r="FM51" s="3">
        <v>6800000</v>
      </c>
      <c r="FN51" s="3">
        <v>0</v>
      </c>
      <c r="FO51" s="3">
        <v>415206000</v>
      </c>
      <c r="FP51" s="3">
        <v>422006000</v>
      </c>
      <c r="FQ51" s="3">
        <v>0</v>
      </c>
      <c r="FR51" s="3">
        <v>6800000</v>
      </c>
      <c r="FS51" s="3">
        <v>0</v>
      </c>
      <c r="FT51" s="3">
        <v>408912249.50999999</v>
      </c>
      <c r="FU51" s="3">
        <v>415712249.50999999</v>
      </c>
      <c r="FV51" s="3">
        <v>0</v>
      </c>
      <c r="FW51" s="3">
        <v>6000000</v>
      </c>
      <c r="FX51" s="3">
        <v>0</v>
      </c>
      <c r="FY51" s="3">
        <v>356392759.07999998</v>
      </c>
      <c r="FZ51" s="3">
        <v>362392759.07999998</v>
      </c>
      <c r="GA51" s="3">
        <v>0</v>
      </c>
      <c r="GB51" s="3">
        <v>6000000</v>
      </c>
      <c r="GC51" s="3">
        <v>0</v>
      </c>
      <c r="GD51" s="3">
        <v>696206000</v>
      </c>
      <c r="GE51" s="3">
        <v>702206000</v>
      </c>
      <c r="GF51" s="3">
        <v>0</v>
      </c>
      <c r="GG51" s="3">
        <v>8550000</v>
      </c>
      <c r="GH51" s="3">
        <v>0</v>
      </c>
      <c r="GI51" s="3">
        <v>1125656000</v>
      </c>
      <c r="GJ51" s="3">
        <v>1134206000</v>
      </c>
      <c r="GK51" s="3">
        <v>0</v>
      </c>
      <c r="GL51" s="3">
        <v>8550000</v>
      </c>
      <c r="GM51" s="3">
        <v>0</v>
      </c>
      <c r="GN51" s="3">
        <v>1125656000</v>
      </c>
      <c r="GO51" s="3">
        <v>1134206000</v>
      </c>
      <c r="GP51" s="3">
        <v>0</v>
      </c>
      <c r="GQ51" s="3">
        <v>8600000</v>
      </c>
      <c r="GR51" s="3">
        <v>0</v>
      </c>
      <c r="GS51" s="3">
        <v>1037606000</v>
      </c>
      <c r="GT51" s="3">
        <v>1046206000</v>
      </c>
      <c r="GU51" s="3">
        <v>0</v>
      </c>
      <c r="GV51" s="3">
        <v>8600000</v>
      </c>
      <c r="GW51" s="3">
        <v>0</v>
      </c>
      <c r="GX51" s="3">
        <v>1037606000</v>
      </c>
      <c r="GY51" s="3">
        <v>1046206000</v>
      </c>
      <c r="GZ51" s="3">
        <v>0</v>
      </c>
      <c r="HA51" s="3">
        <v>6427492.7999999998</v>
      </c>
      <c r="HB51" s="3">
        <v>0</v>
      </c>
      <c r="HC51" s="3">
        <v>974550673.60000002</v>
      </c>
      <c r="HD51" s="3">
        <v>980978166.39999998</v>
      </c>
      <c r="HE51" s="3">
        <v>0</v>
      </c>
      <c r="HF51" s="3">
        <v>3540264.96</v>
      </c>
      <c r="HG51" s="3">
        <v>0</v>
      </c>
      <c r="HH51" s="3">
        <v>643998714.66999996</v>
      </c>
      <c r="HI51" s="3">
        <v>647538979.63</v>
      </c>
      <c r="HJ51" s="3">
        <v>0</v>
      </c>
      <c r="HK51" s="3">
        <v>4880000</v>
      </c>
      <c r="HL51" s="3">
        <v>0</v>
      </c>
      <c r="HM51" s="3">
        <v>1386480000</v>
      </c>
      <c r="HN51" s="3">
        <v>1391360000</v>
      </c>
      <c r="HO51" s="3">
        <v>0</v>
      </c>
      <c r="HP51" s="3">
        <v>13880000</v>
      </c>
      <c r="HQ51" s="3">
        <v>0</v>
      </c>
      <c r="HR51" s="3">
        <v>1827480000</v>
      </c>
      <c r="HS51" s="3">
        <v>1841360000</v>
      </c>
      <c r="HT51" s="3">
        <v>0</v>
      </c>
      <c r="HU51" s="3">
        <v>13880000</v>
      </c>
      <c r="HV51" s="3">
        <v>0</v>
      </c>
      <c r="HW51" s="3">
        <v>1827480000</v>
      </c>
      <c r="HX51" s="3">
        <v>1841360000</v>
      </c>
      <c r="HY51" s="3">
        <v>0</v>
      </c>
      <c r="HZ51" s="3">
        <v>13880000</v>
      </c>
      <c r="IA51" s="3">
        <v>0</v>
      </c>
      <c r="IB51" s="3">
        <v>1827480000</v>
      </c>
      <c r="IC51" s="3">
        <v>1841360000</v>
      </c>
      <c r="ID51" s="3">
        <v>0</v>
      </c>
      <c r="IE51" s="3">
        <v>13880000</v>
      </c>
      <c r="IF51" s="3">
        <v>0</v>
      </c>
      <c r="IG51" s="3">
        <v>1827480000</v>
      </c>
      <c r="IH51" s="3">
        <v>1841360000</v>
      </c>
      <c r="II51" s="3">
        <v>0</v>
      </c>
      <c r="IJ51" s="3">
        <v>8429858.5099999998</v>
      </c>
      <c r="IK51" s="3">
        <v>0</v>
      </c>
      <c r="IL51" s="3">
        <v>1642495062.98</v>
      </c>
      <c r="IM51" s="6">
        <v>1650924921.49</v>
      </c>
      <c r="IN51" s="3">
        <v>0</v>
      </c>
      <c r="IO51" s="3">
        <v>5030998.99</v>
      </c>
      <c r="IP51" s="3">
        <v>0</v>
      </c>
      <c r="IQ51" s="3">
        <v>888299212.94000006</v>
      </c>
      <c r="IR51" s="6">
        <v>893330211.92999995</v>
      </c>
      <c r="IS51" s="3">
        <v>0</v>
      </c>
      <c r="IT51" s="3">
        <v>3525000</v>
      </c>
      <c r="IU51" s="3">
        <v>0</v>
      </c>
      <c r="IV51" s="3">
        <v>1245500000</v>
      </c>
      <c r="IW51" s="3">
        <v>1249025000</v>
      </c>
      <c r="IX51" s="3">
        <v>0</v>
      </c>
      <c r="IY51" s="3">
        <v>3525000</v>
      </c>
      <c r="IZ51" s="3">
        <v>0</v>
      </c>
      <c r="JA51" s="3">
        <v>1245500000</v>
      </c>
      <c r="JB51" s="3">
        <v>1249025000</v>
      </c>
      <c r="JC51" s="3">
        <v>0</v>
      </c>
      <c r="JD51" s="3">
        <v>3525000</v>
      </c>
      <c r="JE51" s="3">
        <v>0</v>
      </c>
      <c r="JF51" s="3">
        <v>1245500000</v>
      </c>
      <c r="JG51" s="3">
        <v>1249025000</v>
      </c>
      <c r="JH51" s="3">
        <v>0</v>
      </c>
      <c r="JI51" s="3">
        <v>3525000</v>
      </c>
      <c r="JJ51" s="3">
        <v>0</v>
      </c>
      <c r="JK51" s="3">
        <v>1245500000</v>
      </c>
      <c r="JL51" s="3">
        <v>1249025000</v>
      </c>
      <c r="JM51" s="3">
        <v>0</v>
      </c>
      <c r="JN51" s="3">
        <v>3525000</v>
      </c>
      <c r="JO51" s="3">
        <v>0</v>
      </c>
      <c r="JP51" s="3">
        <v>1245500000</v>
      </c>
      <c r="JQ51" s="3">
        <v>1249025000</v>
      </c>
      <c r="JR51" s="3">
        <v>0</v>
      </c>
      <c r="JS51" s="3">
        <v>3456000</v>
      </c>
      <c r="JT51" s="3">
        <v>0</v>
      </c>
      <c r="JU51" s="3">
        <v>1191082328.9200001</v>
      </c>
      <c r="JV51" s="3">
        <v>1194538328.9200001</v>
      </c>
      <c r="JW51" s="3">
        <v>0</v>
      </c>
      <c r="JX51" s="3">
        <v>1719440</v>
      </c>
      <c r="JY51" s="3">
        <v>0</v>
      </c>
      <c r="JZ51" s="3">
        <v>885897580.91999996</v>
      </c>
      <c r="KA51" s="3">
        <v>887617020.91999996</v>
      </c>
      <c r="KB51" s="3">
        <v>0</v>
      </c>
      <c r="KC51" s="3">
        <v>0</v>
      </c>
      <c r="KD51" s="3">
        <v>0</v>
      </c>
      <c r="KE51" s="3">
        <v>1284235000</v>
      </c>
      <c r="KF51" s="3">
        <v>1284235000</v>
      </c>
      <c r="KG51" s="3">
        <v>0</v>
      </c>
      <c r="KH51" s="3">
        <v>0</v>
      </c>
      <c r="KI51" s="3">
        <v>0</v>
      </c>
      <c r="KJ51" s="3">
        <v>1284235000</v>
      </c>
      <c r="KK51" s="3">
        <v>1284235000</v>
      </c>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v>0</v>
      </c>
      <c r="LL51" s="3">
        <v>0</v>
      </c>
      <c r="LM51">
        <v>0</v>
      </c>
      <c r="LN51" s="3">
        <v>3030070000</v>
      </c>
      <c r="LO51" s="3">
        <v>3030070000</v>
      </c>
    </row>
    <row r="52" spans="1:327" x14ac:dyDescent="0.25">
      <c r="A52" t="s">
        <v>943</v>
      </c>
      <c r="B52" t="s">
        <v>944</v>
      </c>
      <c r="C52" t="s">
        <v>199</v>
      </c>
      <c r="D52" t="s">
        <v>200</v>
      </c>
      <c r="E52" t="s">
        <v>224</v>
      </c>
      <c r="F52" t="s">
        <v>231</v>
      </c>
      <c r="G52" t="s">
        <v>1025</v>
      </c>
      <c r="H52" s="3">
        <v>0</v>
      </c>
      <c r="I52" s="3">
        <v>180164000</v>
      </c>
      <c r="J52" s="3">
        <v>0</v>
      </c>
      <c r="K52" s="3">
        <v>431050000</v>
      </c>
      <c r="L52" s="3">
        <v>611214000</v>
      </c>
      <c r="M52" s="3">
        <v>0</v>
      </c>
      <c r="N52" s="3">
        <v>186284000</v>
      </c>
      <c r="O52" s="3">
        <v>0</v>
      </c>
      <c r="P52" s="3">
        <v>433710000</v>
      </c>
      <c r="Q52" s="3">
        <v>619994000</v>
      </c>
      <c r="R52" s="3">
        <v>0</v>
      </c>
      <c r="S52" s="3">
        <v>186284000</v>
      </c>
      <c r="T52" s="3">
        <v>0</v>
      </c>
      <c r="U52" s="3">
        <v>433710000</v>
      </c>
      <c r="V52" s="3">
        <v>619994000</v>
      </c>
      <c r="W52" s="3">
        <v>0</v>
      </c>
      <c r="X52" s="3">
        <v>186284000</v>
      </c>
      <c r="Y52" s="3">
        <v>0</v>
      </c>
      <c r="Z52" s="3">
        <v>433710000</v>
      </c>
      <c r="AA52" s="3">
        <v>619994000</v>
      </c>
      <c r="AB52" s="3">
        <v>0</v>
      </c>
      <c r="AC52" s="3">
        <v>186284000</v>
      </c>
      <c r="AD52" s="3">
        <v>0</v>
      </c>
      <c r="AE52" s="3">
        <v>433710000</v>
      </c>
      <c r="AF52" s="3">
        <v>619994000</v>
      </c>
      <c r="AG52" s="3">
        <v>0</v>
      </c>
      <c r="AH52" s="3">
        <v>171082824.68000001</v>
      </c>
      <c r="AI52" s="3">
        <v>0</v>
      </c>
      <c r="AJ52" s="3">
        <v>410254014.08999997</v>
      </c>
      <c r="AK52" s="3">
        <v>581336838.76999998</v>
      </c>
      <c r="AL52" s="3">
        <v>0</v>
      </c>
      <c r="AM52" s="3">
        <v>95447881.689999998</v>
      </c>
      <c r="AN52" s="3">
        <v>0</v>
      </c>
      <c r="AO52" s="3">
        <v>209496308.40000001</v>
      </c>
      <c r="AP52" s="3">
        <v>304944190.09000003</v>
      </c>
      <c r="AQ52" s="3">
        <v>0</v>
      </c>
      <c r="AR52" s="3">
        <v>122580000</v>
      </c>
      <c r="AS52" s="3">
        <v>0</v>
      </c>
      <c r="AT52" s="3">
        <v>255965000</v>
      </c>
      <c r="AU52" s="3">
        <v>378545000</v>
      </c>
      <c r="AV52" s="3">
        <v>0</v>
      </c>
      <c r="AW52" s="3">
        <v>177580000</v>
      </c>
      <c r="AX52" s="3">
        <v>0</v>
      </c>
      <c r="AY52" s="3">
        <v>255965000</v>
      </c>
      <c r="AZ52" s="3">
        <v>433545000</v>
      </c>
      <c r="BA52" s="3">
        <v>0</v>
      </c>
      <c r="BB52" s="3">
        <v>177580000</v>
      </c>
      <c r="BC52" s="3">
        <v>0</v>
      </c>
      <c r="BD52" s="3">
        <v>255965000</v>
      </c>
      <c r="BE52" s="3">
        <v>433545000</v>
      </c>
      <c r="BF52" s="3">
        <v>0</v>
      </c>
      <c r="BG52" s="3">
        <v>177580000</v>
      </c>
      <c r="BH52" s="3">
        <v>0</v>
      </c>
      <c r="BI52" s="3">
        <v>255965000</v>
      </c>
      <c r="BJ52" s="3">
        <v>433545000</v>
      </c>
      <c r="BK52" s="3">
        <v>0</v>
      </c>
      <c r="BL52" s="3">
        <v>177580000</v>
      </c>
      <c r="BM52" s="3">
        <v>0</v>
      </c>
      <c r="BN52" s="3">
        <v>255965000</v>
      </c>
      <c r="BO52" s="3">
        <v>433545000</v>
      </c>
      <c r="BP52" s="3">
        <v>0</v>
      </c>
      <c r="BQ52" s="3">
        <v>174650605.46000001</v>
      </c>
      <c r="BR52" s="3">
        <v>0</v>
      </c>
      <c r="BS52" s="3">
        <v>245526872.28999999</v>
      </c>
      <c r="BT52" s="3">
        <v>420177477.75</v>
      </c>
      <c r="BU52" s="3">
        <v>0</v>
      </c>
      <c r="BV52" s="3">
        <v>113026139.70999999</v>
      </c>
      <c r="BW52" s="3">
        <v>0</v>
      </c>
      <c r="BX52" s="3">
        <v>148869272.16</v>
      </c>
      <c r="BY52" s="3">
        <v>261895411.87</v>
      </c>
      <c r="BZ52" s="3">
        <v>0</v>
      </c>
      <c r="CA52" s="3">
        <v>113650000</v>
      </c>
      <c r="CB52" s="3">
        <v>0</v>
      </c>
      <c r="CC52" s="3">
        <v>247193000</v>
      </c>
      <c r="CD52" s="3">
        <v>360843000</v>
      </c>
      <c r="CE52" s="3">
        <v>0</v>
      </c>
      <c r="CF52" s="3">
        <v>100590000</v>
      </c>
      <c r="CG52" s="3">
        <v>0</v>
      </c>
      <c r="CH52" s="3">
        <v>299038000</v>
      </c>
      <c r="CI52" s="3">
        <v>399628000</v>
      </c>
      <c r="CJ52" s="3">
        <v>0</v>
      </c>
      <c r="CK52" s="3">
        <v>100590000</v>
      </c>
      <c r="CL52" s="3">
        <v>0</v>
      </c>
      <c r="CM52" s="3">
        <v>299038000</v>
      </c>
      <c r="CN52" s="3">
        <v>399628000</v>
      </c>
      <c r="CO52" s="3">
        <v>0</v>
      </c>
      <c r="CP52" s="3">
        <v>92666075</v>
      </c>
      <c r="CQ52" s="3">
        <v>0</v>
      </c>
      <c r="CR52" s="3">
        <v>272528000</v>
      </c>
      <c r="CS52" s="3">
        <v>365194075</v>
      </c>
      <c r="CT52" s="3">
        <v>0</v>
      </c>
      <c r="CU52" s="3">
        <v>91553075</v>
      </c>
      <c r="CV52" s="3">
        <v>0</v>
      </c>
      <c r="CW52" s="3">
        <v>169308000</v>
      </c>
      <c r="CX52" s="3">
        <v>260861075</v>
      </c>
      <c r="CY52" s="3">
        <v>0</v>
      </c>
      <c r="CZ52" s="3">
        <v>89533770.99000001</v>
      </c>
      <c r="DA52" s="3">
        <v>0</v>
      </c>
      <c r="DB52" s="3">
        <v>165730491.69999999</v>
      </c>
      <c r="DC52" s="3">
        <v>255264262.69000003</v>
      </c>
      <c r="DD52" s="3">
        <v>0</v>
      </c>
      <c r="DE52" s="3">
        <v>74281096.99000001</v>
      </c>
      <c r="DF52" s="3">
        <v>0</v>
      </c>
      <c r="DG52" s="3">
        <v>136478292.06999999</v>
      </c>
      <c r="DH52" s="10">
        <v>210759389.06</v>
      </c>
      <c r="DI52" s="3">
        <v>0</v>
      </c>
      <c r="DJ52" s="3">
        <v>214664000</v>
      </c>
      <c r="DK52" s="3">
        <v>0</v>
      </c>
      <c r="DL52" s="3">
        <v>280409000</v>
      </c>
      <c r="DM52" s="3">
        <v>495073000</v>
      </c>
      <c r="DN52" s="3">
        <v>0</v>
      </c>
      <c r="DO52" s="3">
        <v>258664000</v>
      </c>
      <c r="DP52" s="3">
        <v>0</v>
      </c>
      <c r="DQ52" s="3">
        <v>432409000</v>
      </c>
      <c r="DR52" s="3">
        <v>691073000</v>
      </c>
      <c r="DS52" s="3">
        <v>0</v>
      </c>
      <c r="DT52" s="3">
        <v>258664000</v>
      </c>
      <c r="DU52" s="3">
        <v>0</v>
      </c>
      <c r="DV52" s="3">
        <v>432409000</v>
      </c>
      <c r="DW52" s="3">
        <v>691073000</v>
      </c>
      <c r="DX52" s="3">
        <v>0</v>
      </c>
      <c r="DY52" s="3">
        <v>250002661</v>
      </c>
      <c r="DZ52" s="3">
        <v>0</v>
      </c>
      <c r="EA52" s="3">
        <v>440649000</v>
      </c>
      <c r="EB52" s="3">
        <v>690651661</v>
      </c>
      <c r="EC52" s="3">
        <v>0</v>
      </c>
      <c r="ED52" s="3">
        <v>250002661</v>
      </c>
      <c r="EE52" s="3">
        <v>0</v>
      </c>
      <c r="EF52" s="3">
        <v>440649000</v>
      </c>
      <c r="EG52" s="3">
        <v>690651661</v>
      </c>
      <c r="EH52" s="3">
        <v>0</v>
      </c>
      <c r="EI52" s="3">
        <v>234129304.94999999</v>
      </c>
      <c r="EJ52" s="3">
        <v>0</v>
      </c>
      <c r="EK52" s="3">
        <v>394698017.37</v>
      </c>
      <c r="EL52" s="3">
        <v>628827322.32000005</v>
      </c>
      <c r="EM52" s="3">
        <v>0</v>
      </c>
      <c r="EN52" s="3">
        <v>155089149.46000001</v>
      </c>
      <c r="EO52" s="3">
        <v>0</v>
      </c>
      <c r="EP52" s="3">
        <v>204500935.68000001</v>
      </c>
      <c r="EQ52" s="3">
        <v>359590085.13999999</v>
      </c>
      <c r="ER52" s="3">
        <v>0</v>
      </c>
      <c r="ES52" s="3">
        <v>140164000</v>
      </c>
      <c r="ET52" s="3">
        <v>0</v>
      </c>
      <c r="EU52" s="3">
        <v>243159000</v>
      </c>
      <c r="EV52" s="3">
        <v>383323000</v>
      </c>
      <c r="EW52" s="3">
        <v>0</v>
      </c>
      <c r="EX52" s="3">
        <v>143728000</v>
      </c>
      <c r="EY52" s="3">
        <v>0</v>
      </c>
      <c r="EZ52" s="3">
        <v>310059000</v>
      </c>
      <c r="FA52" s="3">
        <v>453787000</v>
      </c>
      <c r="FB52" s="3">
        <v>0</v>
      </c>
      <c r="FC52" s="3">
        <v>143728000</v>
      </c>
      <c r="FD52" s="3">
        <v>0</v>
      </c>
      <c r="FE52" s="3">
        <v>310059000</v>
      </c>
      <c r="FF52" s="3">
        <v>453787000</v>
      </c>
      <c r="FG52" s="3">
        <v>0</v>
      </c>
      <c r="FH52" s="3">
        <v>147035500</v>
      </c>
      <c r="FI52" s="3">
        <v>0</v>
      </c>
      <c r="FJ52" s="3">
        <v>316609000</v>
      </c>
      <c r="FK52" s="3">
        <v>463644500</v>
      </c>
      <c r="FL52" s="3">
        <v>0</v>
      </c>
      <c r="FM52" s="3">
        <v>147035500</v>
      </c>
      <c r="FN52" s="3">
        <v>0</v>
      </c>
      <c r="FO52" s="3">
        <v>316609000</v>
      </c>
      <c r="FP52" s="3">
        <v>463644500</v>
      </c>
      <c r="FQ52" s="3">
        <v>0</v>
      </c>
      <c r="FR52" s="3">
        <v>145158772.55000001</v>
      </c>
      <c r="FS52" s="3">
        <v>0</v>
      </c>
      <c r="FT52" s="3">
        <v>295249349.05000001</v>
      </c>
      <c r="FU52" s="3">
        <v>440408121.60000002</v>
      </c>
      <c r="FV52" s="3">
        <v>0</v>
      </c>
      <c r="FW52" s="3">
        <v>134391738.53999999</v>
      </c>
      <c r="FX52" s="3">
        <v>0</v>
      </c>
      <c r="FY52" s="3">
        <v>202349014.36000001</v>
      </c>
      <c r="FZ52" s="3">
        <v>336740752.89999998</v>
      </c>
      <c r="GA52" s="3">
        <v>0</v>
      </c>
      <c r="GB52" s="3">
        <v>34385000</v>
      </c>
      <c r="GC52" s="3">
        <v>0</v>
      </c>
      <c r="GD52" s="3">
        <v>689459000</v>
      </c>
      <c r="GE52" s="3">
        <v>723844000</v>
      </c>
      <c r="GF52" s="3">
        <v>0</v>
      </c>
      <c r="GG52" s="3">
        <v>34985000</v>
      </c>
      <c r="GH52" s="3">
        <v>0</v>
      </c>
      <c r="GI52" s="3">
        <v>531459000</v>
      </c>
      <c r="GJ52" s="3">
        <v>566444000</v>
      </c>
      <c r="GK52" s="3">
        <v>0</v>
      </c>
      <c r="GL52" s="3">
        <v>34985000</v>
      </c>
      <c r="GM52" s="3">
        <v>0</v>
      </c>
      <c r="GN52" s="3">
        <v>531459000</v>
      </c>
      <c r="GO52" s="3">
        <v>566444000</v>
      </c>
      <c r="GP52" s="3">
        <v>0</v>
      </c>
      <c r="GQ52" s="3">
        <v>36081000</v>
      </c>
      <c r="GR52" s="3">
        <v>0</v>
      </c>
      <c r="GS52" s="3">
        <v>522763000</v>
      </c>
      <c r="GT52" s="3">
        <v>558844000</v>
      </c>
      <c r="GU52" s="3">
        <v>0</v>
      </c>
      <c r="GV52" s="3">
        <v>36081000</v>
      </c>
      <c r="GW52" s="3">
        <v>0</v>
      </c>
      <c r="GX52" s="3">
        <v>522763000</v>
      </c>
      <c r="GY52" s="3">
        <v>558844000</v>
      </c>
      <c r="GZ52" s="3">
        <v>0</v>
      </c>
      <c r="HA52" s="3">
        <v>33441976.32</v>
      </c>
      <c r="HB52" s="3">
        <v>0</v>
      </c>
      <c r="HC52" s="3">
        <v>497452766.99000001</v>
      </c>
      <c r="HD52" s="3">
        <v>530894743.31</v>
      </c>
      <c r="HE52" s="3">
        <v>0</v>
      </c>
      <c r="HF52" s="3">
        <v>31379057.379999999</v>
      </c>
      <c r="HG52" s="3">
        <v>0</v>
      </c>
      <c r="HH52" s="3">
        <v>283436433.80000001</v>
      </c>
      <c r="HI52" s="3">
        <v>314815491.18000001</v>
      </c>
      <c r="HJ52" s="3">
        <v>0</v>
      </c>
      <c r="HK52" s="3">
        <v>147959000</v>
      </c>
      <c r="HL52" s="3">
        <v>0</v>
      </c>
      <c r="HM52" s="3">
        <v>610887000</v>
      </c>
      <c r="HN52" s="3">
        <v>758846000</v>
      </c>
      <c r="HO52" s="3">
        <v>0</v>
      </c>
      <c r="HP52" s="3">
        <v>138889000</v>
      </c>
      <c r="HQ52" s="3">
        <v>0</v>
      </c>
      <c r="HR52" s="3">
        <v>656437000</v>
      </c>
      <c r="HS52" s="3">
        <v>795326000</v>
      </c>
      <c r="HT52" s="3">
        <v>0</v>
      </c>
      <c r="HU52" s="3">
        <v>138889000</v>
      </c>
      <c r="HV52" s="3">
        <v>0</v>
      </c>
      <c r="HW52" s="3">
        <v>656437000</v>
      </c>
      <c r="HX52" s="3">
        <v>795326000</v>
      </c>
      <c r="HY52" s="3">
        <v>0</v>
      </c>
      <c r="HZ52" s="3">
        <v>138889000</v>
      </c>
      <c r="IA52" s="3">
        <v>0</v>
      </c>
      <c r="IB52" s="3">
        <v>656437000</v>
      </c>
      <c r="IC52" s="3">
        <v>795326000</v>
      </c>
      <c r="ID52" s="3">
        <v>0</v>
      </c>
      <c r="IE52" s="3">
        <v>138889000</v>
      </c>
      <c r="IF52" s="3">
        <v>0</v>
      </c>
      <c r="IG52" s="3">
        <v>656437000</v>
      </c>
      <c r="IH52" s="3">
        <v>795326000</v>
      </c>
      <c r="II52" s="3">
        <v>0</v>
      </c>
      <c r="IJ52" s="3">
        <v>133144660.5</v>
      </c>
      <c r="IK52" s="3">
        <v>0</v>
      </c>
      <c r="IL52" s="3">
        <v>626152186.85000002</v>
      </c>
      <c r="IM52" s="6">
        <v>759296847.35000002</v>
      </c>
      <c r="IN52" s="3">
        <v>0</v>
      </c>
      <c r="IO52" s="3">
        <v>100016831.66</v>
      </c>
      <c r="IP52" s="3">
        <v>0</v>
      </c>
      <c r="IQ52" s="3">
        <v>259709685.99000001</v>
      </c>
      <c r="IR52" s="6">
        <v>359726517.64999998</v>
      </c>
      <c r="IS52" s="3">
        <v>0</v>
      </c>
      <c r="IT52" s="3">
        <v>51970000</v>
      </c>
      <c r="IU52" s="3">
        <v>0</v>
      </c>
      <c r="IV52" s="3">
        <v>232440000</v>
      </c>
      <c r="IW52" s="3">
        <v>284410000</v>
      </c>
      <c r="IX52" s="3">
        <v>0</v>
      </c>
      <c r="IY52" s="3">
        <v>51970000</v>
      </c>
      <c r="IZ52" s="3">
        <v>0</v>
      </c>
      <c r="JA52" s="3">
        <v>519440000</v>
      </c>
      <c r="JB52" s="3">
        <v>571410000</v>
      </c>
      <c r="JC52" s="3">
        <v>0</v>
      </c>
      <c r="JD52" s="3">
        <v>51970000</v>
      </c>
      <c r="JE52" s="3">
        <v>0</v>
      </c>
      <c r="JF52" s="3">
        <v>519440000</v>
      </c>
      <c r="JG52" s="3">
        <v>571410000</v>
      </c>
      <c r="JH52" s="3">
        <v>0</v>
      </c>
      <c r="JI52" s="3">
        <v>51970000</v>
      </c>
      <c r="JJ52" s="3">
        <v>0</v>
      </c>
      <c r="JK52" s="3">
        <v>519440000</v>
      </c>
      <c r="JL52" s="3">
        <v>571410000</v>
      </c>
      <c r="JM52" s="3">
        <v>0</v>
      </c>
      <c r="JN52" s="3">
        <v>51970000</v>
      </c>
      <c r="JO52" s="3">
        <v>0</v>
      </c>
      <c r="JP52" s="3">
        <v>507470000</v>
      </c>
      <c r="JQ52" s="3">
        <v>559440000</v>
      </c>
      <c r="JR52" s="3">
        <v>0</v>
      </c>
      <c r="JS52" s="3">
        <v>50813435</v>
      </c>
      <c r="JT52" s="3">
        <v>0</v>
      </c>
      <c r="JU52" s="3">
        <v>383165222.69</v>
      </c>
      <c r="JV52" s="3">
        <v>433978657.69</v>
      </c>
      <c r="JW52" s="3">
        <v>0</v>
      </c>
      <c r="JX52" s="3">
        <v>41807005.299999997</v>
      </c>
      <c r="JY52" s="3">
        <v>0</v>
      </c>
      <c r="JZ52" s="3">
        <v>153567302.88</v>
      </c>
      <c r="KA52" s="3">
        <v>195374308.18000001</v>
      </c>
      <c r="KB52" s="3">
        <v>0</v>
      </c>
      <c r="KC52" s="3">
        <v>91171000</v>
      </c>
      <c r="KD52" s="3">
        <v>0</v>
      </c>
      <c r="KE52" s="3">
        <v>510720000</v>
      </c>
      <c r="KF52" s="3">
        <v>601891000</v>
      </c>
      <c r="KG52" s="3">
        <v>0</v>
      </c>
      <c r="KH52" s="3">
        <v>150171000</v>
      </c>
      <c r="KI52" s="3">
        <v>0</v>
      </c>
      <c r="KJ52" s="3">
        <v>717220000</v>
      </c>
      <c r="KK52" s="3">
        <v>867391000</v>
      </c>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v>0</v>
      </c>
      <c r="LL52" s="3">
        <v>450000</v>
      </c>
      <c r="LM52">
        <v>0</v>
      </c>
      <c r="LN52" s="3">
        <v>509300000</v>
      </c>
      <c r="LO52" s="3">
        <v>509750000</v>
      </c>
    </row>
    <row r="53" spans="1:327" x14ac:dyDescent="0.25">
      <c r="A53" t="s">
        <v>943</v>
      </c>
      <c r="B53" t="s">
        <v>944</v>
      </c>
      <c r="C53" t="s">
        <v>199</v>
      </c>
      <c r="D53" t="s">
        <v>200</v>
      </c>
      <c r="E53" t="s">
        <v>224</v>
      </c>
      <c r="F53" t="s">
        <v>968</v>
      </c>
      <c r="G53" t="s">
        <v>1026</v>
      </c>
      <c r="H53" s="3">
        <v>0</v>
      </c>
      <c r="I53" s="3">
        <v>9128000</v>
      </c>
      <c r="J53" s="3">
        <v>0</v>
      </c>
      <c r="K53" s="3">
        <v>240501000</v>
      </c>
      <c r="L53" s="3">
        <v>249629000</v>
      </c>
      <c r="M53" s="3">
        <v>0</v>
      </c>
      <c r="N53" s="3">
        <v>9128000</v>
      </c>
      <c r="O53" s="3">
        <v>0</v>
      </c>
      <c r="P53" s="3">
        <v>240501000</v>
      </c>
      <c r="Q53" s="3">
        <v>249629000</v>
      </c>
      <c r="R53" s="3">
        <v>0</v>
      </c>
      <c r="S53" s="3">
        <v>9128000</v>
      </c>
      <c r="T53" s="3">
        <v>0</v>
      </c>
      <c r="U53" s="3">
        <v>240501000</v>
      </c>
      <c r="V53" s="3">
        <v>249629000</v>
      </c>
      <c r="W53" s="3">
        <v>0</v>
      </c>
      <c r="X53" s="3">
        <v>9128000</v>
      </c>
      <c r="Y53" s="3">
        <v>0</v>
      </c>
      <c r="Z53" s="3">
        <v>240501000</v>
      </c>
      <c r="AA53" s="3">
        <v>249629000</v>
      </c>
      <c r="AB53" s="3">
        <v>0</v>
      </c>
      <c r="AC53" s="3">
        <v>9128000</v>
      </c>
      <c r="AD53" s="3">
        <v>0</v>
      </c>
      <c r="AE53" s="3">
        <v>240501000</v>
      </c>
      <c r="AF53" s="3">
        <v>249629000</v>
      </c>
      <c r="AG53" s="3">
        <v>0</v>
      </c>
      <c r="AH53" s="3">
        <v>8979613.0700000003</v>
      </c>
      <c r="AI53" s="3">
        <v>0</v>
      </c>
      <c r="AJ53" s="3">
        <v>239564915.44999999</v>
      </c>
      <c r="AK53" s="3">
        <v>248544528.51999998</v>
      </c>
      <c r="AL53" s="3">
        <v>0</v>
      </c>
      <c r="AM53" s="3">
        <v>8023778.1299999999</v>
      </c>
      <c r="AN53" s="3">
        <v>0</v>
      </c>
      <c r="AO53" s="3">
        <v>109045303.88</v>
      </c>
      <c r="AP53" s="3">
        <v>117069082.01000001</v>
      </c>
      <c r="AQ53" s="3">
        <v>0</v>
      </c>
      <c r="AR53" s="3">
        <v>9472000</v>
      </c>
      <c r="AS53" s="3">
        <v>0</v>
      </c>
      <c r="AT53" s="3">
        <v>145011000</v>
      </c>
      <c r="AU53" s="3">
        <v>154483000</v>
      </c>
      <c r="AV53" s="3">
        <v>0</v>
      </c>
      <c r="AW53" s="3">
        <v>9472000</v>
      </c>
      <c r="AX53" s="3">
        <v>0</v>
      </c>
      <c r="AY53" s="3">
        <v>145011000</v>
      </c>
      <c r="AZ53" s="3">
        <v>154483000</v>
      </c>
      <c r="BA53" s="3">
        <v>0</v>
      </c>
      <c r="BB53" s="3">
        <v>9472000</v>
      </c>
      <c r="BC53" s="3">
        <v>0</v>
      </c>
      <c r="BD53" s="3">
        <v>145011000</v>
      </c>
      <c r="BE53" s="3">
        <v>154483000</v>
      </c>
      <c r="BF53" s="3">
        <v>0</v>
      </c>
      <c r="BG53" s="3">
        <v>9472000</v>
      </c>
      <c r="BH53" s="3">
        <v>0</v>
      </c>
      <c r="BI53" s="3">
        <v>145011000</v>
      </c>
      <c r="BJ53" s="3">
        <v>154483000</v>
      </c>
      <c r="BK53" s="3">
        <v>0</v>
      </c>
      <c r="BL53" s="3">
        <v>9472000</v>
      </c>
      <c r="BM53" s="3">
        <v>0</v>
      </c>
      <c r="BN53" s="3">
        <v>145011000</v>
      </c>
      <c r="BO53" s="3">
        <v>154483000</v>
      </c>
      <c r="BP53" s="3">
        <v>0</v>
      </c>
      <c r="BQ53" s="3">
        <v>7270113.8399999999</v>
      </c>
      <c r="BR53" s="3">
        <v>0</v>
      </c>
      <c r="BS53" s="3">
        <v>143067830.47999999</v>
      </c>
      <c r="BT53" s="3">
        <v>150337944.31999999</v>
      </c>
      <c r="BU53" s="3">
        <v>0</v>
      </c>
      <c r="BV53" s="3">
        <v>6355311.5899999999</v>
      </c>
      <c r="BW53" s="3">
        <v>0</v>
      </c>
      <c r="BX53" s="3">
        <v>87543339.230000004</v>
      </c>
      <c r="BY53" s="3">
        <v>93898650.819999993</v>
      </c>
      <c r="BZ53" s="3">
        <v>0</v>
      </c>
      <c r="CA53" s="3">
        <v>7886000</v>
      </c>
      <c r="CB53" s="3">
        <v>0</v>
      </c>
      <c r="CC53" s="3">
        <v>131361000</v>
      </c>
      <c r="CD53" s="3">
        <v>139247000</v>
      </c>
      <c r="CE53" s="3">
        <v>0</v>
      </c>
      <c r="CF53" s="3">
        <v>10546000</v>
      </c>
      <c r="CG53" s="3">
        <v>0</v>
      </c>
      <c r="CH53" s="3">
        <v>177611000</v>
      </c>
      <c r="CI53" s="3">
        <v>188157000</v>
      </c>
      <c r="CJ53" s="3">
        <v>0</v>
      </c>
      <c r="CK53" s="3">
        <v>10546000</v>
      </c>
      <c r="CL53" s="3">
        <v>0</v>
      </c>
      <c r="CM53" s="3">
        <v>177611000</v>
      </c>
      <c r="CN53" s="3">
        <v>188157000</v>
      </c>
      <c r="CO53" s="3">
        <v>0</v>
      </c>
      <c r="CP53" s="3">
        <v>10392320</v>
      </c>
      <c r="CQ53" s="3">
        <v>0</v>
      </c>
      <c r="CR53" s="3">
        <v>173992772</v>
      </c>
      <c r="CS53" s="3">
        <v>184385092</v>
      </c>
      <c r="CT53" s="3">
        <v>0</v>
      </c>
      <c r="CU53" s="3">
        <v>5392320</v>
      </c>
      <c r="CV53" s="3">
        <v>0</v>
      </c>
      <c r="CW53" s="3">
        <v>127742772</v>
      </c>
      <c r="CX53" s="3">
        <v>133135092</v>
      </c>
      <c r="CY53" s="3">
        <v>0</v>
      </c>
      <c r="CZ53" s="3">
        <v>5369934.6100000003</v>
      </c>
      <c r="DA53" s="3">
        <v>0</v>
      </c>
      <c r="DB53" s="3">
        <v>127100061.08999999</v>
      </c>
      <c r="DC53" s="3">
        <v>132469995.7</v>
      </c>
      <c r="DD53" s="3">
        <v>0</v>
      </c>
      <c r="DE53" s="3">
        <v>4916073.8099999996</v>
      </c>
      <c r="DF53" s="3">
        <v>0</v>
      </c>
      <c r="DG53" s="3">
        <v>96886129.580000013</v>
      </c>
      <c r="DH53" s="10">
        <v>101802203.39</v>
      </c>
      <c r="DI53" s="3">
        <v>0</v>
      </c>
      <c r="DJ53" s="3">
        <v>10470000</v>
      </c>
      <c r="DK53" s="3">
        <v>0</v>
      </c>
      <c r="DL53" s="3">
        <v>164182000</v>
      </c>
      <c r="DM53" s="3">
        <v>174652000</v>
      </c>
      <c r="DN53" s="3">
        <v>0</v>
      </c>
      <c r="DO53" s="3">
        <v>16394000</v>
      </c>
      <c r="DP53" s="3">
        <v>0</v>
      </c>
      <c r="DQ53" s="3">
        <v>408382000</v>
      </c>
      <c r="DR53" s="3">
        <v>424776000</v>
      </c>
      <c r="DS53" s="3">
        <v>0</v>
      </c>
      <c r="DT53" s="3">
        <v>16394000</v>
      </c>
      <c r="DU53" s="3">
        <v>0</v>
      </c>
      <c r="DV53" s="3">
        <v>408382000</v>
      </c>
      <c r="DW53" s="3">
        <v>424776000</v>
      </c>
      <c r="DX53" s="3">
        <v>0</v>
      </c>
      <c r="DY53" s="3">
        <v>16591000</v>
      </c>
      <c r="DZ53" s="3">
        <v>0</v>
      </c>
      <c r="EA53" s="3">
        <v>408185000</v>
      </c>
      <c r="EB53" s="3">
        <v>424776000</v>
      </c>
      <c r="EC53" s="3">
        <v>0</v>
      </c>
      <c r="ED53" s="3">
        <v>16591000</v>
      </c>
      <c r="EE53" s="3">
        <v>0</v>
      </c>
      <c r="EF53" s="3">
        <v>408185000</v>
      </c>
      <c r="EG53" s="3">
        <v>424776000</v>
      </c>
      <c r="EH53" s="3">
        <v>0</v>
      </c>
      <c r="EI53" s="3">
        <v>9992830.25</v>
      </c>
      <c r="EJ53" s="3">
        <v>0</v>
      </c>
      <c r="EK53" s="3">
        <v>406611684.74000001</v>
      </c>
      <c r="EL53" s="3">
        <v>416604514.99000001</v>
      </c>
      <c r="EM53" s="3">
        <v>0</v>
      </c>
      <c r="EN53" s="3">
        <v>8116011.0999999996</v>
      </c>
      <c r="EO53" s="3">
        <v>0</v>
      </c>
      <c r="EP53" s="3">
        <v>353002352.07000005</v>
      </c>
      <c r="EQ53" s="3">
        <v>361118363.16999996</v>
      </c>
      <c r="ER53" s="3">
        <v>0</v>
      </c>
      <c r="ES53" s="3">
        <v>33363000</v>
      </c>
      <c r="ET53" s="3">
        <v>0</v>
      </c>
      <c r="EU53" s="3">
        <v>164493000</v>
      </c>
      <c r="EV53" s="3">
        <v>197856000</v>
      </c>
      <c r="EW53" s="3">
        <v>0</v>
      </c>
      <c r="EX53" s="3">
        <v>23053000</v>
      </c>
      <c r="EY53" s="3">
        <v>0</v>
      </c>
      <c r="EZ53" s="3">
        <v>174803000</v>
      </c>
      <c r="FA53" s="3">
        <v>197856000</v>
      </c>
      <c r="FB53" s="3">
        <v>0</v>
      </c>
      <c r="FC53" s="3">
        <v>23053000</v>
      </c>
      <c r="FD53" s="3">
        <v>0</v>
      </c>
      <c r="FE53" s="3">
        <v>174803000</v>
      </c>
      <c r="FF53" s="3">
        <v>197856000</v>
      </c>
      <c r="FG53" s="3">
        <v>0</v>
      </c>
      <c r="FH53" s="3">
        <v>23053000</v>
      </c>
      <c r="FI53" s="3">
        <v>0</v>
      </c>
      <c r="FJ53" s="3">
        <v>174803000</v>
      </c>
      <c r="FK53" s="3">
        <v>197856000</v>
      </c>
      <c r="FL53" s="3">
        <v>0</v>
      </c>
      <c r="FM53" s="3">
        <v>23053000</v>
      </c>
      <c r="FN53" s="3">
        <v>0</v>
      </c>
      <c r="FO53" s="3">
        <v>174803000</v>
      </c>
      <c r="FP53" s="3">
        <v>197856000</v>
      </c>
      <c r="FQ53" s="3">
        <v>0</v>
      </c>
      <c r="FR53" s="3">
        <v>9984221.6199999992</v>
      </c>
      <c r="FS53" s="3">
        <v>0</v>
      </c>
      <c r="FT53" s="3">
        <v>173066787.52000001</v>
      </c>
      <c r="FU53" s="3">
        <v>183051009.13999999</v>
      </c>
      <c r="FV53" s="3">
        <v>0</v>
      </c>
      <c r="FW53" s="3">
        <v>9254013.75</v>
      </c>
      <c r="FX53" s="3">
        <v>0</v>
      </c>
      <c r="FY53" s="3">
        <v>94831726.280000001</v>
      </c>
      <c r="FZ53" s="3">
        <v>104085740.03</v>
      </c>
      <c r="GA53" s="3">
        <v>0</v>
      </c>
      <c r="GB53" s="3">
        <v>12538000</v>
      </c>
      <c r="GC53" s="3">
        <v>0</v>
      </c>
      <c r="GD53" s="3">
        <v>337462000</v>
      </c>
      <c r="GE53" s="3">
        <v>350000000</v>
      </c>
      <c r="GF53" s="3">
        <v>0</v>
      </c>
      <c r="GG53" s="3">
        <v>12538000</v>
      </c>
      <c r="GH53" s="3">
        <v>0</v>
      </c>
      <c r="GI53" s="3">
        <v>337462000</v>
      </c>
      <c r="GJ53" s="3">
        <v>350000000</v>
      </c>
      <c r="GK53" s="3">
        <v>0</v>
      </c>
      <c r="GL53" s="3">
        <v>12538000</v>
      </c>
      <c r="GM53" s="3">
        <v>0</v>
      </c>
      <c r="GN53" s="3">
        <v>337462000</v>
      </c>
      <c r="GO53" s="3">
        <v>350000000</v>
      </c>
      <c r="GP53" s="3">
        <v>0</v>
      </c>
      <c r="GQ53" s="3">
        <v>12730000</v>
      </c>
      <c r="GR53" s="3">
        <v>0</v>
      </c>
      <c r="GS53" s="3">
        <v>327270000</v>
      </c>
      <c r="GT53" s="3">
        <v>340000000</v>
      </c>
      <c r="GU53" s="3">
        <v>0</v>
      </c>
      <c r="GV53" s="3">
        <v>12730000</v>
      </c>
      <c r="GW53" s="3">
        <v>0</v>
      </c>
      <c r="GX53" s="3">
        <v>327270000</v>
      </c>
      <c r="GY53" s="3">
        <v>340000000</v>
      </c>
      <c r="GZ53" s="3">
        <v>0</v>
      </c>
      <c r="HA53" s="3">
        <v>6155473.5099999998</v>
      </c>
      <c r="HB53" s="3">
        <v>0</v>
      </c>
      <c r="HC53" s="3">
        <v>292166504.48000002</v>
      </c>
      <c r="HD53" s="3">
        <v>298321977.99000001</v>
      </c>
      <c r="HE53" s="3">
        <v>0</v>
      </c>
      <c r="HF53" s="3">
        <v>4503854.45</v>
      </c>
      <c r="HG53" s="3">
        <v>0</v>
      </c>
      <c r="HH53" s="3">
        <v>165885057.83000001</v>
      </c>
      <c r="HI53" s="3">
        <v>170388912.28</v>
      </c>
      <c r="HJ53" s="3">
        <v>0</v>
      </c>
      <c r="HK53" s="3">
        <v>7859000</v>
      </c>
      <c r="HL53" s="3">
        <v>0</v>
      </c>
      <c r="HM53" s="3">
        <v>350660000</v>
      </c>
      <c r="HN53" s="3">
        <v>358519000</v>
      </c>
      <c r="HO53" s="3">
        <v>0</v>
      </c>
      <c r="HP53" s="3">
        <v>7859000</v>
      </c>
      <c r="HQ53" s="3">
        <v>0</v>
      </c>
      <c r="HR53" s="3">
        <v>350660000</v>
      </c>
      <c r="HS53" s="3">
        <v>358519000</v>
      </c>
      <c r="HT53" s="3">
        <v>0</v>
      </c>
      <c r="HU53" s="3">
        <v>7859000</v>
      </c>
      <c r="HV53" s="3">
        <v>0</v>
      </c>
      <c r="HW53" s="3">
        <v>350660000</v>
      </c>
      <c r="HX53" s="3">
        <v>358519000</v>
      </c>
      <c r="HY53" s="3">
        <v>0</v>
      </c>
      <c r="HZ53" s="3">
        <v>4229000</v>
      </c>
      <c r="IA53" s="3">
        <v>0</v>
      </c>
      <c r="IB53" s="3">
        <v>354290000</v>
      </c>
      <c r="IC53" s="3">
        <v>358519000</v>
      </c>
      <c r="ID53" s="3">
        <v>0</v>
      </c>
      <c r="IE53" s="3">
        <v>4229000</v>
      </c>
      <c r="IF53" s="3">
        <v>0</v>
      </c>
      <c r="IG53" s="3">
        <v>354290000</v>
      </c>
      <c r="IH53" s="3">
        <v>358519000</v>
      </c>
      <c r="II53" s="3">
        <v>0</v>
      </c>
      <c r="IJ53" s="3">
        <v>3800579</v>
      </c>
      <c r="IK53" s="3">
        <v>0</v>
      </c>
      <c r="IL53" s="3">
        <v>347464357.87</v>
      </c>
      <c r="IM53" s="6">
        <v>351264936.87</v>
      </c>
      <c r="IN53" s="3">
        <v>0</v>
      </c>
      <c r="IO53" s="3">
        <v>3285956.7</v>
      </c>
      <c r="IP53" s="3">
        <v>0</v>
      </c>
      <c r="IQ53" s="3">
        <v>70834304.5</v>
      </c>
      <c r="IR53" s="6">
        <v>74120261.200000003</v>
      </c>
      <c r="IS53" s="3">
        <v>0</v>
      </c>
      <c r="IT53" s="3">
        <v>20287000</v>
      </c>
      <c r="IU53" s="3">
        <v>0</v>
      </c>
      <c r="IV53" s="3">
        <v>360976000</v>
      </c>
      <c r="IW53" s="3">
        <v>381263000</v>
      </c>
      <c r="IX53" s="3">
        <v>0</v>
      </c>
      <c r="IY53" s="3">
        <v>20287000</v>
      </c>
      <c r="IZ53" s="3">
        <v>0</v>
      </c>
      <c r="JA53" s="3">
        <v>360976000</v>
      </c>
      <c r="JB53" s="3">
        <v>381263000</v>
      </c>
      <c r="JC53" s="3">
        <v>0</v>
      </c>
      <c r="JD53" s="3">
        <v>20287000</v>
      </c>
      <c r="JE53" s="3">
        <v>0</v>
      </c>
      <c r="JF53" s="3">
        <v>360976000</v>
      </c>
      <c r="JG53" s="3">
        <v>381263000</v>
      </c>
      <c r="JH53" s="3">
        <v>0</v>
      </c>
      <c r="JI53" s="3">
        <v>20287000</v>
      </c>
      <c r="JJ53" s="3">
        <v>0</v>
      </c>
      <c r="JK53" s="3">
        <v>360976000</v>
      </c>
      <c r="JL53" s="3">
        <v>381263000</v>
      </c>
      <c r="JM53" s="3">
        <v>0</v>
      </c>
      <c r="JN53" s="3">
        <v>20287000</v>
      </c>
      <c r="JO53" s="3">
        <v>0</v>
      </c>
      <c r="JP53" s="3">
        <v>360976000</v>
      </c>
      <c r="JQ53" s="3">
        <v>381263000</v>
      </c>
      <c r="JR53" s="3">
        <v>0</v>
      </c>
      <c r="JS53" s="3">
        <v>19596384</v>
      </c>
      <c r="JT53" s="3">
        <v>0</v>
      </c>
      <c r="JU53" s="3">
        <v>336357154.94</v>
      </c>
      <c r="JV53" s="3">
        <v>355953538.94</v>
      </c>
      <c r="JW53" s="3">
        <v>0</v>
      </c>
      <c r="JX53" s="3">
        <v>13964835.5</v>
      </c>
      <c r="JY53" s="3">
        <v>0</v>
      </c>
      <c r="JZ53" s="3">
        <v>115196046.15000001</v>
      </c>
      <c r="KA53" s="3">
        <v>129160881.65000001</v>
      </c>
      <c r="KB53" s="3">
        <v>0</v>
      </c>
      <c r="KC53" s="3">
        <v>540000</v>
      </c>
      <c r="KD53" s="3">
        <v>0</v>
      </c>
      <c r="KE53" s="3">
        <v>351540000</v>
      </c>
      <c r="KF53" s="3">
        <v>352080000</v>
      </c>
      <c r="KG53" s="3">
        <v>0</v>
      </c>
      <c r="KH53" s="3">
        <v>540000</v>
      </c>
      <c r="KI53" s="3">
        <v>0</v>
      </c>
      <c r="KJ53" s="3">
        <v>351540000</v>
      </c>
      <c r="KK53" s="3">
        <v>352080000</v>
      </c>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v>0</v>
      </c>
      <c r="LL53" s="3">
        <v>22315000</v>
      </c>
      <c r="LM53">
        <v>0</v>
      </c>
      <c r="LN53" s="3">
        <v>182565000</v>
      </c>
      <c r="LO53" s="3">
        <v>204880000</v>
      </c>
    </row>
    <row r="54" spans="1:327" x14ac:dyDescent="0.25">
      <c r="A54" t="s">
        <v>943</v>
      </c>
      <c r="B54" t="s">
        <v>944</v>
      </c>
      <c r="C54" t="s">
        <v>199</v>
      </c>
      <c r="D54" t="s">
        <v>200</v>
      </c>
      <c r="E54" t="s">
        <v>224</v>
      </c>
      <c r="F54" t="s">
        <v>969</v>
      </c>
      <c r="G54" t="s">
        <v>1027</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U54" s="3"/>
      <c r="BV54" s="3"/>
      <c r="BW54" s="3"/>
      <c r="BX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D54" s="3"/>
      <c r="DE54" s="3"/>
      <c r="DF54" s="3"/>
      <c r="DG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U54" s="3"/>
      <c r="GV54" s="3"/>
      <c r="GW54" s="3"/>
      <c r="GX54" s="3"/>
      <c r="GY54" s="3"/>
      <c r="GZ54" s="3"/>
      <c r="HA54" s="3"/>
      <c r="HB54" s="3"/>
      <c r="HC54" s="3"/>
      <c r="HE54" s="3"/>
      <c r="HF54" s="3"/>
      <c r="HG54" s="3"/>
      <c r="HH54" s="3"/>
      <c r="HJ54" s="3"/>
      <c r="HK54" s="3"/>
      <c r="HL54" s="3"/>
      <c r="HM54" s="3"/>
      <c r="HN54" s="3"/>
      <c r="HO54" s="3"/>
      <c r="HP54" s="3"/>
      <c r="HQ54" s="3"/>
      <c r="HR54" s="3"/>
      <c r="HS54" s="3"/>
      <c r="HT54" s="3"/>
      <c r="HU54" s="3"/>
      <c r="HV54" s="3"/>
      <c r="HW54" s="3"/>
      <c r="HX54" s="3"/>
      <c r="HY54" s="3"/>
      <c r="HZ54" s="3"/>
      <c r="IA54" s="3"/>
      <c r="IB54" s="3"/>
      <c r="ID54" s="3"/>
      <c r="IE54" s="3"/>
      <c r="IF54" s="3"/>
      <c r="IG54" s="3"/>
      <c r="IM54" s="5"/>
      <c r="IR54" s="5"/>
      <c r="IS54" s="3">
        <v>0</v>
      </c>
      <c r="IT54" s="3">
        <v>0</v>
      </c>
      <c r="IU54" s="3">
        <v>0</v>
      </c>
      <c r="IV54" s="3">
        <v>29580000</v>
      </c>
      <c r="IW54" s="3">
        <v>29580000</v>
      </c>
      <c r="IX54" s="3">
        <v>0</v>
      </c>
      <c r="IY54" s="3">
        <v>0</v>
      </c>
      <c r="IZ54" s="3">
        <v>0</v>
      </c>
      <c r="JA54" s="3">
        <v>30580000</v>
      </c>
      <c r="JB54" s="3">
        <v>30580000</v>
      </c>
      <c r="JC54" s="3">
        <v>0</v>
      </c>
      <c r="JD54" s="3">
        <v>0</v>
      </c>
      <c r="JE54" s="3">
        <v>0</v>
      </c>
      <c r="JF54" s="3">
        <v>30580000</v>
      </c>
      <c r="JG54" s="3">
        <v>30580000</v>
      </c>
      <c r="JH54" s="3">
        <v>0</v>
      </c>
      <c r="JI54" s="3">
        <v>0</v>
      </c>
      <c r="JJ54" s="3">
        <v>0</v>
      </c>
      <c r="JK54" s="3">
        <v>30580000</v>
      </c>
      <c r="JL54" s="3">
        <v>30580000</v>
      </c>
      <c r="JM54" s="3">
        <v>0</v>
      </c>
      <c r="JN54" s="3">
        <v>0</v>
      </c>
      <c r="JO54" s="3">
        <v>0</v>
      </c>
      <c r="JP54" s="3">
        <v>30580000</v>
      </c>
      <c r="JQ54" s="3">
        <v>30580000</v>
      </c>
      <c r="JR54" s="3">
        <v>0</v>
      </c>
      <c r="JS54" s="3">
        <v>0</v>
      </c>
      <c r="JT54" s="3">
        <v>0</v>
      </c>
      <c r="JU54" s="3">
        <v>12598921.039999999</v>
      </c>
      <c r="JV54" s="3">
        <v>12598921.039999999</v>
      </c>
      <c r="JW54" s="3">
        <v>0</v>
      </c>
      <c r="JX54" s="3">
        <v>0</v>
      </c>
      <c r="JY54" s="3">
        <v>0</v>
      </c>
      <c r="JZ54" s="3">
        <v>4730901.25</v>
      </c>
      <c r="KA54" s="3">
        <v>4730901.25</v>
      </c>
      <c r="KB54" s="3">
        <v>0</v>
      </c>
      <c r="KC54" s="3">
        <v>0</v>
      </c>
      <c r="KD54" s="3">
        <v>0</v>
      </c>
      <c r="KE54" s="3">
        <v>14420000</v>
      </c>
      <c r="KF54" s="3">
        <v>14420000</v>
      </c>
      <c r="KG54" s="3">
        <v>0</v>
      </c>
      <c r="KH54" s="3">
        <v>0</v>
      </c>
      <c r="KI54" s="3">
        <v>0</v>
      </c>
      <c r="KJ54" s="3">
        <v>14420000</v>
      </c>
      <c r="KK54" s="3">
        <v>14420000</v>
      </c>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v>0</v>
      </c>
      <c r="LL54">
        <v>0</v>
      </c>
      <c r="LM54">
        <v>0</v>
      </c>
      <c r="LN54" s="3">
        <v>4146000</v>
      </c>
      <c r="LO54" s="3">
        <v>4146000</v>
      </c>
    </row>
    <row r="55" spans="1:327" x14ac:dyDescent="0.25">
      <c r="A55" t="s">
        <v>943</v>
      </c>
      <c r="B55" t="s">
        <v>944</v>
      </c>
      <c r="C55" t="s">
        <v>199</v>
      </c>
      <c r="D55" t="s">
        <v>200</v>
      </c>
      <c r="E55" t="s">
        <v>224</v>
      </c>
      <c r="F55" t="s">
        <v>970</v>
      </c>
      <c r="G55" t="s">
        <v>1028</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U55" s="3"/>
      <c r="BV55" s="3"/>
      <c r="BW55" s="3"/>
      <c r="BX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D55" s="3"/>
      <c r="DE55" s="3"/>
      <c r="DF55" s="3"/>
      <c r="DG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v>0</v>
      </c>
      <c r="GB55" s="3">
        <v>59460000</v>
      </c>
      <c r="GC55" s="3">
        <v>0</v>
      </c>
      <c r="GD55" s="3">
        <v>194221000</v>
      </c>
      <c r="GE55" s="3">
        <v>253681000</v>
      </c>
      <c r="GF55" s="3">
        <v>0</v>
      </c>
      <c r="GG55" s="3">
        <v>39610000</v>
      </c>
      <c r="GH55" s="3">
        <v>0</v>
      </c>
      <c r="GI55" s="3">
        <v>139690000</v>
      </c>
      <c r="GJ55" s="3">
        <v>179300000</v>
      </c>
      <c r="GK55" s="3">
        <v>0</v>
      </c>
      <c r="GL55" s="3">
        <v>39610000</v>
      </c>
      <c r="GM55" s="3">
        <v>0</v>
      </c>
      <c r="GN55" s="3">
        <v>139690000</v>
      </c>
      <c r="GO55" s="3">
        <v>179300000</v>
      </c>
      <c r="GP55" s="3">
        <v>0</v>
      </c>
      <c r="GQ55" s="3">
        <v>40610000</v>
      </c>
      <c r="GR55" s="3">
        <v>0</v>
      </c>
      <c r="GS55" s="3">
        <v>138690000</v>
      </c>
      <c r="GT55" s="3">
        <v>179300000</v>
      </c>
      <c r="GU55" s="3">
        <v>0</v>
      </c>
      <c r="GV55" s="3">
        <v>40610000</v>
      </c>
      <c r="GW55" s="3">
        <v>0</v>
      </c>
      <c r="GX55" s="3">
        <v>138690000</v>
      </c>
      <c r="GY55" s="3">
        <v>179300000</v>
      </c>
      <c r="GZ55" s="3">
        <v>0</v>
      </c>
      <c r="HA55" s="3">
        <v>34296887.310000002</v>
      </c>
      <c r="HB55" s="3">
        <v>0</v>
      </c>
      <c r="HC55" s="3">
        <v>129530593</v>
      </c>
      <c r="HD55" s="3">
        <v>163827480.31</v>
      </c>
      <c r="HE55" s="3">
        <v>0</v>
      </c>
      <c r="HF55" s="3">
        <v>31646836.059999999</v>
      </c>
      <c r="HG55" s="3">
        <v>0</v>
      </c>
      <c r="HH55" s="3">
        <v>73423249.390000001</v>
      </c>
      <c r="HI55" s="3">
        <v>105070085.45</v>
      </c>
      <c r="HJ55" s="3">
        <v>0</v>
      </c>
      <c r="HK55" s="3">
        <v>32185000</v>
      </c>
      <c r="HL55" s="3">
        <v>0</v>
      </c>
      <c r="HM55" s="3">
        <v>104250000</v>
      </c>
      <c r="HN55" s="3">
        <v>136435000</v>
      </c>
      <c r="HO55" s="3">
        <v>0</v>
      </c>
      <c r="HP55" s="3">
        <v>28653000</v>
      </c>
      <c r="HQ55" s="3">
        <v>0</v>
      </c>
      <c r="HR55" s="3">
        <v>96227000</v>
      </c>
      <c r="HS55" s="3">
        <v>124880000</v>
      </c>
      <c r="HT55" s="3">
        <v>0</v>
      </c>
      <c r="HU55" s="3">
        <v>28653000</v>
      </c>
      <c r="HV55" s="3">
        <v>0</v>
      </c>
      <c r="HW55" s="3">
        <v>96227000</v>
      </c>
      <c r="HX55" s="3">
        <v>124880000</v>
      </c>
      <c r="HY55" s="3">
        <v>0</v>
      </c>
      <c r="HZ55" s="3">
        <v>28653000</v>
      </c>
      <c r="IA55" s="3">
        <v>0</v>
      </c>
      <c r="IB55" s="3">
        <v>96227000</v>
      </c>
      <c r="IC55" s="3">
        <v>124880000</v>
      </c>
      <c r="ID55" s="3">
        <v>0</v>
      </c>
      <c r="IE55" s="3">
        <v>28653000</v>
      </c>
      <c r="IF55" s="3">
        <v>0</v>
      </c>
      <c r="IG55" s="3">
        <v>96227000</v>
      </c>
      <c r="IH55" s="3">
        <v>124880000</v>
      </c>
      <c r="II55" s="3">
        <v>0</v>
      </c>
      <c r="IJ55" s="3">
        <v>27223574.759999998</v>
      </c>
      <c r="IK55" s="3">
        <v>0</v>
      </c>
      <c r="IL55" s="3">
        <v>91875544.170000002</v>
      </c>
      <c r="IM55" s="6">
        <v>119099118.93000001</v>
      </c>
      <c r="IN55" s="3">
        <v>0</v>
      </c>
      <c r="IO55" s="3">
        <v>26296395.68</v>
      </c>
      <c r="IP55" s="3">
        <v>0</v>
      </c>
      <c r="IQ55" s="3">
        <v>65173259.130000003</v>
      </c>
      <c r="IR55" s="6">
        <v>91469654.810000002</v>
      </c>
      <c r="IS55" s="3">
        <v>0</v>
      </c>
      <c r="IT55" s="3">
        <v>16130000</v>
      </c>
      <c r="IU55" s="3">
        <v>0</v>
      </c>
      <c r="IV55" s="3">
        <v>127031000</v>
      </c>
      <c r="IW55" s="3">
        <v>143161000</v>
      </c>
      <c r="IX55" s="3">
        <v>0</v>
      </c>
      <c r="IY55" s="3">
        <v>16130000</v>
      </c>
      <c r="IZ55" s="3">
        <v>0</v>
      </c>
      <c r="JA55" s="3">
        <v>127031000</v>
      </c>
      <c r="JB55" s="3">
        <v>143161000</v>
      </c>
      <c r="JC55" s="3">
        <v>0</v>
      </c>
      <c r="JD55" s="3">
        <v>16130000</v>
      </c>
      <c r="JE55" s="3">
        <v>0</v>
      </c>
      <c r="JF55" s="3">
        <v>127031000</v>
      </c>
      <c r="JG55" s="3">
        <v>143161000</v>
      </c>
      <c r="JH55" s="3">
        <v>0</v>
      </c>
      <c r="JI55" s="3">
        <v>16130000</v>
      </c>
      <c r="JJ55" s="3">
        <v>0</v>
      </c>
      <c r="JK55" s="3">
        <v>127031000</v>
      </c>
      <c r="JL55" s="3">
        <v>143161000</v>
      </c>
      <c r="JM55" s="3">
        <v>0</v>
      </c>
      <c r="JN55" s="3">
        <v>16130000</v>
      </c>
      <c r="JO55" s="3">
        <v>0</v>
      </c>
      <c r="JP55" s="3">
        <v>127031000</v>
      </c>
      <c r="JQ55" s="3">
        <v>143161000</v>
      </c>
      <c r="JR55" s="3">
        <v>0</v>
      </c>
      <c r="JS55" s="3">
        <v>15673734</v>
      </c>
      <c r="JT55" s="3">
        <v>0</v>
      </c>
      <c r="JU55" s="3">
        <v>106556583.73</v>
      </c>
      <c r="JV55" s="3">
        <v>122230317.73</v>
      </c>
      <c r="JW55" s="3">
        <v>0</v>
      </c>
      <c r="JX55" s="3">
        <v>14153516.130000001</v>
      </c>
      <c r="JY55" s="3">
        <v>0</v>
      </c>
      <c r="JZ55" s="3">
        <v>63259605.560000002</v>
      </c>
      <c r="KA55" s="3">
        <v>77413121.689999998</v>
      </c>
      <c r="KB55" s="3">
        <v>0</v>
      </c>
      <c r="KC55" s="3">
        <v>41879000</v>
      </c>
      <c r="KD55" s="3">
        <v>0</v>
      </c>
      <c r="KE55" s="3">
        <v>144413000</v>
      </c>
      <c r="KF55" s="3">
        <v>186292000</v>
      </c>
      <c r="KG55" s="3">
        <v>0</v>
      </c>
      <c r="KH55" s="3">
        <v>41879000</v>
      </c>
      <c r="KI55" s="3">
        <v>0</v>
      </c>
      <c r="KJ55" s="3">
        <v>144413000</v>
      </c>
      <c r="KK55" s="3">
        <v>186292000</v>
      </c>
      <c r="KL55" s="3"/>
      <c r="KM55" s="3"/>
      <c r="KN55" s="3"/>
      <c r="KO55" s="3"/>
      <c r="KP55" s="3"/>
      <c r="KQ55" s="3"/>
      <c r="KR55" s="3"/>
      <c r="KS55" s="3"/>
      <c r="KT55" s="3"/>
      <c r="KU55" s="3"/>
      <c r="KV55" s="3"/>
      <c r="KW55" s="3"/>
      <c r="KX55" s="3"/>
      <c r="KY55" s="3"/>
      <c r="KZ55" s="3"/>
      <c r="LA55" s="3"/>
      <c r="LB55" s="3"/>
      <c r="LC55" s="3"/>
      <c r="LD55" s="3"/>
      <c r="LE55" s="3"/>
      <c r="LF55" s="3"/>
      <c r="LG55" s="3"/>
      <c r="LH55" s="3"/>
      <c r="LI55" s="3"/>
      <c r="LJ55" s="3"/>
      <c r="LK55">
        <v>0</v>
      </c>
      <c r="LL55" s="3">
        <v>9585000</v>
      </c>
      <c r="LM55">
        <v>0</v>
      </c>
      <c r="LN55" s="3">
        <v>44828000</v>
      </c>
      <c r="LO55" s="3">
        <v>54413000</v>
      </c>
    </row>
    <row r="56" spans="1:327" x14ac:dyDescent="0.25">
      <c r="A56" t="s">
        <v>943</v>
      </c>
      <c r="B56" t="s">
        <v>944</v>
      </c>
      <c r="C56" t="s">
        <v>199</v>
      </c>
      <c r="D56" t="s">
        <v>200</v>
      </c>
      <c r="E56" t="s">
        <v>224</v>
      </c>
      <c r="F56" t="s">
        <v>233</v>
      </c>
      <c r="G56" t="s">
        <v>1046</v>
      </c>
      <c r="H56" s="3">
        <v>0</v>
      </c>
      <c r="I56" s="3">
        <v>50253000</v>
      </c>
      <c r="J56" s="3">
        <v>0</v>
      </c>
      <c r="K56" s="3">
        <v>1968645000</v>
      </c>
      <c r="L56" s="3">
        <v>2018898000</v>
      </c>
      <c r="M56" s="3">
        <v>0</v>
      </c>
      <c r="N56" s="3">
        <v>50253000</v>
      </c>
      <c r="O56" s="3">
        <v>0</v>
      </c>
      <c r="P56" s="3">
        <v>1968645000</v>
      </c>
      <c r="Q56" s="3">
        <v>2018898000</v>
      </c>
      <c r="R56" s="3">
        <v>0</v>
      </c>
      <c r="S56" s="3">
        <v>50253000</v>
      </c>
      <c r="T56" s="3">
        <v>0</v>
      </c>
      <c r="U56" s="3">
        <v>1968645000</v>
      </c>
      <c r="V56" s="3">
        <v>2018898000</v>
      </c>
      <c r="W56" s="3">
        <v>0</v>
      </c>
      <c r="X56" s="3">
        <v>50253000</v>
      </c>
      <c r="Y56" s="3">
        <v>0</v>
      </c>
      <c r="Z56" s="3">
        <v>1968645000</v>
      </c>
      <c r="AA56" s="3">
        <v>2018898000</v>
      </c>
      <c r="AB56" s="3">
        <v>0</v>
      </c>
      <c r="AC56" s="3">
        <v>50253000</v>
      </c>
      <c r="AD56" s="3">
        <v>0</v>
      </c>
      <c r="AE56" s="3">
        <v>1968645000</v>
      </c>
      <c r="AF56" s="3">
        <v>2018898000</v>
      </c>
      <c r="AG56" s="3">
        <v>0</v>
      </c>
      <c r="AH56" s="3">
        <v>41549288.149999999</v>
      </c>
      <c r="AI56" s="3">
        <v>0</v>
      </c>
      <c r="AJ56" s="3">
        <v>1946689169.8600001</v>
      </c>
      <c r="AK56" s="3">
        <v>1988238458.01</v>
      </c>
      <c r="AL56" s="3">
        <v>0</v>
      </c>
      <c r="AM56" s="3">
        <v>33979906.039999999</v>
      </c>
      <c r="AN56" s="3">
        <v>0</v>
      </c>
      <c r="AO56" s="3">
        <v>1178765015.05</v>
      </c>
      <c r="AP56" s="3">
        <v>1212744921.0899999</v>
      </c>
      <c r="AQ56" s="3">
        <v>0</v>
      </c>
      <c r="AR56" s="3">
        <v>1000000</v>
      </c>
      <c r="AS56" s="3">
        <v>0</v>
      </c>
      <c r="AT56" s="3">
        <v>1758032000</v>
      </c>
      <c r="AU56" s="3">
        <v>1759032000</v>
      </c>
      <c r="AV56" s="3">
        <v>0</v>
      </c>
      <c r="AW56" s="3">
        <v>1000000</v>
      </c>
      <c r="AX56" s="3">
        <v>0</v>
      </c>
      <c r="AY56" s="3">
        <v>1758032000</v>
      </c>
      <c r="AZ56" s="3">
        <v>1759032000</v>
      </c>
      <c r="BA56" s="3">
        <v>0</v>
      </c>
      <c r="BB56" s="3">
        <v>1000000</v>
      </c>
      <c r="BC56" s="3">
        <v>0</v>
      </c>
      <c r="BD56" s="3">
        <v>1758032000</v>
      </c>
      <c r="BE56" s="3">
        <v>1759032000</v>
      </c>
      <c r="BF56" s="3">
        <v>0</v>
      </c>
      <c r="BG56" s="3">
        <v>1000000</v>
      </c>
      <c r="BH56" s="3">
        <v>0</v>
      </c>
      <c r="BI56" s="3">
        <v>1758032000</v>
      </c>
      <c r="BJ56" s="3">
        <v>1759032000</v>
      </c>
      <c r="BK56" s="3">
        <v>0</v>
      </c>
      <c r="BL56" s="3">
        <v>1000000</v>
      </c>
      <c r="BM56" s="3">
        <v>0</v>
      </c>
      <c r="BN56" s="3">
        <v>1758032000</v>
      </c>
      <c r="BO56" s="3">
        <v>1759032000</v>
      </c>
      <c r="BP56" s="3">
        <v>0</v>
      </c>
      <c r="BQ56" s="3">
        <v>1000000</v>
      </c>
      <c r="BR56" s="3">
        <v>0</v>
      </c>
      <c r="BS56" s="3">
        <v>1726756121.3799999</v>
      </c>
      <c r="BT56" s="3">
        <v>1727756121.3799999</v>
      </c>
      <c r="BU56" s="3">
        <v>0</v>
      </c>
      <c r="BV56" s="3">
        <v>500000</v>
      </c>
      <c r="BW56" s="3">
        <v>0</v>
      </c>
      <c r="BX56" s="3">
        <v>907463364.5200001</v>
      </c>
      <c r="BY56" s="3">
        <v>907963364.5200001</v>
      </c>
      <c r="BZ56" s="3">
        <v>0</v>
      </c>
      <c r="CA56" s="3">
        <v>1000000</v>
      </c>
      <c r="CB56" s="3">
        <v>0</v>
      </c>
      <c r="CC56" s="3">
        <v>1150741000</v>
      </c>
      <c r="CD56" s="3">
        <v>1151741000</v>
      </c>
      <c r="CE56" s="3">
        <v>0</v>
      </c>
      <c r="CF56" s="3">
        <v>1000000</v>
      </c>
      <c r="CG56" s="3">
        <v>0</v>
      </c>
      <c r="CH56" s="3">
        <v>996494000</v>
      </c>
      <c r="CI56" s="3">
        <v>997494000</v>
      </c>
      <c r="CJ56" s="3">
        <v>0</v>
      </c>
      <c r="CK56" s="3">
        <v>1000000</v>
      </c>
      <c r="CL56" s="3">
        <v>0</v>
      </c>
      <c r="CM56" s="3">
        <v>996494000</v>
      </c>
      <c r="CN56" s="3">
        <v>997494000</v>
      </c>
      <c r="CO56" s="3">
        <v>0</v>
      </c>
      <c r="CP56" s="3">
        <v>0</v>
      </c>
      <c r="CQ56" s="3">
        <v>0</v>
      </c>
      <c r="CR56" s="3">
        <v>583538584</v>
      </c>
      <c r="CS56" s="3">
        <v>583538584</v>
      </c>
      <c r="CT56" s="3">
        <v>0</v>
      </c>
      <c r="CU56" s="3">
        <v>0</v>
      </c>
      <c r="CV56" s="3">
        <v>0</v>
      </c>
      <c r="CW56" s="3">
        <v>583538584</v>
      </c>
      <c r="CX56" s="3">
        <v>583538584</v>
      </c>
      <c r="CY56" s="3">
        <v>0</v>
      </c>
      <c r="CZ56" s="3">
        <v>0</v>
      </c>
      <c r="DA56" s="3">
        <v>0</v>
      </c>
      <c r="DB56" s="3">
        <v>578773669.20000005</v>
      </c>
      <c r="DC56" s="3">
        <v>578773669.20000005</v>
      </c>
      <c r="DD56" s="3">
        <v>0</v>
      </c>
      <c r="DE56" s="3">
        <v>0</v>
      </c>
      <c r="DF56" s="3">
        <v>0</v>
      </c>
      <c r="DG56" s="10">
        <v>353734083.98000002</v>
      </c>
      <c r="DH56" s="10">
        <v>353734083.98000002</v>
      </c>
      <c r="DI56" s="3">
        <v>0</v>
      </c>
      <c r="DJ56" s="3">
        <v>0</v>
      </c>
      <c r="DK56" s="3">
        <v>0</v>
      </c>
      <c r="DL56" s="3">
        <v>798416000</v>
      </c>
      <c r="DM56" s="3">
        <v>798416000</v>
      </c>
      <c r="DN56" s="3">
        <v>0</v>
      </c>
      <c r="DO56" s="3">
        <v>0</v>
      </c>
      <c r="DP56" s="3">
        <v>0</v>
      </c>
      <c r="DQ56" s="3">
        <v>798416000</v>
      </c>
      <c r="DR56" s="3">
        <v>798416000</v>
      </c>
      <c r="DS56" s="3">
        <v>0</v>
      </c>
      <c r="DT56" s="3">
        <v>0</v>
      </c>
      <c r="DU56" s="3">
        <v>0</v>
      </c>
      <c r="DV56" s="3">
        <v>798416000</v>
      </c>
      <c r="DW56" s="3">
        <v>798416000</v>
      </c>
      <c r="DX56" s="3">
        <v>0</v>
      </c>
      <c r="DY56" s="3">
        <v>0</v>
      </c>
      <c r="DZ56" s="3">
        <v>0</v>
      </c>
      <c r="EA56" s="3">
        <v>798416000</v>
      </c>
      <c r="EB56" s="3">
        <v>798416000</v>
      </c>
      <c r="EC56" s="3">
        <v>0</v>
      </c>
      <c r="ED56" s="3">
        <v>0</v>
      </c>
      <c r="EE56" s="3">
        <v>0</v>
      </c>
      <c r="EF56" s="3">
        <v>798416000</v>
      </c>
      <c r="EG56" s="3">
        <v>798416000</v>
      </c>
      <c r="EH56" s="3">
        <v>0</v>
      </c>
      <c r="EI56" s="3">
        <v>0</v>
      </c>
      <c r="EJ56" s="3">
        <v>0</v>
      </c>
      <c r="EK56" s="3">
        <v>790522149.0200001</v>
      </c>
      <c r="EL56" s="3">
        <v>790522149.0200001</v>
      </c>
      <c r="EM56" s="3">
        <v>0</v>
      </c>
      <c r="EN56" s="3">
        <v>0</v>
      </c>
      <c r="EO56" s="3">
        <v>0</v>
      </c>
      <c r="EP56" s="3">
        <v>378783893.22000003</v>
      </c>
      <c r="EQ56" s="3">
        <v>378783893.22000003</v>
      </c>
      <c r="ER56" s="3">
        <v>0</v>
      </c>
      <c r="ES56" s="3">
        <v>0</v>
      </c>
      <c r="ET56" s="3">
        <v>0</v>
      </c>
      <c r="EU56" s="3">
        <v>932758000</v>
      </c>
      <c r="EV56" s="3">
        <v>932758000</v>
      </c>
      <c r="EW56" s="3">
        <v>0</v>
      </c>
      <c r="EX56" s="3">
        <v>0</v>
      </c>
      <c r="EY56" s="3">
        <v>0</v>
      </c>
      <c r="EZ56" s="3">
        <v>932758000</v>
      </c>
      <c r="FA56" s="3">
        <v>932758000</v>
      </c>
      <c r="FB56" s="3">
        <v>0</v>
      </c>
      <c r="FC56" s="3">
        <v>0</v>
      </c>
      <c r="FD56" s="3">
        <v>0</v>
      </c>
      <c r="FE56" s="3">
        <v>932758000</v>
      </c>
      <c r="FF56" s="3">
        <v>932758000</v>
      </c>
      <c r="FG56" s="3">
        <v>0</v>
      </c>
      <c r="FH56" s="3">
        <v>0</v>
      </c>
      <c r="FI56" s="3">
        <v>0</v>
      </c>
      <c r="FJ56" s="3">
        <v>932758000</v>
      </c>
      <c r="FK56" s="3">
        <v>932758000</v>
      </c>
      <c r="FL56" s="3">
        <v>0</v>
      </c>
      <c r="FM56" s="3">
        <v>0</v>
      </c>
      <c r="FN56" s="3">
        <v>0</v>
      </c>
      <c r="FO56" s="3">
        <v>932758000</v>
      </c>
      <c r="FP56" s="3">
        <v>932758000</v>
      </c>
      <c r="FQ56" s="3">
        <v>0</v>
      </c>
      <c r="FR56" s="3">
        <v>0</v>
      </c>
      <c r="FS56" s="3">
        <v>0</v>
      </c>
      <c r="FT56" s="3">
        <v>917948321.04999995</v>
      </c>
      <c r="FU56" s="3">
        <v>917948321.04999995</v>
      </c>
      <c r="FV56" s="3">
        <v>0</v>
      </c>
      <c r="FW56" s="3">
        <v>0</v>
      </c>
      <c r="FX56" s="3">
        <v>0</v>
      </c>
      <c r="FY56" s="3">
        <v>582086295.84000003</v>
      </c>
      <c r="FZ56" s="3">
        <v>582086295.84000003</v>
      </c>
      <c r="GA56" s="3">
        <v>0</v>
      </c>
      <c r="GB56" s="3">
        <v>0</v>
      </c>
      <c r="GC56" s="3">
        <v>0</v>
      </c>
      <c r="GD56" s="3">
        <v>721247000</v>
      </c>
      <c r="GE56" s="3">
        <v>721247000</v>
      </c>
      <c r="GF56" s="3">
        <v>0</v>
      </c>
      <c r="GG56" s="3">
        <v>0</v>
      </c>
      <c r="GH56" s="3">
        <v>0</v>
      </c>
      <c r="GI56" s="3">
        <v>721247000</v>
      </c>
      <c r="GJ56" s="3">
        <v>721247000</v>
      </c>
      <c r="GK56" s="3">
        <v>0</v>
      </c>
      <c r="GL56" s="3">
        <v>0</v>
      </c>
      <c r="GM56" s="3">
        <v>0</v>
      </c>
      <c r="GN56" s="3">
        <v>721247000</v>
      </c>
      <c r="GO56" s="3">
        <v>721247000</v>
      </c>
      <c r="GP56" s="3">
        <v>0</v>
      </c>
      <c r="GQ56" s="3">
        <v>0</v>
      </c>
      <c r="GR56" s="3">
        <v>0</v>
      </c>
      <c r="GS56" s="10">
        <v>721247000</v>
      </c>
      <c r="GT56" s="3">
        <v>721247000</v>
      </c>
      <c r="GU56" s="3">
        <v>0</v>
      </c>
      <c r="GV56" s="3">
        <v>0</v>
      </c>
      <c r="GW56" s="3">
        <v>0</v>
      </c>
      <c r="GX56" s="10">
        <v>721247000</v>
      </c>
      <c r="GY56" s="3">
        <v>721247000</v>
      </c>
      <c r="GZ56" s="3">
        <v>0</v>
      </c>
      <c r="HA56" s="3">
        <v>0</v>
      </c>
      <c r="HB56" s="3">
        <v>0</v>
      </c>
      <c r="HC56" s="3">
        <v>708723296.10000002</v>
      </c>
      <c r="HD56" s="3">
        <v>708723296.10000002</v>
      </c>
      <c r="HE56" s="3">
        <v>0</v>
      </c>
      <c r="HF56" s="3">
        <v>0</v>
      </c>
      <c r="HG56" s="3">
        <v>0</v>
      </c>
      <c r="HH56" s="3">
        <v>505330853.19999999</v>
      </c>
      <c r="HI56" s="3">
        <v>505330853.19999999</v>
      </c>
      <c r="HJ56" s="3">
        <v>0</v>
      </c>
      <c r="HK56" s="3">
        <v>0</v>
      </c>
      <c r="HL56" s="3">
        <v>0</v>
      </c>
      <c r="HM56" s="3">
        <v>1009716000</v>
      </c>
      <c r="HN56" s="3">
        <v>1009716000</v>
      </c>
      <c r="HO56" s="3">
        <v>0</v>
      </c>
      <c r="HP56" s="3">
        <v>0</v>
      </c>
      <c r="HQ56" s="3">
        <v>0</v>
      </c>
      <c r="HR56" s="3">
        <v>1011816000</v>
      </c>
      <c r="HS56" s="3">
        <v>1011816000</v>
      </c>
      <c r="HT56" s="3">
        <v>0</v>
      </c>
      <c r="HU56" s="3">
        <v>0</v>
      </c>
      <c r="HV56" s="3">
        <v>0</v>
      </c>
      <c r="HW56" s="3">
        <v>1011816000</v>
      </c>
      <c r="HX56" s="3">
        <v>1011816000</v>
      </c>
      <c r="HY56" s="3">
        <v>0</v>
      </c>
      <c r="HZ56" s="3">
        <v>0</v>
      </c>
      <c r="IA56" s="3">
        <v>0</v>
      </c>
      <c r="IB56" s="10">
        <v>1011816000</v>
      </c>
      <c r="IC56" s="3">
        <v>1011816000</v>
      </c>
      <c r="ID56" s="3">
        <v>0</v>
      </c>
      <c r="IE56" s="3">
        <v>0</v>
      </c>
      <c r="IF56" s="3">
        <v>0</v>
      </c>
      <c r="IG56" s="10">
        <v>1011816000</v>
      </c>
      <c r="IH56" s="3">
        <v>1011816000</v>
      </c>
      <c r="II56" s="3">
        <v>0</v>
      </c>
      <c r="IJ56" s="3">
        <v>0</v>
      </c>
      <c r="IK56" s="3">
        <v>0</v>
      </c>
      <c r="IL56" s="6">
        <v>983985588.27999997</v>
      </c>
      <c r="IM56" s="6">
        <v>983985588.27999997</v>
      </c>
      <c r="IN56" s="3">
        <v>0</v>
      </c>
      <c r="IO56" s="3">
        <v>0</v>
      </c>
      <c r="IP56" s="3">
        <v>0</v>
      </c>
      <c r="IQ56" s="3">
        <v>591966159.30999994</v>
      </c>
      <c r="IR56" s="6">
        <v>591966159.30999994</v>
      </c>
      <c r="IS56" s="3">
        <v>0</v>
      </c>
      <c r="IT56" s="3">
        <v>0</v>
      </c>
      <c r="IU56" s="3">
        <v>0</v>
      </c>
      <c r="IV56" s="3">
        <v>489891000</v>
      </c>
      <c r="IW56" s="3">
        <v>489891000</v>
      </c>
      <c r="IX56" s="3">
        <v>0</v>
      </c>
      <c r="IY56" s="3">
        <v>0</v>
      </c>
      <c r="IZ56" s="3">
        <v>0</v>
      </c>
      <c r="JA56" s="3">
        <v>489891000</v>
      </c>
      <c r="JB56" s="3">
        <v>489891000</v>
      </c>
      <c r="JC56" s="3">
        <v>0</v>
      </c>
      <c r="JD56" s="3">
        <v>0</v>
      </c>
      <c r="JE56" s="3">
        <v>0</v>
      </c>
      <c r="JF56" s="3">
        <v>489891000</v>
      </c>
      <c r="JG56" s="3">
        <v>489891000</v>
      </c>
      <c r="JH56" s="3">
        <v>0</v>
      </c>
      <c r="JI56" s="3">
        <v>0</v>
      </c>
      <c r="JJ56" s="3">
        <v>0</v>
      </c>
      <c r="JK56" s="3">
        <v>489891000</v>
      </c>
      <c r="JL56" s="3">
        <v>489891000</v>
      </c>
      <c r="JM56" s="3">
        <v>0</v>
      </c>
      <c r="JN56" s="3">
        <v>0</v>
      </c>
      <c r="JO56" s="3">
        <v>0</v>
      </c>
      <c r="JP56" s="3">
        <v>489891000</v>
      </c>
      <c r="JQ56" s="3">
        <v>489891000</v>
      </c>
      <c r="JR56" s="3">
        <v>0</v>
      </c>
      <c r="JS56" s="3">
        <v>0</v>
      </c>
      <c r="JT56" s="3">
        <v>0</v>
      </c>
      <c r="JU56" s="3">
        <v>464582320.45999998</v>
      </c>
      <c r="JV56" s="3">
        <v>464582320.45999998</v>
      </c>
      <c r="JW56" s="3">
        <v>0</v>
      </c>
      <c r="JX56" s="3">
        <v>0</v>
      </c>
      <c r="JY56" s="3">
        <v>0</v>
      </c>
      <c r="JZ56" s="3">
        <v>265580730.21000001</v>
      </c>
      <c r="KA56" s="3">
        <v>265580730.21000001</v>
      </c>
      <c r="KB56" s="3">
        <v>0</v>
      </c>
      <c r="KC56" s="3">
        <v>0</v>
      </c>
      <c r="KD56" s="3">
        <v>0</v>
      </c>
      <c r="KE56" s="3">
        <v>464214000</v>
      </c>
      <c r="KF56" s="3">
        <v>464214000</v>
      </c>
      <c r="KG56" s="3">
        <v>0</v>
      </c>
      <c r="KH56" s="3">
        <v>0</v>
      </c>
      <c r="KI56" s="3">
        <v>0</v>
      </c>
      <c r="KJ56" s="3">
        <v>464214000</v>
      </c>
      <c r="KK56" s="3">
        <v>464214000</v>
      </c>
      <c r="KL56" s="3"/>
      <c r="KM56" s="3"/>
      <c r="KN56" s="3"/>
      <c r="KO56" s="3"/>
      <c r="KP56" s="3"/>
      <c r="KQ56" s="3"/>
      <c r="KR56" s="3"/>
      <c r="KS56" s="3"/>
      <c r="KT56" s="3"/>
      <c r="KU56" s="3"/>
      <c r="KV56" s="3"/>
      <c r="KW56" s="3"/>
      <c r="KX56" s="3"/>
      <c r="KY56" s="3"/>
      <c r="KZ56" s="3"/>
      <c r="LA56" s="3"/>
      <c r="LB56" s="3"/>
      <c r="LC56" s="3"/>
      <c r="LD56" s="3"/>
      <c r="LE56" s="3"/>
      <c r="LF56" s="3"/>
      <c r="LG56" s="3"/>
      <c r="LH56" s="3"/>
      <c r="LI56" s="3"/>
      <c r="LJ56" s="3"/>
      <c r="LK56">
        <v>0</v>
      </c>
      <c r="LL56">
        <v>0</v>
      </c>
      <c r="LM56">
        <v>0</v>
      </c>
      <c r="LN56" s="3">
        <v>5160000</v>
      </c>
      <c r="LO56" s="3">
        <v>5160000</v>
      </c>
    </row>
    <row r="57" spans="1:327" x14ac:dyDescent="0.25">
      <c r="A57" t="s">
        <v>943</v>
      </c>
      <c r="B57" t="s">
        <v>944</v>
      </c>
      <c r="C57" t="s">
        <v>199</v>
      </c>
      <c r="D57" t="s">
        <v>200</v>
      </c>
      <c r="E57" t="s">
        <v>224</v>
      </c>
      <c r="F57" t="s">
        <v>235</v>
      </c>
      <c r="G57" t="s">
        <v>1047</v>
      </c>
      <c r="H57" s="3">
        <v>0</v>
      </c>
      <c r="I57" s="3">
        <v>0</v>
      </c>
      <c r="J57" s="3">
        <v>0</v>
      </c>
      <c r="K57" s="3">
        <v>366070000</v>
      </c>
      <c r="L57" s="3">
        <v>366070000</v>
      </c>
      <c r="M57" s="3">
        <v>0</v>
      </c>
      <c r="N57" s="3">
        <v>0</v>
      </c>
      <c r="O57" s="3">
        <v>0</v>
      </c>
      <c r="P57" s="3">
        <v>366070000</v>
      </c>
      <c r="Q57" s="3">
        <v>366070000</v>
      </c>
      <c r="R57" s="3">
        <v>0</v>
      </c>
      <c r="S57" s="3">
        <v>0</v>
      </c>
      <c r="T57" s="3">
        <v>0</v>
      </c>
      <c r="U57" s="3">
        <v>366070000</v>
      </c>
      <c r="V57" s="3">
        <v>366070000</v>
      </c>
      <c r="W57" s="3">
        <v>0</v>
      </c>
      <c r="X57" s="3">
        <v>0</v>
      </c>
      <c r="Y57" s="3">
        <v>0</v>
      </c>
      <c r="Z57" s="3">
        <v>366070000</v>
      </c>
      <c r="AA57" s="3">
        <v>366070000</v>
      </c>
      <c r="AB57" s="3">
        <v>0</v>
      </c>
      <c r="AC57" s="3">
        <v>0</v>
      </c>
      <c r="AD57" s="3">
        <v>0</v>
      </c>
      <c r="AE57" s="3">
        <v>366070000</v>
      </c>
      <c r="AF57" s="3">
        <v>366070000</v>
      </c>
      <c r="AG57" s="3">
        <v>0</v>
      </c>
      <c r="AH57" s="3">
        <v>0</v>
      </c>
      <c r="AI57" s="3">
        <v>0</v>
      </c>
      <c r="AJ57" s="3">
        <v>360046947.29999995</v>
      </c>
      <c r="AK57" s="3">
        <v>360046947.29999995</v>
      </c>
      <c r="AL57" s="3">
        <v>0</v>
      </c>
      <c r="AM57" s="3">
        <v>0</v>
      </c>
      <c r="AN57" s="3">
        <v>0</v>
      </c>
      <c r="AO57" s="3">
        <v>157150159.09999999</v>
      </c>
      <c r="AP57" s="3">
        <v>157150159.09999999</v>
      </c>
      <c r="AQ57" s="3">
        <v>0</v>
      </c>
      <c r="AR57" s="3">
        <v>0</v>
      </c>
      <c r="AS57" s="3">
        <v>0</v>
      </c>
      <c r="AT57" s="3">
        <v>33625000</v>
      </c>
      <c r="AU57" s="3">
        <v>33625000</v>
      </c>
      <c r="AV57" s="3">
        <v>0</v>
      </c>
      <c r="AW57" s="3">
        <v>0</v>
      </c>
      <c r="AX57" s="3">
        <v>0</v>
      </c>
      <c r="AY57" s="3">
        <v>33625000</v>
      </c>
      <c r="AZ57" s="3">
        <v>33625000</v>
      </c>
      <c r="BA57" s="3">
        <v>0</v>
      </c>
      <c r="BB57" s="3">
        <v>0</v>
      </c>
      <c r="BC57" s="3">
        <v>0</v>
      </c>
      <c r="BD57" s="3">
        <v>33625000</v>
      </c>
      <c r="BE57" s="3">
        <v>33625000</v>
      </c>
      <c r="BF57" s="3">
        <v>0</v>
      </c>
      <c r="BG57" s="3">
        <v>0</v>
      </c>
      <c r="BH57" s="3">
        <v>0</v>
      </c>
      <c r="BI57" s="3">
        <v>33625000</v>
      </c>
      <c r="BJ57" s="3">
        <v>33625000</v>
      </c>
      <c r="BK57" s="3">
        <v>0</v>
      </c>
      <c r="BL57" s="3">
        <v>0</v>
      </c>
      <c r="BM57" s="3">
        <v>0</v>
      </c>
      <c r="BN57" s="3">
        <v>33625000</v>
      </c>
      <c r="BO57" s="3">
        <v>33625000</v>
      </c>
      <c r="BP57" s="3">
        <v>0</v>
      </c>
      <c r="BQ57" s="3">
        <v>0</v>
      </c>
      <c r="BR57" s="3">
        <v>0</v>
      </c>
      <c r="BS57" s="10">
        <v>33566452.799999997</v>
      </c>
      <c r="BT57" s="3">
        <v>33566452.799999997</v>
      </c>
      <c r="BU57" s="3">
        <v>0</v>
      </c>
      <c r="BV57" s="3">
        <v>0</v>
      </c>
      <c r="BW57" s="3">
        <v>0</v>
      </c>
      <c r="BX57" s="3">
        <v>31192064.050000001</v>
      </c>
      <c r="BY57" s="3">
        <v>31192064.050000001</v>
      </c>
      <c r="BZ57" s="3">
        <v>0</v>
      </c>
      <c r="CA57" s="3">
        <v>0</v>
      </c>
      <c r="CB57" s="3">
        <v>0</v>
      </c>
      <c r="CC57" s="3">
        <v>42500000</v>
      </c>
      <c r="CD57" s="3">
        <v>42500000</v>
      </c>
      <c r="CE57" s="3">
        <v>0</v>
      </c>
      <c r="CF57" s="3">
        <v>0</v>
      </c>
      <c r="CG57" s="3">
        <v>0</v>
      </c>
      <c r="CH57" s="3">
        <v>41600000</v>
      </c>
      <c r="CI57" s="3">
        <v>41600000</v>
      </c>
      <c r="CJ57" s="3">
        <v>0</v>
      </c>
      <c r="CK57" s="3">
        <v>0</v>
      </c>
      <c r="CL57" s="3">
        <v>0</v>
      </c>
      <c r="CM57" s="3">
        <v>41600000</v>
      </c>
      <c r="CN57" s="3">
        <v>41600000</v>
      </c>
      <c r="CO57" s="3">
        <v>0</v>
      </c>
      <c r="CP57" s="3">
        <v>0</v>
      </c>
      <c r="CQ57" s="3">
        <v>0</v>
      </c>
      <c r="CR57" s="3">
        <v>29754500</v>
      </c>
      <c r="CS57" s="3">
        <v>29754500</v>
      </c>
      <c r="CT57" s="3">
        <v>0</v>
      </c>
      <c r="CU57" s="3">
        <v>0</v>
      </c>
      <c r="CV57" s="3">
        <v>0</v>
      </c>
      <c r="CW57" s="3">
        <v>29754500</v>
      </c>
      <c r="CX57" s="3">
        <v>29754500</v>
      </c>
      <c r="CY57" s="3">
        <v>0</v>
      </c>
      <c r="CZ57" s="3">
        <v>0</v>
      </c>
      <c r="DA57" s="3">
        <v>0</v>
      </c>
      <c r="DB57" s="3">
        <v>29692548</v>
      </c>
      <c r="DC57" s="3">
        <v>29692548</v>
      </c>
      <c r="DD57" s="3">
        <v>0</v>
      </c>
      <c r="DE57" s="3">
        <v>0</v>
      </c>
      <c r="DF57" s="3">
        <v>0</v>
      </c>
      <c r="DG57" s="10">
        <v>28149244.280000001</v>
      </c>
      <c r="DH57" s="10">
        <v>28149244.280000001</v>
      </c>
      <c r="DI57" s="3">
        <v>0</v>
      </c>
      <c r="DJ57" s="3">
        <v>0</v>
      </c>
      <c r="DK57" s="3">
        <v>0</v>
      </c>
      <c r="DL57" s="3">
        <v>35900000</v>
      </c>
      <c r="DM57" s="3">
        <v>35900000</v>
      </c>
      <c r="DN57" s="3">
        <v>0</v>
      </c>
      <c r="DO57" s="3">
        <v>0</v>
      </c>
      <c r="DP57" s="3">
        <v>0</v>
      </c>
      <c r="DQ57" s="3">
        <v>35900000</v>
      </c>
      <c r="DR57" s="3">
        <v>35900000</v>
      </c>
      <c r="DS57" s="3">
        <v>0</v>
      </c>
      <c r="DT57" s="3">
        <v>0</v>
      </c>
      <c r="DU57" s="3">
        <v>0</v>
      </c>
      <c r="DV57" s="3">
        <v>35900000</v>
      </c>
      <c r="DW57" s="3">
        <v>35900000</v>
      </c>
      <c r="DX57" s="3">
        <v>0</v>
      </c>
      <c r="DY57" s="3">
        <v>0</v>
      </c>
      <c r="DZ57" s="3">
        <v>0</v>
      </c>
      <c r="EA57" s="3">
        <v>35900000</v>
      </c>
      <c r="EB57" s="3">
        <v>35900000</v>
      </c>
      <c r="EC57" s="3">
        <v>0</v>
      </c>
      <c r="ED57" s="3">
        <v>0</v>
      </c>
      <c r="EE57" s="3">
        <v>0</v>
      </c>
      <c r="EF57" s="3">
        <v>35900000</v>
      </c>
      <c r="EG57" s="3">
        <v>35900000</v>
      </c>
      <c r="EH57" s="3">
        <v>0</v>
      </c>
      <c r="EI57" s="3">
        <v>0</v>
      </c>
      <c r="EJ57" s="3">
        <v>0</v>
      </c>
      <c r="EK57" s="3">
        <v>34424350</v>
      </c>
      <c r="EL57" s="3">
        <v>34424350</v>
      </c>
      <c r="EM57" s="3">
        <v>0</v>
      </c>
      <c r="EN57" s="3">
        <v>0</v>
      </c>
      <c r="EO57" s="3">
        <v>0</v>
      </c>
      <c r="EP57" s="3">
        <v>31357858.690000001</v>
      </c>
      <c r="EQ57" s="3">
        <v>31357858.690000001</v>
      </c>
      <c r="ER57" s="3">
        <v>0</v>
      </c>
      <c r="ES57" s="3">
        <v>0</v>
      </c>
      <c r="ET57" s="3">
        <v>0</v>
      </c>
      <c r="EU57" s="3">
        <v>33520000</v>
      </c>
      <c r="EV57" s="3">
        <v>33520000</v>
      </c>
      <c r="EW57" s="3">
        <v>0</v>
      </c>
      <c r="EX57" s="3">
        <v>0</v>
      </c>
      <c r="EY57" s="3">
        <v>0</v>
      </c>
      <c r="EZ57" s="3">
        <v>33520000</v>
      </c>
      <c r="FA57" s="3">
        <v>33520000</v>
      </c>
      <c r="FB57" s="3">
        <v>0</v>
      </c>
      <c r="FC57" s="3">
        <v>0</v>
      </c>
      <c r="FD57" s="3">
        <v>0</v>
      </c>
      <c r="FE57" s="3">
        <v>33520000</v>
      </c>
      <c r="FF57" s="3">
        <v>33520000</v>
      </c>
      <c r="FG57" s="3">
        <v>0</v>
      </c>
      <c r="FH57" s="3">
        <v>0</v>
      </c>
      <c r="FI57" s="3">
        <v>0</v>
      </c>
      <c r="FJ57" s="3">
        <v>33520000</v>
      </c>
      <c r="FK57" s="3">
        <v>33520000</v>
      </c>
      <c r="FL57" s="3">
        <v>0</v>
      </c>
      <c r="FM57" s="3">
        <v>0</v>
      </c>
      <c r="FN57" s="3">
        <v>0</v>
      </c>
      <c r="FO57" s="3">
        <v>33520000</v>
      </c>
      <c r="FP57" s="3">
        <v>33520000</v>
      </c>
      <c r="FQ57" s="3">
        <v>0</v>
      </c>
      <c r="FR57" s="3">
        <v>0</v>
      </c>
      <c r="FS57" s="3">
        <v>0</v>
      </c>
      <c r="FT57" s="3">
        <v>33245602</v>
      </c>
      <c r="FU57" s="3">
        <v>33245602</v>
      </c>
      <c r="FV57" s="3">
        <v>0</v>
      </c>
      <c r="FW57" s="3">
        <v>0</v>
      </c>
      <c r="FX57" s="3">
        <v>0</v>
      </c>
      <c r="FY57" s="3">
        <v>30244686.379999999</v>
      </c>
      <c r="FZ57" s="3">
        <v>30244686.379999999</v>
      </c>
      <c r="GA57" s="3">
        <v>0</v>
      </c>
      <c r="GB57" s="3">
        <v>0</v>
      </c>
      <c r="GC57" s="3">
        <v>0</v>
      </c>
      <c r="GD57" s="3">
        <v>88710000</v>
      </c>
      <c r="GE57" s="3">
        <v>88710000</v>
      </c>
      <c r="GF57" s="3">
        <v>0</v>
      </c>
      <c r="GG57" s="3">
        <v>0</v>
      </c>
      <c r="GH57" s="3">
        <v>0</v>
      </c>
      <c r="GI57" s="3">
        <v>201810000</v>
      </c>
      <c r="GJ57" s="3">
        <v>201810000</v>
      </c>
      <c r="GK57" s="3">
        <v>0</v>
      </c>
      <c r="GL57" s="3">
        <v>0</v>
      </c>
      <c r="GM57" s="3">
        <v>0</v>
      </c>
      <c r="GN57" s="3">
        <v>201810000</v>
      </c>
      <c r="GO57" s="3">
        <v>201810000</v>
      </c>
      <c r="GP57" s="3">
        <v>0</v>
      </c>
      <c r="GQ57" s="3">
        <v>0</v>
      </c>
      <c r="GR57" s="3">
        <v>0</v>
      </c>
      <c r="GS57" s="10">
        <v>200310000</v>
      </c>
      <c r="GT57" s="3">
        <v>200310000</v>
      </c>
      <c r="GU57" s="3">
        <v>0</v>
      </c>
      <c r="GV57" s="3">
        <v>0</v>
      </c>
      <c r="GW57" s="3">
        <v>0</v>
      </c>
      <c r="GX57" s="10">
        <v>200310000</v>
      </c>
      <c r="GY57" s="3">
        <v>200310000</v>
      </c>
      <c r="GZ57" s="3">
        <v>0</v>
      </c>
      <c r="HA57" s="3">
        <v>0</v>
      </c>
      <c r="HB57" s="3">
        <v>0</v>
      </c>
      <c r="HC57" s="3">
        <v>192829892.88999999</v>
      </c>
      <c r="HD57" s="3">
        <v>192829892.88999999</v>
      </c>
      <c r="HE57" s="3">
        <v>0</v>
      </c>
      <c r="HF57" s="3">
        <v>0</v>
      </c>
      <c r="HG57" s="3">
        <v>0</v>
      </c>
      <c r="HH57" s="3">
        <v>112160016.62</v>
      </c>
      <c r="HI57" s="3">
        <v>112160016.62</v>
      </c>
      <c r="HJ57" s="3">
        <v>0</v>
      </c>
      <c r="HK57" s="3">
        <v>0</v>
      </c>
      <c r="HL57" s="3">
        <v>0</v>
      </c>
      <c r="HM57" s="3">
        <v>118910000</v>
      </c>
      <c r="HN57" s="3">
        <v>118910000</v>
      </c>
      <c r="HO57" s="3">
        <v>0</v>
      </c>
      <c r="HP57" s="3">
        <v>0</v>
      </c>
      <c r="HQ57" s="3">
        <v>0</v>
      </c>
      <c r="HR57" s="3">
        <v>118910000</v>
      </c>
      <c r="HS57" s="3">
        <v>118910000</v>
      </c>
      <c r="HT57" s="3">
        <v>0</v>
      </c>
      <c r="HU57" s="3">
        <v>0</v>
      </c>
      <c r="HV57" s="3">
        <v>0</v>
      </c>
      <c r="HW57" s="3">
        <v>118910000</v>
      </c>
      <c r="HX57" s="3">
        <v>118910000</v>
      </c>
      <c r="HY57" s="3">
        <v>0</v>
      </c>
      <c r="HZ57" s="3">
        <v>0</v>
      </c>
      <c r="IA57" s="3">
        <v>0</v>
      </c>
      <c r="IB57" s="10">
        <v>118910000</v>
      </c>
      <c r="IC57" s="3">
        <v>118910000</v>
      </c>
      <c r="ID57" s="3">
        <v>0</v>
      </c>
      <c r="IE57" s="3">
        <v>0</v>
      </c>
      <c r="IF57" s="3">
        <v>0</v>
      </c>
      <c r="IG57" s="10">
        <v>118910000</v>
      </c>
      <c r="IH57" s="3">
        <v>118910000</v>
      </c>
      <c r="II57" s="3">
        <v>0</v>
      </c>
      <c r="IJ57" s="3">
        <v>0</v>
      </c>
      <c r="IK57" s="3">
        <v>0</v>
      </c>
      <c r="IL57" s="3">
        <v>111696960.45999999</v>
      </c>
      <c r="IM57" s="6">
        <v>111696960.45999999</v>
      </c>
      <c r="IN57" s="3">
        <v>0</v>
      </c>
      <c r="IO57" s="3">
        <v>0</v>
      </c>
      <c r="IP57" s="3">
        <v>0</v>
      </c>
      <c r="IQ57" s="3">
        <v>81032759.430000007</v>
      </c>
      <c r="IR57" s="6">
        <v>81032759.430000007</v>
      </c>
      <c r="IS57" s="3">
        <v>0</v>
      </c>
      <c r="IT57" s="3">
        <v>0</v>
      </c>
      <c r="IU57" s="3">
        <v>0</v>
      </c>
      <c r="IV57" s="3">
        <v>105830000</v>
      </c>
      <c r="IW57" s="3">
        <v>105830000</v>
      </c>
      <c r="IX57" s="3">
        <v>0</v>
      </c>
      <c r="IY57" s="3">
        <v>0</v>
      </c>
      <c r="IZ57" s="3">
        <v>0</v>
      </c>
      <c r="JA57" s="3">
        <v>105830000</v>
      </c>
      <c r="JB57" s="3">
        <v>105830000</v>
      </c>
      <c r="JC57" s="3">
        <v>0</v>
      </c>
      <c r="JD57" s="3">
        <v>0</v>
      </c>
      <c r="JE57" s="3">
        <v>0</v>
      </c>
      <c r="JF57" s="3">
        <v>105830000</v>
      </c>
      <c r="JG57" s="3">
        <v>105830000</v>
      </c>
      <c r="JH57" s="3">
        <v>0</v>
      </c>
      <c r="JI57" s="3">
        <v>0</v>
      </c>
      <c r="JJ57" s="3">
        <v>0</v>
      </c>
      <c r="JK57" s="3">
        <v>105830000</v>
      </c>
      <c r="JL57" s="3">
        <v>105830000</v>
      </c>
      <c r="JM57" s="3">
        <v>0</v>
      </c>
      <c r="JN57" s="3">
        <v>0</v>
      </c>
      <c r="JO57" s="3">
        <v>0</v>
      </c>
      <c r="JP57" s="3">
        <v>105830000</v>
      </c>
      <c r="JQ57" s="3">
        <v>105830000</v>
      </c>
      <c r="JR57" s="3">
        <v>0</v>
      </c>
      <c r="JS57" s="3">
        <v>0</v>
      </c>
      <c r="JT57" s="3">
        <v>0</v>
      </c>
      <c r="JU57" s="3">
        <v>96952197.010000005</v>
      </c>
      <c r="JV57" s="3">
        <v>96952197.010000005</v>
      </c>
      <c r="JW57" s="3">
        <v>0</v>
      </c>
      <c r="JX57" s="3">
        <v>0</v>
      </c>
      <c r="JY57" s="3">
        <v>0</v>
      </c>
      <c r="JZ57" s="3">
        <v>79774248.950000003</v>
      </c>
      <c r="KA57" s="3">
        <v>79774248.950000003</v>
      </c>
      <c r="KB57" s="3">
        <v>0</v>
      </c>
      <c r="KC57" s="3">
        <v>0</v>
      </c>
      <c r="KD57" s="3">
        <v>0</v>
      </c>
      <c r="KE57" s="3">
        <v>98600000</v>
      </c>
      <c r="KF57" s="3">
        <v>98600000</v>
      </c>
      <c r="KG57" s="3">
        <v>0</v>
      </c>
      <c r="KH57" s="3">
        <v>0</v>
      </c>
      <c r="KI57" s="3">
        <v>0</v>
      </c>
      <c r="KJ57" s="3">
        <v>98600000</v>
      </c>
      <c r="KK57" s="3">
        <v>98600000</v>
      </c>
      <c r="KL57" s="3"/>
      <c r="KM57" s="3"/>
      <c r="KN57" s="3"/>
      <c r="KO57" s="3"/>
      <c r="KP57" s="3"/>
      <c r="KQ57" s="3"/>
      <c r="KR57" s="3"/>
      <c r="KS57" s="3"/>
      <c r="KT57" s="3"/>
      <c r="KU57" s="3"/>
      <c r="KV57" s="3"/>
      <c r="KW57" s="3"/>
      <c r="KX57" s="3"/>
      <c r="KY57" s="3"/>
      <c r="KZ57" s="3"/>
      <c r="LA57" s="3"/>
      <c r="LB57" s="3"/>
      <c r="LC57" s="3"/>
      <c r="LD57" s="3"/>
      <c r="LE57" s="3"/>
      <c r="LF57" s="3"/>
      <c r="LG57" s="3"/>
      <c r="LH57" s="3"/>
      <c r="LI57" s="3"/>
      <c r="LJ57" s="3"/>
      <c r="LK57">
        <v>0</v>
      </c>
      <c r="LL57">
        <v>0</v>
      </c>
      <c r="LM57">
        <v>0</v>
      </c>
      <c r="LN57" s="3">
        <v>92225000</v>
      </c>
      <c r="LO57" s="3">
        <v>92225000</v>
      </c>
    </row>
    <row r="58" spans="1:327" x14ac:dyDescent="0.25">
      <c r="A58" t="s">
        <v>943</v>
      </c>
      <c r="B58" t="s">
        <v>944</v>
      </c>
      <c r="C58" t="s">
        <v>199</v>
      </c>
      <c r="D58" t="s">
        <v>200</v>
      </c>
      <c r="E58" t="s">
        <v>224</v>
      </c>
      <c r="F58" t="s">
        <v>237</v>
      </c>
      <c r="G58" t="s">
        <v>1048</v>
      </c>
      <c r="H58" s="3">
        <v>0</v>
      </c>
      <c r="I58" s="3">
        <v>19629000</v>
      </c>
      <c r="J58" s="3">
        <v>0</v>
      </c>
      <c r="K58" s="3">
        <v>139410000</v>
      </c>
      <c r="L58" s="3">
        <v>159039000</v>
      </c>
      <c r="M58" s="3">
        <v>0</v>
      </c>
      <c r="N58" s="3">
        <v>19629000</v>
      </c>
      <c r="O58" s="3">
        <v>0</v>
      </c>
      <c r="P58" s="3">
        <v>136750000</v>
      </c>
      <c r="Q58" s="3">
        <v>156379000</v>
      </c>
      <c r="R58" s="3">
        <v>0</v>
      </c>
      <c r="S58" s="3">
        <v>19629000</v>
      </c>
      <c r="T58" s="3">
        <v>0</v>
      </c>
      <c r="U58" s="3">
        <v>136750000</v>
      </c>
      <c r="V58" s="3">
        <v>156379000</v>
      </c>
      <c r="W58" s="3">
        <v>0</v>
      </c>
      <c r="X58" s="3">
        <v>19629000</v>
      </c>
      <c r="Y58" s="3">
        <v>0</v>
      </c>
      <c r="Z58" s="3">
        <v>136750000</v>
      </c>
      <c r="AA58" s="3">
        <v>156379000</v>
      </c>
      <c r="AB58" s="3">
        <v>0</v>
      </c>
      <c r="AC58" s="3">
        <v>19629000</v>
      </c>
      <c r="AD58" s="3">
        <v>0</v>
      </c>
      <c r="AE58" s="3">
        <v>136750000</v>
      </c>
      <c r="AF58" s="3">
        <v>156379000</v>
      </c>
      <c r="AG58" s="3">
        <v>0</v>
      </c>
      <c r="AH58" s="3">
        <v>19142555.620000001</v>
      </c>
      <c r="AI58" s="3">
        <v>0</v>
      </c>
      <c r="AJ58" s="3">
        <v>133557363.89</v>
      </c>
      <c r="AK58" s="3">
        <v>152699919.51000002</v>
      </c>
      <c r="AL58" s="3">
        <v>0</v>
      </c>
      <c r="AM58" s="3">
        <v>13401718.09</v>
      </c>
      <c r="AN58" s="3">
        <v>0</v>
      </c>
      <c r="AO58" s="3">
        <v>92456886.639999986</v>
      </c>
      <c r="AP58" s="3">
        <v>105858604.73</v>
      </c>
      <c r="AQ58" s="3">
        <v>0</v>
      </c>
      <c r="AR58" s="3">
        <v>27293000</v>
      </c>
      <c r="AS58" s="3">
        <v>0</v>
      </c>
      <c r="AT58" s="3">
        <v>81855000</v>
      </c>
      <c r="AU58" s="3">
        <v>109148000</v>
      </c>
      <c r="AV58" s="3">
        <v>0</v>
      </c>
      <c r="AW58" s="3">
        <v>28293000</v>
      </c>
      <c r="AX58" s="3">
        <v>0</v>
      </c>
      <c r="AY58" s="3">
        <v>89855000</v>
      </c>
      <c r="AZ58" s="3">
        <v>118148000</v>
      </c>
      <c r="BA58" s="3">
        <v>0</v>
      </c>
      <c r="BB58" s="3">
        <v>28293000</v>
      </c>
      <c r="BC58" s="3">
        <v>0</v>
      </c>
      <c r="BD58" s="3">
        <v>89855000</v>
      </c>
      <c r="BE58" s="3">
        <v>118148000</v>
      </c>
      <c r="BF58" s="3">
        <v>0</v>
      </c>
      <c r="BG58" s="3">
        <v>28080709</v>
      </c>
      <c r="BH58" s="3">
        <v>0</v>
      </c>
      <c r="BI58" s="3">
        <v>90067291</v>
      </c>
      <c r="BJ58" s="3">
        <v>118148000</v>
      </c>
      <c r="BK58" s="3">
        <v>0</v>
      </c>
      <c r="BL58" s="3">
        <v>28080709</v>
      </c>
      <c r="BM58" s="3">
        <v>0</v>
      </c>
      <c r="BN58" s="3">
        <v>90067291</v>
      </c>
      <c r="BO58" s="3">
        <v>118148000</v>
      </c>
      <c r="BP58" s="3">
        <v>0</v>
      </c>
      <c r="BQ58" s="3">
        <v>27798569.32</v>
      </c>
      <c r="BR58" s="3">
        <v>0</v>
      </c>
      <c r="BS58" s="3">
        <v>87023508.849999994</v>
      </c>
      <c r="BT58" s="3">
        <v>114822078.17</v>
      </c>
      <c r="BU58" s="3">
        <v>0</v>
      </c>
      <c r="BV58" s="3">
        <v>15669514.109999999</v>
      </c>
      <c r="BW58" s="3">
        <v>0</v>
      </c>
      <c r="BX58" s="3">
        <v>56026562.030000001</v>
      </c>
      <c r="BY58" s="3">
        <v>71696076.140000001</v>
      </c>
      <c r="BZ58" s="3">
        <v>0</v>
      </c>
      <c r="CA58" s="3">
        <v>0</v>
      </c>
      <c r="CB58" s="3">
        <v>0</v>
      </c>
      <c r="CC58" s="3">
        <v>82329000</v>
      </c>
      <c r="CD58" s="3">
        <v>82329000</v>
      </c>
      <c r="CE58" s="3">
        <v>0</v>
      </c>
      <c r="CF58" s="3">
        <v>0</v>
      </c>
      <c r="CG58" s="3">
        <v>0</v>
      </c>
      <c r="CH58" s="3">
        <v>82329000</v>
      </c>
      <c r="CI58" s="3">
        <v>82329000</v>
      </c>
      <c r="CJ58" s="3">
        <v>0</v>
      </c>
      <c r="CK58" s="3">
        <v>0</v>
      </c>
      <c r="CL58" s="3">
        <v>0</v>
      </c>
      <c r="CM58" s="3">
        <v>82329000</v>
      </c>
      <c r="CN58" s="3">
        <v>82329000</v>
      </c>
      <c r="CO58" s="3">
        <v>0</v>
      </c>
      <c r="CP58" s="3">
        <v>0</v>
      </c>
      <c r="CQ58" s="3">
        <v>0</v>
      </c>
      <c r="CR58" s="3">
        <v>60701598</v>
      </c>
      <c r="CS58" s="3">
        <v>60701598</v>
      </c>
      <c r="CT58" s="3">
        <v>0</v>
      </c>
      <c r="CU58" s="3">
        <v>0</v>
      </c>
      <c r="CV58" s="3">
        <v>0</v>
      </c>
      <c r="CW58" s="3">
        <v>60701598</v>
      </c>
      <c r="CX58" s="3">
        <v>60701598</v>
      </c>
      <c r="CY58" s="3">
        <v>0</v>
      </c>
      <c r="CZ58" s="3">
        <v>0</v>
      </c>
      <c r="DA58" s="3">
        <v>0</v>
      </c>
      <c r="DB58" s="3">
        <v>59627164.300000004</v>
      </c>
      <c r="DC58" s="3">
        <v>59627164.300000004</v>
      </c>
      <c r="DD58" s="3">
        <v>0</v>
      </c>
      <c r="DE58" s="3">
        <v>0</v>
      </c>
      <c r="DF58" s="3">
        <v>0</v>
      </c>
      <c r="DG58" s="10">
        <v>40841254.57</v>
      </c>
      <c r="DH58" s="10">
        <v>40841254.57</v>
      </c>
      <c r="DI58" s="3">
        <v>0</v>
      </c>
      <c r="DJ58" s="3">
        <v>3460000</v>
      </c>
      <c r="DK58" s="3">
        <v>0</v>
      </c>
      <c r="DL58" s="3">
        <v>89677000</v>
      </c>
      <c r="DM58" s="3">
        <v>93137000</v>
      </c>
      <c r="DN58" s="3">
        <v>0</v>
      </c>
      <c r="DO58" s="3">
        <v>3460000</v>
      </c>
      <c r="DP58" s="3">
        <v>0</v>
      </c>
      <c r="DQ58" s="3">
        <v>89677000</v>
      </c>
      <c r="DR58" s="3">
        <v>93137000</v>
      </c>
      <c r="DS58" s="3">
        <v>0</v>
      </c>
      <c r="DT58" s="3">
        <v>3460000</v>
      </c>
      <c r="DU58" s="3">
        <v>0</v>
      </c>
      <c r="DV58" s="3">
        <v>89677000</v>
      </c>
      <c r="DW58" s="3">
        <v>93137000</v>
      </c>
      <c r="DX58" s="3">
        <v>0</v>
      </c>
      <c r="DY58" s="3">
        <v>3460000</v>
      </c>
      <c r="DZ58" s="3">
        <v>0</v>
      </c>
      <c r="EA58" s="3">
        <v>89677000</v>
      </c>
      <c r="EB58" s="3">
        <v>93137000</v>
      </c>
      <c r="EC58" s="3">
        <v>0</v>
      </c>
      <c r="ED58" s="3">
        <v>3460000</v>
      </c>
      <c r="EE58" s="3">
        <v>0</v>
      </c>
      <c r="EF58" s="3">
        <v>89677000</v>
      </c>
      <c r="EG58" s="3">
        <v>93137000</v>
      </c>
      <c r="EH58" s="3">
        <v>0</v>
      </c>
      <c r="EI58" s="3">
        <v>3460000</v>
      </c>
      <c r="EJ58" s="3">
        <v>0</v>
      </c>
      <c r="EK58" s="3">
        <v>86977277.180000007</v>
      </c>
      <c r="EL58" s="3">
        <v>90437277.180000007</v>
      </c>
      <c r="EM58" s="3">
        <v>0</v>
      </c>
      <c r="EN58" s="3">
        <v>3354020.25</v>
      </c>
      <c r="EO58" s="3">
        <v>0</v>
      </c>
      <c r="EP58" s="3">
        <v>53092811.360000007</v>
      </c>
      <c r="EQ58" s="3">
        <v>56446831.609999992</v>
      </c>
      <c r="ER58" s="3">
        <v>0</v>
      </c>
      <c r="ES58" s="3">
        <v>3460000</v>
      </c>
      <c r="ET58" s="3">
        <v>0</v>
      </c>
      <c r="EU58" s="3">
        <v>89677000</v>
      </c>
      <c r="EV58" s="3">
        <v>93137000</v>
      </c>
      <c r="EW58" s="3">
        <v>0</v>
      </c>
      <c r="EX58" s="3">
        <v>3460000</v>
      </c>
      <c r="EY58" s="3">
        <v>0</v>
      </c>
      <c r="EZ58" s="3">
        <v>88677000</v>
      </c>
      <c r="FA58" s="3">
        <v>92137000</v>
      </c>
      <c r="FB58" s="3">
        <v>0</v>
      </c>
      <c r="FC58" s="3">
        <v>3460000</v>
      </c>
      <c r="FD58" s="3">
        <v>0</v>
      </c>
      <c r="FE58" s="3">
        <v>88677000</v>
      </c>
      <c r="FF58" s="3">
        <v>92137000</v>
      </c>
      <c r="FG58" s="3">
        <v>0</v>
      </c>
      <c r="FH58" s="3">
        <v>3460000</v>
      </c>
      <c r="FI58" s="3">
        <v>0</v>
      </c>
      <c r="FJ58" s="3">
        <v>88677000</v>
      </c>
      <c r="FK58" s="3">
        <v>92137000</v>
      </c>
      <c r="FL58" s="3">
        <v>0</v>
      </c>
      <c r="FM58" s="3">
        <v>3460000</v>
      </c>
      <c r="FN58" s="3">
        <v>0</v>
      </c>
      <c r="FO58" s="3">
        <v>88677000</v>
      </c>
      <c r="FP58" s="3">
        <v>92137000</v>
      </c>
      <c r="FQ58" s="3">
        <v>0</v>
      </c>
      <c r="FR58" s="3">
        <v>3459985.57</v>
      </c>
      <c r="FS58" s="3">
        <v>0</v>
      </c>
      <c r="FT58" s="3">
        <v>85130737.340000004</v>
      </c>
      <c r="FU58" s="3">
        <v>88590722.909999996</v>
      </c>
      <c r="FV58" s="3">
        <v>0</v>
      </c>
      <c r="FW58" s="3">
        <v>3459985.57</v>
      </c>
      <c r="FX58" s="3">
        <v>0</v>
      </c>
      <c r="FY58" s="3">
        <v>64649059.119999997</v>
      </c>
      <c r="FZ58" s="3">
        <v>68109044.689999998</v>
      </c>
      <c r="GA58" s="3">
        <v>0</v>
      </c>
      <c r="GB58" s="3">
        <v>13200000</v>
      </c>
      <c r="GC58" s="3">
        <v>0</v>
      </c>
      <c r="GD58" s="3">
        <v>79186000</v>
      </c>
      <c r="GE58" s="3">
        <v>92386000</v>
      </c>
      <c r="GF58" s="3">
        <v>0</v>
      </c>
      <c r="GG58" s="3">
        <v>13200000</v>
      </c>
      <c r="GH58" s="3">
        <v>0</v>
      </c>
      <c r="GI58" s="3">
        <v>98311000</v>
      </c>
      <c r="GJ58" s="3">
        <v>111511000</v>
      </c>
      <c r="GK58" s="3">
        <v>0</v>
      </c>
      <c r="GL58" s="3">
        <v>13200000</v>
      </c>
      <c r="GM58" s="3">
        <v>0</v>
      </c>
      <c r="GN58" s="3">
        <v>98311000</v>
      </c>
      <c r="GO58" s="3">
        <v>111511000</v>
      </c>
      <c r="GP58" s="3">
        <v>0</v>
      </c>
      <c r="GQ58" s="3">
        <v>13200000</v>
      </c>
      <c r="GR58" s="3">
        <v>0</v>
      </c>
      <c r="GS58" s="3">
        <v>93311000</v>
      </c>
      <c r="GT58" s="3">
        <v>106511000</v>
      </c>
      <c r="GU58" s="3">
        <v>0</v>
      </c>
      <c r="GV58" s="3">
        <v>13200000</v>
      </c>
      <c r="GW58" s="3">
        <v>0</v>
      </c>
      <c r="GX58" s="3">
        <v>93311000</v>
      </c>
      <c r="GY58" s="3">
        <v>106511000</v>
      </c>
      <c r="GZ58" s="3">
        <v>0</v>
      </c>
      <c r="HA58" s="3">
        <v>13200000</v>
      </c>
      <c r="HB58" s="3">
        <v>0</v>
      </c>
      <c r="HC58" s="3">
        <v>89582413.709999993</v>
      </c>
      <c r="HD58" s="3">
        <v>102782413.70999999</v>
      </c>
      <c r="HE58" s="3">
        <v>0</v>
      </c>
      <c r="HF58" s="3">
        <v>10000000</v>
      </c>
      <c r="HG58" s="3">
        <v>0</v>
      </c>
      <c r="HH58" s="3">
        <v>67564199.079999998</v>
      </c>
      <c r="HI58" s="3">
        <v>77564199.079999998</v>
      </c>
      <c r="HJ58" s="3">
        <v>0</v>
      </c>
      <c r="HK58" s="3">
        <v>0</v>
      </c>
      <c r="HL58" s="3">
        <v>0</v>
      </c>
      <c r="HM58" s="3">
        <v>57435000</v>
      </c>
      <c r="HN58" s="3">
        <v>57435000</v>
      </c>
      <c r="HO58" s="3">
        <v>0</v>
      </c>
      <c r="HP58" s="3">
        <v>0</v>
      </c>
      <c r="HQ58" s="3">
        <v>0</v>
      </c>
      <c r="HR58" s="3">
        <v>52755000</v>
      </c>
      <c r="HS58" s="3">
        <v>52755000</v>
      </c>
      <c r="HT58" s="3">
        <v>0</v>
      </c>
      <c r="HU58" s="3">
        <v>0</v>
      </c>
      <c r="HV58" s="3">
        <v>0</v>
      </c>
      <c r="HW58" s="3">
        <v>52755000</v>
      </c>
      <c r="HX58" s="3">
        <v>52755000</v>
      </c>
      <c r="HY58" s="3">
        <v>0</v>
      </c>
      <c r="HZ58" s="3">
        <v>0</v>
      </c>
      <c r="IA58" s="3">
        <v>0</v>
      </c>
      <c r="IB58" s="10">
        <v>52755000</v>
      </c>
      <c r="IC58" s="3">
        <v>52755000</v>
      </c>
      <c r="ID58" s="3">
        <v>0</v>
      </c>
      <c r="IE58" s="3">
        <v>0</v>
      </c>
      <c r="IF58" s="3">
        <v>0</v>
      </c>
      <c r="IG58" s="10">
        <v>52755000</v>
      </c>
      <c r="IH58" s="3">
        <v>52755000</v>
      </c>
      <c r="II58" s="3">
        <v>0</v>
      </c>
      <c r="IJ58" s="3">
        <v>0</v>
      </c>
      <c r="IK58" s="3">
        <v>0</v>
      </c>
      <c r="IL58" s="3">
        <v>49251355.050000004</v>
      </c>
      <c r="IM58" s="6">
        <v>49251355.050000004</v>
      </c>
      <c r="IN58" s="3">
        <v>0</v>
      </c>
      <c r="IO58" s="3">
        <v>0</v>
      </c>
      <c r="IP58" s="3">
        <v>0</v>
      </c>
      <c r="IQ58" s="3">
        <v>29391693.620000001</v>
      </c>
      <c r="IR58" s="6">
        <v>29391693.620000001</v>
      </c>
      <c r="IS58" s="3">
        <v>0</v>
      </c>
      <c r="IT58" s="3">
        <v>5816000</v>
      </c>
      <c r="IU58" s="3">
        <v>0</v>
      </c>
      <c r="IV58" s="3">
        <v>798811000</v>
      </c>
      <c r="IW58" s="3">
        <v>804627000</v>
      </c>
      <c r="IX58" s="3">
        <v>0</v>
      </c>
      <c r="IY58" s="3">
        <v>5816000</v>
      </c>
      <c r="IZ58" s="3">
        <v>0</v>
      </c>
      <c r="JA58" s="3">
        <v>348811000</v>
      </c>
      <c r="JB58" s="3">
        <v>354627000</v>
      </c>
      <c r="JC58" s="3">
        <v>0</v>
      </c>
      <c r="JD58" s="3">
        <v>5816000</v>
      </c>
      <c r="JE58" s="3">
        <v>0</v>
      </c>
      <c r="JF58" s="3">
        <v>348811000</v>
      </c>
      <c r="JG58" s="3">
        <v>354627000</v>
      </c>
      <c r="JH58" s="3">
        <v>0</v>
      </c>
      <c r="JI58" s="3">
        <v>5816000</v>
      </c>
      <c r="JJ58" s="3">
        <v>0</v>
      </c>
      <c r="JK58" s="3">
        <v>348811000</v>
      </c>
      <c r="JL58" s="3">
        <v>354627000</v>
      </c>
      <c r="JM58" s="3">
        <v>0</v>
      </c>
      <c r="JN58" s="3">
        <v>5816000</v>
      </c>
      <c r="JO58" s="3">
        <v>0</v>
      </c>
      <c r="JP58" s="3">
        <v>348811000</v>
      </c>
      <c r="JQ58" s="3">
        <v>354627000</v>
      </c>
      <c r="JR58" s="3">
        <v>0</v>
      </c>
      <c r="JS58" s="3">
        <v>5550800</v>
      </c>
      <c r="JT58" s="3">
        <v>0</v>
      </c>
      <c r="JU58" s="3">
        <v>302624211.69999999</v>
      </c>
      <c r="JV58" s="3">
        <v>308175011.69999999</v>
      </c>
      <c r="JW58" s="3">
        <v>0</v>
      </c>
      <c r="JX58" s="3">
        <v>5000000</v>
      </c>
      <c r="JY58" s="3">
        <v>0</v>
      </c>
      <c r="JZ58" s="3">
        <v>175423504.08000001</v>
      </c>
      <c r="KA58" s="3">
        <v>180423504.08000001</v>
      </c>
      <c r="KB58" s="3">
        <v>0</v>
      </c>
      <c r="KC58" s="3">
        <v>7800000</v>
      </c>
      <c r="KD58" s="3">
        <v>0</v>
      </c>
      <c r="KE58" s="3">
        <v>90480000</v>
      </c>
      <c r="KF58" s="3">
        <v>98280000</v>
      </c>
      <c r="KG58" s="3">
        <v>0</v>
      </c>
      <c r="KH58" s="3">
        <v>18300000</v>
      </c>
      <c r="KI58" s="3">
        <v>0</v>
      </c>
      <c r="KJ58" s="3">
        <v>90480000</v>
      </c>
      <c r="KK58" s="3">
        <v>108780000</v>
      </c>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v>0</v>
      </c>
      <c r="LL58">
        <v>0</v>
      </c>
      <c r="LM58">
        <v>0</v>
      </c>
      <c r="LN58" s="3">
        <v>42401000</v>
      </c>
      <c r="LO58" s="3">
        <v>42401000</v>
      </c>
    </row>
    <row r="59" spans="1:327" x14ac:dyDescent="0.25">
      <c r="A59" t="s">
        <v>943</v>
      </c>
      <c r="B59" t="s">
        <v>944</v>
      </c>
      <c r="C59" t="s">
        <v>199</v>
      </c>
      <c r="D59" t="s">
        <v>200</v>
      </c>
      <c r="E59" t="s">
        <v>224</v>
      </c>
      <c r="F59" t="s">
        <v>971</v>
      </c>
      <c r="G59" t="s">
        <v>1045</v>
      </c>
      <c r="H59" s="3">
        <v>16367000</v>
      </c>
      <c r="I59" s="3">
        <v>13317000</v>
      </c>
      <c r="J59" s="3">
        <v>0</v>
      </c>
      <c r="K59" s="3">
        <v>18940000</v>
      </c>
      <c r="L59" s="3">
        <v>48624000</v>
      </c>
      <c r="M59" s="3">
        <v>16367000</v>
      </c>
      <c r="N59" s="3">
        <v>13317000</v>
      </c>
      <c r="O59" s="3">
        <v>0</v>
      </c>
      <c r="P59" s="3">
        <v>18940000</v>
      </c>
      <c r="Q59" s="3">
        <v>48624000</v>
      </c>
      <c r="R59" s="3">
        <v>16367000</v>
      </c>
      <c r="S59" s="3">
        <v>13317000</v>
      </c>
      <c r="T59" s="3">
        <v>0</v>
      </c>
      <c r="U59" s="3">
        <v>18940000</v>
      </c>
      <c r="V59" s="3">
        <v>48624000</v>
      </c>
      <c r="W59" s="3">
        <v>15367000</v>
      </c>
      <c r="X59" s="3">
        <v>13317000</v>
      </c>
      <c r="Y59" s="3">
        <v>0</v>
      </c>
      <c r="Z59" s="3">
        <v>18940000</v>
      </c>
      <c r="AA59" s="3">
        <v>47624000</v>
      </c>
      <c r="AB59" s="3">
        <v>15367000</v>
      </c>
      <c r="AC59" s="3">
        <v>13317000</v>
      </c>
      <c r="AD59" s="3">
        <v>0</v>
      </c>
      <c r="AE59" s="3">
        <v>18940000</v>
      </c>
      <c r="AF59" s="3">
        <v>47624000</v>
      </c>
      <c r="AG59" s="3">
        <v>14424867.369999999</v>
      </c>
      <c r="AH59" s="3">
        <v>12947820.689999999</v>
      </c>
      <c r="AI59" s="3">
        <v>0</v>
      </c>
      <c r="AJ59" s="3">
        <v>18856360</v>
      </c>
      <c r="AK59" s="3">
        <v>46229048.060000002</v>
      </c>
      <c r="AL59" s="3">
        <v>14075022.32</v>
      </c>
      <c r="AM59" s="3">
        <v>11599727.75</v>
      </c>
      <c r="AN59" s="3">
        <v>0</v>
      </c>
      <c r="AO59" s="3">
        <v>17801942.850000001</v>
      </c>
      <c r="AP59" s="3">
        <v>43476692.920000002</v>
      </c>
      <c r="AQ59" s="3">
        <v>15002000</v>
      </c>
      <c r="AR59" s="3">
        <v>38939000</v>
      </c>
      <c r="AS59" s="3">
        <v>0</v>
      </c>
      <c r="AT59" s="3">
        <v>0</v>
      </c>
      <c r="AU59" s="3">
        <v>53941000</v>
      </c>
      <c r="AV59" s="3">
        <v>15002000</v>
      </c>
      <c r="AW59" s="3">
        <v>38939000</v>
      </c>
      <c r="AX59" s="3">
        <v>0</v>
      </c>
      <c r="AY59" s="3">
        <v>0</v>
      </c>
      <c r="AZ59" s="3">
        <v>53941000</v>
      </c>
      <c r="BA59" s="3">
        <v>15002000</v>
      </c>
      <c r="BB59" s="3">
        <v>38939000</v>
      </c>
      <c r="BC59" s="3">
        <v>0</v>
      </c>
      <c r="BD59" s="3">
        <v>0</v>
      </c>
      <c r="BE59" s="3">
        <v>53941000</v>
      </c>
      <c r="BF59" s="3">
        <v>15956403.17</v>
      </c>
      <c r="BG59" s="3">
        <v>38939000</v>
      </c>
      <c r="BH59" s="3">
        <v>0</v>
      </c>
      <c r="BI59" s="3">
        <v>0</v>
      </c>
      <c r="BJ59" s="3">
        <v>54895403.170000002</v>
      </c>
      <c r="BK59" s="3">
        <v>15956403.17</v>
      </c>
      <c r="BL59" s="3">
        <v>38939000</v>
      </c>
      <c r="BM59" s="3">
        <v>0</v>
      </c>
      <c r="BN59" s="3">
        <v>0</v>
      </c>
      <c r="BO59" s="3">
        <v>54895403.170000002</v>
      </c>
      <c r="BP59" s="3">
        <v>15952511.790000001</v>
      </c>
      <c r="BQ59" s="3">
        <v>31402856.710000001</v>
      </c>
      <c r="BR59" s="3">
        <v>0</v>
      </c>
      <c r="BS59" s="3">
        <v>0</v>
      </c>
      <c r="BT59" s="3">
        <v>47355368.5</v>
      </c>
      <c r="BU59" s="3">
        <v>15784340.789999999</v>
      </c>
      <c r="BV59" s="3">
        <v>24950217.240000002</v>
      </c>
      <c r="BW59" s="3">
        <v>0</v>
      </c>
      <c r="BX59" s="3">
        <v>0</v>
      </c>
      <c r="BY59" s="3">
        <v>40734558.030000001</v>
      </c>
      <c r="BZ59" s="3">
        <v>14057000</v>
      </c>
      <c r="CA59" s="3">
        <v>39085000</v>
      </c>
      <c r="CB59" s="3">
        <v>0</v>
      </c>
      <c r="CC59" s="3">
        <v>0</v>
      </c>
      <c r="CD59" s="3">
        <v>53142000</v>
      </c>
      <c r="CE59" s="3">
        <v>14057000</v>
      </c>
      <c r="CF59" s="3">
        <v>35585000</v>
      </c>
      <c r="CG59" s="3">
        <v>0</v>
      </c>
      <c r="CH59" s="3">
        <v>0</v>
      </c>
      <c r="CI59" s="3">
        <v>49642000</v>
      </c>
      <c r="CJ59" s="3">
        <v>14057000</v>
      </c>
      <c r="CK59" s="3">
        <v>35585000</v>
      </c>
      <c r="CL59" s="3">
        <v>0</v>
      </c>
      <c r="CM59" s="3">
        <v>0</v>
      </c>
      <c r="CN59" s="3">
        <v>49642000</v>
      </c>
      <c r="CO59" s="3">
        <v>17692738.259999998</v>
      </c>
      <c r="CP59" s="3">
        <v>29911420</v>
      </c>
      <c r="CQ59" s="3">
        <v>0</v>
      </c>
      <c r="CR59" s="3">
        <v>0</v>
      </c>
      <c r="CS59" s="3">
        <v>47604158.259999998</v>
      </c>
      <c r="CT59" s="3">
        <v>17692738.259999998</v>
      </c>
      <c r="CU59" s="3">
        <v>29911420</v>
      </c>
      <c r="CV59" s="3">
        <v>0</v>
      </c>
      <c r="CW59" s="3">
        <v>0</v>
      </c>
      <c r="CX59" s="3">
        <v>47604158.259999998</v>
      </c>
      <c r="CY59" s="3">
        <v>17692738.260000002</v>
      </c>
      <c r="CZ59" s="3">
        <v>28120070.75</v>
      </c>
      <c r="DA59" s="3">
        <v>0</v>
      </c>
      <c r="DB59" s="3">
        <v>0</v>
      </c>
      <c r="DC59" s="3">
        <v>45812809.009999998</v>
      </c>
      <c r="DD59" s="3">
        <v>15623666.469999999</v>
      </c>
      <c r="DE59" s="3">
        <v>20779879.280000001</v>
      </c>
      <c r="DF59" s="3">
        <v>0</v>
      </c>
      <c r="DG59" s="3">
        <v>0</v>
      </c>
      <c r="DH59" s="10">
        <v>36403545.75</v>
      </c>
      <c r="DI59" s="3">
        <v>17968000</v>
      </c>
      <c r="DJ59" s="3">
        <v>39797000</v>
      </c>
      <c r="DK59" s="3">
        <v>0</v>
      </c>
      <c r="DL59" s="3">
        <v>0</v>
      </c>
      <c r="DM59" s="3">
        <v>57765000</v>
      </c>
      <c r="DN59" s="3">
        <v>17968000</v>
      </c>
      <c r="DO59" s="3">
        <v>39797000</v>
      </c>
      <c r="DP59" s="3">
        <v>0</v>
      </c>
      <c r="DQ59" s="3">
        <v>0</v>
      </c>
      <c r="DR59" s="3">
        <v>57765000</v>
      </c>
      <c r="DS59" s="3">
        <v>17968000</v>
      </c>
      <c r="DT59" s="3">
        <v>39797000</v>
      </c>
      <c r="DU59" s="3">
        <v>0</v>
      </c>
      <c r="DV59" s="3">
        <v>0</v>
      </c>
      <c r="DW59" s="3">
        <v>57765000</v>
      </c>
      <c r="DX59" s="3">
        <v>16897085.710000001</v>
      </c>
      <c r="DY59" s="3">
        <v>36166000</v>
      </c>
      <c r="DZ59" s="3">
        <v>0</v>
      </c>
      <c r="EA59" s="3">
        <v>0</v>
      </c>
      <c r="EB59" s="3">
        <v>53063085.710000001</v>
      </c>
      <c r="EC59" s="3">
        <v>16897085.710000001</v>
      </c>
      <c r="ED59" s="3">
        <v>36166000</v>
      </c>
      <c r="EE59" s="3">
        <v>0</v>
      </c>
      <c r="EF59" s="3">
        <v>0</v>
      </c>
      <c r="EG59" s="3">
        <v>53063085.710000001</v>
      </c>
      <c r="EH59" s="3">
        <v>16897085.710000001</v>
      </c>
      <c r="EI59" s="3">
        <v>29089561.499999996</v>
      </c>
      <c r="EJ59" s="3">
        <v>0</v>
      </c>
      <c r="EK59" s="3">
        <v>0</v>
      </c>
      <c r="EL59" s="3">
        <v>45986647.210000001</v>
      </c>
      <c r="EM59" s="3">
        <v>16730016.050000001</v>
      </c>
      <c r="EN59" s="3">
        <v>25593293.579999998</v>
      </c>
      <c r="EO59" s="3">
        <v>0</v>
      </c>
      <c r="EP59" s="3">
        <v>0</v>
      </c>
      <c r="EQ59" s="3">
        <v>42323309.630000003</v>
      </c>
      <c r="ER59" s="3">
        <v>19096000</v>
      </c>
      <c r="ES59" s="3">
        <v>39797000</v>
      </c>
      <c r="ET59" s="3">
        <v>0</v>
      </c>
      <c r="EU59" s="3">
        <v>0</v>
      </c>
      <c r="EV59" s="3">
        <v>58893000</v>
      </c>
      <c r="EW59" s="3">
        <v>19096000</v>
      </c>
      <c r="EX59" s="3">
        <v>39797000</v>
      </c>
      <c r="EY59" s="3">
        <v>0</v>
      </c>
      <c r="EZ59" s="3">
        <v>0</v>
      </c>
      <c r="FA59" s="3">
        <v>58893000</v>
      </c>
      <c r="FB59" s="3">
        <v>19096000</v>
      </c>
      <c r="FC59" s="3">
        <v>39797000</v>
      </c>
      <c r="FD59" s="3">
        <v>0</v>
      </c>
      <c r="FE59" s="3">
        <v>0</v>
      </c>
      <c r="FF59" s="3">
        <v>58893000</v>
      </c>
      <c r="FG59" s="3">
        <v>18117109</v>
      </c>
      <c r="FH59" s="3">
        <v>38809000</v>
      </c>
      <c r="FI59" s="3">
        <v>0</v>
      </c>
      <c r="FJ59" s="3">
        <v>0</v>
      </c>
      <c r="FK59" s="3">
        <v>56926109</v>
      </c>
      <c r="FL59" s="3">
        <v>18117109</v>
      </c>
      <c r="FM59" s="3">
        <v>38809000</v>
      </c>
      <c r="FN59" s="3">
        <v>0</v>
      </c>
      <c r="FO59" s="3">
        <v>0</v>
      </c>
      <c r="FP59" s="3">
        <v>56926109</v>
      </c>
      <c r="FQ59" s="3">
        <v>18045049.25</v>
      </c>
      <c r="FR59" s="3">
        <v>37028940.600000001</v>
      </c>
      <c r="FS59" s="3">
        <v>0</v>
      </c>
      <c r="FT59" s="3">
        <v>0</v>
      </c>
      <c r="FU59" s="3">
        <v>55073989.850000001</v>
      </c>
      <c r="FV59" s="3">
        <v>17999465.59</v>
      </c>
      <c r="FW59" s="3">
        <v>33741872.770000003</v>
      </c>
      <c r="FX59" s="3">
        <v>0</v>
      </c>
      <c r="FY59" s="3">
        <v>0</v>
      </c>
      <c r="FZ59" s="3">
        <v>51741338.359999999</v>
      </c>
      <c r="GA59" s="3">
        <v>17970000</v>
      </c>
      <c r="GB59" s="3">
        <v>38773000</v>
      </c>
      <c r="GC59" s="3">
        <v>0</v>
      </c>
      <c r="GD59" s="3">
        <v>0</v>
      </c>
      <c r="GE59" s="3">
        <v>56743000</v>
      </c>
      <c r="GF59" s="3">
        <v>17970000</v>
      </c>
      <c r="GG59" s="3">
        <v>36847000</v>
      </c>
      <c r="GH59" s="3">
        <v>0</v>
      </c>
      <c r="GI59" s="3">
        <v>0</v>
      </c>
      <c r="GJ59" s="3">
        <v>54817000</v>
      </c>
      <c r="GK59" s="3">
        <v>17970000</v>
      </c>
      <c r="GL59" s="3">
        <v>36847000</v>
      </c>
      <c r="GM59" s="3">
        <v>0</v>
      </c>
      <c r="GN59" s="3">
        <v>0</v>
      </c>
      <c r="GO59" s="3">
        <v>54817000</v>
      </c>
      <c r="GP59" s="3">
        <v>18940872.510000002</v>
      </c>
      <c r="GQ59" s="3">
        <v>35338979.619999997</v>
      </c>
      <c r="GR59" s="3">
        <v>0</v>
      </c>
      <c r="GS59" s="3">
        <v>0</v>
      </c>
      <c r="GT59" s="3">
        <v>54279852.130000003</v>
      </c>
      <c r="GU59" s="3">
        <v>18940872.510000002</v>
      </c>
      <c r="GV59" s="3">
        <v>35338979.619999997</v>
      </c>
      <c r="GW59" s="3">
        <v>0</v>
      </c>
      <c r="GX59" s="3">
        <v>0</v>
      </c>
      <c r="GY59" s="3">
        <v>54279852.130000003</v>
      </c>
      <c r="GZ59" s="3">
        <v>18940872.510000002</v>
      </c>
      <c r="HA59" s="3">
        <v>33430509.350000001</v>
      </c>
      <c r="HB59" s="3">
        <v>0</v>
      </c>
      <c r="HC59" s="3">
        <v>0</v>
      </c>
      <c r="HD59" s="3">
        <v>52371381.859999999</v>
      </c>
      <c r="HE59" s="3">
        <v>18598821.989999998</v>
      </c>
      <c r="HF59" s="3">
        <v>26190362.620000001</v>
      </c>
      <c r="HG59" s="3">
        <v>0</v>
      </c>
      <c r="HH59" s="3">
        <v>0</v>
      </c>
      <c r="HI59" s="3">
        <v>44789184.609999999</v>
      </c>
      <c r="HJ59" s="3">
        <v>17840000</v>
      </c>
      <c r="HK59" s="3">
        <v>39471000</v>
      </c>
      <c r="HL59" s="3">
        <v>0</v>
      </c>
      <c r="HM59" s="3">
        <v>0</v>
      </c>
      <c r="HN59" s="3">
        <v>57311000</v>
      </c>
      <c r="HO59" s="3">
        <v>17840000</v>
      </c>
      <c r="HP59" s="3">
        <v>39471000</v>
      </c>
      <c r="HQ59" s="3">
        <v>0</v>
      </c>
      <c r="HR59" s="3">
        <v>0</v>
      </c>
      <c r="HS59" s="3">
        <v>57311000</v>
      </c>
      <c r="HT59" s="3">
        <v>17840000</v>
      </c>
      <c r="HU59" s="3">
        <v>39471000</v>
      </c>
      <c r="HV59" s="3">
        <v>0</v>
      </c>
      <c r="HW59" s="3">
        <v>0</v>
      </c>
      <c r="HX59" s="3">
        <v>57311000</v>
      </c>
      <c r="HY59" s="3">
        <v>19454579.550000001</v>
      </c>
      <c r="HZ59" s="3">
        <v>37771000</v>
      </c>
      <c r="IA59" s="3">
        <v>0</v>
      </c>
      <c r="IB59" s="3">
        <v>0</v>
      </c>
      <c r="IC59" s="3">
        <v>57225579.549999997</v>
      </c>
      <c r="ID59" s="3">
        <v>19454579.550000001</v>
      </c>
      <c r="IE59" s="3">
        <v>37771000</v>
      </c>
      <c r="IF59" s="3">
        <v>0</v>
      </c>
      <c r="IG59" s="3">
        <v>0</v>
      </c>
      <c r="IH59" s="3">
        <v>57225579.549999997</v>
      </c>
      <c r="II59" s="3">
        <v>19454579.550000001</v>
      </c>
      <c r="IJ59" s="3">
        <v>36789214.240000002</v>
      </c>
      <c r="IK59" s="3">
        <v>0</v>
      </c>
      <c r="IL59" s="3">
        <v>0</v>
      </c>
      <c r="IM59" s="6">
        <v>56243793.789999999</v>
      </c>
      <c r="IN59" s="3">
        <v>18699516.739999998</v>
      </c>
      <c r="IO59" s="3">
        <v>26607222.440000001</v>
      </c>
      <c r="IP59" s="3">
        <v>0</v>
      </c>
      <c r="IQ59" s="3">
        <v>0</v>
      </c>
      <c r="IR59" s="6">
        <v>45306739.18</v>
      </c>
      <c r="IS59" s="3">
        <v>18434000</v>
      </c>
      <c r="IT59" s="3">
        <v>40181000</v>
      </c>
      <c r="IU59" s="3">
        <v>0</v>
      </c>
      <c r="IV59" s="3">
        <v>0</v>
      </c>
      <c r="IW59" s="3">
        <v>58615000</v>
      </c>
      <c r="IX59" s="3">
        <v>18434000</v>
      </c>
      <c r="IY59" s="3">
        <v>40181000</v>
      </c>
      <c r="IZ59" s="3">
        <v>0</v>
      </c>
      <c r="JA59" s="3">
        <v>0</v>
      </c>
      <c r="JB59" s="3">
        <v>58615000</v>
      </c>
      <c r="JC59" s="3">
        <v>18434000</v>
      </c>
      <c r="JD59" s="3">
        <v>40181000</v>
      </c>
      <c r="JE59" s="3">
        <v>0</v>
      </c>
      <c r="JF59" s="3">
        <v>0</v>
      </c>
      <c r="JG59" s="3">
        <v>58615000</v>
      </c>
      <c r="JH59" s="3">
        <v>19861818.59</v>
      </c>
      <c r="JI59" s="3">
        <v>39181000</v>
      </c>
      <c r="JJ59" s="3">
        <v>0</v>
      </c>
      <c r="JK59" s="3">
        <v>0</v>
      </c>
      <c r="JL59" s="3">
        <v>59042818.590000004</v>
      </c>
      <c r="JM59" s="3">
        <v>19861818.59</v>
      </c>
      <c r="JN59" s="3">
        <v>39181000</v>
      </c>
      <c r="JO59" s="3">
        <v>0</v>
      </c>
      <c r="JP59" s="3">
        <v>0</v>
      </c>
      <c r="JQ59" s="3">
        <v>59042818.590000004</v>
      </c>
      <c r="JR59" s="3">
        <v>19861818.59</v>
      </c>
      <c r="JS59" s="3">
        <v>38880852.009999998</v>
      </c>
      <c r="JT59" s="3">
        <v>0</v>
      </c>
      <c r="JU59" s="3">
        <v>0</v>
      </c>
      <c r="JV59" s="3">
        <v>58742670.600000001</v>
      </c>
      <c r="JW59" s="3">
        <v>19848770.93</v>
      </c>
      <c r="JX59" s="3">
        <v>34365211.130000003</v>
      </c>
      <c r="JY59" s="3">
        <v>0</v>
      </c>
      <c r="JZ59" s="3">
        <v>0</v>
      </c>
      <c r="KA59" s="3">
        <v>54213982.060000002</v>
      </c>
      <c r="KB59" s="3">
        <v>22846000</v>
      </c>
      <c r="KC59" s="3">
        <v>40904000</v>
      </c>
      <c r="KD59" s="3">
        <v>0</v>
      </c>
      <c r="KE59" s="3">
        <v>0</v>
      </c>
      <c r="KF59" s="3">
        <v>63750000</v>
      </c>
      <c r="KG59" s="3">
        <v>22846000</v>
      </c>
      <c r="KH59" s="3">
        <v>40904000</v>
      </c>
      <c r="KI59" s="3">
        <v>0</v>
      </c>
      <c r="KJ59" s="3">
        <v>0</v>
      </c>
      <c r="KK59" s="3">
        <v>63750000</v>
      </c>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v>29493000</v>
      </c>
      <c r="LL59" s="3">
        <v>41322000</v>
      </c>
      <c r="LM59">
        <v>0</v>
      </c>
      <c r="LN59" s="3">
        <v>0</v>
      </c>
      <c r="LO59" s="3">
        <v>70815000</v>
      </c>
    </row>
    <row r="60" spans="1:327" x14ac:dyDescent="0.25">
      <c r="A60" t="s">
        <v>943</v>
      </c>
      <c r="B60" t="s">
        <v>944</v>
      </c>
      <c r="C60" t="s">
        <v>199</v>
      </c>
      <c r="D60" t="s">
        <v>200</v>
      </c>
      <c r="E60" t="s">
        <v>224</v>
      </c>
      <c r="F60" t="s">
        <v>972</v>
      </c>
      <c r="G60" t="s">
        <v>1049</v>
      </c>
      <c r="H60" s="3">
        <v>0</v>
      </c>
      <c r="I60" s="3">
        <v>6602000</v>
      </c>
      <c r="J60" s="3">
        <v>0</v>
      </c>
      <c r="K60" s="3">
        <v>88965000</v>
      </c>
      <c r="L60" s="3">
        <v>95567000</v>
      </c>
      <c r="M60" s="3">
        <v>0</v>
      </c>
      <c r="N60" s="3">
        <v>6602000</v>
      </c>
      <c r="O60" s="3">
        <v>0</v>
      </c>
      <c r="P60" s="3">
        <v>88965000</v>
      </c>
      <c r="Q60" s="3">
        <v>95567000</v>
      </c>
      <c r="R60" s="3">
        <v>0</v>
      </c>
      <c r="S60" s="3">
        <v>6602000</v>
      </c>
      <c r="T60" s="3">
        <v>0</v>
      </c>
      <c r="U60" s="3">
        <v>88965000</v>
      </c>
      <c r="V60" s="3">
        <v>95567000</v>
      </c>
      <c r="W60" s="3">
        <v>0</v>
      </c>
      <c r="X60" s="3">
        <v>6602000</v>
      </c>
      <c r="Y60" s="3">
        <v>0</v>
      </c>
      <c r="Z60" s="3">
        <v>88965000</v>
      </c>
      <c r="AA60" s="3">
        <v>95567000</v>
      </c>
      <c r="AB60" s="3">
        <v>0</v>
      </c>
      <c r="AC60" s="3">
        <v>6602000</v>
      </c>
      <c r="AD60" s="3">
        <v>0</v>
      </c>
      <c r="AE60" s="3">
        <v>88965000</v>
      </c>
      <c r="AF60" s="3">
        <v>95567000</v>
      </c>
      <c r="AG60" s="3">
        <v>0</v>
      </c>
      <c r="AH60" s="3">
        <v>6289984.3900000006</v>
      </c>
      <c r="AI60" s="3">
        <v>0</v>
      </c>
      <c r="AJ60" s="3">
        <v>88790196.769999996</v>
      </c>
      <c r="AK60" s="3">
        <v>95080181.160000011</v>
      </c>
      <c r="AL60" s="3">
        <v>0</v>
      </c>
      <c r="AM60" s="3">
        <v>4380610.29</v>
      </c>
      <c r="AN60" s="3">
        <v>0</v>
      </c>
      <c r="AO60" s="3">
        <v>45499440.060000002</v>
      </c>
      <c r="AP60" s="3">
        <v>49880050.350000001</v>
      </c>
      <c r="AQ60" s="3">
        <v>0</v>
      </c>
      <c r="AR60" s="3">
        <v>2950000</v>
      </c>
      <c r="AS60" s="3">
        <v>0</v>
      </c>
      <c r="AT60" s="3">
        <v>32230000</v>
      </c>
      <c r="AU60" s="3">
        <v>35180000</v>
      </c>
      <c r="AV60" s="3">
        <v>0</v>
      </c>
      <c r="AW60" s="3">
        <v>2950000</v>
      </c>
      <c r="AX60" s="3">
        <v>0</v>
      </c>
      <c r="AY60" s="3">
        <v>32230000</v>
      </c>
      <c r="AZ60" s="3">
        <v>35180000</v>
      </c>
      <c r="BA60" s="3">
        <v>0</v>
      </c>
      <c r="BB60" s="3">
        <v>2950000</v>
      </c>
      <c r="BC60" s="3">
        <v>0</v>
      </c>
      <c r="BD60" s="3">
        <v>32230000</v>
      </c>
      <c r="BE60" s="3">
        <v>35180000</v>
      </c>
      <c r="BF60" s="3">
        <v>0</v>
      </c>
      <c r="BG60" s="3">
        <v>2950000</v>
      </c>
      <c r="BH60" s="3">
        <v>0</v>
      </c>
      <c r="BI60" s="3">
        <v>32230000</v>
      </c>
      <c r="BJ60" s="3">
        <v>35180000</v>
      </c>
      <c r="BK60" s="3">
        <v>0</v>
      </c>
      <c r="BL60" s="3">
        <v>2950000</v>
      </c>
      <c r="BM60" s="3">
        <v>0</v>
      </c>
      <c r="BN60" s="3">
        <v>32230000</v>
      </c>
      <c r="BO60" s="3">
        <v>35180000</v>
      </c>
      <c r="BP60" s="3">
        <v>0</v>
      </c>
      <c r="BQ60" s="3">
        <v>2620229.56</v>
      </c>
      <c r="BR60" s="3">
        <v>0</v>
      </c>
      <c r="BS60" s="3">
        <v>31985588.98</v>
      </c>
      <c r="BT60" s="3">
        <v>34605818.539999999</v>
      </c>
      <c r="BU60" s="3">
        <v>0</v>
      </c>
      <c r="BV60" s="3">
        <v>1435939.39</v>
      </c>
      <c r="BW60" s="3">
        <v>0</v>
      </c>
      <c r="BX60" s="3">
        <v>20663874.359999999</v>
      </c>
      <c r="BY60" s="3">
        <v>22099813.75</v>
      </c>
      <c r="BZ60" s="3">
        <v>0</v>
      </c>
      <c r="CA60" s="3">
        <v>1500000</v>
      </c>
      <c r="CB60" s="3">
        <v>0</v>
      </c>
      <c r="CC60" s="3">
        <v>13200000</v>
      </c>
      <c r="CD60" s="3">
        <v>14700000</v>
      </c>
      <c r="CE60" s="3">
        <v>0</v>
      </c>
      <c r="CF60" s="3">
        <v>1500000</v>
      </c>
      <c r="CG60" s="3">
        <v>0</v>
      </c>
      <c r="CH60" s="3">
        <v>13200000</v>
      </c>
      <c r="CI60" s="3">
        <v>14700000</v>
      </c>
      <c r="CJ60" s="3">
        <v>0</v>
      </c>
      <c r="CK60" s="3">
        <v>1500000</v>
      </c>
      <c r="CL60" s="3">
        <v>0</v>
      </c>
      <c r="CM60" s="3">
        <v>13200000</v>
      </c>
      <c r="CN60" s="3">
        <v>14700000</v>
      </c>
      <c r="CO60" s="3">
        <v>0</v>
      </c>
      <c r="CP60" s="3">
        <v>1496250</v>
      </c>
      <c r="CQ60" s="3">
        <v>0</v>
      </c>
      <c r="CR60" s="3">
        <v>10944000</v>
      </c>
      <c r="CS60" s="3">
        <v>12440250</v>
      </c>
      <c r="CT60" s="3">
        <v>0</v>
      </c>
      <c r="CU60" s="3">
        <v>1496250</v>
      </c>
      <c r="CV60" s="3">
        <v>0</v>
      </c>
      <c r="CW60" s="3">
        <v>10944000</v>
      </c>
      <c r="CX60" s="3">
        <v>12440250</v>
      </c>
      <c r="CY60" s="3">
        <v>0</v>
      </c>
      <c r="CZ60" s="3">
        <v>1496250</v>
      </c>
      <c r="DA60" s="3">
        <v>0</v>
      </c>
      <c r="DB60" s="3">
        <v>10936400</v>
      </c>
      <c r="DC60" s="3">
        <v>12432650</v>
      </c>
      <c r="DD60" s="3">
        <v>0</v>
      </c>
      <c r="DE60" s="3">
        <v>1421250</v>
      </c>
      <c r="DF60" s="3">
        <v>0</v>
      </c>
      <c r="DG60" s="3">
        <v>9459762.6600000001</v>
      </c>
      <c r="DH60" s="10">
        <v>10881012.66</v>
      </c>
      <c r="DI60" s="3">
        <v>0</v>
      </c>
      <c r="DJ60" s="3">
        <v>2707000</v>
      </c>
      <c r="DK60" s="3">
        <v>0</v>
      </c>
      <c r="DL60" s="3">
        <v>32819000</v>
      </c>
      <c r="DM60" s="3">
        <v>35526000</v>
      </c>
      <c r="DN60" s="3">
        <v>0</v>
      </c>
      <c r="DO60" s="3">
        <v>2707000</v>
      </c>
      <c r="DP60" s="3">
        <v>0</v>
      </c>
      <c r="DQ60" s="3">
        <v>32819000</v>
      </c>
      <c r="DR60" s="3">
        <v>35526000</v>
      </c>
      <c r="DS60" s="3">
        <v>0</v>
      </c>
      <c r="DT60" s="3">
        <v>2707000</v>
      </c>
      <c r="DU60" s="3">
        <v>0</v>
      </c>
      <c r="DV60" s="3">
        <v>32819000</v>
      </c>
      <c r="DW60" s="3">
        <v>35526000</v>
      </c>
      <c r="DX60" s="3">
        <v>0</v>
      </c>
      <c r="DY60" s="3">
        <v>2707000</v>
      </c>
      <c r="DZ60" s="3">
        <v>0</v>
      </c>
      <c r="EA60" s="3">
        <v>32819000</v>
      </c>
      <c r="EB60" s="3">
        <v>35526000</v>
      </c>
      <c r="EC60" s="3">
        <v>0</v>
      </c>
      <c r="ED60" s="3">
        <v>2707000</v>
      </c>
      <c r="EE60" s="3">
        <v>0</v>
      </c>
      <c r="EF60" s="3">
        <v>32819000</v>
      </c>
      <c r="EG60" s="3">
        <v>35526000</v>
      </c>
      <c r="EH60" s="3">
        <v>0</v>
      </c>
      <c r="EI60" s="3">
        <v>2374324.4500000002</v>
      </c>
      <c r="EJ60" s="3">
        <v>0</v>
      </c>
      <c r="EK60" s="3">
        <v>32657516.149999999</v>
      </c>
      <c r="EL60" s="3">
        <v>35031840.600000001</v>
      </c>
      <c r="EM60" s="3">
        <v>0</v>
      </c>
      <c r="EN60" s="3">
        <v>1455758.36</v>
      </c>
      <c r="EO60" s="3">
        <v>0</v>
      </c>
      <c r="EP60" s="3">
        <v>15252984.280000001</v>
      </c>
      <c r="EQ60" s="3">
        <v>16708742.639999999</v>
      </c>
      <c r="ER60" s="3">
        <v>0</v>
      </c>
      <c r="ES60" s="3">
        <v>377000</v>
      </c>
      <c r="ET60" s="3">
        <v>0</v>
      </c>
      <c r="EU60" s="3">
        <v>11340000</v>
      </c>
      <c r="EV60" s="3">
        <v>11717000</v>
      </c>
      <c r="EW60" s="3">
        <v>0</v>
      </c>
      <c r="EX60" s="3">
        <v>377000</v>
      </c>
      <c r="EY60" s="3">
        <v>0</v>
      </c>
      <c r="EZ60" s="3">
        <v>11340000</v>
      </c>
      <c r="FA60" s="3">
        <v>11717000</v>
      </c>
      <c r="FB60" s="3">
        <v>0</v>
      </c>
      <c r="FC60" s="3">
        <v>377000</v>
      </c>
      <c r="FD60" s="3">
        <v>0</v>
      </c>
      <c r="FE60" s="3">
        <v>11340000</v>
      </c>
      <c r="FF60" s="3">
        <v>11717000</v>
      </c>
      <c r="FG60" s="3">
        <v>0</v>
      </c>
      <c r="FH60" s="3">
        <v>377000</v>
      </c>
      <c r="FI60" s="3">
        <v>0</v>
      </c>
      <c r="FJ60" s="3">
        <v>11340000</v>
      </c>
      <c r="FK60" s="3">
        <v>11717000</v>
      </c>
      <c r="FL60" s="3">
        <v>0</v>
      </c>
      <c r="FM60" s="3">
        <v>377000</v>
      </c>
      <c r="FN60" s="3">
        <v>0</v>
      </c>
      <c r="FO60" s="3">
        <v>11340000</v>
      </c>
      <c r="FP60" s="3">
        <v>11717000</v>
      </c>
      <c r="FQ60" s="3">
        <v>0</v>
      </c>
      <c r="FR60" s="3">
        <v>377000</v>
      </c>
      <c r="FS60" s="3">
        <v>0</v>
      </c>
      <c r="FT60" s="3">
        <v>11215477.029999999</v>
      </c>
      <c r="FU60" s="3">
        <v>11592477.029999999</v>
      </c>
      <c r="FV60" s="3">
        <v>0</v>
      </c>
      <c r="FW60" s="3">
        <v>377000</v>
      </c>
      <c r="FX60" s="3">
        <v>0</v>
      </c>
      <c r="FY60" s="3">
        <v>9751556.25</v>
      </c>
      <c r="FZ60" s="3">
        <v>10128556.25</v>
      </c>
      <c r="GA60" s="3">
        <v>0</v>
      </c>
      <c r="GB60" s="3">
        <v>0</v>
      </c>
      <c r="GC60" s="3">
        <v>0</v>
      </c>
      <c r="GD60" s="3">
        <v>50000000</v>
      </c>
      <c r="GE60" s="3">
        <v>50000000</v>
      </c>
      <c r="GF60" s="3">
        <v>0</v>
      </c>
      <c r="GG60" s="3">
        <v>0</v>
      </c>
      <c r="GH60" s="3">
        <v>0</v>
      </c>
      <c r="GI60" s="3">
        <v>50000000</v>
      </c>
      <c r="GJ60" s="3">
        <v>50000000</v>
      </c>
      <c r="GK60" s="3">
        <v>0</v>
      </c>
      <c r="GL60" s="3">
        <v>0</v>
      </c>
      <c r="GM60" s="3">
        <v>0</v>
      </c>
      <c r="GN60" s="3">
        <v>50000000</v>
      </c>
      <c r="GO60" s="3">
        <v>50000000</v>
      </c>
      <c r="GP60" s="3">
        <v>0</v>
      </c>
      <c r="GQ60" s="3">
        <v>0</v>
      </c>
      <c r="GR60" s="3">
        <v>0</v>
      </c>
      <c r="GS60" s="3">
        <v>50000000</v>
      </c>
      <c r="GT60" s="3">
        <v>50000000</v>
      </c>
      <c r="GU60" s="3">
        <v>0</v>
      </c>
      <c r="GV60" s="3">
        <v>0</v>
      </c>
      <c r="GW60" s="3">
        <v>0</v>
      </c>
      <c r="GX60" s="3">
        <v>50000000</v>
      </c>
      <c r="GY60" s="3">
        <v>50000000</v>
      </c>
      <c r="GZ60" s="3">
        <v>0</v>
      </c>
      <c r="HA60" s="3">
        <v>0</v>
      </c>
      <c r="HB60" s="3">
        <v>0</v>
      </c>
      <c r="HC60" s="3">
        <v>45401996.609999999</v>
      </c>
      <c r="HD60" s="3">
        <v>45401996.609999999</v>
      </c>
      <c r="HE60" s="3">
        <v>0</v>
      </c>
      <c r="HF60" s="3">
        <v>0</v>
      </c>
      <c r="HG60" s="3">
        <v>0</v>
      </c>
      <c r="HH60" s="3">
        <v>26569137.32</v>
      </c>
      <c r="HI60" s="3">
        <v>26569137.32</v>
      </c>
      <c r="HJ60" s="3">
        <v>0</v>
      </c>
      <c r="HK60" s="3">
        <v>0</v>
      </c>
      <c r="HL60" s="3">
        <v>0</v>
      </c>
      <c r="HM60" s="3">
        <v>51217000</v>
      </c>
      <c r="HN60" s="3">
        <v>51217000</v>
      </c>
      <c r="HO60" s="3">
        <v>0</v>
      </c>
      <c r="HP60" s="3">
        <v>0</v>
      </c>
      <c r="HQ60" s="3">
        <v>0</v>
      </c>
      <c r="HR60" s="3">
        <v>51217000</v>
      </c>
      <c r="HS60" s="3">
        <v>51217000</v>
      </c>
      <c r="HT60" s="3">
        <v>0</v>
      </c>
      <c r="HU60" s="3">
        <v>0</v>
      </c>
      <c r="HV60" s="3">
        <v>0</v>
      </c>
      <c r="HW60" s="3">
        <v>51217000</v>
      </c>
      <c r="HX60" s="3">
        <v>51217000</v>
      </c>
      <c r="HY60" s="3">
        <v>0</v>
      </c>
      <c r="HZ60" s="3">
        <v>0</v>
      </c>
      <c r="IA60" s="3">
        <v>0</v>
      </c>
      <c r="IB60" s="10">
        <v>51217000</v>
      </c>
      <c r="IC60" s="3">
        <v>51217000</v>
      </c>
      <c r="ID60" s="3">
        <v>0</v>
      </c>
      <c r="IE60" s="3">
        <v>0</v>
      </c>
      <c r="IF60" s="3">
        <v>0</v>
      </c>
      <c r="IG60" s="10">
        <v>51217000</v>
      </c>
      <c r="IH60" s="3">
        <v>51217000</v>
      </c>
      <c r="II60" s="3">
        <v>0</v>
      </c>
      <c r="IJ60" s="3">
        <v>0</v>
      </c>
      <c r="IK60" s="3">
        <v>0</v>
      </c>
      <c r="IL60" s="3">
        <v>46974339.960000001</v>
      </c>
      <c r="IM60" s="6">
        <v>46974339.960000001</v>
      </c>
      <c r="IN60" s="3">
        <v>0</v>
      </c>
      <c r="IO60" s="3">
        <v>0</v>
      </c>
      <c r="IP60" s="3">
        <v>0</v>
      </c>
      <c r="IQ60" s="3">
        <v>27230075.859999999</v>
      </c>
      <c r="IR60" s="6">
        <v>27230075.859999999</v>
      </c>
      <c r="IS60" s="3">
        <v>0</v>
      </c>
      <c r="IT60" s="3">
        <v>0</v>
      </c>
      <c r="IU60" s="3">
        <v>0</v>
      </c>
      <c r="IV60" s="3">
        <v>35875000</v>
      </c>
      <c r="IW60" s="3">
        <v>35875000</v>
      </c>
      <c r="IX60" s="3">
        <v>0</v>
      </c>
      <c r="IY60" s="3">
        <v>0</v>
      </c>
      <c r="IZ60" s="3">
        <v>0</v>
      </c>
      <c r="JA60" s="3">
        <v>35875000</v>
      </c>
      <c r="JB60" s="3">
        <v>35875000</v>
      </c>
      <c r="JC60" s="3">
        <v>0</v>
      </c>
      <c r="JD60" s="3">
        <v>0</v>
      </c>
      <c r="JE60" s="3">
        <v>0</v>
      </c>
      <c r="JF60" s="3">
        <v>35875000</v>
      </c>
      <c r="JG60" s="3">
        <v>35875000</v>
      </c>
      <c r="JH60" s="3">
        <v>0</v>
      </c>
      <c r="JI60" s="3">
        <v>0</v>
      </c>
      <c r="JJ60" s="3">
        <v>0</v>
      </c>
      <c r="JK60" s="3">
        <v>35875000</v>
      </c>
      <c r="JL60" s="3">
        <v>35875000</v>
      </c>
      <c r="JM60" s="3">
        <v>0</v>
      </c>
      <c r="JN60" s="3">
        <v>0</v>
      </c>
      <c r="JO60" s="3">
        <v>0</v>
      </c>
      <c r="JP60" s="3">
        <v>35875000</v>
      </c>
      <c r="JQ60" s="3">
        <v>35875000</v>
      </c>
      <c r="JR60" s="3">
        <v>0</v>
      </c>
      <c r="JS60" s="3">
        <v>0</v>
      </c>
      <c r="JT60" s="3">
        <v>0</v>
      </c>
      <c r="JU60" s="3">
        <v>31483768.199999999</v>
      </c>
      <c r="JV60" s="3">
        <v>31483768.199999999</v>
      </c>
      <c r="JW60" s="3">
        <v>0</v>
      </c>
      <c r="JX60" s="3">
        <v>0</v>
      </c>
      <c r="JY60" s="3">
        <v>0</v>
      </c>
      <c r="JZ60" s="3">
        <v>20175714.420000002</v>
      </c>
      <c r="KA60" s="3">
        <v>20175714.420000002</v>
      </c>
      <c r="KB60" s="3">
        <v>0</v>
      </c>
      <c r="KC60" s="3">
        <v>0</v>
      </c>
      <c r="KD60" s="3">
        <v>0</v>
      </c>
      <c r="KE60" s="3">
        <v>18490000</v>
      </c>
      <c r="KF60" s="3">
        <v>18490000</v>
      </c>
      <c r="KG60" s="3">
        <v>0</v>
      </c>
      <c r="KH60" s="3">
        <v>0</v>
      </c>
      <c r="KI60" s="3">
        <v>0</v>
      </c>
      <c r="KJ60" s="3">
        <v>18490000</v>
      </c>
      <c r="KK60" s="3">
        <v>18490000</v>
      </c>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v>0</v>
      </c>
      <c r="LL60">
        <v>0</v>
      </c>
      <c r="LM60">
        <v>0</v>
      </c>
      <c r="LN60" s="3">
        <v>42040000</v>
      </c>
      <c r="LO60" s="3">
        <v>42040000</v>
      </c>
    </row>
    <row r="61" spans="1:327" x14ac:dyDescent="0.25">
      <c r="A61" t="s">
        <v>943</v>
      </c>
      <c r="B61" t="s">
        <v>944</v>
      </c>
      <c r="C61" t="s">
        <v>199</v>
      </c>
      <c r="D61" t="s">
        <v>200</v>
      </c>
      <c r="E61" t="s">
        <v>224</v>
      </c>
      <c r="F61" t="s">
        <v>239</v>
      </c>
      <c r="G61" t="s">
        <v>1050</v>
      </c>
      <c r="H61" s="3">
        <v>0</v>
      </c>
      <c r="I61" s="3">
        <v>59924000</v>
      </c>
      <c r="J61" s="3">
        <v>0</v>
      </c>
      <c r="K61" s="3">
        <v>0</v>
      </c>
      <c r="L61" s="3">
        <v>59924000</v>
      </c>
      <c r="M61" s="3">
        <v>0</v>
      </c>
      <c r="N61" s="3">
        <v>59924000</v>
      </c>
      <c r="O61" s="3">
        <v>0</v>
      </c>
      <c r="P61" s="3">
        <v>0</v>
      </c>
      <c r="Q61" s="3">
        <v>59924000</v>
      </c>
      <c r="R61" s="3">
        <v>0</v>
      </c>
      <c r="S61" s="3">
        <v>59924000</v>
      </c>
      <c r="T61" s="3">
        <v>0</v>
      </c>
      <c r="U61" s="3">
        <v>0</v>
      </c>
      <c r="V61" s="3">
        <v>59924000</v>
      </c>
      <c r="W61" s="3">
        <v>0</v>
      </c>
      <c r="X61" s="3">
        <v>59524000</v>
      </c>
      <c r="Y61" s="3">
        <v>0</v>
      </c>
      <c r="Z61" s="3">
        <v>0</v>
      </c>
      <c r="AA61" s="3">
        <v>59524000</v>
      </c>
      <c r="AB61" s="3">
        <v>0</v>
      </c>
      <c r="AC61" s="3">
        <v>59524000</v>
      </c>
      <c r="AD61" s="3">
        <v>0</v>
      </c>
      <c r="AE61" s="3">
        <v>0</v>
      </c>
      <c r="AF61" s="3">
        <v>59524000</v>
      </c>
      <c r="AG61" s="3">
        <v>0</v>
      </c>
      <c r="AH61" s="3">
        <v>54014585.259999998</v>
      </c>
      <c r="AI61" s="3">
        <v>0</v>
      </c>
      <c r="AJ61" s="3">
        <v>0</v>
      </c>
      <c r="AK61" s="3">
        <v>54014585.259999998</v>
      </c>
      <c r="AL61" s="3">
        <v>0</v>
      </c>
      <c r="AM61" s="3">
        <v>47079527.399999999</v>
      </c>
      <c r="AN61" s="3">
        <v>0</v>
      </c>
      <c r="AO61" s="3">
        <v>0</v>
      </c>
      <c r="AP61" s="3">
        <v>47079527.399999999</v>
      </c>
      <c r="AQ61" s="3">
        <v>0</v>
      </c>
      <c r="AR61" s="3">
        <v>105575000</v>
      </c>
      <c r="AS61" s="3">
        <v>0</v>
      </c>
      <c r="AT61" s="3">
        <v>0</v>
      </c>
      <c r="AU61" s="3">
        <v>105575000</v>
      </c>
      <c r="AV61" s="3">
        <v>0</v>
      </c>
      <c r="AW61" s="3">
        <v>105575000</v>
      </c>
      <c r="AX61" s="3">
        <v>0</v>
      </c>
      <c r="AY61" s="3">
        <v>0</v>
      </c>
      <c r="AZ61" s="3">
        <v>105575000</v>
      </c>
      <c r="BA61" s="3">
        <v>0</v>
      </c>
      <c r="BB61" s="3">
        <v>105575000</v>
      </c>
      <c r="BC61" s="3">
        <v>0</v>
      </c>
      <c r="BD61" s="3">
        <v>0</v>
      </c>
      <c r="BE61" s="3">
        <v>105575000</v>
      </c>
      <c r="BF61" s="3">
        <v>0</v>
      </c>
      <c r="BG61" s="3">
        <v>104900000</v>
      </c>
      <c r="BH61" s="3">
        <v>0</v>
      </c>
      <c r="BI61" s="3">
        <v>0</v>
      </c>
      <c r="BJ61" s="3">
        <v>104900000</v>
      </c>
      <c r="BK61" s="3">
        <v>0</v>
      </c>
      <c r="BL61" s="3">
        <v>104900000</v>
      </c>
      <c r="BM61" s="3">
        <v>0</v>
      </c>
      <c r="BN61" s="3">
        <v>0</v>
      </c>
      <c r="BO61" s="3">
        <v>104900000</v>
      </c>
      <c r="BP61" s="3">
        <v>0</v>
      </c>
      <c r="BQ61" s="3">
        <v>87192990.280000001</v>
      </c>
      <c r="BR61" s="3">
        <v>0</v>
      </c>
      <c r="BS61" s="3">
        <v>0</v>
      </c>
      <c r="BT61" s="3">
        <v>87192990.280000001</v>
      </c>
      <c r="BU61" s="3">
        <v>0</v>
      </c>
      <c r="BV61" s="3">
        <v>68112404.74000001</v>
      </c>
      <c r="BW61" s="3">
        <v>0</v>
      </c>
      <c r="BX61" s="3">
        <v>0</v>
      </c>
      <c r="BY61" s="3">
        <v>68112404.74000001</v>
      </c>
      <c r="BZ61" s="3">
        <v>0</v>
      </c>
      <c r="CA61" s="3">
        <v>97523000</v>
      </c>
      <c r="CB61" s="3">
        <v>0</v>
      </c>
      <c r="CC61" s="3">
        <v>0</v>
      </c>
      <c r="CD61" s="3">
        <v>97523000</v>
      </c>
      <c r="CE61" s="3">
        <v>0</v>
      </c>
      <c r="CF61" s="3">
        <v>97523000</v>
      </c>
      <c r="CG61" s="3">
        <v>0</v>
      </c>
      <c r="CH61" s="3">
        <v>0</v>
      </c>
      <c r="CI61" s="3">
        <v>97523000</v>
      </c>
      <c r="CJ61" s="3">
        <v>0</v>
      </c>
      <c r="CK61" s="3">
        <v>97523000</v>
      </c>
      <c r="CL61" s="3">
        <v>0</v>
      </c>
      <c r="CM61" s="3">
        <v>0</v>
      </c>
      <c r="CN61" s="3">
        <v>97523000</v>
      </c>
      <c r="CO61" s="3">
        <v>0</v>
      </c>
      <c r="CP61" s="3">
        <v>90180315</v>
      </c>
      <c r="CQ61" s="3">
        <v>0</v>
      </c>
      <c r="CR61" s="3">
        <v>0</v>
      </c>
      <c r="CS61" s="3">
        <v>90180315</v>
      </c>
      <c r="CT61" s="3">
        <v>0</v>
      </c>
      <c r="CU61" s="3">
        <v>90180315</v>
      </c>
      <c r="CV61" s="3">
        <v>0</v>
      </c>
      <c r="CW61" s="3">
        <v>0</v>
      </c>
      <c r="CX61" s="3">
        <v>90180315</v>
      </c>
      <c r="CY61" s="3">
        <v>0</v>
      </c>
      <c r="CZ61" s="3">
        <v>82110382.539999992</v>
      </c>
      <c r="DA61" s="3">
        <v>0</v>
      </c>
      <c r="DB61" s="3">
        <v>0</v>
      </c>
      <c r="DC61" s="3">
        <v>82110382.539999992</v>
      </c>
      <c r="DD61" s="3">
        <v>0</v>
      </c>
      <c r="DE61" s="10">
        <v>65401938.159999996</v>
      </c>
      <c r="DF61" s="3">
        <v>0</v>
      </c>
      <c r="DG61" s="3">
        <v>0</v>
      </c>
      <c r="DH61" s="10">
        <v>65401938.159999996</v>
      </c>
      <c r="DI61" s="3">
        <v>0</v>
      </c>
      <c r="DJ61" s="3">
        <v>99299000</v>
      </c>
      <c r="DK61" s="3">
        <v>0</v>
      </c>
      <c r="DL61" s="3">
        <v>0</v>
      </c>
      <c r="DM61" s="3">
        <v>99299000</v>
      </c>
      <c r="DN61" s="3">
        <v>0</v>
      </c>
      <c r="DO61" s="3">
        <v>99299000</v>
      </c>
      <c r="DP61" s="3">
        <v>0</v>
      </c>
      <c r="DQ61" s="3">
        <v>0</v>
      </c>
      <c r="DR61" s="3">
        <v>99299000</v>
      </c>
      <c r="DS61" s="3">
        <v>0</v>
      </c>
      <c r="DT61" s="3">
        <v>99299000</v>
      </c>
      <c r="DU61" s="3">
        <v>0</v>
      </c>
      <c r="DV61" s="3">
        <v>0</v>
      </c>
      <c r="DW61" s="3">
        <v>99299000</v>
      </c>
      <c r="DX61" s="3">
        <v>0</v>
      </c>
      <c r="DY61" s="3">
        <v>93815506</v>
      </c>
      <c r="DZ61" s="3">
        <v>0</v>
      </c>
      <c r="EA61" s="3">
        <v>3467500</v>
      </c>
      <c r="EB61" s="3">
        <v>97283006</v>
      </c>
      <c r="EC61" s="3">
        <v>0</v>
      </c>
      <c r="ED61" s="3">
        <v>93815506</v>
      </c>
      <c r="EE61" s="3">
        <v>0</v>
      </c>
      <c r="EF61" s="3">
        <v>3467500</v>
      </c>
      <c r="EG61" s="3">
        <v>97283006</v>
      </c>
      <c r="EH61" s="3">
        <v>0</v>
      </c>
      <c r="EI61" s="3">
        <v>86998398.469999999</v>
      </c>
      <c r="EJ61" s="3">
        <v>0</v>
      </c>
      <c r="EK61" s="3">
        <v>1559000</v>
      </c>
      <c r="EL61" s="3">
        <v>88557398.469999999</v>
      </c>
      <c r="EM61" s="3">
        <v>0</v>
      </c>
      <c r="EN61" s="3">
        <v>66929870.789999999</v>
      </c>
      <c r="EO61" s="3">
        <v>0</v>
      </c>
      <c r="EP61" s="3">
        <v>0</v>
      </c>
      <c r="EQ61" s="3">
        <v>66929870.789999999</v>
      </c>
      <c r="ER61" s="3">
        <v>0</v>
      </c>
      <c r="ES61" s="3">
        <v>99299000</v>
      </c>
      <c r="ET61" s="3">
        <v>0</v>
      </c>
      <c r="EU61" s="3">
        <v>0</v>
      </c>
      <c r="EV61" s="3">
        <v>99299000</v>
      </c>
      <c r="EW61" s="3">
        <v>0</v>
      </c>
      <c r="EX61" s="3">
        <v>99299000</v>
      </c>
      <c r="EY61" s="3">
        <v>0</v>
      </c>
      <c r="EZ61" s="3">
        <v>0</v>
      </c>
      <c r="FA61" s="3">
        <v>99299000</v>
      </c>
      <c r="FB61" s="3">
        <v>0</v>
      </c>
      <c r="FC61" s="3">
        <v>99299000</v>
      </c>
      <c r="FD61" s="3">
        <v>0</v>
      </c>
      <c r="FE61" s="3">
        <v>0</v>
      </c>
      <c r="FF61" s="3">
        <v>99299000</v>
      </c>
      <c r="FG61" s="3">
        <v>0</v>
      </c>
      <c r="FH61" s="3">
        <v>97889425.099999994</v>
      </c>
      <c r="FI61" s="3">
        <v>0</v>
      </c>
      <c r="FJ61" s="3">
        <v>0</v>
      </c>
      <c r="FK61" s="3">
        <v>97889425.099999994</v>
      </c>
      <c r="FL61" s="3">
        <v>0</v>
      </c>
      <c r="FM61" s="3">
        <v>97889425.099999994</v>
      </c>
      <c r="FN61" s="3">
        <v>0</v>
      </c>
      <c r="FO61" s="3">
        <v>0</v>
      </c>
      <c r="FP61" s="3">
        <v>97889425.099999994</v>
      </c>
      <c r="FQ61" s="3">
        <v>0</v>
      </c>
      <c r="FR61" s="3">
        <v>96634953.239999995</v>
      </c>
      <c r="FS61" s="3">
        <v>0</v>
      </c>
      <c r="FT61" s="3">
        <v>0</v>
      </c>
      <c r="FU61" s="3">
        <v>96634953.239999995</v>
      </c>
      <c r="FV61" s="3">
        <v>0</v>
      </c>
      <c r="FW61" s="3">
        <v>86063116.019999996</v>
      </c>
      <c r="FX61" s="3">
        <v>0</v>
      </c>
      <c r="FY61" s="3">
        <v>0</v>
      </c>
      <c r="FZ61" s="3">
        <v>86063116.019999996</v>
      </c>
      <c r="GA61" s="3">
        <v>0</v>
      </c>
      <c r="GB61" s="3">
        <v>99299000</v>
      </c>
      <c r="GC61" s="3">
        <v>0</v>
      </c>
      <c r="GD61" s="3">
        <v>0</v>
      </c>
      <c r="GE61" s="3">
        <v>99299000</v>
      </c>
      <c r="GF61" s="3">
        <v>0</v>
      </c>
      <c r="GG61" s="3">
        <v>129299000</v>
      </c>
      <c r="GH61" s="3">
        <v>0</v>
      </c>
      <c r="GI61" s="3">
        <v>0</v>
      </c>
      <c r="GJ61" s="3">
        <v>129299000</v>
      </c>
      <c r="GK61" s="3">
        <v>0</v>
      </c>
      <c r="GL61" s="3">
        <v>129299000</v>
      </c>
      <c r="GM61" s="3">
        <v>0</v>
      </c>
      <c r="GN61" s="3">
        <v>0</v>
      </c>
      <c r="GO61" s="3">
        <v>129299000</v>
      </c>
      <c r="GP61" s="3">
        <v>0</v>
      </c>
      <c r="GQ61" s="3">
        <v>117175358.23</v>
      </c>
      <c r="GR61" s="3">
        <v>0</v>
      </c>
      <c r="GS61" s="3">
        <v>9832500</v>
      </c>
      <c r="GT61" s="3">
        <v>127007858.23</v>
      </c>
      <c r="GU61" s="3">
        <v>0</v>
      </c>
      <c r="GV61" s="3">
        <v>117175358.23</v>
      </c>
      <c r="GW61" s="3">
        <v>0</v>
      </c>
      <c r="GX61" s="3">
        <v>9832500</v>
      </c>
      <c r="GY61" s="3">
        <v>127007858.23</v>
      </c>
      <c r="GZ61" s="3">
        <v>0</v>
      </c>
      <c r="HA61" s="3">
        <v>112971347.98999999</v>
      </c>
      <c r="HB61" s="3">
        <v>0</v>
      </c>
      <c r="HC61" s="3">
        <v>0</v>
      </c>
      <c r="HD61" s="3">
        <v>112971347.98999999</v>
      </c>
      <c r="HE61" s="3">
        <v>0</v>
      </c>
      <c r="HF61" s="3">
        <v>83866008.140000001</v>
      </c>
      <c r="HG61" s="3">
        <v>0</v>
      </c>
      <c r="HH61" s="3">
        <v>0</v>
      </c>
      <c r="HI61" s="3">
        <v>83866008.140000001</v>
      </c>
      <c r="HJ61" s="3">
        <v>0</v>
      </c>
      <c r="HK61" s="3">
        <v>99299000</v>
      </c>
      <c r="HL61" s="3">
        <v>0</v>
      </c>
      <c r="HM61" s="3">
        <v>0</v>
      </c>
      <c r="HN61" s="3">
        <v>99299000</v>
      </c>
      <c r="HO61" s="3">
        <v>0</v>
      </c>
      <c r="HP61" s="3">
        <v>159299000</v>
      </c>
      <c r="HQ61" s="3">
        <v>0</v>
      </c>
      <c r="HR61" s="3">
        <v>0</v>
      </c>
      <c r="HS61" s="3">
        <v>159299000</v>
      </c>
      <c r="HT61" s="3">
        <v>0</v>
      </c>
      <c r="HU61" s="3">
        <v>159299000</v>
      </c>
      <c r="HV61" s="3">
        <v>0</v>
      </c>
      <c r="HW61" s="3">
        <v>0</v>
      </c>
      <c r="HX61" s="3">
        <v>159299000</v>
      </c>
      <c r="HY61" s="3">
        <v>340000</v>
      </c>
      <c r="HZ61" s="3">
        <v>157479160</v>
      </c>
      <c r="IA61" s="3">
        <v>0</v>
      </c>
      <c r="IB61" s="3">
        <v>0</v>
      </c>
      <c r="IC61" s="3">
        <v>157819160</v>
      </c>
      <c r="ID61" s="3">
        <v>340000</v>
      </c>
      <c r="IE61" s="3">
        <v>157479160</v>
      </c>
      <c r="IF61" s="3">
        <v>0</v>
      </c>
      <c r="IG61" s="3">
        <v>0</v>
      </c>
      <c r="IH61" s="3">
        <v>157819160</v>
      </c>
      <c r="II61" s="3">
        <v>340000</v>
      </c>
      <c r="IJ61" s="3">
        <v>142990815.84999999</v>
      </c>
      <c r="IK61" s="3">
        <v>0</v>
      </c>
      <c r="IL61" s="3">
        <v>0</v>
      </c>
      <c r="IM61" s="6">
        <v>143330815.84999999</v>
      </c>
      <c r="IN61" s="3">
        <v>340000</v>
      </c>
      <c r="IO61" s="3">
        <v>126498517.26000001</v>
      </c>
      <c r="IP61" s="3">
        <v>0</v>
      </c>
      <c r="IQ61" s="3">
        <v>0</v>
      </c>
      <c r="IR61" s="6">
        <v>126838517.26000001</v>
      </c>
      <c r="IS61" s="3">
        <v>0</v>
      </c>
      <c r="IT61" s="3">
        <v>221812000</v>
      </c>
      <c r="IU61" s="3">
        <v>0</v>
      </c>
      <c r="IV61" s="3">
        <v>0</v>
      </c>
      <c r="IW61" s="3">
        <v>221812000</v>
      </c>
      <c r="IX61" s="3">
        <v>0</v>
      </c>
      <c r="IY61" s="3">
        <v>221812000</v>
      </c>
      <c r="IZ61" s="3">
        <v>0</v>
      </c>
      <c r="JA61" s="3">
        <v>0</v>
      </c>
      <c r="JB61" s="3">
        <v>221812000</v>
      </c>
      <c r="JC61" s="3">
        <v>0</v>
      </c>
      <c r="JD61" s="3">
        <v>221812000</v>
      </c>
      <c r="JE61" s="3">
        <v>0</v>
      </c>
      <c r="JF61" s="3">
        <v>0</v>
      </c>
      <c r="JG61" s="3">
        <v>221812000</v>
      </c>
      <c r="JH61" s="3">
        <v>0</v>
      </c>
      <c r="JI61" s="3">
        <v>216512323.47999999</v>
      </c>
      <c r="JJ61" s="3">
        <v>0</v>
      </c>
      <c r="JK61" s="3">
        <v>0</v>
      </c>
      <c r="JL61" s="3">
        <v>216512323.47999999</v>
      </c>
      <c r="JM61" s="3">
        <v>0</v>
      </c>
      <c r="JN61" s="3">
        <v>216512323.47999999</v>
      </c>
      <c r="JO61" s="3">
        <v>0</v>
      </c>
      <c r="JP61" s="3">
        <v>0</v>
      </c>
      <c r="JQ61" s="3">
        <v>216512323.47999999</v>
      </c>
      <c r="JR61" s="3">
        <v>0</v>
      </c>
      <c r="JS61" s="3">
        <v>189324868.72999999</v>
      </c>
      <c r="JT61" s="3">
        <v>0</v>
      </c>
      <c r="JU61" s="3">
        <v>0</v>
      </c>
      <c r="JV61" s="3">
        <v>189324868.72999999</v>
      </c>
      <c r="JW61" s="3">
        <v>0</v>
      </c>
      <c r="JX61" s="3">
        <v>152005783.87</v>
      </c>
      <c r="JY61" s="3">
        <v>0</v>
      </c>
      <c r="JZ61" s="3">
        <v>0</v>
      </c>
      <c r="KA61" s="3">
        <v>152005783.87</v>
      </c>
      <c r="KB61" s="3">
        <v>0</v>
      </c>
      <c r="KC61" s="3">
        <v>99299000</v>
      </c>
      <c r="KD61" s="3">
        <v>0</v>
      </c>
      <c r="KE61" s="3">
        <v>0</v>
      </c>
      <c r="KF61" s="3">
        <v>99299000</v>
      </c>
      <c r="KG61" s="3">
        <v>0</v>
      </c>
      <c r="KH61" s="3">
        <v>261341000</v>
      </c>
      <c r="KI61" s="3">
        <v>0</v>
      </c>
      <c r="KJ61" s="3">
        <v>0</v>
      </c>
      <c r="KK61" s="3">
        <v>261341000</v>
      </c>
      <c r="KL61" s="3"/>
      <c r="KM61" s="3"/>
      <c r="KN61" s="3"/>
      <c r="KO61" s="3"/>
      <c r="KP61" s="3"/>
      <c r="KQ61" s="3"/>
      <c r="KR61" s="3"/>
      <c r="KS61" s="3"/>
      <c r="KT61" s="3"/>
      <c r="KU61" s="3"/>
      <c r="KV61" s="3"/>
      <c r="KW61" s="3"/>
      <c r="KX61" s="3"/>
      <c r="KY61" s="3"/>
      <c r="KZ61" s="3"/>
      <c r="LA61" s="3"/>
      <c r="LB61" s="3"/>
      <c r="LC61" s="3"/>
      <c r="LD61" s="3"/>
      <c r="LE61" s="3"/>
      <c r="LF61" s="3"/>
      <c r="LG61" s="3"/>
      <c r="LH61" s="3"/>
      <c r="LI61" s="3"/>
      <c r="LJ61" s="3"/>
      <c r="LK61">
        <v>0</v>
      </c>
      <c r="LL61" s="3">
        <v>139000000</v>
      </c>
      <c r="LM61">
        <v>0</v>
      </c>
      <c r="LN61" s="3">
        <v>0</v>
      </c>
      <c r="LO61" s="3">
        <v>139000000</v>
      </c>
    </row>
    <row r="62" spans="1:327" x14ac:dyDescent="0.25">
      <c r="A62" t="s">
        <v>943</v>
      </c>
      <c r="B62" t="s">
        <v>944</v>
      </c>
      <c r="C62" t="s">
        <v>199</v>
      </c>
      <c r="D62" t="s">
        <v>200</v>
      </c>
      <c r="E62" t="s">
        <v>224</v>
      </c>
      <c r="F62" t="s">
        <v>973</v>
      </c>
      <c r="G62" s="15" t="s">
        <v>1056</v>
      </c>
      <c r="H62" s="3">
        <v>0</v>
      </c>
      <c r="I62" s="3">
        <v>0</v>
      </c>
      <c r="J62" s="3">
        <v>0</v>
      </c>
      <c r="K62" s="3">
        <v>6000000000</v>
      </c>
      <c r="L62" s="3">
        <v>6000000000</v>
      </c>
      <c r="M62" s="3">
        <v>0</v>
      </c>
      <c r="N62" s="3">
        <v>0</v>
      </c>
      <c r="O62" s="3">
        <v>0</v>
      </c>
      <c r="P62" s="3">
        <v>9958500000</v>
      </c>
      <c r="Q62" s="3">
        <v>9958500000</v>
      </c>
      <c r="R62" s="3">
        <v>0</v>
      </c>
      <c r="S62" s="3">
        <v>0</v>
      </c>
      <c r="T62" s="3">
        <v>0</v>
      </c>
      <c r="U62" s="3">
        <v>9958500000</v>
      </c>
      <c r="V62" s="3">
        <v>9958500000</v>
      </c>
      <c r="W62" s="3">
        <v>0</v>
      </c>
      <c r="X62" s="3">
        <v>0</v>
      </c>
      <c r="Y62" s="3">
        <v>0</v>
      </c>
      <c r="Z62" s="3">
        <v>0</v>
      </c>
      <c r="AA62" s="3">
        <v>0</v>
      </c>
      <c r="AB62" s="3">
        <v>0</v>
      </c>
      <c r="AC62" s="3">
        <v>0</v>
      </c>
      <c r="AD62" s="3">
        <v>0</v>
      </c>
      <c r="AE62" s="3">
        <v>0</v>
      </c>
      <c r="AF62" s="3">
        <v>0</v>
      </c>
      <c r="AG62" s="3">
        <v>0</v>
      </c>
      <c r="AH62" s="3">
        <v>0</v>
      </c>
      <c r="AI62" s="3">
        <v>0</v>
      </c>
      <c r="AJ62" s="3">
        <v>0</v>
      </c>
      <c r="AK62" s="3">
        <v>0</v>
      </c>
      <c r="AL62" s="3">
        <v>0</v>
      </c>
      <c r="AM62" s="3">
        <v>0</v>
      </c>
      <c r="AN62" s="3">
        <v>0</v>
      </c>
      <c r="AO62" s="3">
        <v>0</v>
      </c>
      <c r="AP62" s="3">
        <v>0</v>
      </c>
      <c r="AQ62" s="3">
        <v>0</v>
      </c>
      <c r="AR62" s="3">
        <v>0</v>
      </c>
      <c r="AS62" s="3">
        <v>0</v>
      </c>
      <c r="AT62" s="3">
        <v>9958500000</v>
      </c>
      <c r="AU62" s="3">
        <v>9958500000</v>
      </c>
      <c r="AV62" s="3">
        <v>0</v>
      </c>
      <c r="AW62" s="3">
        <v>0</v>
      </c>
      <c r="AX62" s="3">
        <v>0</v>
      </c>
      <c r="AY62" s="3">
        <v>10207500000</v>
      </c>
      <c r="AZ62" s="3">
        <v>10207500000</v>
      </c>
      <c r="BA62" s="3">
        <v>0</v>
      </c>
      <c r="BB62" s="3">
        <v>0</v>
      </c>
      <c r="BC62" s="3">
        <v>0</v>
      </c>
      <c r="BD62" s="3">
        <v>10207500000</v>
      </c>
      <c r="BE62" s="3">
        <v>10207500000</v>
      </c>
      <c r="BF62" s="3">
        <v>0</v>
      </c>
      <c r="BG62" s="3">
        <v>0</v>
      </c>
      <c r="BH62" s="3">
        <v>0</v>
      </c>
      <c r="BI62" s="3">
        <v>0</v>
      </c>
      <c r="BJ62" s="3">
        <v>0</v>
      </c>
      <c r="BK62" s="3">
        <v>0</v>
      </c>
      <c r="BL62" s="3">
        <v>0</v>
      </c>
      <c r="BM62" s="3">
        <v>0</v>
      </c>
      <c r="BN62" s="3">
        <v>0</v>
      </c>
      <c r="BO62" s="3">
        <v>0</v>
      </c>
      <c r="BP62" s="3">
        <v>0</v>
      </c>
      <c r="BQ62" s="3">
        <v>0</v>
      </c>
      <c r="BR62" s="3">
        <v>0</v>
      </c>
      <c r="BS62" s="3">
        <v>0</v>
      </c>
      <c r="BT62" s="3">
        <v>0</v>
      </c>
      <c r="BU62" s="3">
        <v>0</v>
      </c>
      <c r="BV62" s="3">
        <v>0</v>
      </c>
      <c r="BW62" s="3">
        <v>0</v>
      </c>
      <c r="BX62" s="3">
        <v>0</v>
      </c>
      <c r="BY62" s="3">
        <v>0</v>
      </c>
      <c r="BZ62" s="3">
        <v>0</v>
      </c>
      <c r="CA62" s="3">
        <v>0</v>
      </c>
      <c r="CB62" s="3">
        <v>0</v>
      </c>
      <c r="CC62" s="3">
        <v>9958500000</v>
      </c>
      <c r="CD62" s="3">
        <v>9958500000</v>
      </c>
      <c r="CE62" s="3">
        <v>0</v>
      </c>
      <c r="CF62" s="3">
        <v>0</v>
      </c>
      <c r="CG62" s="3">
        <v>0</v>
      </c>
      <c r="CH62" s="3">
        <v>9958500000</v>
      </c>
      <c r="CI62" s="3">
        <v>9958500000</v>
      </c>
      <c r="CJ62" s="3">
        <v>0</v>
      </c>
      <c r="CK62" s="3">
        <v>0</v>
      </c>
      <c r="CL62" s="3">
        <v>0</v>
      </c>
      <c r="CM62" s="3">
        <v>9958500000</v>
      </c>
      <c r="CN62" s="3">
        <v>9958500000</v>
      </c>
      <c r="CO62" s="3">
        <v>0</v>
      </c>
      <c r="CP62" s="3">
        <v>0</v>
      </c>
      <c r="CQ62" s="3">
        <v>0</v>
      </c>
      <c r="CR62" s="3">
        <v>0</v>
      </c>
      <c r="CS62" s="3">
        <v>0</v>
      </c>
      <c r="CT62" s="3">
        <v>0</v>
      </c>
      <c r="CU62" s="3">
        <v>0</v>
      </c>
      <c r="CV62" s="3">
        <v>0</v>
      </c>
      <c r="CW62" s="3">
        <v>0</v>
      </c>
      <c r="CX62" s="3">
        <v>0</v>
      </c>
      <c r="CY62" s="3">
        <v>0</v>
      </c>
      <c r="CZ62" s="3">
        <v>0</v>
      </c>
      <c r="DA62" s="3">
        <v>0</v>
      </c>
      <c r="DB62" s="3">
        <v>0</v>
      </c>
      <c r="DC62" s="3">
        <v>0</v>
      </c>
      <c r="DD62" s="3">
        <v>0</v>
      </c>
      <c r="DE62" s="3">
        <v>0</v>
      </c>
      <c r="DF62" s="3">
        <v>0</v>
      </c>
      <c r="DG62" s="3">
        <v>0</v>
      </c>
      <c r="DH62" s="10">
        <v>0</v>
      </c>
      <c r="DI62" s="3">
        <v>0</v>
      </c>
      <c r="DJ62" s="3">
        <v>0</v>
      </c>
      <c r="DK62" s="3">
        <v>0</v>
      </c>
      <c r="DL62" s="3">
        <v>9958500000</v>
      </c>
      <c r="DM62" s="3">
        <v>9958500000</v>
      </c>
      <c r="DN62" s="3">
        <v>0</v>
      </c>
      <c r="DO62" s="3">
        <v>0</v>
      </c>
      <c r="DP62" s="3">
        <v>0</v>
      </c>
      <c r="DQ62" s="3">
        <v>11719000000</v>
      </c>
      <c r="DR62" s="3">
        <v>11719000000</v>
      </c>
      <c r="DS62" s="3">
        <v>0</v>
      </c>
      <c r="DT62" s="3">
        <v>0</v>
      </c>
      <c r="DU62" s="3">
        <v>0</v>
      </c>
      <c r="DV62" s="3">
        <v>11719000000</v>
      </c>
      <c r="DW62" s="3">
        <v>11719000000</v>
      </c>
      <c r="DX62" s="3">
        <v>0</v>
      </c>
      <c r="DY62" s="3">
        <v>0</v>
      </c>
      <c r="DZ62" s="3">
        <v>0</v>
      </c>
      <c r="EA62" s="3">
        <v>0</v>
      </c>
      <c r="EB62" s="3">
        <v>0</v>
      </c>
      <c r="EC62" s="3">
        <v>0</v>
      </c>
      <c r="ED62" s="3">
        <v>0</v>
      </c>
      <c r="EE62" s="3">
        <v>0</v>
      </c>
      <c r="EF62" s="3">
        <v>0</v>
      </c>
      <c r="EG62" s="3">
        <v>0</v>
      </c>
      <c r="EH62" s="3">
        <v>0</v>
      </c>
      <c r="EI62" s="3">
        <v>0</v>
      </c>
      <c r="EJ62" s="3">
        <v>0</v>
      </c>
      <c r="EK62" s="3">
        <v>0</v>
      </c>
      <c r="EL62" s="3">
        <v>0</v>
      </c>
      <c r="EM62" s="3">
        <v>0</v>
      </c>
      <c r="EN62" s="3">
        <v>0</v>
      </c>
      <c r="EO62" s="3">
        <v>0</v>
      </c>
      <c r="EP62" s="3">
        <v>0</v>
      </c>
      <c r="EQ62" s="3">
        <v>0</v>
      </c>
      <c r="ER62" s="3">
        <v>0</v>
      </c>
      <c r="ES62" s="3">
        <v>0</v>
      </c>
      <c r="ET62" s="3">
        <v>0</v>
      </c>
      <c r="EU62" s="3">
        <v>4980000000</v>
      </c>
      <c r="EV62" s="3">
        <v>4980000000</v>
      </c>
      <c r="EW62" s="3">
        <v>0</v>
      </c>
      <c r="EX62" s="3">
        <v>0</v>
      </c>
      <c r="EY62" s="3">
        <v>0</v>
      </c>
      <c r="EZ62" s="3">
        <v>7485000000</v>
      </c>
      <c r="FA62" s="3">
        <v>7485000000</v>
      </c>
      <c r="FB62" s="3">
        <v>0</v>
      </c>
      <c r="FC62" s="3">
        <v>0</v>
      </c>
      <c r="FD62" s="3">
        <v>0</v>
      </c>
      <c r="FE62" s="3">
        <v>7485000000</v>
      </c>
      <c r="FF62" s="3">
        <v>7485000000</v>
      </c>
      <c r="FG62" s="3">
        <v>0</v>
      </c>
      <c r="FH62" s="3">
        <v>0</v>
      </c>
      <c r="FI62" s="3">
        <v>0</v>
      </c>
      <c r="FJ62" s="3">
        <v>0</v>
      </c>
      <c r="FK62" s="3">
        <v>0</v>
      </c>
      <c r="FL62" s="3">
        <v>0</v>
      </c>
      <c r="FM62" s="3">
        <v>0</v>
      </c>
      <c r="FN62" s="3">
        <v>0</v>
      </c>
      <c r="FO62" s="3">
        <v>0</v>
      </c>
      <c r="FP62" s="3">
        <v>0</v>
      </c>
      <c r="FQ62" s="3">
        <v>0</v>
      </c>
      <c r="FR62" s="3">
        <v>0</v>
      </c>
      <c r="FS62" s="3">
        <v>0</v>
      </c>
      <c r="FT62" s="3">
        <v>0</v>
      </c>
      <c r="FU62" s="3">
        <v>0</v>
      </c>
      <c r="FV62" s="3">
        <v>0</v>
      </c>
      <c r="FW62" s="3">
        <v>0</v>
      </c>
      <c r="FX62" s="3">
        <v>0</v>
      </c>
      <c r="FY62" s="3">
        <v>0</v>
      </c>
      <c r="FZ62" s="3">
        <v>0</v>
      </c>
      <c r="GA62" s="3">
        <v>0</v>
      </c>
      <c r="GB62" s="3">
        <v>0</v>
      </c>
      <c r="GC62" s="3">
        <v>0</v>
      </c>
      <c r="GD62" s="3">
        <v>13148500000</v>
      </c>
      <c r="GE62" s="3">
        <v>13148500000</v>
      </c>
      <c r="GF62" s="3">
        <v>0</v>
      </c>
      <c r="GG62" s="3">
        <v>0</v>
      </c>
      <c r="GH62" s="3">
        <v>0</v>
      </c>
      <c r="GI62" s="3">
        <v>14476750000</v>
      </c>
      <c r="GJ62" s="3">
        <v>14476750000</v>
      </c>
      <c r="GK62" s="3">
        <v>0</v>
      </c>
      <c r="GL62" s="3">
        <v>0</v>
      </c>
      <c r="GM62" s="3">
        <v>0</v>
      </c>
      <c r="GN62" s="3">
        <v>14476750000</v>
      </c>
      <c r="GO62" s="3">
        <v>14476750000</v>
      </c>
      <c r="GP62" s="3">
        <v>0</v>
      </c>
      <c r="GQ62" s="3">
        <v>0</v>
      </c>
      <c r="GR62" s="3">
        <v>0</v>
      </c>
      <c r="GS62" s="3">
        <v>0</v>
      </c>
      <c r="GT62" s="3">
        <v>0</v>
      </c>
      <c r="GU62" s="3">
        <v>0</v>
      </c>
      <c r="GV62" s="3">
        <v>0</v>
      </c>
      <c r="GW62" s="3">
        <v>0</v>
      </c>
      <c r="GX62" s="3">
        <v>0</v>
      </c>
      <c r="GY62" s="3">
        <v>0</v>
      </c>
      <c r="GZ62" s="3">
        <v>0</v>
      </c>
      <c r="HA62" s="3">
        <v>0</v>
      </c>
      <c r="HB62" s="3">
        <v>0</v>
      </c>
      <c r="HC62" s="3">
        <v>0</v>
      </c>
      <c r="HD62" s="3">
        <v>0</v>
      </c>
      <c r="HE62" s="3">
        <v>0</v>
      </c>
      <c r="HF62" s="3">
        <v>0</v>
      </c>
      <c r="HG62" s="3">
        <v>0</v>
      </c>
      <c r="HH62" s="3">
        <v>0</v>
      </c>
      <c r="HI62" s="3">
        <v>0</v>
      </c>
      <c r="HJ62" s="3">
        <v>0</v>
      </c>
      <c r="HK62" s="3">
        <v>0</v>
      </c>
      <c r="HL62" s="3">
        <v>0</v>
      </c>
      <c r="HM62" s="3">
        <v>17268750000</v>
      </c>
      <c r="HN62" s="3">
        <v>17268750000</v>
      </c>
      <c r="HO62" s="3">
        <v>0</v>
      </c>
      <c r="HP62" s="3">
        <v>0</v>
      </c>
      <c r="HQ62" s="3">
        <v>0</v>
      </c>
      <c r="HR62" s="3">
        <v>19596250000</v>
      </c>
      <c r="HS62" s="3">
        <v>19596250000</v>
      </c>
      <c r="HT62" s="3">
        <v>0</v>
      </c>
      <c r="HU62" s="3">
        <v>0</v>
      </c>
      <c r="HV62" s="3">
        <v>0</v>
      </c>
      <c r="HW62" s="3">
        <v>19596250000</v>
      </c>
      <c r="HX62" s="3">
        <v>19596250000</v>
      </c>
      <c r="HY62" s="3">
        <v>0</v>
      </c>
      <c r="HZ62" s="3">
        <v>0</v>
      </c>
      <c r="IA62" s="3">
        <v>0</v>
      </c>
      <c r="IB62" s="3">
        <v>0</v>
      </c>
      <c r="IC62" s="3">
        <v>0</v>
      </c>
      <c r="ID62" s="3">
        <v>0</v>
      </c>
      <c r="IE62" s="3">
        <v>0</v>
      </c>
      <c r="IF62" s="3">
        <v>0</v>
      </c>
      <c r="IG62" s="3">
        <v>0</v>
      </c>
      <c r="IH62" s="3">
        <v>0</v>
      </c>
      <c r="II62" s="3">
        <v>0</v>
      </c>
      <c r="IJ62" s="3">
        <v>0</v>
      </c>
      <c r="IK62" s="3">
        <v>0</v>
      </c>
      <c r="IL62" s="3">
        <v>0</v>
      </c>
      <c r="IM62" s="3">
        <v>0</v>
      </c>
      <c r="IN62" s="3">
        <v>0</v>
      </c>
      <c r="IO62" s="3">
        <v>0</v>
      </c>
      <c r="IP62" s="3">
        <v>0</v>
      </c>
      <c r="IQ62" s="3">
        <v>0</v>
      </c>
      <c r="IR62" s="6">
        <v>0</v>
      </c>
      <c r="IS62" s="3">
        <v>0</v>
      </c>
      <c r="IT62" s="3">
        <v>0</v>
      </c>
      <c r="IU62" s="3">
        <v>0</v>
      </c>
      <c r="IV62" s="3">
        <v>23181250000</v>
      </c>
      <c r="IW62" s="3">
        <v>23181250000</v>
      </c>
      <c r="IX62" s="3">
        <v>0</v>
      </c>
      <c r="IY62" s="3">
        <v>0</v>
      </c>
      <c r="IZ62" s="3">
        <v>0</v>
      </c>
      <c r="JA62" s="3">
        <v>23241250000</v>
      </c>
      <c r="JB62" s="3">
        <v>23241250000</v>
      </c>
      <c r="JC62" s="3">
        <v>0</v>
      </c>
      <c r="JD62" s="3">
        <v>0</v>
      </c>
      <c r="JE62" s="3">
        <v>0</v>
      </c>
      <c r="JF62" s="3">
        <v>23241250000</v>
      </c>
      <c r="JG62" s="3">
        <v>23241250000</v>
      </c>
      <c r="JH62" s="3">
        <v>0</v>
      </c>
      <c r="JI62" s="3">
        <v>0</v>
      </c>
      <c r="JJ62" s="3">
        <v>0</v>
      </c>
      <c r="JK62" s="3">
        <v>0</v>
      </c>
      <c r="JL62" s="3">
        <v>0</v>
      </c>
      <c r="JM62" s="3">
        <v>0</v>
      </c>
      <c r="JN62" s="3">
        <v>0</v>
      </c>
      <c r="JO62" s="3">
        <v>0</v>
      </c>
      <c r="JP62" s="3">
        <v>0</v>
      </c>
      <c r="JQ62" s="3">
        <v>0</v>
      </c>
      <c r="JR62" s="3">
        <v>0</v>
      </c>
      <c r="JS62" s="3">
        <v>0</v>
      </c>
      <c r="JT62" s="3">
        <v>0</v>
      </c>
      <c r="JU62" s="3">
        <v>0</v>
      </c>
      <c r="JV62" s="3">
        <v>0</v>
      </c>
      <c r="JW62" s="3">
        <v>0</v>
      </c>
      <c r="JX62" s="3">
        <v>0</v>
      </c>
      <c r="JY62" s="3">
        <v>0</v>
      </c>
      <c r="JZ62" s="3">
        <v>0</v>
      </c>
      <c r="KA62" s="3">
        <v>0</v>
      </c>
      <c r="KB62" s="3">
        <v>0</v>
      </c>
      <c r="KC62" s="3">
        <v>0</v>
      </c>
      <c r="KD62" s="3">
        <v>0</v>
      </c>
      <c r="KE62" s="3">
        <v>16000000000</v>
      </c>
      <c r="KF62" s="3">
        <v>16000000000</v>
      </c>
      <c r="KG62" s="3">
        <v>0</v>
      </c>
      <c r="KH62" s="3">
        <v>0</v>
      </c>
      <c r="KI62" s="3">
        <v>0</v>
      </c>
      <c r="KJ62" s="3">
        <v>33009763000</v>
      </c>
      <c r="KK62" s="3">
        <v>33009763000</v>
      </c>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v>0</v>
      </c>
      <c r="LL62">
        <v>0</v>
      </c>
      <c r="LM62">
        <v>0</v>
      </c>
      <c r="LN62" s="3">
        <v>16000000000</v>
      </c>
      <c r="LO62" s="3">
        <v>16000000000</v>
      </c>
    </row>
    <row r="63" spans="1:327" x14ac:dyDescent="0.25">
      <c r="A63" t="s">
        <v>943</v>
      </c>
      <c r="B63" t="s">
        <v>944</v>
      </c>
      <c r="C63" t="s">
        <v>199</v>
      </c>
      <c r="D63" t="s">
        <v>200</v>
      </c>
      <c r="E63" t="s">
        <v>241</v>
      </c>
      <c r="F63" t="s">
        <v>532</v>
      </c>
      <c r="G63" t="s">
        <v>1051</v>
      </c>
      <c r="H63" s="3">
        <v>51664000</v>
      </c>
      <c r="I63" s="3">
        <v>55642000</v>
      </c>
      <c r="J63" s="3">
        <v>0</v>
      </c>
      <c r="K63" s="3">
        <v>0</v>
      </c>
      <c r="L63" s="3">
        <v>107306000</v>
      </c>
      <c r="M63" s="3">
        <v>51664000</v>
      </c>
      <c r="N63" s="3">
        <v>55642000</v>
      </c>
      <c r="O63" s="3">
        <v>0</v>
      </c>
      <c r="P63" s="3">
        <v>0</v>
      </c>
      <c r="Q63" s="3">
        <v>107306000</v>
      </c>
      <c r="R63" s="3">
        <v>51664000</v>
      </c>
      <c r="S63" s="3">
        <v>55642000</v>
      </c>
      <c r="T63" s="3">
        <v>0</v>
      </c>
      <c r="U63" s="3">
        <v>0</v>
      </c>
      <c r="V63" s="3">
        <v>107306000</v>
      </c>
      <c r="W63" s="3">
        <v>51911780.240000002</v>
      </c>
      <c r="X63" s="3">
        <v>55642000</v>
      </c>
      <c r="Y63" s="3">
        <v>0</v>
      </c>
      <c r="Z63" s="3">
        <v>0</v>
      </c>
      <c r="AA63" s="3">
        <v>107553780.23999999</v>
      </c>
      <c r="AB63" s="3">
        <v>51911780.240000002</v>
      </c>
      <c r="AC63" s="3">
        <v>55642000</v>
      </c>
      <c r="AD63" s="3">
        <v>0</v>
      </c>
      <c r="AE63" s="3">
        <v>0</v>
      </c>
      <c r="AF63" s="3">
        <v>107553780.23999999</v>
      </c>
      <c r="AG63" s="3">
        <v>51911780.239999995</v>
      </c>
      <c r="AH63" s="3">
        <v>30146999.829999998</v>
      </c>
      <c r="AI63" s="3">
        <v>0</v>
      </c>
      <c r="AJ63" s="3">
        <v>0</v>
      </c>
      <c r="AK63" s="3">
        <v>82058780.069999993</v>
      </c>
      <c r="AL63" s="3">
        <v>51893619.040000007</v>
      </c>
      <c r="AM63" s="3">
        <v>26521081.909999996</v>
      </c>
      <c r="AN63" s="3">
        <v>0</v>
      </c>
      <c r="AO63" s="3">
        <v>0</v>
      </c>
      <c r="AP63" s="3">
        <v>78414700.950000003</v>
      </c>
      <c r="AQ63" s="3">
        <v>48096000</v>
      </c>
      <c r="AR63" s="3">
        <v>43616000</v>
      </c>
      <c r="AS63" s="3">
        <v>0</v>
      </c>
      <c r="AT63" s="3">
        <v>0</v>
      </c>
      <c r="AU63" s="3">
        <v>91712000</v>
      </c>
      <c r="AV63" s="3">
        <v>47728000</v>
      </c>
      <c r="AW63" s="3">
        <v>43616000</v>
      </c>
      <c r="AX63" s="3">
        <v>0</v>
      </c>
      <c r="AY63" s="3">
        <v>0</v>
      </c>
      <c r="AZ63" s="3">
        <v>91344000</v>
      </c>
      <c r="BA63" s="3">
        <v>47728000</v>
      </c>
      <c r="BB63" s="3">
        <v>43616000</v>
      </c>
      <c r="BC63" s="3">
        <v>0</v>
      </c>
      <c r="BD63" s="3">
        <v>0</v>
      </c>
      <c r="BE63" s="3">
        <v>91344000</v>
      </c>
      <c r="BF63" s="3">
        <v>49483919.219999999</v>
      </c>
      <c r="BG63" s="3">
        <v>41391000</v>
      </c>
      <c r="BH63" s="3">
        <v>0</v>
      </c>
      <c r="BI63" s="3">
        <v>0</v>
      </c>
      <c r="BJ63" s="3">
        <v>90874919.219999999</v>
      </c>
      <c r="BK63" s="3">
        <v>49483919.219999999</v>
      </c>
      <c r="BL63" s="3">
        <v>41391000</v>
      </c>
      <c r="BM63" s="3">
        <v>0</v>
      </c>
      <c r="BN63" s="3">
        <v>0</v>
      </c>
      <c r="BO63" s="3">
        <v>90874919.219999999</v>
      </c>
      <c r="BP63" s="3">
        <v>49483919.219999999</v>
      </c>
      <c r="BQ63" s="3">
        <v>30117432.439999998</v>
      </c>
      <c r="BR63" s="3">
        <v>0</v>
      </c>
      <c r="BS63" s="3">
        <v>0</v>
      </c>
      <c r="BT63" s="3">
        <v>79601351.659999996</v>
      </c>
      <c r="BU63" s="3">
        <v>49113034.130000003</v>
      </c>
      <c r="BV63" s="3">
        <v>24992498.210000001</v>
      </c>
      <c r="BW63" s="3">
        <v>0</v>
      </c>
      <c r="BX63" s="3">
        <v>0</v>
      </c>
      <c r="BY63" s="3">
        <v>74105532.340000004</v>
      </c>
      <c r="BZ63" s="3">
        <v>49124000</v>
      </c>
      <c r="CA63" s="3">
        <v>24056000</v>
      </c>
      <c r="CB63" s="3">
        <v>0</v>
      </c>
      <c r="CC63" s="3">
        <v>1500000</v>
      </c>
      <c r="CD63" s="3">
        <v>74680000</v>
      </c>
      <c r="CE63" s="3">
        <v>48756000</v>
      </c>
      <c r="CF63" s="3">
        <v>24056000</v>
      </c>
      <c r="CG63" s="3">
        <v>0</v>
      </c>
      <c r="CH63" s="3">
        <v>1500000</v>
      </c>
      <c r="CI63" s="3">
        <v>74312000</v>
      </c>
      <c r="CJ63" s="3">
        <v>48756000</v>
      </c>
      <c r="CK63" s="3">
        <v>24056000</v>
      </c>
      <c r="CL63" s="3">
        <v>0</v>
      </c>
      <c r="CM63" s="3">
        <v>1500000</v>
      </c>
      <c r="CN63" s="3">
        <v>74312000</v>
      </c>
      <c r="CO63" s="3">
        <v>41597092.799999997</v>
      </c>
      <c r="CP63" s="3">
        <v>13748265</v>
      </c>
      <c r="CQ63" s="3">
        <v>0</v>
      </c>
      <c r="CR63" s="3">
        <v>0</v>
      </c>
      <c r="CS63" s="3">
        <v>55345357.799999997</v>
      </c>
      <c r="CT63" s="3">
        <v>41597092.799999997</v>
      </c>
      <c r="CU63" s="3">
        <v>13748265</v>
      </c>
      <c r="CV63" s="3">
        <v>0</v>
      </c>
      <c r="CW63" s="3">
        <v>0</v>
      </c>
      <c r="CX63" s="3">
        <v>55345357.799999997</v>
      </c>
      <c r="CY63" s="3">
        <v>41597092.799999997</v>
      </c>
      <c r="CZ63" s="3">
        <v>7890946.9199999999</v>
      </c>
      <c r="DA63" s="3">
        <v>0</v>
      </c>
      <c r="DB63" s="3">
        <v>0</v>
      </c>
      <c r="DC63" s="3">
        <v>49488039.719999999</v>
      </c>
      <c r="DD63" s="3">
        <v>40873452.390000001</v>
      </c>
      <c r="DE63" s="3">
        <v>5512371</v>
      </c>
      <c r="DF63" s="3">
        <v>0</v>
      </c>
      <c r="DG63" s="3">
        <v>0</v>
      </c>
      <c r="DH63" s="10">
        <v>46385823.390000001</v>
      </c>
      <c r="DI63" s="3">
        <v>52542000</v>
      </c>
      <c r="DJ63" s="3">
        <v>24495000</v>
      </c>
      <c r="DK63" s="3">
        <v>0</v>
      </c>
      <c r="DL63" s="3">
        <v>0</v>
      </c>
      <c r="DM63" s="3">
        <v>77037000</v>
      </c>
      <c r="DN63" s="3">
        <v>52542000</v>
      </c>
      <c r="DO63" s="3">
        <v>24495000</v>
      </c>
      <c r="DP63" s="3">
        <v>0</v>
      </c>
      <c r="DQ63" s="3">
        <v>0</v>
      </c>
      <c r="DR63" s="3">
        <v>77037000</v>
      </c>
      <c r="DS63" s="3">
        <v>52542000</v>
      </c>
      <c r="DT63" s="3">
        <v>24495000</v>
      </c>
      <c r="DU63" s="3">
        <v>0</v>
      </c>
      <c r="DV63" s="3">
        <v>0</v>
      </c>
      <c r="DW63" s="3">
        <v>77037000</v>
      </c>
      <c r="DX63" s="3">
        <v>49641354.07</v>
      </c>
      <c r="DY63" s="3">
        <v>18695000</v>
      </c>
      <c r="DZ63" s="3">
        <v>0</v>
      </c>
      <c r="EA63" s="3">
        <v>0</v>
      </c>
      <c r="EB63" s="3">
        <v>68336354.069999993</v>
      </c>
      <c r="EC63" s="3">
        <v>49641354.07</v>
      </c>
      <c r="ED63" s="3">
        <v>18695000</v>
      </c>
      <c r="EE63" s="3">
        <v>0</v>
      </c>
      <c r="EF63" s="3">
        <v>0</v>
      </c>
      <c r="EG63" s="3">
        <v>68336354.069999993</v>
      </c>
      <c r="EH63" s="3">
        <v>49641354.07</v>
      </c>
      <c r="EI63" s="3">
        <v>10556950.74</v>
      </c>
      <c r="EJ63" s="3">
        <v>0</v>
      </c>
      <c r="EK63" s="3">
        <v>0</v>
      </c>
      <c r="EL63" s="3">
        <v>60198304.810000002</v>
      </c>
      <c r="EM63" s="3">
        <v>49387507.009999998</v>
      </c>
      <c r="EN63" s="3">
        <v>7859298.2000000011</v>
      </c>
      <c r="EO63" s="3">
        <v>0</v>
      </c>
      <c r="EP63" s="3">
        <v>0</v>
      </c>
      <c r="EQ63" s="3">
        <v>57246805.210000001</v>
      </c>
      <c r="ER63" s="3">
        <v>47150000</v>
      </c>
      <c r="ES63" s="3">
        <v>24495000</v>
      </c>
      <c r="ET63" s="3">
        <v>0</v>
      </c>
      <c r="EU63" s="3">
        <v>2650000</v>
      </c>
      <c r="EV63" s="3">
        <v>74295000</v>
      </c>
      <c r="EW63" s="3">
        <v>47150000</v>
      </c>
      <c r="EX63" s="3">
        <v>24495000</v>
      </c>
      <c r="EY63" s="3">
        <v>0</v>
      </c>
      <c r="EZ63" s="3">
        <v>2650000</v>
      </c>
      <c r="FA63" s="3">
        <v>74295000</v>
      </c>
      <c r="FB63" s="3">
        <v>47150000</v>
      </c>
      <c r="FC63" s="3">
        <v>24495000</v>
      </c>
      <c r="FD63" s="3">
        <v>0</v>
      </c>
      <c r="FE63" s="3">
        <v>2650000</v>
      </c>
      <c r="FF63" s="3">
        <v>74295000</v>
      </c>
      <c r="FG63" s="3">
        <v>48765132.490000002</v>
      </c>
      <c r="FH63" s="3">
        <v>20495000</v>
      </c>
      <c r="FI63" s="3">
        <v>0</v>
      </c>
      <c r="FJ63" s="3">
        <v>2650000</v>
      </c>
      <c r="FK63" s="3">
        <v>71910132.489999995</v>
      </c>
      <c r="FL63" s="3">
        <v>48765132.490000002</v>
      </c>
      <c r="FM63" s="3">
        <v>20495000</v>
      </c>
      <c r="FN63" s="3">
        <v>0</v>
      </c>
      <c r="FO63" s="3">
        <v>2650000</v>
      </c>
      <c r="FP63" s="3">
        <v>71910132.489999995</v>
      </c>
      <c r="FQ63" s="3">
        <v>48765132.490000002</v>
      </c>
      <c r="FR63" s="3">
        <v>19739857.449999999</v>
      </c>
      <c r="FS63" s="3">
        <v>0</v>
      </c>
      <c r="FT63" s="3">
        <v>2196000</v>
      </c>
      <c r="FU63" s="3">
        <v>70700989.939999998</v>
      </c>
      <c r="FV63" s="3">
        <v>48336574.57</v>
      </c>
      <c r="FW63" s="3">
        <v>15930348.34</v>
      </c>
      <c r="FX63" s="3">
        <v>0</v>
      </c>
      <c r="FY63" s="3">
        <v>2196000</v>
      </c>
      <c r="FZ63" s="3">
        <v>66462922.909999996</v>
      </c>
      <c r="GA63" s="3">
        <v>47955000</v>
      </c>
      <c r="GB63" s="3">
        <v>14570000</v>
      </c>
      <c r="GC63" s="3">
        <v>0</v>
      </c>
      <c r="GD63" s="3">
        <v>0</v>
      </c>
      <c r="GE63" s="3">
        <v>62525000</v>
      </c>
      <c r="GF63" s="3">
        <v>47955000</v>
      </c>
      <c r="GG63" s="3">
        <v>14570000</v>
      </c>
      <c r="GH63" s="3">
        <v>0</v>
      </c>
      <c r="GI63" s="3">
        <v>0</v>
      </c>
      <c r="GJ63" s="3">
        <v>62525000</v>
      </c>
      <c r="GK63" s="3">
        <v>47955000</v>
      </c>
      <c r="GL63" s="3">
        <v>14570000</v>
      </c>
      <c r="GM63" s="3">
        <v>0</v>
      </c>
      <c r="GN63" s="3">
        <v>0</v>
      </c>
      <c r="GO63" s="3">
        <v>62525000</v>
      </c>
      <c r="GP63" s="3">
        <v>48402777.770000003</v>
      </c>
      <c r="GQ63" s="3">
        <v>14070000</v>
      </c>
      <c r="GR63" s="3">
        <v>0</v>
      </c>
      <c r="GS63" s="3">
        <v>0</v>
      </c>
      <c r="GT63" s="3">
        <v>62472777.770000003</v>
      </c>
      <c r="GU63" s="3">
        <v>48402777.770000003</v>
      </c>
      <c r="GV63" s="3">
        <v>14070000</v>
      </c>
      <c r="GW63" s="3">
        <v>0</v>
      </c>
      <c r="GX63" s="3">
        <v>0</v>
      </c>
      <c r="GY63" s="3">
        <v>62472777.770000003</v>
      </c>
      <c r="GZ63" s="3">
        <v>48402777.770000003</v>
      </c>
      <c r="HA63" s="3">
        <v>13267733.92</v>
      </c>
      <c r="HB63" s="3">
        <v>0</v>
      </c>
      <c r="HC63" s="3">
        <v>0</v>
      </c>
      <c r="HD63" s="3">
        <v>61670511.689999998</v>
      </c>
      <c r="HE63" s="3">
        <v>47881276.659999996</v>
      </c>
      <c r="HF63" s="3">
        <v>11882021.189999999</v>
      </c>
      <c r="HG63" s="3">
        <v>0</v>
      </c>
      <c r="HH63" s="3">
        <v>0</v>
      </c>
      <c r="HI63" s="3">
        <v>59763297.850000001</v>
      </c>
      <c r="HJ63" s="3">
        <v>47795000</v>
      </c>
      <c r="HK63" s="3">
        <v>34832000</v>
      </c>
      <c r="HL63" s="3">
        <v>0</v>
      </c>
      <c r="HM63" s="3">
        <v>0</v>
      </c>
      <c r="HN63" s="3">
        <v>82627000</v>
      </c>
      <c r="HO63" s="3">
        <v>47795000</v>
      </c>
      <c r="HP63" s="3">
        <v>34832000</v>
      </c>
      <c r="HQ63" s="3">
        <v>0</v>
      </c>
      <c r="HR63" s="3">
        <v>0</v>
      </c>
      <c r="HS63" s="3">
        <v>82627000</v>
      </c>
      <c r="HT63" s="3">
        <v>47795000</v>
      </c>
      <c r="HU63" s="3">
        <v>34832000</v>
      </c>
      <c r="HV63" s="3">
        <v>0</v>
      </c>
      <c r="HW63" s="3">
        <v>0</v>
      </c>
      <c r="HX63" s="3">
        <v>82627000</v>
      </c>
      <c r="HY63" s="3">
        <v>49928653.840000004</v>
      </c>
      <c r="HZ63" s="3">
        <v>34832000</v>
      </c>
      <c r="IA63" s="3">
        <v>0</v>
      </c>
      <c r="IB63" s="3">
        <v>0</v>
      </c>
      <c r="IC63" s="3">
        <v>84760653.840000004</v>
      </c>
      <c r="ID63" s="3">
        <v>49928653.840000004</v>
      </c>
      <c r="IE63" s="3">
        <v>34832000</v>
      </c>
      <c r="IF63" s="3">
        <v>0</v>
      </c>
      <c r="IG63" s="3">
        <v>0</v>
      </c>
      <c r="IH63" s="3">
        <v>84760653.840000004</v>
      </c>
      <c r="II63" s="3">
        <v>49928653.840000004</v>
      </c>
      <c r="IJ63" s="3">
        <v>33419512.43</v>
      </c>
      <c r="IK63" s="3">
        <v>0</v>
      </c>
      <c r="IL63" s="3">
        <v>0</v>
      </c>
      <c r="IM63" s="6">
        <v>83348166.270000011</v>
      </c>
      <c r="IN63" s="3">
        <v>48817516.43</v>
      </c>
      <c r="IO63" s="3">
        <v>12121512.279999999</v>
      </c>
      <c r="IP63" s="3">
        <v>0</v>
      </c>
      <c r="IQ63" s="3">
        <v>0</v>
      </c>
      <c r="IR63" s="6">
        <v>60939028.710000001</v>
      </c>
      <c r="IS63" s="3">
        <v>48725000</v>
      </c>
      <c r="IT63" s="3">
        <v>15099000</v>
      </c>
      <c r="IU63" s="3">
        <v>0</v>
      </c>
      <c r="IV63" s="3">
        <v>0</v>
      </c>
      <c r="IW63" s="3">
        <v>63824000</v>
      </c>
      <c r="IX63" s="3">
        <v>48725000</v>
      </c>
      <c r="IY63" s="3">
        <v>15099000</v>
      </c>
      <c r="IZ63" s="3">
        <v>0</v>
      </c>
      <c r="JA63" s="3">
        <v>0</v>
      </c>
      <c r="JB63" s="3">
        <v>63824000</v>
      </c>
      <c r="JC63" s="3">
        <v>48725000</v>
      </c>
      <c r="JD63" s="3">
        <v>15099000</v>
      </c>
      <c r="JE63" s="3">
        <v>0</v>
      </c>
      <c r="JF63" s="3">
        <v>0</v>
      </c>
      <c r="JG63" s="3">
        <v>63824000</v>
      </c>
      <c r="JH63" s="3">
        <v>50447934.219999999</v>
      </c>
      <c r="JI63" s="3">
        <v>15099000</v>
      </c>
      <c r="JJ63" s="3">
        <v>0</v>
      </c>
      <c r="JK63" s="3">
        <v>0</v>
      </c>
      <c r="JL63" s="3">
        <v>65546934.219999999</v>
      </c>
      <c r="JM63" s="3">
        <v>50447934.219999999</v>
      </c>
      <c r="JN63" s="3">
        <v>15099000</v>
      </c>
      <c r="JO63" s="3">
        <v>0</v>
      </c>
      <c r="JP63" s="3">
        <v>0</v>
      </c>
      <c r="JQ63" s="3">
        <v>65546934.219999999</v>
      </c>
      <c r="JR63" s="3">
        <v>50447934.219999999</v>
      </c>
      <c r="JS63" s="3">
        <v>13928058.1</v>
      </c>
      <c r="JT63" s="3">
        <v>0</v>
      </c>
      <c r="JU63" s="3">
        <v>0</v>
      </c>
      <c r="JV63" s="3">
        <v>64375992.32</v>
      </c>
      <c r="JW63" s="3">
        <v>50418722.329999998</v>
      </c>
      <c r="JX63" s="3">
        <v>11881884.68</v>
      </c>
      <c r="JY63" s="3">
        <v>0</v>
      </c>
      <c r="JZ63" s="3">
        <v>0</v>
      </c>
      <c r="KA63" s="3">
        <v>62300607.009999998</v>
      </c>
      <c r="KB63" s="3">
        <v>13584000</v>
      </c>
      <c r="KC63" s="3">
        <v>13084000</v>
      </c>
      <c r="KD63" s="3">
        <v>0</v>
      </c>
      <c r="KE63" s="3">
        <v>0</v>
      </c>
      <c r="KF63" s="3">
        <v>26668000</v>
      </c>
      <c r="KG63" s="3">
        <v>13584000</v>
      </c>
      <c r="KH63" s="3">
        <v>13084000</v>
      </c>
      <c r="KI63" s="3">
        <v>0</v>
      </c>
      <c r="KJ63" s="3">
        <v>0</v>
      </c>
      <c r="KK63" s="3">
        <v>26668000</v>
      </c>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v>14951000</v>
      </c>
      <c r="LL63" s="3">
        <v>28286000</v>
      </c>
      <c r="LM63">
        <v>0</v>
      </c>
      <c r="LN63" s="3">
        <v>0</v>
      </c>
      <c r="LO63" s="3">
        <v>43237000</v>
      </c>
    </row>
    <row r="64" spans="1:327" x14ac:dyDescent="0.25">
      <c r="A64" t="s">
        <v>943</v>
      </c>
      <c r="B64" t="s">
        <v>944</v>
      </c>
      <c r="C64" t="s">
        <v>199</v>
      </c>
      <c r="D64" t="s">
        <v>200</v>
      </c>
      <c r="E64" t="s">
        <v>292</v>
      </c>
      <c r="F64" t="s">
        <v>293</v>
      </c>
      <c r="G64" t="s">
        <v>1052</v>
      </c>
      <c r="H64" s="3">
        <v>127415000</v>
      </c>
      <c r="I64" s="3">
        <v>242191000</v>
      </c>
      <c r="J64" s="3">
        <v>0</v>
      </c>
      <c r="K64" s="3">
        <v>50946000</v>
      </c>
      <c r="L64" s="3">
        <v>420552000</v>
      </c>
      <c r="M64" s="3">
        <v>127415000</v>
      </c>
      <c r="N64" s="3">
        <v>242191000</v>
      </c>
      <c r="O64" s="3">
        <v>0</v>
      </c>
      <c r="P64" s="3">
        <v>50946000</v>
      </c>
      <c r="Q64" s="3">
        <v>420552000</v>
      </c>
      <c r="R64" s="3">
        <v>127415000</v>
      </c>
      <c r="S64" s="3">
        <v>242191000</v>
      </c>
      <c r="T64" s="3">
        <v>0</v>
      </c>
      <c r="U64" s="3">
        <v>50946000</v>
      </c>
      <c r="V64" s="3">
        <v>420552000</v>
      </c>
      <c r="W64" s="3">
        <v>126729496</v>
      </c>
      <c r="X64" s="3">
        <v>237425849</v>
      </c>
      <c r="Y64" s="3">
        <v>0</v>
      </c>
      <c r="Z64" s="3">
        <v>50946000</v>
      </c>
      <c r="AA64" s="3">
        <v>415101345</v>
      </c>
      <c r="AB64" s="3">
        <v>126729496</v>
      </c>
      <c r="AC64" s="3">
        <v>237425849</v>
      </c>
      <c r="AD64" s="3">
        <v>0</v>
      </c>
      <c r="AE64" s="3">
        <v>50946000</v>
      </c>
      <c r="AF64" s="3">
        <v>415101345</v>
      </c>
      <c r="AG64" s="3">
        <v>126566624.98</v>
      </c>
      <c r="AH64" s="3">
        <v>234892321.66999999</v>
      </c>
      <c r="AI64" s="3">
        <v>0</v>
      </c>
      <c r="AJ64" s="3">
        <v>48525300.109999999</v>
      </c>
      <c r="AK64" s="3">
        <v>409984246.75999999</v>
      </c>
      <c r="AL64" s="3">
        <v>126212433.58</v>
      </c>
      <c r="AM64" s="3">
        <v>217018710.41</v>
      </c>
      <c r="AN64" s="3">
        <v>0</v>
      </c>
      <c r="AO64" s="3">
        <v>41203555.700000003</v>
      </c>
      <c r="AP64" s="3">
        <v>384434699.69</v>
      </c>
      <c r="AQ64" s="3">
        <v>145308000</v>
      </c>
      <c r="AR64" s="3">
        <v>195371000</v>
      </c>
      <c r="AS64" s="3">
        <v>0</v>
      </c>
      <c r="AT64" s="3">
        <v>35844000</v>
      </c>
      <c r="AU64" s="3">
        <v>376523000</v>
      </c>
      <c r="AV64" s="3">
        <v>145308000</v>
      </c>
      <c r="AW64" s="3">
        <v>195371000</v>
      </c>
      <c r="AX64" s="3">
        <v>0</v>
      </c>
      <c r="AY64" s="3">
        <v>35844000</v>
      </c>
      <c r="AZ64" s="3">
        <v>376523000</v>
      </c>
      <c r="BA64" s="3">
        <v>145308000</v>
      </c>
      <c r="BB64" s="3">
        <v>195371000</v>
      </c>
      <c r="BC64" s="3">
        <v>0</v>
      </c>
      <c r="BD64" s="3">
        <v>35844000</v>
      </c>
      <c r="BE64" s="3">
        <v>376523000</v>
      </c>
      <c r="BF64" s="3">
        <v>145672581.06999999</v>
      </c>
      <c r="BG64" s="3">
        <v>193225075</v>
      </c>
      <c r="BH64" s="3">
        <v>0</v>
      </c>
      <c r="BI64" s="3">
        <v>35844000</v>
      </c>
      <c r="BJ64" s="3">
        <v>374741656.06999999</v>
      </c>
      <c r="BK64" s="3">
        <v>145672581.06999999</v>
      </c>
      <c r="BL64" s="3">
        <v>193225075</v>
      </c>
      <c r="BM64" s="3">
        <v>0</v>
      </c>
      <c r="BN64" s="3">
        <v>35844000</v>
      </c>
      <c r="BO64" s="3">
        <v>374741656.06999999</v>
      </c>
      <c r="BP64" s="3">
        <v>145651529.49000001</v>
      </c>
      <c r="BQ64" s="3">
        <v>189292728.59</v>
      </c>
      <c r="BR64" s="3">
        <v>0</v>
      </c>
      <c r="BS64" s="3">
        <v>33784579.890000001</v>
      </c>
      <c r="BT64" s="3">
        <v>368728837.97000003</v>
      </c>
      <c r="BU64" s="3">
        <v>142747131.44</v>
      </c>
      <c r="BV64" s="3">
        <v>181752999.02000001</v>
      </c>
      <c r="BW64" s="3">
        <v>0</v>
      </c>
      <c r="BX64" s="3">
        <v>6335585.9700000007</v>
      </c>
      <c r="BY64" s="3">
        <v>330835716.43000001</v>
      </c>
      <c r="BZ64" s="3">
        <v>155030000</v>
      </c>
      <c r="CA64" s="3">
        <v>317635000</v>
      </c>
      <c r="CB64" s="3">
        <v>0</v>
      </c>
      <c r="CC64" s="3">
        <v>100264000</v>
      </c>
      <c r="CD64" s="3">
        <v>572929000</v>
      </c>
      <c r="CE64" s="3">
        <v>155030000</v>
      </c>
      <c r="CF64" s="3">
        <v>316235000</v>
      </c>
      <c r="CG64" s="3">
        <v>0</v>
      </c>
      <c r="CH64" s="3">
        <v>100264000</v>
      </c>
      <c r="CI64" s="3">
        <v>571529000</v>
      </c>
      <c r="CJ64" s="3">
        <v>155030000</v>
      </c>
      <c r="CK64" s="3">
        <v>316235000</v>
      </c>
      <c r="CL64" s="3">
        <v>0</v>
      </c>
      <c r="CM64" s="3">
        <v>100264000</v>
      </c>
      <c r="CN64" s="3">
        <v>571529000</v>
      </c>
      <c r="CO64" s="3">
        <v>160594930.22999999</v>
      </c>
      <c r="CP64" s="3">
        <v>274543405</v>
      </c>
      <c r="CQ64" s="3">
        <v>0</v>
      </c>
      <c r="CR64" s="3">
        <v>89707100</v>
      </c>
      <c r="CS64" s="3">
        <v>524845435.23000002</v>
      </c>
      <c r="CT64" s="3">
        <v>160594930.22999999</v>
      </c>
      <c r="CU64" s="3">
        <v>274543405</v>
      </c>
      <c r="CV64" s="3">
        <v>0</v>
      </c>
      <c r="CW64" s="3">
        <v>89707100</v>
      </c>
      <c r="CX64" s="3">
        <v>524845435.23000002</v>
      </c>
      <c r="CY64" s="3">
        <v>160080151.79000002</v>
      </c>
      <c r="CZ64" s="3">
        <v>263928160.12999997</v>
      </c>
      <c r="DA64" s="3">
        <v>0</v>
      </c>
      <c r="DB64" s="3">
        <v>81257639.720000014</v>
      </c>
      <c r="DC64" s="3">
        <v>505265951.63999999</v>
      </c>
      <c r="DD64" s="3">
        <v>159363933.47999999</v>
      </c>
      <c r="DE64" s="3">
        <v>238171686.09</v>
      </c>
      <c r="DF64" s="3">
        <v>0</v>
      </c>
      <c r="DG64" s="3">
        <v>12129707.270000001</v>
      </c>
      <c r="DH64" s="10">
        <v>409665326.84000003</v>
      </c>
      <c r="DI64" s="3">
        <v>160192000</v>
      </c>
      <c r="DJ64" s="3">
        <v>268876000</v>
      </c>
      <c r="DK64" s="3">
        <v>0</v>
      </c>
      <c r="DL64" s="3">
        <v>37213000</v>
      </c>
      <c r="DM64" s="3">
        <v>466281000</v>
      </c>
      <c r="DN64" s="3">
        <v>160192000</v>
      </c>
      <c r="DO64" s="3">
        <v>268876000</v>
      </c>
      <c r="DP64" s="3">
        <v>0</v>
      </c>
      <c r="DQ64" s="3">
        <v>37213000</v>
      </c>
      <c r="DR64" s="3">
        <v>466281000</v>
      </c>
      <c r="DS64" s="3">
        <v>160192000</v>
      </c>
      <c r="DT64" s="3">
        <v>268876000</v>
      </c>
      <c r="DU64" s="3">
        <v>0</v>
      </c>
      <c r="DV64" s="3">
        <v>37213000</v>
      </c>
      <c r="DW64" s="3">
        <v>466281000</v>
      </c>
      <c r="DX64" s="3">
        <v>159983177.13999999</v>
      </c>
      <c r="DY64" s="3">
        <v>251753725</v>
      </c>
      <c r="DZ64" s="3">
        <v>0</v>
      </c>
      <c r="EA64" s="3">
        <v>38723000</v>
      </c>
      <c r="EB64" s="3">
        <v>450459902.13999999</v>
      </c>
      <c r="EC64" s="3">
        <v>159983177.13999999</v>
      </c>
      <c r="ED64" s="3">
        <v>251753725</v>
      </c>
      <c r="EE64" s="3">
        <v>0</v>
      </c>
      <c r="EF64" s="3">
        <v>38723000</v>
      </c>
      <c r="EG64" s="3">
        <v>450459902.13999999</v>
      </c>
      <c r="EH64" s="3">
        <v>159983176.59</v>
      </c>
      <c r="EI64" s="3">
        <v>250832105.09</v>
      </c>
      <c r="EJ64" s="3">
        <v>0</v>
      </c>
      <c r="EK64" s="3">
        <v>33081618.759999998</v>
      </c>
      <c r="EL64" s="3">
        <v>443896900.44</v>
      </c>
      <c r="EM64" s="3">
        <v>151394096.31</v>
      </c>
      <c r="EN64" s="3">
        <v>206653911.13999999</v>
      </c>
      <c r="EO64" s="3">
        <v>0</v>
      </c>
      <c r="EP64" s="3">
        <v>20630990.23</v>
      </c>
      <c r="EQ64" s="3">
        <v>378678997.68000001</v>
      </c>
      <c r="ER64" s="3">
        <v>166000000</v>
      </c>
      <c r="ES64" s="3">
        <v>268876000</v>
      </c>
      <c r="ET64" s="3">
        <v>0</v>
      </c>
      <c r="EU64" s="3">
        <v>37213000</v>
      </c>
      <c r="EV64" s="3">
        <v>472089000</v>
      </c>
      <c r="EW64" s="3">
        <v>166000000</v>
      </c>
      <c r="EX64" s="3">
        <v>268876000</v>
      </c>
      <c r="EY64" s="3">
        <v>0</v>
      </c>
      <c r="EZ64" s="3">
        <v>37213000</v>
      </c>
      <c r="FA64" s="3">
        <v>472089000</v>
      </c>
      <c r="FB64" s="3">
        <v>166000000</v>
      </c>
      <c r="FC64" s="3">
        <v>268876000</v>
      </c>
      <c r="FD64" s="3">
        <v>0</v>
      </c>
      <c r="FE64" s="3">
        <v>37213000</v>
      </c>
      <c r="FF64" s="3">
        <v>472089000</v>
      </c>
      <c r="FG64" s="3">
        <v>168625710.09</v>
      </c>
      <c r="FH64" s="3">
        <v>262139861</v>
      </c>
      <c r="FI64" s="3">
        <v>0</v>
      </c>
      <c r="FJ64" s="3">
        <v>37213000</v>
      </c>
      <c r="FK64" s="3">
        <v>467978571.08999997</v>
      </c>
      <c r="FL64" s="3">
        <v>168625710.09</v>
      </c>
      <c r="FM64" s="3">
        <v>262139861</v>
      </c>
      <c r="FN64" s="3">
        <v>0</v>
      </c>
      <c r="FO64" s="3">
        <v>37213000</v>
      </c>
      <c r="FP64" s="3">
        <v>467978571.08999997</v>
      </c>
      <c r="FQ64" s="3">
        <v>168614248.33000001</v>
      </c>
      <c r="FR64" s="3">
        <v>251525478.52000001</v>
      </c>
      <c r="FS64" s="3">
        <v>0</v>
      </c>
      <c r="FT64" s="3">
        <v>30953486.120000001</v>
      </c>
      <c r="FU64" s="3">
        <v>451093212.97000003</v>
      </c>
      <c r="FV64" s="3">
        <v>168273381.61000001</v>
      </c>
      <c r="FW64" s="3">
        <v>238364774.16</v>
      </c>
      <c r="FX64" s="3">
        <v>0</v>
      </c>
      <c r="FY64" s="3">
        <v>16590658.300000001</v>
      </c>
      <c r="FZ64" s="3">
        <v>423228814.06999999</v>
      </c>
      <c r="GA64" s="3">
        <v>166145000</v>
      </c>
      <c r="GB64" s="3">
        <v>267869000</v>
      </c>
      <c r="GC64" s="3">
        <v>0</v>
      </c>
      <c r="GD64" s="3">
        <v>31308000</v>
      </c>
      <c r="GE64" s="3">
        <v>465322000</v>
      </c>
      <c r="GF64" s="3">
        <v>166145000</v>
      </c>
      <c r="GG64" s="3">
        <v>329869000</v>
      </c>
      <c r="GH64" s="3">
        <v>0</v>
      </c>
      <c r="GI64" s="3">
        <v>69308000</v>
      </c>
      <c r="GJ64" s="3">
        <v>565322000</v>
      </c>
      <c r="GK64" s="3">
        <v>166145000</v>
      </c>
      <c r="GL64" s="3">
        <v>329869000</v>
      </c>
      <c r="GM64" s="3">
        <v>0</v>
      </c>
      <c r="GN64" s="3">
        <v>69308000</v>
      </c>
      <c r="GO64" s="3">
        <v>565322000</v>
      </c>
      <c r="GP64" s="3">
        <v>165638619.61000001</v>
      </c>
      <c r="GQ64" s="3">
        <v>319585527.38999999</v>
      </c>
      <c r="GR64" s="3">
        <v>0</v>
      </c>
      <c r="GS64" s="3">
        <v>69308000</v>
      </c>
      <c r="GT64" s="3">
        <v>554532147</v>
      </c>
      <c r="GU64" s="3">
        <v>165638619.61000001</v>
      </c>
      <c r="GV64" s="3">
        <v>319585527.38999999</v>
      </c>
      <c r="GW64" s="3">
        <v>0</v>
      </c>
      <c r="GX64" s="3">
        <v>69308000</v>
      </c>
      <c r="GY64" s="3">
        <v>554532147</v>
      </c>
      <c r="GZ64" s="3">
        <v>165468359</v>
      </c>
      <c r="HA64" s="3">
        <v>309364170.83999997</v>
      </c>
      <c r="HB64" s="3">
        <v>0</v>
      </c>
      <c r="HC64" s="3">
        <v>63259807.229999997</v>
      </c>
      <c r="HD64" s="3">
        <v>538092337.07000005</v>
      </c>
      <c r="HE64" s="3">
        <v>164493680.31999999</v>
      </c>
      <c r="HF64" s="3">
        <v>294748258.73000002</v>
      </c>
      <c r="HG64" s="3">
        <v>0</v>
      </c>
      <c r="HH64" s="3">
        <v>35555154.600000001</v>
      </c>
      <c r="HI64" s="3">
        <v>494797093.64999998</v>
      </c>
      <c r="HJ64" s="3">
        <v>173617000</v>
      </c>
      <c r="HK64" s="3">
        <v>347691000</v>
      </c>
      <c r="HL64" s="3">
        <v>0</v>
      </c>
      <c r="HM64" s="3">
        <v>31308000</v>
      </c>
      <c r="HN64" s="3">
        <v>552616000</v>
      </c>
      <c r="HO64" s="3">
        <v>173617000</v>
      </c>
      <c r="HP64" s="3">
        <v>347691000</v>
      </c>
      <c r="HQ64" s="3">
        <v>0</v>
      </c>
      <c r="HR64" s="3">
        <v>31308000</v>
      </c>
      <c r="HS64" s="3">
        <v>552616000</v>
      </c>
      <c r="HT64" s="3">
        <v>173617000</v>
      </c>
      <c r="HU64" s="3">
        <v>347691000</v>
      </c>
      <c r="HV64" s="3">
        <v>0</v>
      </c>
      <c r="HW64" s="3">
        <v>31308000</v>
      </c>
      <c r="HX64" s="3">
        <v>552616000</v>
      </c>
      <c r="HY64" s="3">
        <v>166519993.27000001</v>
      </c>
      <c r="HZ64" s="3">
        <v>337712745</v>
      </c>
      <c r="IA64" s="3">
        <v>0</v>
      </c>
      <c r="IB64" s="3">
        <v>31308000</v>
      </c>
      <c r="IC64" s="3">
        <v>535540738.26999998</v>
      </c>
      <c r="ID64" s="3">
        <v>166519993.27000001</v>
      </c>
      <c r="IE64" s="3">
        <v>337712745</v>
      </c>
      <c r="IF64" s="3">
        <v>0</v>
      </c>
      <c r="IG64" s="3">
        <v>31308000</v>
      </c>
      <c r="IH64" s="3">
        <v>535540738.26999998</v>
      </c>
      <c r="II64" s="3">
        <v>164672661.78999999</v>
      </c>
      <c r="IJ64" s="3">
        <v>319866035.49000001</v>
      </c>
      <c r="IK64" s="3">
        <v>0</v>
      </c>
      <c r="IL64" s="3">
        <v>28914262.739999998</v>
      </c>
      <c r="IM64" s="6">
        <v>513452960.01999998</v>
      </c>
      <c r="IN64" s="3">
        <v>162530856.30000001</v>
      </c>
      <c r="IO64" s="3">
        <v>280942021.06</v>
      </c>
      <c r="IP64" s="3">
        <v>0</v>
      </c>
      <c r="IQ64" s="3">
        <v>14590521.539999999</v>
      </c>
      <c r="IR64" s="6">
        <v>458063398.89999998</v>
      </c>
      <c r="IS64" s="3">
        <v>177181000</v>
      </c>
      <c r="IT64" s="3">
        <v>325030000</v>
      </c>
      <c r="IU64" s="3">
        <v>0</v>
      </c>
      <c r="IV64" s="3">
        <v>51308000</v>
      </c>
      <c r="IW64" s="3">
        <v>553519000</v>
      </c>
      <c r="IX64" s="3">
        <v>177181000</v>
      </c>
      <c r="IY64" s="3">
        <v>325030000</v>
      </c>
      <c r="IZ64" s="3">
        <v>0</v>
      </c>
      <c r="JA64" s="3">
        <v>51308000</v>
      </c>
      <c r="JB64" s="3">
        <v>553519000</v>
      </c>
      <c r="JC64" s="3">
        <v>177181000</v>
      </c>
      <c r="JD64" s="3">
        <v>325030000</v>
      </c>
      <c r="JE64" s="3">
        <v>0</v>
      </c>
      <c r="JF64" s="3">
        <v>51308000</v>
      </c>
      <c r="JG64" s="3">
        <v>553519000</v>
      </c>
      <c r="JH64" s="3">
        <v>171199764.08000001</v>
      </c>
      <c r="JI64" s="3">
        <v>318020471.98000002</v>
      </c>
      <c r="JJ64" s="3">
        <v>0</v>
      </c>
      <c r="JK64" s="3">
        <v>51308000</v>
      </c>
      <c r="JL64" s="3">
        <v>540528236.05999994</v>
      </c>
      <c r="JM64" s="3">
        <v>171199764.08000001</v>
      </c>
      <c r="JN64" s="3">
        <v>318020471.98000002</v>
      </c>
      <c r="JO64" s="3">
        <v>0</v>
      </c>
      <c r="JP64" s="3">
        <v>51308000</v>
      </c>
      <c r="JQ64" s="3">
        <v>540528236.05999994</v>
      </c>
      <c r="JR64" s="3">
        <v>170461553.78</v>
      </c>
      <c r="JS64" s="3">
        <v>312601330</v>
      </c>
      <c r="JT64" s="3">
        <v>0</v>
      </c>
      <c r="JU64" s="3">
        <v>46846907.509999998</v>
      </c>
      <c r="JV64" s="3">
        <v>529909791.29000002</v>
      </c>
      <c r="JW64" s="3">
        <v>167737719.81999999</v>
      </c>
      <c r="JX64" s="3">
        <v>285821354.79000002</v>
      </c>
      <c r="JY64" s="3">
        <v>0</v>
      </c>
      <c r="JZ64" s="3">
        <v>11214623.890000001</v>
      </c>
      <c r="KA64" s="3">
        <v>467773698.5</v>
      </c>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row>
    <row r="65" spans="1:327" x14ac:dyDescent="0.25">
      <c r="A65" t="s">
        <v>943</v>
      </c>
      <c r="B65" t="s">
        <v>944</v>
      </c>
      <c r="C65" t="s">
        <v>199</v>
      </c>
      <c r="D65" t="s">
        <v>200</v>
      </c>
      <c r="E65" t="s">
        <v>292</v>
      </c>
      <c r="F65" t="s">
        <v>537</v>
      </c>
      <c r="G65" t="s">
        <v>1053</v>
      </c>
      <c r="H65" s="3">
        <v>13046000</v>
      </c>
      <c r="I65" s="3">
        <v>54052000</v>
      </c>
      <c r="J65" s="3">
        <v>0</v>
      </c>
      <c r="K65" s="3">
        <v>0</v>
      </c>
      <c r="L65" s="3">
        <v>67098000</v>
      </c>
      <c r="M65" s="3">
        <v>13046000</v>
      </c>
      <c r="N65" s="3">
        <v>54052000</v>
      </c>
      <c r="O65" s="3">
        <v>0</v>
      </c>
      <c r="P65" s="3">
        <v>0</v>
      </c>
      <c r="Q65" s="3">
        <v>67098000</v>
      </c>
      <c r="R65" s="3">
        <v>13046000</v>
      </c>
      <c r="S65" s="3">
        <v>54052000</v>
      </c>
      <c r="T65" s="3">
        <v>0</v>
      </c>
      <c r="U65" s="3">
        <v>0</v>
      </c>
      <c r="V65" s="3">
        <v>67098000</v>
      </c>
      <c r="W65" s="3">
        <v>14471799.74</v>
      </c>
      <c r="X65" s="3">
        <v>53052000</v>
      </c>
      <c r="Y65" s="3">
        <v>0</v>
      </c>
      <c r="Z65" s="3">
        <v>0</v>
      </c>
      <c r="AA65" s="3">
        <v>67523799.739999995</v>
      </c>
      <c r="AB65" s="3">
        <v>14471799.74</v>
      </c>
      <c r="AC65" s="3">
        <v>53052000</v>
      </c>
      <c r="AD65" s="3">
        <v>0</v>
      </c>
      <c r="AE65" s="3"/>
      <c r="AF65" s="3">
        <v>67523799.739999995</v>
      </c>
      <c r="AG65" s="3">
        <v>14471799.74</v>
      </c>
      <c r="AH65" s="3">
        <v>52843594.799999997</v>
      </c>
      <c r="AI65" s="3">
        <v>0</v>
      </c>
      <c r="AJ65" s="3">
        <v>0</v>
      </c>
      <c r="AK65" s="3">
        <v>67315394.540000007</v>
      </c>
      <c r="AL65" s="3">
        <v>14434684.460000001</v>
      </c>
      <c r="AM65" s="3">
        <v>38074886.460000001</v>
      </c>
      <c r="AN65" s="3">
        <v>0</v>
      </c>
      <c r="AO65" s="3">
        <v>0</v>
      </c>
      <c r="AP65" s="3">
        <v>52509570.920000002</v>
      </c>
      <c r="AQ65" s="3">
        <v>15777000</v>
      </c>
      <c r="AR65" s="3">
        <v>42369000</v>
      </c>
      <c r="AS65" s="3">
        <v>0</v>
      </c>
      <c r="AT65" s="3">
        <v>0</v>
      </c>
      <c r="AU65" s="3">
        <v>58146000</v>
      </c>
      <c r="AV65" s="3">
        <v>15777000</v>
      </c>
      <c r="AW65" s="3">
        <v>42369000</v>
      </c>
      <c r="AX65" s="3">
        <v>0</v>
      </c>
      <c r="AY65" s="3">
        <v>0</v>
      </c>
      <c r="AZ65" s="3">
        <v>58146000</v>
      </c>
      <c r="BA65" s="3">
        <v>15777000</v>
      </c>
      <c r="BB65" s="3">
        <v>42369000</v>
      </c>
      <c r="BC65" s="3">
        <v>0</v>
      </c>
      <c r="BD65" s="3">
        <v>0</v>
      </c>
      <c r="BE65" s="3">
        <v>58146000</v>
      </c>
      <c r="BF65" s="3">
        <v>16629142.710000001</v>
      </c>
      <c r="BG65" s="3">
        <v>41369000</v>
      </c>
      <c r="BH65" s="3">
        <v>0</v>
      </c>
      <c r="BI65" s="3">
        <v>0</v>
      </c>
      <c r="BJ65" s="3">
        <v>57998142.710000001</v>
      </c>
      <c r="BK65" s="3">
        <v>16629142.710000001</v>
      </c>
      <c r="BL65" s="3">
        <v>41369000</v>
      </c>
      <c r="BM65" s="3">
        <v>0</v>
      </c>
      <c r="BN65" s="3">
        <v>0</v>
      </c>
      <c r="BO65" s="3">
        <v>57998142.710000001</v>
      </c>
      <c r="BP65" s="3">
        <v>16629142.710000001</v>
      </c>
      <c r="BQ65" s="3">
        <v>33994363.979999997</v>
      </c>
      <c r="BR65" s="3">
        <v>0</v>
      </c>
      <c r="BS65" s="3">
        <v>0</v>
      </c>
      <c r="BT65" s="3">
        <v>50623506.689999998</v>
      </c>
      <c r="BU65" s="3">
        <v>16612709.5</v>
      </c>
      <c r="BV65" s="3">
        <v>27401228.450000003</v>
      </c>
      <c r="BW65" s="3">
        <v>0</v>
      </c>
      <c r="BX65" s="3">
        <v>0</v>
      </c>
      <c r="BY65" s="3">
        <v>44013937.950000003</v>
      </c>
      <c r="BZ65" s="3">
        <v>15824000</v>
      </c>
      <c r="CA65" s="3">
        <v>42964000</v>
      </c>
      <c r="CB65" s="3">
        <v>0</v>
      </c>
      <c r="CC65" s="3">
        <v>0</v>
      </c>
      <c r="CD65" s="3">
        <v>58788000</v>
      </c>
      <c r="CE65" s="3">
        <v>15824000</v>
      </c>
      <c r="CF65" s="3">
        <v>42964000</v>
      </c>
      <c r="CG65" s="3">
        <v>0</v>
      </c>
      <c r="CH65" s="3">
        <v>0</v>
      </c>
      <c r="CI65" s="3">
        <v>58788000</v>
      </c>
      <c r="CJ65" s="3">
        <v>15824000</v>
      </c>
      <c r="CK65" s="3">
        <v>42964000</v>
      </c>
      <c r="CL65" s="3">
        <v>0</v>
      </c>
      <c r="CM65" s="3">
        <v>0</v>
      </c>
      <c r="CN65" s="3">
        <v>58788000</v>
      </c>
      <c r="CO65" s="3">
        <v>17672511.050000001</v>
      </c>
      <c r="CP65" s="3">
        <v>29282476</v>
      </c>
      <c r="CQ65" s="3">
        <v>0</v>
      </c>
      <c r="CR65" s="3">
        <v>0</v>
      </c>
      <c r="CS65" s="3">
        <v>46954987.049999997</v>
      </c>
      <c r="CT65" s="3">
        <v>17672511.050000001</v>
      </c>
      <c r="CU65" s="3">
        <v>29282476</v>
      </c>
      <c r="CV65" s="3">
        <v>0</v>
      </c>
      <c r="CW65" s="3">
        <v>0</v>
      </c>
      <c r="CX65" s="3">
        <v>46954987.049999997</v>
      </c>
      <c r="CY65" s="3">
        <v>17672511.049999997</v>
      </c>
      <c r="CZ65" s="3">
        <v>24184065.16</v>
      </c>
      <c r="DA65" s="3">
        <v>0</v>
      </c>
      <c r="DB65" s="3">
        <v>0</v>
      </c>
      <c r="DC65" s="3">
        <v>41856576.210000001</v>
      </c>
      <c r="DD65" s="3">
        <v>16598136.18</v>
      </c>
      <c r="DE65" s="3">
        <v>19670651.690000001</v>
      </c>
      <c r="DF65" s="3">
        <v>0</v>
      </c>
      <c r="DG65" s="3">
        <v>0</v>
      </c>
      <c r="DH65" s="10">
        <v>36268787.870000005</v>
      </c>
      <c r="DI65" s="3">
        <v>18908000</v>
      </c>
      <c r="DJ65" s="3">
        <v>43746000</v>
      </c>
      <c r="DK65" s="3">
        <v>0</v>
      </c>
      <c r="DL65" s="3">
        <v>0</v>
      </c>
      <c r="DM65" s="3">
        <v>62654000</v>
      </c>
      <c r="DN65" s="3">
        <v>18908000</v>
      </c>
      <c r="DO65" s="3">
        <v>43746000</v>
      </c>
      <c r="DP65" s="3">
        <v>0</v>
      </c>
      <c r="DQ65" s="3">
        <v>0</v>
      </c>
      <c r="DR65" s="3">
        <v>62654000</v>
      </c>
      <c r="DS65" s="3">
        <v>18908000</v>
      </c>
      <c r="DT65" s="3">
        <v>43746000</v>
      </c>
      <c r="DU65" s="3">
        <v>0</v>
      </c>
      <c r="DV65" s="3">
        <v>0</v>
      </c>
      <c r="DW65" s="3">
        <v>62654000</v>
      </c>
      <c r="DX65" s="3">
        <v>18792732.469999999</v>
      </c>
      <c r="DY65" s="3">
        <v>38676000</v>
      </c>
      <c r="DZ65" s="3">
        <v>0</v>
      </c>
      <c r="EA65" s="3">
        <v>0</v>
      </c>
      <c r="EB65" s="3">
        <v>57468732.469999999</v>
      </c>
      <c r="EC65" s="3">
        <v>18792732.469999999</v>
      </c>
      <c r="ED65" s="3">
        <v>38676000</v>
      </c>
      <c r="EE65" s="3">
        <v>0</v>
      </c>
      <c r="EF65" s="3">
        <v>0</v>
      </c>
      <c r="EG65" s="3">
        <v>57468732.469999999</v>
      </c>
      <c r="EH65" s="3">
        <v>18792732.469999999</v>
      </c>
      <c r="EI65" s="3">
        <v>25407948.98</v>
      </c>
      <c r="EJ65" s="3">
        <v>0</v>
      </c>
      <c r="EK65" s="3">
        <v>0</v>
      </c>
      <c r="EL65" s="3">
        <v>44200681.450000003</v>
      </c>
      <c r="EM65" s="3">
        <v>18729258.57</v>
      </c>
      <c r="EN65" s="3">
        <v>19906485.68</v>
      </c>
      <c r="EO65" s="3">
        <v>0</v>
      </c>
      <c r="EP65" s="3">
        <v>0</v>
      </c>
      <c r="EQ65" s="3">
        <v>38635744.25</v>
      </c>
      <c r="ER65" s="3">
        <v>19186000</v>
      </c>
      <c r="ES65" s="3">
        <v>43746000</v>
      </c>
      <c r="ET65" s="3">
        <v>0</v>
      </c>
      <c r="EU65" s="3">
        <v>0</v>
      </c>
      <c r="EV65" s="3">
        <v>62932000</v>
      </c>
      <c r="EW65" s="3">
        <v>19186000</v>
      </c>
      <c r="EX65" s="3">
        <v>43746000</v>
      </c>
      <c r="EY65" s="3">
        <v>0</v>
      </c>
      <c r="EZ65" s="3">
        <v>0</v>
      </c>
      <c r="FA65" s="3">
        <v>62932000</v>
      </c>
      <c r="FB65" s="3">
        <v>19186000</v>
      </c>
      <c r="FC65" s="3">
        <v>43746000</v>
      </c>
      <c r="FD65" s="3">
        <v>0</v>
      </c>
      <c r="FE65" s="3">
        <v>0</v>
      </c>
      <c r="FF65" s="3">
        <v>62932000</v>
      </c>
      <c r="FG65" s="3">
        <v>20357153.469999999</v>
      </c>
      <c r="FH65" s="3">
        <v>40423100.780000001</v>
      </c>
      <c r="FI65" s="3">
        <v>0</v>
      </c>
      <c r="FJ65" s="3">
        <v>0</v>
      </c>
      <c r="FK65" s="3">
        <v>60780254.25</v>
      </c>
      <c r="FL65" s="3">
        <v>20357153.469999999</v>
      </c>
      <c r="FM65" s="3">
        <v>40423100.780000001</v>
      </c>
      <c r="FN65" s="3">
        <v>0</v>
      </c>
      <c r="FO65" s="3">
        <v>0</v>
      </c>
      <c r="FP65" s="3">
        <v>60780254.25</v>
      </c>
      <c r="FQ65" s="3">
        <v>20357153.469999999</v>
      </c>
      <c r="FR65" s="3">
        <v>36640244.509999998</v>
      </c>
      <c r="FS65" s="3">
        <v>0</v>
      </c>
      <c r="FT65" s="3">
        <v>0</v>
      </c>
      <c r="FU65" s="3">
        <v>56997397.979999997</v>
      </c>
      <c r="FV65" s="3">
        <v>20044868.059999999</v>
      </c>
      <c r="FW65" s="3">
        <v>30092190.600000001</v>
      </c>
      <c r="FX65" s="3">
        <v>0</v>
      </c>
      <c r="FY65" s="3">
        <v>0</v>
      </c>
      <c r="FZ65" s="3">
        <v>50137058.659999996</v>
      </c>
      <c r="GA65" s="3">
        <v>20987000</v>
      </c>
      <c r="GB65" s="3">
        <v>37442000</v>
      </c>
      <c r="GC65" s="3">
        <v>0</v>
      </c>
      <c r="GD65" s="3">
        <v>0</v>
      </c>
      <c r="GE65" s="3">
        <v>58429000</v>
      </c>
      <c r="GF65" s="3">
        <v>20987000</v>
      </c>
      <c r="GG65" s="3">
        <v>37442000</v>
      </c>
      <c r="GH65" s="3">
        <v>0</v>
      </c>
      <c r="GI65" s="3">
        <v>0</v>
      </c>
      <c r="GJ65" s="3">
        <v>58429000</v>
      </c>
      <c r="GK65" s="3">
        <v>20987000</v>
      </c>
      <c r="GL65" s="3">
        <v>37442000</v>
      </c>
      <c r="GM65" s="3">
        <v>0</v>
      </c>
      <c r="GN65" s="3">
        <v>0</v>
      </c>
      <c r="GO65" s="3">
        <v>58429000</v>
      </c>
      <c r="GP65" s="3">
        <v>20532642.34</v>
      </c>
      <c r="GQ65" s="3">
        <v>37442000</v>
      </c>
      <c r="GR65" s="3">
        <v>0</v>
      </c>
      <c r="GS65" s="3">
        <v>0</v>
      </c>
      <c r="GT65" s="3">
        <v>57974642.340000004</v>
      </c>
      <c r="GU65" s="3">
        <v>20532642.34</v>
      </c>
      <c r="GV65" s="3">
        <v>37442000</v>
      </c>
      <c r="GW65" s="3">
        <v>0</v>
      </c>
      <c r="GX65" s="3">
        <v>0</v>
      </c>
      <c r="GY65" s="3">
        <v>57974642.340000004</v>
      </c>
      <c r="GZ65" s="3">
        <v>20532642.34</v>
      </c>
      <c r="HA65" s="3">
        <v>36859240.590000004</v>
      </c>
      <c r="HB65" s="3">
        <v>0</v>
      </c>
      <c r="HC65" s="3">
        <v>0</v>
      </c>
      <c r="HD65" s="3">
        <v>57391882.93</v>
      </c>
      <c r="HE65" s="3">
        <v>20393722.300000001</v>
      </c>
      <c r="HF65" s="3">
        <v>31131280.559999999</v>
      </c>
      <c r="HG65" s="3">
        <v>0</v>
      </c>
      <c r="HH65" s="3">
        <v>0</v>
      </c>
      <c r="HI65" s="3">
        <v>51525002.859999999</v>
      </c>
      <c r="HJ65" s="3">
        <v>19871000</v>
      </c>
      <c r="HK65" s="3">
        <v>34548000</v>
      </c>
      <c r="HL65" s="3">
        <v>0</v>
      </c>
      <c r="HM65" s="3">
        <v>0</v>
      </c>
      <c r="HN65" s="3">
        <v>54419000</v>
      </c>
      <c r="HO65" s="3">
        <v>19871000</v>
      </c>
      <c r="HP65" s="3">
        <v>34548000</v>
      </c>
      <c r="HQ65" s="3">
        <v>0</v>
      </c>
      <c r="HR65" s="3">
        <v>0</v>
      </c>
      <c r="HS65" s="3">
        <v>54419000</v>
      </c>
      <c r="HT65" s="3">
        <v>19871000</v>
      </c>
      <c r="HU65" s="3">
        <v>34548000</v>
      </c>
      <c r="HV65" s="3">
        <v>0</v>
      </c>
      <c r="HW65" s="3">
        <v>0</v>
      </c>
      <c r="HX65" s="3">
        <v>54419000</v>
      </c>
      <c r="HY65" s="3">
        <v>21462179.199999999</v>
      </c>
      <c r="HZ65" s="3">
        <v>33502990</v>
      </c>
      <c r="IA65" s="3">
        <v>0</v>
      </c>
      <c r="IB65" s="3">
        <v>0</v>
      </c>
      <c r="IC65" s="3">
        <v>54965169.200000003</v>
      </c>
      <c r="ID65" s="3">
        <v>21462179.199999999</v>
      </c>
      <c r="IE65" s="3">
        <v>33502990</v>
      </c>
      <c r="IF65" s="3">
        <v>0</v>
      </c>
      <c r="IG65" s="3">
        <v>0</v>
      </c>
      <c r="IH65" s="3">
        <v>54965169.200000003</v>
      </c>
      <c r="II65" s="3">
        <v>21462179.199999999</v>
      </c>
      <c r="IJ65" s="3">
        <v>33256039.91</v>
      </c>
      <c r="IK65" s="3">
        <v>0</v>
      </c>
      <c r="IL65" s="3">
        <v>0</v>
      </c>
      <c r="IM65" s="6">
        <v>54718219.109999999</v>
      </c>
      <c r="IN65" s="3">
        <v>21233870.350000001</v>
      </c>
      <c r="IO65" s="3">
        <v>27293906.75</v>
      </c>
      <c r="IP65" s="3">
        <v>0</v>
      </c>
      <c r="IQ65" s="3">
        <v>0</v>
      </c>
      <c r="IR65" s="6">
        <v>48527777.100000001</v>
      </c>
      <c r="IS65" s="3">
        <v>18753000</v>
      </c>
      <c r="IT65" s="3">
        <v>35170000</v>
      </c>
      <c r="IU65" s="3">
        <v>0</v>
      </c>
      <c r="IV65" s="3">
        <v>0</v>
      </c>
      <c r="IW65" s="3">
        <v>53923000</v>
      </c>
      <c r="IX65" s="3">
        <v>18753000</v>
      </c>
      <c r="IY65" s="3">
        <v>35170000</v>
      </c>
      <c r="IZ65" s="3">
        <v>0</v>
      </c>
      <c r="JA65" s="3">
        <v>0</v>
      </c>
      <c r="JB65" s="3">
        <v>53923000</v>
      </c>
      <c r="JC65" s="3">
        <v>18753000</v>
      </c>
      <c r="JD65" s="3">
        <v>35170000</v>
      </c>
      <c r="JE65" s="3">
        <v>0</v>
      </c>
      <c r="JF65" s="3">
        <v>0</v>
      </c>
      <c r="JG65" s="3">
        <v>53923000</v>
      </c>
      <c r="JH65" s="3">
        <v>24511759.010000002</v>
      </c>
      <c r="JI65" s="3">
        <v>34090000</v>
      </c>
      <c r="JJ65" s="3">
        <v>0</v>
      </c>
      <c r="JK65" s="3">
        <v>0</v>
      </c>
      <c r="JL65" s="3">
        <v>58601759.009999998</v>
      </c>
      <c r="JM65" s="3">
        <v>24511759.010000002</v>
      </c>
      <c r="JN65" s="3">
        <v>34090000</v>
      </c>
      <c r="JO65" s="3">
        <v>0</v>
      </c>
      <c r="JP65" s="3">
        <v>0</v>
      </c>
      <c r="JQ65" s="3">
        <v>58601759.009999998</v>
      </c>
      <c r="JR65" s="3">
        <v>24511759.010000002</v>
      </c>
      <c r="JS65" s="3">
        <v>33928337.630000003</v>
      </c>
      <c r="JT65" s="3">
        <v>0</v>
      </c>
      <c r="JU65" s="3">
        <v>0</v>
      </c>
      <c r="JV65" s="3">
        <v>58440096.640000001</v>
      </c>
      <c r="JW65" s="3">
        <v>24488648.219999999</v>
      </c>
      <c r="JX65" s="3">
        <v>29326156.18</v>
      </c>
      <c r="JY65" s="3">
        <v>0</v>
      </c>
      <c r="JZ65" s="3">
        <v>0</v>
      </c>
      <c r="KA65" s="3">
        <v>53814804.399999999</v>
      </c>
      <c r="KB65" s="3">
        <v>27048000</v>
      </c>
      <c r="KC65" s="3">
        <v>35803000</v>
      </c>
      <c r="KD65" s="3">
        <v>0</v>
      </c>
      <c r="KE65" s="3">
        <v>0</v>
      </c>
      <c r="KF65" s="3">
        <v>62851000</v>
      </c>
      <c r="KG65" s="3">
        <v>27048000</v>
      </c>
      <c r="KH65" s="3">
        <v>35803000</v>
      </c>
      <c r="KI65" s="3">
        <v>0</v>
      </c>
      <c r="KJ65" s="3">
        <v>0</v>
      </c>
      <c r="KK65" s="3">
        <v>62851000</v>
      </c>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v>18947000</v>
      </c>
      <c r="LL65" s="3">
        <v>36274000</v>
      </c>
      <c r="LM65">
        <v>0</v>
      </c>
      <c r="LN65" s="3">
        <v>0</v>
      </c>
      <c r="LO65" s="3">
        <v>55221000</v>
      </c>
    </row>
    <row r="66" spans="1:327" x14ac:dyDescent="0.25">
      <c r="A66" t="s">
        <v>943</v>
      </c>
      <c r="B66" t="s">
        <v>944</v>
      </c>
      <c r="C66" t="s">
        <v>199</v>
      </c>
      <c r="D66" t="s">
        <v>200</v>
      </c>
      <c r="E66" t="s">
        <v>292</v>
      </c>
      <c r="F66" t="s">
        <v>538</v>
      </c>
      <c r="G66" t="s">
        <v>1054</v>
      </c>
      <c r="H66" s="3">
        <v>249971000</v>
      </c>
      <c r="I66" s="3">
        <v>143941000</v>
      </c>
      <c r="J66" s="3">
        <v>0</v>
      </c>
      <c r="K66" s="3">
        <v>20000000</v>
      </c>
      <c r="L66" s="3">
        <v>413912000</v>
      </c>
      <c r="M66" s="3">
        <v>249971000</v>
      </c>
      <c r="N66" s="3">
        <v>143941000</v>
      </c>
      <c r="O66" s="3">
        <v>0</v>
      </c>
      <c r="P66" s="3">
        <v>20000000</v>
      </c>
      <c r="Q66" s="3">
        <v>413912000</v>
      </c>
      <c r="R66" s="3">
        <v>249971000</v>
      </c>
      <c r="S66" s="3">
        <v>143941000</v>
      </c>
      <c r="T66" s="3">
        <v>0</v>
      </c>
      <c r="U66" s="3">
        <v>20000000</v>
      </c>
      <c r="V66" s="3">
        <v>413912000</v>
      </c>
      <c r="W66" s="3">
        <v>249971000</v>
      </c>
      <c r="X66" s="3">
        <v>134001000</v>
      </c>
      <c r="Y66" s="3">
        <v>0</v>
      </c>
      <c r="Z66" s="3">
        <v>20000000</v>
      </c>
      <c r="AA66" s="3">
        <v>403972000</v>
      </c>
      <c r="AB66" s="3">
        <v>249971000</v>
      </c>
      <c r="AC66" s="3">
        <v>134001000</v>
      </c>
      <c r="AD66" s="3">
        <v>0</v>
      </c>
      <c r="AE66" s="3">
        <v>20000000</v>
      </c>
      <c r="AF66" s="3">
        <v>403972000</v>
      </c>
      <c r="AG66" s="3">
        <v>249952825.74000001</v>
      </c>
      <c r="AH66" s="3">
        <v>133969719.65000001</v>
      </c>
      <c r="AI66" s="3">
        <v>0</v>
      </c>
      <c r="AJ66" s="3">
        <v>18062770.34</v>
      </c>
      <c r="AK66" s="3">
        <v>401985315.73000002</v>
      </c>
      <c r="AL66" s="3">
        <v>249417180.43000001</v>
      </c>
      <c r="AM66" s="3">
        <v>121101398.64</v>
      </c>
      <c r="AN66" s="3">
        <v>0</v>
      </c>
      <c r="AO66" s="3">
        <v>14475337.99</v>
      </c>
      <c r="AP66" s="3">
        <v>384993917.06</v>
      </c>
      <c r="AQ66" s="3">
        <v>288849000</v>
      </c>
      <c r="AR66" s="3">
        <v>112830000</v>
      </c>
      <c r="AS66" s="3">
        <v>0</v>
      </c>
      <c r="AT66" s="3">
        <v>0</v>
      </c>
      <c r="AU66" s="3">
        <v>401679000</v>
      </c>
      <c r="AV66" s="3">
        <v>288849000</v>
      </c>
      <c r="AW66" s="3">
        <v>112830000</v>
      </c>
      <c r="AX66" s="3">
        <v>0</v>
      </c>
      <c r="AY66" s="3">
        <v>0</v>
      </c>
      <c r="AZ66" s="3">
        <v>401679000</v>
      </c>
      <c r="BA66" s="3">
        <v>288849000</v>
      </c>
      <c r="BB66" s="3">
        <v>112830000</v>
      </c>
      <c r="BC66" s="3">
        <v>0</v>
      </c>
      <c r="BD66" s="3">
        <v>0</v>
      </c>
      <c r="BE66" s="3">
        <v>401679000</v>
      </c>
      <c r="BF66" s="3">
        <v>290088221.80000001</v>
      </c>
      <c r="BG66" s="3">
        <v>105353937</v>
      </c>
      <c r="BH66" s="3">
        <v>0</v>
      </c>
      <c r="BI66" s="3">
        <v>0</v>
      </c>
      <c r="BJ66" s="3">
        <v>395442158.80000001</v>
      </c>
      <c r="BK66" s="3">
        <v>290088221.80000001</v>
      </c>
      <c r="BL66" s="3">
        <v>105353937</v>
      </c>
      <c r="BM66" s="3">
        <v>0</v>
      </c>
      <c r="BN66" s="3">
        <v>0</v>
      </c>
      <c r="BO66" s="3">
        <v>395442158.80000001</v>
      </c>
      <c r="BP66" s="3">
        <v>290088221.80000001</v>
      </c>
      <c r="BQ66" s="3">
        <v>103247254.33</v>
      </c>
      <c r="BR66" s="3">
        <v>0</v>
      </c>
      <c r="BS66" s="3">
        <v>0</v>
      </c>
      <c r="BT66" s="3">
        <v>393335476.13</v>
      </c>
      <c r="BU66" s="3">
        <v>282286535.93000001</v>
      </c>
      <c r="BV66" s="3">
        <v>98845825.280000001</v>
      </c>
      <c r="BW66" s="3">
        <v>0</v>
      </c>
      <c r="BX66" s="3">
        <v>0</v>
      </c>
      <c r="BY66" s="3">
        <v>381132361.20999998</v>
      </c>
      <c r="BZ66" s="3">
        <v>291804000</v>
      </c>
      <c r="CA66" s="3">
        <v>116991000</v>
      </c>
      <c r="CB66" s="3">
        <v>0</v>
      </c>
      <c r="CC66" s="3">
        <v>20710000</v>
      </c>
      <c r="CD66" s="3">
        <v>429505000</v>
      </c>
      <c r="CE66" s="3">
        <v>291804000</v>
      </c>
      <c r="CF66" s="3">
        <v>116991000</v>
      </c>
      <c r="CG66" s="3">
        <v>0</v>
      </c>
      <c r="CH66" s="3">
        <v>20710000</v>
      </c>
      <c r="CI66" s="3">
        <v>429505000</v>
      </c>
      <c r="CJ66" s="3">
        <v>291804000</v>
      </c>
      <c r="CK66" s="3">
        <v>116991000</v>
      </c>
      <c r="CL66" s="3">
        <v>0</v>
      </c>
      <c r="CM66" s="3">
        <v>20710000</v>
      </c>
      <c r="CN66" s="3">
        <v>429505000</v>
      </c>
      <c r="CO66" s="3">
        <v>304715296.24000001</v>
      </c>
      <c r="CP66" s="3">
        <v>91302109</v>
      </c>
      <c r="CQ66" s="3">
        <v>0</v>
      </c>
      <c r="CR66" s="3">
        <v>18639000</v>
      </c>
      <c r="CS66" s="3">
        <v>414656405.24000001</v>
      </c>
      <c r="CT66" s="3">
        <v>304715296.24000001</v>
      </c>
      <c r="CU66" s="3">
        <v>91302109</v>
      </c>
      <c r="CV66" s="3">
        <v>0</v>
      </c>
      <c r="CW66" s="3">
        <v>18639000</v>
      </c>
      <c r="CX66" s="3">
        <v>414656405.24000001</v>
      </c>
      <c r="CY66" s="3">
        <v>304715296.24000001</v>
      </c>
      <c r="CZ66" s="3">
        <v>90854832.139999986</v>
      </c>
      <c r="DA66" s="3">
        <v>0</v>
      </c>
      <c r="DB66" s="3">
        <v>18459451.199999999</v>
      </c>
      <c r="DC66" s="3">
        <v>414029579.57999998</v>
      </c>
      <c r="DD66" s="3">
        <v>301375955.65999997</v>
      </c>
      <c r="DE66" s="3">
        <v>83233129.549999997</v>
      </c>
      <c r="DF66" s="3">
        <v>0</v>
      </c>
      <c r="DG66" s="3">
        <v>1968737.64</v>
      </c>
      <c r="DH66" s="10">
        <v>386577822.85000002</v>
      </c>
      <c r="DI66" s="3">
        <v>310159000</v>
      </c>
      <c r="DJ66" s="3">
        <v>272082000</v>
      </c>
      <c r="DK66" s="3">
        <v>0</v>
      </c>
      <c r="DL66" s="3">
        <v>42100000</v>
      </c>
      <c r="DM66" s="3">
        <v>624341000</v>
      </c>
      <c r="DN66" s="3">
        <v>310159000</v>
      </c>
      <c r="DO66" s="3">
        <v>272082000</v>
      </c>
      <c r="DP66" s="3">
        <v>0</v>
      </c>
      <c r="DQ66" s="3">
        <v>42100000</v>
      </c>
      <c r="DR66" s="3">
        <v>624341000</v>
      </c>
      <c r="DS66" s="3">
        <v>310159000</v>
      </c>
      <c r="DT66" s="3">
        <v>272082000</v>
      </c>
      <c r="DU66" s="3">
        <v>0</v>
      </c>
      <c r="DV66" s="3">
        <v>42100000</v>
      </c>
      <c r="DW66" s="3">
        <v>624341000</v>
      </c>
      <c r="DX66" s="3">
        <v>310159000</v>
      </c>
      <c r="DY66" s="3">
        <v>257892024</v>
      </c>
      <c r="DZ66" s="3">
        <v>0</v>
      </c>
      <c r="EA66" s="3">
        <v>42100000</v>
      </c>
      <c r="EB66" s="3">
        <v>610151024</v>
      </c>
      <c r="EC66" s="3">
        <v>310159000</v>
      </c>
      <c r="ED66" s="3">
        <v>257892024</v>
      </c>
      <c r="EE66" s="3">
        <v>0</v>
      </c>
      <c r="EF66" s="3">
        <v>42100000</v>
      </c>
      <c r="EG66" s="3">
        <v>610151024</v>
      </c>
      <c r="EH66" s="3">
        <v>310159000</v>
      </c>
      <c r="EI66" s="3">
        <v>256599810.63999999</v>
      </c>
      <c r="EJ66" s="3">
        <v>0</v>
      </c>
      <c r="EK66" s="3">
        <v>40177265.07</v>
      </c>
      <c r="EL66" s="3">
        <v>606936075.71000004</v>
      </c>
      <c r="EM66" s="3">
        <v>302200762.83000004</v>
      </c>
      <c r="EN66" s="3">
        <v>216367721</v>
      </c>
      <c r="EO66" s="3">
        <v>0</v>
      </c>
      <c r="EP66" s="3">
        <v>33928769.990000002</v>
      </c>
      <c r="EQ66" s="3">
        <v>552497253.82000005</v>
      </c>
      <c r="ER66" s="3">
        <v>315330000</v>
      </c>
      <c r="ES66" s="3">
        <v>272082000</v>
      </c>
      <c r="ET66" s="3">
        <v>0</v>
      </c>
      <c r="EU66" s="3">
        <v>42100000</v>
      </c>
      <c r="EV66" s="3">
        <v>629512000</v>
      </c>
      <c r="EW66" s="3">
        <v>315330000</v>
      </c>
      <c r="EX66" s="3">
        <v>272082000</v>
      </c>
      <c r="EY66" s="3">
        <v>0</v>
      </c>
      <c r="EZ66" s="3">
        <v>42100000</v>
      </c>
      <c r="FA66" s="3">
        <v>629512000</v>
      </c>
      <c r="FB66" s="3">
        <v>315330000</v>
      </c>
      <c r="FC66" s="3">
        <v>272082000</v>
      </c>
      <c r="FD66" s="3">
        <v>0</v>
      </c>
      <c r="FE66" s="3">
        <v>42100000</v>
      </c>
      <c r="FF66" s="3">
        <v>629512000</v>
      </c>
      <c r="FG66" s="3">
        <v>315330000</v>
      </c>
      <c r="FH66" s="3">
        <v>248508707</v>
      </c>
      <c r="FI66" s="3">
        <v>0</v>
      </c>
      <c r="FJ66" s="3">
        <v>42100000</v>
      </c>
      <c r="FK66" s="3">
        <v>605938707</v>
      </c>
      <c r="FL66" s="3">
        <v>315330000</v>
      </c>
      <c r="FM66" s="3">
        <v>248508707</v>
      </c>
      <c r="FN66" s="3">
        <v>0</v>
      </c>
      <c r="FO66" s="3">
        <v>42100000</v>
      </c>
      <c r="FP66" s="3">
        <v>605938707</v>
      </c>
      <c r="FQ66" s="3">
        <v>315330000</v>
      </c>
      <c r="FR66" s="3">
        <v>248435076.87</v>
      </c>
      <c r="FS66" s="3">
        <v>0</v>
      </c>
      <c r="FT66" s="3">
        <v>41060620.810000002</v>
      </c>
      <c r="FU66" s="3">
        <v>604825697.67999995</v>
      </c>
      <c r="FV66" s="3">
        <v>315305014.5</v>
      </c>
      <c r="FW66" s="3">
        <v>233035754.22</v>
      </c>
      <c r="FX66" s="3">
        <v>0</v>
      </c>
      <c r="FY66" s="3">
        <v>22754534.859999999</v>
      </c>
      <c r="FZ66" s="3">
        <v>571095303.58000004</v>
      </c>
      <c r="GA66" s="3">
        <v>360567000</v>
      </c>
      <c r="GB66" s="3">
        <v>336362000</v>
      </c>
      <c r="GC66" s="3">
        <v>0</v>
      </c>
      <c r="GD66" s="3">
        <v>986116000</v>
      </c>
      <c r="GE66" s="3">
        <v>1683045000</v>
      </c>
      <c r="GF66" s="3">
        <v>360567000</v>
      </c>
      <c r="GG66" s="3">
        <v>1091784000</v>
      </c>
      <c r="GH66" s="3">
        <v>0</v>
      </c>
      <c r="GI66" s="3">
        <v>1618194000</v>
      </c>
      <c r="GJ66" s="3">
        <v>3070545000</v>
      </c>
      <c r="GK66" s="3">
        <v>360567000</v>
      </c>
      <c r="GL66" s="3">
        <v>1091784000</v>
      </c>
      <c r="GM66" s="3">
        <v>0</v>
      </c>
      <c r="GN66" s="3">
        <v>1618194000</v>
      </c>
      <c r="GO66" s="3">
        <v>3070545000</v>
      </c>
      <c r="GP66" s="3">
        <v>349335410.67000002</v>
      </c>
      <c r="GQ66" s="3">
        <v>1066523632.12</v>
      </c>
      <c r="GR66" s="3">
        <v>0</v>
      </c>
      <c r="GS66" s="3">
        <v>1618194000</v>
      </c>
      <c r="GT66" s="3">
        <v>3034053042.79</v>
      </c>
      <c r="GU66" s="3">
        <v>349335410.67000002</v>
      </c>
      <c r="GV66" s="3">
        <v>1066523632.12</v>
      </c>
      <c r="GW66" s="3">
        <v>0</v>
      </c>
      <c r="GX66" s="3">
        <v>1618194000</v>
      </c>
      <c r="GY66" s="3">
        <v>3034053042.79</v>
      </c>
      <c r="GZ66" s="3">
        <v>345259148.14999998</v>
      </c>
      <c r="HA66" s="3">
        <v>333507839.95999998</v>
      </c>
      <c r="HB66" s="3">
        <v>0</v>
      </c>
      <c r="HC66" s="3">
        <v>49808824.009999998</v>
      </c>
      <c r="HD66" s="3">
        <v>728575812.12</v>
      </c>
      <c r="HE66" s="3">
        <v>344207487.00999999</v>
      </c>
      <c r="HF66" s="3">
        <v>296893835.48000002</v>
      </c>
      <c r="HG66" s="3">
        <v>0</v>
      </c>
      <c r="HH66" s="3">
        <v>47772228.450000003</v>
      </c>
      <c r="HI66" s="3">
        <v>688873550.94000006</v>
      </c>
      <c r="HJ66" s="3">
        <v>342999000</v>
      </c>
      <c r="HK66" s="3">
        <v>520180000</v>
      </c>
      <c r="HL66" s="3">
        <v>0</v>
      </c>
      <c r="HM66" s="3">
        <v>96044000</v>
      </c>
      <c r="HN66" s="3">
        <v>959223000</v>
      </c>
      <c r="HO66" s="3">
        <v>342999000</v>
      </c>
      <c r="HP66" s="3">
        <v>604800000</v>
      </c>
      <c r="HQ66" s="3">
        <v>0</v>
      </c>
      <c r="HR66" s="3">
        <v>111424000</v>
      </c>
      <c r="HS66" s="3">
        <v>1059223000</v>
      </c>
      <c r="HT66" s="3">
        <v>342999000</v>
      </c>
      <c r="HU66" s="3">
        <v>604800000</v>
      </c>
      <c r="HV66" s="3">
        <v>0</v>
      </c>
      <c r="HW66" s="3">
        <v>111424000</v>
      </c>
      <c r="HX66" s="3">
        <v>1059223000</v>
      </c>
      <c r="HY66" s="3">
        <v>341375179.5</v>
      </c>
      <c r="HZ66" s="3">
        <v>571915235</v>
      </c>
      <c r="IA66" s="3">
        <v>0</v>
      </c>
      <c r="IB66" s="3">
        <v>111424000</v>
      </c>
      <c r="IC66" s="3">
        <v>1024714414.5</v>
      </c>
      <c r="ID66" s="3">
        <v>341375179.5</v>
      </c>
      <c r="IE66" s="3">
        <v>571915235</v>
      </c>
      <c r="IF66" s="3">
        <v>0</v>
      </c>
      <c r="IG66" s="3">
        <v>111424000</v>
      </c>
      <c r="IH66" s="3">
        <v>1024714414.5</v>
      </c>
      <c r="II66" s="3">
        <v>340317300.87</v>
      </c>
      <c r="IJ66" s="3">
        <v>438528974.76999998</v>
      </c>
      <c r="IK66" s="3">
        <v>0</v>
      </c>
      <c r="IL66" s="3">
        <v>68913198.639999986</v>
      </c>
      <c r="IM66" s="6">
        <v>847759474.27999997</v>
      </c>
      <c r="IN66" s="3">
        <v>337548765.70999998</v>
      </c>
      <c r="IO66" s="3">
        <v>279485291.92000002</v>
      </c>
      <c r="IP66" s="3">
        <v>0</v>
      </c>
      <c r="IQ66" s="3">
        <v>20283622.75</v>
      </c>
      <c r="IR66" s="6">
        <v>637317680.38</v>
      </c>
      <c r="IS66" s="3">
        <v>351420000</v>
      </c>
      <c r="IT66" s="3">
        <v>291798000</v>
      </c>
      <c r="IU66" s="3">
        <v>0</v>
      </c>
      <c r="IV66" s="3">
        <v>41894000</v>
      </c>
      <c r="IW66" s="3">
        <v>685112000</v>
      </c>
      <c r="IX66" s="3">
        <v>351420000</v>
      </c>
      <c r="IY66" s="3">
        <v>116406000</v>
      </c>
      <c r="IZ66" s="3">
        <v>0</v>
      </c>
      <c r="JA66" s="3">
        <v>35269000</v>
      </c>
      <c r="JB66" s="3">
        <v>503095000</v>
      </c>
      <c r="JC66" s="3">
        <v>351420000</v>
      </c>
      <c r="JD66" s="3">
        <v>116406000</v>
      </c>
      <c r="JE66" s="3">
        <v>0</v>
      </c>
      <c r="JF66" s="3">
        <v>35269000</v>
      </c>
      <c r="JG66" s="3">
        <v>503095000</v>
      </c>
      <c r="JH66" s="3">
        <v>348583000</v>
      </c>
      <c r="JI66" s="3">
        <v>110905665.15000001</v>
      </c>
      <c r="JJ66" s="3">
        <v>0</v>
      </c>
      <c r="JK66" s="3">
        <v>35269000</v>
      </c>
      <c r="JL66" s="3">
        <v>494757665.14999998</v>
      </c>
      <c r="JM66" s="3">
        <v>348583000</v>
      </c>
      <c r="JN66" s="3">
        <v>110905665.15000001</v>
      </c>
      <c r="JO66" s="3">
        <v>0</v>
      </c>
      <c r="JP66" s="3">
        <v>35269000</v>
      </c>
      <c r="JQ66" s="3">
        <v>494757665.14999998</v>
      </c>
      <c r="JR66" s="3">
        <v>348583000</v>
      </c>
      <c r="JS66" s="3">
        <v>104427326.18000001</v>
      </c>
      <c r="JT66" s="3">
        <v>0</v>
      </c>
      <c r="JU66" s="3">
        <v>28476272.27</v>
      </c>
      <c r="JV66" s="3">
        <v>481486598.44999999</v>
      </c>
      <c r="JW66" s="3">
        <v>345920910.85000002</v>
      </c>
      <c r="JX66" s="3">
        <v>96330479.599999994</v>
      </c>
      <c r="JY66" s="3">
        <v>0</v>
      </c>
      <c r="JZ66" s="3">
        <v>20711688.649999999</v>
      </c>
      <c r="KA66" s="3">
        <v>462963079.30000001</v>
      </c>
      <c r="KB66" s="3">
        <v>412788000</v>
      </c>
      <c r="KC66" s="3">
        <v>429122000</v>
      </c>
      <c r="KD66" s="3">
        <v>0</v>
      </c>
      <c r="KE66" s="3">
        <v>41894000</v>
      </c>
      <c r="KF66" s="3">
        <v>883804000</v>
      </c>
      <c r="KG66" s="3">
        <v>412788000</v>
      </c>
      <c r="KH66" s="3">
        <v>429122000</v>
      </c>
      <c r="KI66" s="3">
        <v>0</v>
      </c>
      <c r="KJ66" s="3">
        <v>41894000</v>
      </c>
      <c r="KK66" s="3">
        <v>883804000</v>
      </c>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v>438513000</v>
      </c>
      <c r="LL66" s="3">
        <v>129600000</v>
      </c>
      <c r="LM66">
        <v>0</v>
      </c>
      <c r="LN66" s="3">
        <v>7500000</v>
      </c>
      <c r="LO66" s="3">
        <v>575613000</v>
      </c>
    </row>
    <row r="67" spans="1:327" x14ac:dyDescent="0.25">
      <c r="A67" t="s">
        <v>943</v>
      </c>
      <c r="B67" t="s">
        <v>944</v>
      </c>
      <c r="C67" t="s">
        <v>199</v>
      </c>
      <c r="D67" t="s">
        <v>200</v>
      </c>
      <c r="E67" t="s">
        <v>292</v>
      </c>
      <c r="F67" t="s">
        <v>539</v>
      </c>
      <c r="G67" t="s">
        <v>1055</v>
      </c>
      <c r="H67" s="3">
        <v>21238000</v>
      </c>
      <c r="I67" s="3">
        <v>29274000</v>
      </c>
      <c r="J67" s="3">
        <v>0</v>
      </c>
      <c r="K67" s="3">
        <v>25172000</v>
      </c>
      <c r="L67" s="3">
        <v>75684000</v>
      </c>
      <c r="M67" s="3">
        <v>21238000</v>
      </c>
      <c r="N67" s="3">
        <v>29274000</v>
      </c>
      <c r="O67" s="3">
        <v>0</v>
      </c>
      <c r="P67" s="3">
        <v>25172000</v>
      </c>
      <c r="Q67" s="3">
        <v>75684000</v>
      </c>
      <c r="R67" s="3">
        <v>21238000</v>
      </c>
      <c r="S67" s="3">
        <v>29274000</v>
      </c>
      <c r="T67" s="3">
        <v>0</v>
      </c>
      <c r="U67" s="3">
        <v>25172000</v>
      </c>
      <c r="V67" s="3">
        <v>75684000</v>
      </c>
      <c r="W67" s="3">
        <v>21238000</v>
      </c>
      <c r="X67" s="3">
        <v>28899399</v>
      </c>
      <c r="Y67" s="3">
        <v>0</v>
      </c>
      <c r="Z67" s="3">
        <v>25172000</v>
      </c>
      <c r="AA67" s="3">
        <v>75309399</v>
      </c>
      <c r="AB67" s="3">
        <v>21238000</v>
      </c>
      <c r="AC67" s="3">
        <v>28899399</v>
      </c>
      <c r="AD67" s="3">
        <v>0</v>
      </c>
      <c r="AE67" s="3">
        <v>25172000</v>
      </c>
      <c r="AF67" s="3">
        <v>75309399</v>
      </c>
      <c r="AG67" s="3">
        <v>21170361.530000001</v>
      </c>
      <c r="AH67" s="3">
        <v>28360374.510000002</v>
      </c>
      <c r="AI67" s="3">
        <v>0</v>
      </c>
      <c r="AJ67" s="3">
        <v>22921824.869999997</v>
      </c>
      <c r="AK67" s="3">
        <v>72452560.909999996</v>
      </c>
      <c r="AL67" s="3">
        <v>20838630.399999999</v>
      </c>
      <c r="AM67" s="3">
        <v>16364697.119999999</v>
      </c>
      <c r="AN67" s="3">
        <v>0</v>
      </c>
      <c r="AO67" s="3">
        <v>823478</v>
      </c>
      <c r="AP67" s="3">
        <v>38026805.520000003</v>
      </c>
      <c r="AQ67" s="3">
        <v>48493000</v>
      </c>
      <c r="AR67" s="3">
        <v>31917000</v>
      </c>
      <c r="AS67" s="3">
        <v>0</v>
      </c>
      <c r="AT67" s="3">
        <v>0</v>
      </c>
      <c r="AU67" s="3">
        <v>80410000</v>
      </c>
      <c r="AV67" s="3">
        <v>48861000</v>
      </c>
      <c r="AW67" s="3">
        <v>31917000</v>
      </c>
      <c r="AX67" s="3">
        <v>0</v>
      </c>
      <c r="AY67" s="3">
        <v>0</v>
      </c>
      <c r="AZ67" s="3">
        <v>80778000</v>
      </c>
      <c r="BA67" s="3">
        <v>48861000</v>
      </c>
      <c r="BB67" s="3">
        <v>31917000</v>
      </c>
      <c r="BC67" s="3">
        <v>0</v>
      </c>
      <c r="BD67" s="3">
        <v>0</v>
      </c>
      <c r="BE67" s="3">
        <v>80778000</v>
      </c>
      <c r="BF67" s="3">
        <v>48174989.960000001</v>
      </c>
      <c r="BG67" s="3">
        <v>31542980</v>
      </c>
      <c r="BH67" s="3">
        <v>0</v>
      </c>
      <c r="BI67" s="3">
        <v>0</v>
      </c>
      <c r="BJ67" s="3">
        <v>79717969.959999993</v>
      </c>
      <c r="BK67" s="3">
        <v>48174989.960000001</v>
      </c>
      <c r="BL67" s="3">
        <v>31542980</v>
      </c>
      <c r="BM67" s="3">
        <v>0</v>
      </c>
      <c r="BN67" s="3">
        <v>0</v>
      </c>
      <c r="BO67" s="3">
        <v>79717969.959999993</v>
      </c>
      <c r="BP67" s="3">
        <v>48174889.960000001</v>
      </c>
      <c r="BQ67" s="3">
        <v>27348541.620000001</v>
      </c>
      <c r="BR67" s="3">
        <v>0</v>
      </c>
      <c r="BS67" s="3">
        <v>0</v>
      </c>
      <c r="BT67" s="3">
        <v>75523431.579999998</v>
      </c>
      <c r="BU67" s="3">
        <v>47791397.609999999</v>
      </c>
      <c r="BV67" s="3">
        <v>24025635.729999997</v>
      </c>
      <c r="BW67" s="3">
        <v>0</v>
      </c>
      <c r="BX67" s="3">
        <v>0</v>
      </c>
      <c r="BY67" s="3">
        <v>71817033.340000004</v>
      </c>
      <c r="BZ67" s="3">
        <v>48888000</v>
      </c>
      <c r="CA67" s="3">
        <v>40815000</v>
      </c>
      <c r="CB67" s="3">
        <v>0</v>
      </c>
      <c r="CC67" s="3">
        <v>0</v>
      </c>
      <c r="CD67" s="3">
        <v>89703000</v>
      </c>
      <c r="CE67" s="3">
        <v>49256000</v>
      </c>
      <c r="CF67" s="3">
        <v>40815000</v>
      </c>
      <c r="CG67" s="3">
        <v>0</v>
      </c>
      <c r="CH67" s="3">
        <v>0</v>
      </c>
      <c r="CI67" s="3">
        <v>90071000</v>
      </c>
      <c r="CJ67" s="3">
        <v>49256000</v>
      </c>
      <c r="CK67" s="3">
        <v>40815000</v>
      </c>
      <c r="CL67" s="3">
        <v>0</v>
      </c>
      <c r="CM67" s="3">
        <v>0</v>
      </c>
      <c r="CN67" s="3">
        <v>90071000</v>
      </c>
      <c r="CO67" s="3">
        <v>49807575.259999998</v>
      </c>
      <c r="CP67" s="3">
        <v>37016865</v>
      </c>
      <c r="CQ67" s="3">
        <v>0</v>
      </c>
      <c r="CR67" s="3">
        <v>0</v>
      </c>
      <c r="CS67" s="3">
        <v>86824440.260000005</v>
      </c>
      <c r="CT67" s="3">
        <v>49807575.259999998</v>
      </c>
      <c r="CU67" s="3">
        <v>37016865</v>
      </c>
      <c r="CV67" s="3">
        <v>0</v>
      </c>
      <c r="CW67" s="3">
        <v>0</v>
      </c>
      <c r="CX67" s="3">
        <v>86824440.260000005</v>
      </c>
      <c r="CY67" s="3">
        <v>49503348.689999998</v>
      </c>
      <c r="CZ67" s="3">
        <v>34258581.640000001</v>
      </c>
      <c r="DA67" s="3">
        <v>0</v>
      </c>
      <c r="DB67" s="3">
        <v>0</v>
      </c>
      <c r="DC67" s="3">
        <v>83761930.329999998</v>
      </c>
      <c r="DD67" s="3">
        <v>47503179.799999997</v>
      </c>
      <c r="DE67" s="3">
        <v>28370567.739999998</v>
      </c>
      <c r="DF67" s="3">
        <v>0</v>
      </c>
      <c r="DG67" s="3">
        <v>0</v>
      </c>
      <c r="DH67" s="10">
        <v>75873747.540000007</v>
      </c>
      <c r="DI67" s="3">
        <v>53755000</v>
      </c>
      <c r="DJ67" s="3">
        <v>31376000</v>
      </c>
      <c r="DK67" s="3">
        <v>0</v>
      </c>
      <c r="DL67" s="3">
        <v>0</v>
      </c>
      <c r="DM67" s="3">
        <v>85131000</v>
      </c>
      <c r="DN67" s="3">
        <v>53755000</v>
      </c>
      <c r="DO67" s="3">
        <v>31376000</v>
      </c>
      <c r="DP67" s="3">
        <v>0</v>
      </c>
      <c r="DQ67" s="3">
        <v>0</v>
      </c>
      <c r="DR67" s="3">
        <v>85131000</v>
      </c>
      <c r="DS67" s="3">
        <v>53755000</v>
      </c>
      <c r="DT67" s="3">
        <v>31376000</v>
      </c>
      <c r="DU67" s="3">
        <v>0</v>
      </c>
      <c r="DV67" s="3">
        <v>0</v>
      </c>
      <c r="DW67" s="3">
        <v>85131000</v>
      </c>
      <c r="DX67" s="3">
        <v>55984161.25</v>
      </c>
      <c r="DY67" s="3">
        <v>27886920</v>
      </c>
      <c r="DZ67" s="3">
        <v>0</v>
      </c>
      <c r="EA67" s="3">
        <v>2725000</v>
      </c>
      <c r="EB67" s="3">
        <v>86596081.25</v>
      </c>
      <c r="EC67" s="3">
        <v>55984161.25</v>
      </c>
      <c r="ED67" s="3">
        <v>27886920</v>
      </c>
      <c r="EE67" s="3">
        <v>0</v>
      </c>
      <c r="EF67" s="3">
        <v>2725000</v>
      </c>
      <c r="EG67" s="3">
        <v>86596081.25</v>
      </c>
      <c r="EH67" s="3">
        <v>55984160.409999996</v>
      </c>
      <c r="EI67" s="3">
        <v>26688613.289999999</v>
      </c>
      <c r="EJ67" s="3">
        <v>0</v>
      </c>
      <c r="EK67" s="3">
        <v>2634630</v>
      </c>
      <c r="EL67" s="3">
        <v>85307403.699999988</v>
      </c>
      <c r="EM67" s="3">
        <v>55726799</v>
      </c>
      <c r="EN67" s="3">
        <v>20261521.829999998</v>
      </c>
      <c r="EO67" s="3">
        <v>0</v>
      </c>
      <c r="EP67" s="3">
        <v>0</v>
      </c>
      <c r="EQ67" s="3">
        <v>75988320.829999998</v>
      </c>
      <c r="ER67" s="3">
        <v>55725000</v>
      </c>
      <c r="ES67" s="3">
        <v>31376000</v>
      </c>
      <c r="ET67" s="3">
        <v>0</v>
      </c>
      <c r="EU67" s="3">
        <v>0</v>
      </c>
      <c r="EV67" s="3">
        <v>87101000</v>
      </c>
      <c r="EW67" s="3">
        <v>55725000</v>
      </c>
      <c r="EX67" s="3">
        <v>31376000</v>
      </c>
      <c r="EY67" s="3">
        <v>0</v>
      </c>
      <c r="EZ67" s="3">
        <v>0</v>
      </c>
      <c r="FA67" s="3">
        <v>87101000</v>
      </c>
      <c r="FB67" s="3">
        <v>55725000</v>
      </c>
      <c r="FC67" s="3">
        <v>31376000</v>
      </c>
      <c r="FD67" s="3">
        <v>0</v>
      </c>
      <c r="FE67" s="3">
        <v>0</v>
      </c>
      <c r="FF67" s="3">
        <v>87101000</v>
      </c>
      <c r="FG67" s="3">
        <v>52920372.890000001</v>
      </c>
      <c r="FH67" s="3">
        <v>30555184</v>
      </c>
      <c r="FI67" s="3">
        <v>0</v>
      </c>
      <c r="FJ67" s="3">
        <v>0</v>
      </c>
      <c r="FK67" s="3">
        <v>83475556.890000001</v>
      </c>
      <c r="FL67" s="3">
        <v>52920372.890000001</v>
      </c>
      <c r="FM67" s="3">
        <v>30555184</v>
      </c>
      <c r="FN67" s="3">
        <v>0</v>
      </c>
      <c r="FO67" s="3">
        <v>0</v>
      </c>
      <c r="FP67" s="3">
        <v>83475556.890000001</v>
      </c>
      <c r="FQ67" s="3">
        <v>52913140.539999999</v>
      </c>
      <c r="FR67" s="3">
        <v>29957959.41</v>
      </c>
      <c r="FS67" s="3">
        <v>0</v>
      </c>
      <c r="FT67" s="3">
        <v>0</v>
      </c>
      <c r="FU67" s="3">
        <v>82871099.950000003</v>
      </c>
      <c r="FV67" s="3">
        <v>50405487.600000001</v>
      </c>
      <c r="FW67" s="3">
        <v>26118961.850000001</v>
      </c>
      <c r="FX67" s="3">
        <v>0</v>
      </c>
      <c r="FY67" s="3">
        <v>0</v>
      </c>
      <c r="FZ67" s="3">
        <v>76524449.450000003</v>
      </c>
      <c r="GA67" s="3">
        <v>57220000</v>
      </c>
      <c r="GB67" s="3">
        <v>28962000</v>
      </c>
      <c r="GC67" s="3">
        <v>0</v>
      </c>
      <c r="GD67" s="3">
        <v>1130000</v>
      </c>
      <c r="GE67" s="3">
        <v>87312000</v>
      </c>
      <c r="GF67" s="3">
        <v>57220000</v>
      </c>
      <c r="GG67" s="3">
        <v>28962000</v>
      </c>
      <c r="GH67" s="3">
        <v>0</v>
      </c>
      <c r="GI67" s="3">
        <v>1130000</v>
      </c>
      <c r="GJ67" s="3">
        <v>87312000</v>
      </c>
      <c r="GK67" s="3">
        <v>57220000</v>
      </c>
      <c r="GL67" s="3">
        <v>28962000</v>
      </c>
      <c r="GM67" s="3">
        <v>0</v>
      </c>
      <c r="GN67" s="3">
        <v>1130000</v>
      </c>
      <c r="GO67" s="3">
        <v>87312000</v>
      </c>
      <c r="GP67" s="3">
        <v>55105271.740000002</v>
      </c>
      <c r="GQ67" s="3">
        <v>27813077.280000001</v>
      </c>
      <c r="GR67" s="3">
        <v>0</v>
      </c>
      <c r="GS67" s="3">
        <v>1130000</v>
      </c>
      <c r="GT67" s="3">
        <v>84048349.019999996</v>
      </c>
      <c r="GU67" s="3">
        <v>55105271.740000002</v>
      </c>
      <c r="GV67" s="3">
        <v>27813077.280000001</v>
      </c>
      <c r="GW67" s="3">
        <v>0</v>
      </c>
      <c r="GX67" s="3">
        <v>1130000</v>
      </c>
      <c r="GY67" s="3">
        <v>84048349.019999996</v>
      </c>
      <c r="GZ67" s="3">
        <v>55095150.899999999</v>
      </c>
      <c r="HA67" s="3">
        <v>27222584.48</v>
      </c>
      <c r="HB67" s="3">
        <v>0</v>
      </c>
      <c r="HC67" s="3">
        <v>1130000</v>
      </c>
      <c r="HD67" s="3">
        <v>83447735.379999995</v>
      </c>
      <c r="HE67" s="3">
        <v>54846899.890000001</v>
      </c>
      <c r="HF67" s="3">
        <v>24291818.329999998</v>
      </c>
      <c r="HG67" s="3">
        <v>0</v>
      </c>
      <c r="HH67" s="3">
        <v>1130000</v>
      </c>
      <c r="HI67" s="3">
        <v>80268718.219999999</v>
      </c>
      <c r="HJ67" s="3">
        <v>53148000</v>
      </c>
      <c r="HK67" s="3">
        <v>127613000</v>
      </c>
      <c r="HL67" s="3">
        <v>0</v>
      </c>
      <c r="HM67" s="3">
        <v>3000000</v>
      </c>
      <c r="HN67" s="3">
        <v>183761000</v>
      </c>
      <c r="HO67" s="3">
        <v>53148000</v>
      </c>
      <c r="HP67" s="3">
        <v>127613000</v>
      </c>
      <c r="HQ67" s="3">
        <v>0</v>
      </c>
      <c r="HR67" s="3">
        <v>3000000</v>
      </c>
      <c r="HS67" s="3">
        <v>183761000</v>
      </c>
      <c r="HT67" s="3">
        <v>53148000</v>
      </c>
      <c r="HU67" s="3">
        <v>127613000</v>
      </c>
      <c r="HV67" s="3">
        <v>0</v>
      </c>
      <c r="HW67" s="3">
        <v>3000000</v>
      </c>
      <c r="HX67" s="3">
        <v>183761000</v>
      </c>
      <c r="HY67" s="3">
        <v>53190161.189999998</v>
      </c>
      <c r="HZ67" s="3">
        <v>121832671</v>
      </c>
      <c r="IA67" s="3">
        <v>0</v>
      </c>
      <c r="IB67" s="3">
        <v>3000000</v>
      </c>
      <c r="IC67" s="3">
        <v>178022832.19</v>
      </c>
      <c r="ID67" s="3">
        <v>53190161.189999998</v>
      </c>
      <c r="IE67" s="3">
        <v>121832671</v>
      </c>
      <c r="IF67" s="3">
        <v>0</v>
      </c>
      <c r="IG67" s="3">
        <v>3000000</v>
      </c>
      <c r="IH67" s="3">
        <v>178022832.19</v>
      </c>
      <c r="II67" s="3">
        <v>53015226.990000002</v>
      </c>
      <c r="IJ67" s="3">
        <v>104036640.79000001</v>
      </c>
      <c r="IK67" s="3">
        <v>0</v>
      </c>
      <c r="IL67" s="3">
        <v>2695771.17</v>
      </c>
      <c r="IM67" s="6">
        <v>159747638.94999999</v>
      </c>
      <c r="IN67" s="3">
        <v>52327830.75</v>
      </c>
      <c r="IO67" s="3">
        <v>79663131.909999996</v>
      </c>
      <c r="IP67" s="3">
        <v>0</v>
      </c>
      <c r="IQ67" s="3">
        <v>0</v>
      </c>
      <c r="IR67" s="6">
        <v>131990962.66</v>
      </c>
      <c r="IS67" s="3">
        <v>56142000</v>
      </c>
      <c r="IT67" s="3">
        <v>80014000</v>
      </c>
      <c r="IU67" s="3">
        <v>0</v>
      </c>
      <c r="IV67" s="3">
        <v>1130000</v>
      </c>
      <c r="IW67" s="3">
        <v>137286000</v>
      </c>
      <c r="IX67" s="3">
        <v>56142000</v>
      </c>
      <c r="IY67" s="3">
        <v>80014000</v>
      </c>
      <c r="IZ67" s="3">
        <v>0</v>
      </c>
      <c r="JA67" s="3">
        <v>1130000</v>
      </c>
      <c r="JB67" s="3">
        <v>137286000</v>
      </c>
      <c r="JC67" s="3">
        <v>56142000</v>
      </c>
      <c r="JD67" s="3">
        <v>80014000</v>
      </c>
      <c r="JE67" s="3">
        <v>0</v>
      </c>
      <c r="JF67" s="3">
        <v>1130000</v>
      </c>
      <c r="JG67" s="3">
        <v>137286000</v>
      </c>
      <c r="JH67" s="3">
        <v>56845234.539999999</v>
      </c>
      <c r="JI67" s="3">
        <v>77584782.290000007</v>
      </c>
      <c r="JJ67" s="3">
        <v>0</v>
      </c>
      <c r="JK67" s="3">
        <v>1130000</v>
      </c>
      <c r="JL67" s="3">
        <v>135560016.83000001</v>
      </c>
      <c r="JM67" s="3">
        <v>56845234.539999999</v>
      </c>
      <c r="JN67" s="3">
        <v>77584782.290000007</v>
      </c>
      <c r="JO67" s="3">
        <v>0</v>
      </c>
      <c r="JP67" s="3">
        <v>1130000</v>
      </c>
      <c r="JQ67" s="3">
        <v>135560016.83000001</v>
      </c>
      <c r="JR67" s="3">
        <v>56836876.270000003</v>
      </c>
      <c r="JS67" s="3">
        <v>72262714.829999998</v>
      </c>
      <c r="JT67" s="3">
        <v>0</v>
      </c>
      <c r="JU67" s="3">
        <v>675000</v>
      </c>
      <c r="JV67" s="3">
        <v>129774591.09999999</v>
      </c>
      <c r="JW67" s="3">
        <v>56320933.159999996</v>
      </c>
      <c r="JX67" s="3">
        <v>59525205.710000001</v>
      </c>
      <c r="JY67" s="3">
        <v>0</v>
      </c>
      <c r="JZ67" s="3">
        <v>0</v>
      </c>
      <c r="KA67" s="3">
        <v>115846138.87</v>
      </c>
      <c r="KB67" s="3"/>
      <c r="KC67" s="3"/>
      <c r="KD67" s="3"/>
      <c r="KE67" s="3"/>
      <c r="KF67" s="3"/>
      <c r="KG67" s="3"/>
      <c r="KH67" s="3"/>
      <c r="KI67" s="3"/>
      <c r="KJ67" s="3"/>
      <c r="KK67" s="3"/>
      <c r="KL67" s="3"/>
      <c r="KM67" s="3"/>
      <c r="KN67" s="3"/>
      <c r="KO67" s="3"/>
      <c r="KP67" s="3"/>
      <c r="KQ67" s="3"/>
      <c r="KR67" s="3"/>
      <c r="KS67" s="3"/>
      <c r="KT67" s="3"/>
      <c r="KU67" s="3"/>
      <c r="KV67" s="3"/>
      <c r="KW67" s="3"/>
      <c r="KX67" s="3"/>
      <c r="KY67" s="3"/>
      <c r="KZ67" s="3"/>
      <c r="LA67" s="3"/>
      <c r="LB67" s="3"/>
      <c r="LC67" s="3"/>
      <c r="LD67" s="3"/>
      <c r="LE67" s="3"/>
      <c r="LF67" s="3"/>
      <c r="LG67" s="3"/>
      <c r="LH67" s="3"/>
      <c r="LI67" s="3"/>
      <c r="LJ67" s="3"/>
    </row>
    <row r="68" spans="1:327" x14ac:dyDescent="0.25">
      <c r="A68" t="s">
        <v>943</v>
      </c>
      <c r="B68" t="s">
        <v>944</v>
      </c>
      <c r="C68" t="s">
        <v>199</v>
      </c>
      <c r="D68" t="s">
        <v>200</v>
      </c>
      <c r="E68" t="s">
        <v>292</v>
      </c>
      <c r="F68" t="s">
        <v>540</v>
      </c>
      <c r="G68" t="s">
        <v>1136</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U68" s="3"/>
      <c r="BV68" s="3"/>
      <c r="BW68" s="3"/>
      <c r="BX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D68" s="3"/>
      <c r="DE68" s="3"/>
      <c r="DF68" s="3"/>
      <c r="DG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U68" s="3"/>
      <c r="GV68" s="3"/>
      <c r="GW68" s="3"/>
      <c r="GX68" s="3"/>
      <c r="GY68" s="3"/>
      <c r="GZ68" s="3"/>
      <c r="HA68" s="3"/>
      <c r="HB68" s="3"/>
      <c r="HC68" s="3"/>
      <c r="HE68" s="3"/>
      <c r="HF68" s="3"/>
      <c r="HG68" s="3"/>
      <c r="HH68" s="3"/>
      <c r="HJ68" s="3"/>
      <c r="HK68" s="3"/>
      <c r="HL68" s="3"/>
      <c r="HM68" s="3"/>
      <c r="HN68" s="3"/>
      <c r="HO68" s="3"/>
      <c r="HP68" s="3"/>
      <c r="HQ68" s="3"/>
      <c r="HR68" s="3"/>
      <c r="HS68" s="3"/>
      <c r="HT68" s="3"/>
      <c r="HU68" s="3"/>
      <c r="HV68" s="3"/>
      <c r="HW68" s="3"/>
      <c r="HX68" s="3"/>
      <c r="HY68" s="3"/>
      <c r="HZ68" s="3"/>
      <c r="IA68" s="3"/>
      <c r="IB68" s="3"/>
      <c r="ID68" s="3"/>
      <c r="IE68" s="3"/>
      <c r="IF68" s="3"/>
      <c r="IG68" s="3"/>
      <c r="IR68" s="6"/>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v>0</v>
      </c>
      <c r="KC68" s="3">
        <v>434054000</v>
      </c>
      <c r="KD68" s="3">
        <v>0</v>
      </c>
      <c r="KE68" s="3">
        <v>32738000</v>
      </c>
      <c r="KF68" s="3">
        <v>466792000</v>
      </c>
      <c r="KG68" s="3">
        <v>0</v>
      </c>
      <c r="KH68" s="3">
        <v>516770000</v>
      </c>
      <c r="KI68" s="3">
        <v>0</v>
      </c>
      <c r="KJ68" s="3">
        <v>250022000</v>
      </c>
      <c r="KK68" s="3">
        <v>766792000</v>
      </c>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v>305288000</v>
      </c>
      <c r="LL68" s="3">
        <v>602278000</v>
      </c>
      <c r="LM68">
        <v>0</v>
      </c>
      <c r="LN68" s="3">
        <v>699094000</v>
      </c>
      <c r="LO68" s="3">
        <v>1606660000</v>
      </c>
    </row>
    <row r="69" spans="1:327" x14ac:dyDescent="0.25">
      <c r="A69" t="s">
        <v>943</v>
      </c>
      <c r="B69" t="s">
        <v>944</v>
      </c>
      <c r="C69" t="s">
        <v>199</v>
      </c>
      <c r="D69" t="s">
        <v>200</v>
      </c>
      <c r="E69" s="4" t="s">
        <v>295</v>
      </c>
      <c r="F69" s="4" t="s">
        <v>1002</v>
      </c>
      <c r="G69" s="15" t="s">
        <v>1109</v>
      </c>
      <c r="H69" s="3">
        <v>13906000</v>
      </c>
      <c r="I69" s="3">
        <v>2282176000</v>
      </c>
      <c r="J69" s="3">
        <v>193000</v>
      </c>
      <c r="K69" s="3">
        <v>6672843000</v>
      </c>
      <c r="L69" s="3">
        <v>8969118000</v>
      </c>
      <c r="M69" s="3">
        <v>13906000</v>
      </c>
      <c r="N69" s="3">
        <f>2077062000-30800000</f>
        <v>2046262000</v>
      </c>
      <c r="O69" s="3">
        <v>96000</v>
      </c>
      <c r="P69" s="3">
        <f>12378754000-9958500000</f>
        <v>2420254000</v>
      </c>
      <c r="Q69" s="3">
        <f>14469818000-30800000-9958500000</f>
        <v>4480518000</v>
      </c>
      <c r="R69" s="3">
        <v>13906000</v>
      </c>
      <c r="S69" s="3">
        <v>603424000</v>
      </c>
      <c r="T69" s="3">
        <v>0</v>
      </c>
      <c r="U69" s="3">
        <v>491923000</v>
      </c>
      <c r="V69" s="3">
        <v>1109253000</v>
      </c>
      <c r="W69" s="3">
        <v>13906000</v>
      </c>
      <c r="X69" s="3">
        <v>603424000</v>
      </c>
      <c r="Y69" s="3">
        <v>0</v>
      </c>
      <c r="Z69" s="3">
        <v>491923000</v>
      </c>
      <c r="AA69" s="3">
        <v>1109253000</v>
      </c>
      <c r="AB69" s="3">
        <v>13906000</v>
      </c>
      <c r="AC69" s="3">
        <v>603424000</v>
      </c>
      <c r="AD69" s="3">
        <v>0</v>
      </c>
      <c r="AE69" s="3">
        <v>491923000</v>
      </c>
      <c r="AF69" s="3">
        <v>1109253000</v>
      </c>
      <c r="AG69" s="3">
        <v>13553195.789999999</v>
      </c>
      <c r="AH69" s="3">
        <v>569242213.29999995</v>
      </c>
      <c r="AI69" s="3">
        <v>0</v>
      </c>
      <c r="AJ69" s="3">
        <v>474069522.97000003</v>
      </c>
      <c r="AK69" s="3">
        <v>1056864932.0599999</v>
      </c>
      <c r="AL69" s="3">
        <v>12794695.289999999</v>
      </c>
      <c r="AM69" s="3">
        <v>351467173.13</v>
      </c>
      <c r="AN69" s="3">
        <v>0</v>
      </c>
      <c r="AO69" s="3">
        <v>312328843.08999997</v>
      </c>
      <c r="AP69" s="3">
        <v>676590711.50999999</v>
      </c>
      <c r="AQ69" s="3">
        <v>16562000</v>
      </c>
      <c r="AR69" s="3">
        <v>1809104000</v>
      </c>
      <c r="AS69" s="3">
        <v>192000</v>
      </c>
      <c r="AT69" s="3">
        <v>3188725000</v>
      </c>
      <c r="AU69" s="3">
        <v>5014583000</v>
      </c>
      <c r="AV69" s="3">
        <v>16562000</v>
      </c>
      <c r="AW69" s="3">
        <v>2035023000</v>
      </c>
      <c r="AX69" s="3">
        <v>192000</v>
      </c>
      <c r="AY69" s="3">
        <v>2854806000</v>
      </c>
      <c r="AZ69" s="3">
        <v>4906583000</v>
      </c>
      <c r="BA69" s="3">
        <v>16562000</v>
      </c>
      <c r="BB69" s="3">
        <v>974268000</v>
      </c>
      <c r="BC69" s="3">
        <v>0</v>
      </c>
      <c r="BD69" s="3">
        <v>798586000</v>
      </c>
      <c r="BE69" s="3">
        <v>1789416000</v>
      </c>
      <c r="BF69" s="3">
        <v>15145142.050000001</v>
      </c>
      <c r="BG69" s="3">
        <v>974168000</v>
      </c>
      <c r="BH69" s="3">
        <v>0</v>
      </c>
      <c r="BI69" s="3">
        <v>348422000</v>
      </c>
      <c r="BJ69" s="3">
        <v>1337735142.05</v>
      </c>
      <c r="BK69" s="3">
        <v>15145142.050000001</v>
      </c>
      <c r="BL69" s="3">
        <v>930320000</v>
      </c>
      <c r="BM69" s="3">
        <v>0</v>
      </c>
      <c r="BN69" s="3">
        <v>312177000</v>
      </c>
      <c r="BO69" s="3">
        <v>1257642142.05</v>
      </c>
      <c r="BP69" s="3">
        <v>14977614.1</v>
      </c>
      <c r="BQ69" s="3">
        <v>880948081.33000004</v>
      </c>
      <c r="BR69" s="3">
        <v>0</v>
      </c>
      <c r="BS69" s="3">
        <v>282274820.89999998</v>
      </c>
      <c r="BT69" s="3">
        <v>1178200516.3300002</v>
      </c>
      <c r="BU69" s="3">
        <v>14903114.109999999</v>
      </c>
      <c r="BV69" s="3">
        <v>476106191.19999999</v>
      </c>
      <c r="BW69" s="3">
        <v>0</v>
      </c>
      <c r="BX69" s="3">
        <v>121320467.91</v>
      </c>
      <c r="BY69" s="3">
        <v>612329773.22000003</v>
      </c>
      <c r="BZ69" s="3">
        <v>16562000</v>
      </c>
      <c r="CA69" s="3">
        <v>5654274000</v>
      </c>
      <c r="CB69" s="3">
        <v>0</v>
      </c>
      <c r="CC69" s="3">
        <v>7763028000</v>
      </c>
      <c r="CD69" s="3">
        <v>13433864000</v>
      </c>
      <c r="CE69" s="3">
        <v>16562000</v>
      </c>
      <c r="CF69" s="3">
        <v>10689271000</v>
      </c>
      <c r="CG69" s="3">
        <v>0</v>
      </c>
      <c r="CH69" s="3">
        <v>9395765000</v>
      </c>
      <c r="CI69" s="3">
        <v>20101598000</v>
      </c>
      <c r="CJ69" s="3">
        <v>16562000</v>
      </c>
      <c r="CK69" s="3">
        <f>707006000+11903000+4000000000+400000000+25000000+100000000+96500000+14000000+50250000+5000000+100000000+30000000+91500000+359027000+436036000+50000000+42974000+184102000+3000000000+50608000</f>
        <v>9753906000</v>
      </c>
      <c r="CL69" s="3">
        <v>0</v>
      </c>
      <c r="CM69" s="3">
        <f>291168000+6000000000+225000000+3500000+14947000+549680000+16700000+53630000+478600000+41288000+249392000</f>
        <v>7923905000</v>
      </c>
      <c r="CN69" s="3">
        <v>17694373000</v>
      </c>
      <c r="CO69" s="3">
        <v>14782008.91</v>
      </c>
      <c r="CP69" s="3">
        <v>4860848399</v>
      </c>
      <c r="CQ69" s="3">
        <v>0</v>
      </c>
      <c r="CR69" s="3">
        <v>1804049106</v>
      </c>
      <c r="CS69" s="3">
        <v>6679679513.9099998</v>
      </c>
      <c r="CT69" s="3">
        <v>14782008.91</v>
      </c>
      <c r="CU69" s="3">
        <v>3787772399</v>
      </c>
      <c r="CV69" s="3">
        <v>0</v>
      </c>
      <c r="CW69" s="3">
        <v>316100106</v>
      </c>
      <c r="CX69" s="3">
        <v>4118654513.9099998</v>
      </c>
      <c r="CY69" s="3">
        <v>14782008.489999998</v>
      </c>
      <c r="CZ69" s="3">
        <v>3625717366.3200002</v>
      </c>
      <c r="DA69" s="3">
        <v>0</v>
      </c>
      <c r="DB69" s="3">
        <v>261879403.31</v>
      </c>
      <c r="DC69" s="3">
        <v>3902378778.1199999</v>
      </c>
      <c r="DD69" s="3">
        <v>14229630.939999999</v>
      </c>
      <c r="DE69" s="3">
        <v>3348291256.0799999</v>
      </c>
      <c r="DF69" s="3">
        <v>0</v>
      </c>
      <c r="DG69" s="3">
        <v>144669376.06999999</v>
      </c>
      <c r="DH69" s="10">
        <v>3507190263.0900002</v>
      </c>
      <c r="DI69" s="3">
        <v>17499000</v>
      </c>
      <c r="DJ69" s="3">
        <v>6569194000</v>
      </c>
      <c r="DK69" s="3">
        <v>0</v>
      </c>
      <c r="DL69" s="3">
        <v>7884117000</v>
      </c>
      <c r="DM69" s="3">
        <v>14470810000</v>
      </c>
      <c r="DN69" s="3">
        <v>17499000</v>
      </c>
      <c r="DO69" s="3">
        <v>8794600000</v>
      </c>
      <c r="DP69" s="3">
        <v>0</v>
      </c>
      <c r="DQ69" s="3">
        <v>7546211000</v>
      </c>
      <c r="DR69" s="3">
        <v>16358310000</v>
      </c>
      <c r="DS69" s="3">
        <v>17499000</v>
      </c>
      <c r="DT69" s="3">
        <v>8590541000</v>
      </c>
      <c r="DU69" s="3">
        <v>0</v>
      </c>
      <c r="DV69" s="3">
        <v>7124648000</v>
      </c>
      <c r="DW69" s="3">
        <v>15732688000</v>
      </c>
      <c r="DX69" s="3">
        <v>16002045.220000001</v>
      </c>
      <c r="DY69" s="3">
        <v>4566466994</v>
      </c>
      <c r="DZ69" s="3">
        <v>0</v>
      </c>
      <c r="EA69" s="3">
        <v>1147821275</v>
      </c>
      <c r="EB69" s="3">
        <v>5730290314.2199993</v>
      </c>
      <c r="EC69" s="3">
        <v>16002045.220000001</v>
      </c>
      <c r="ED69" s="3">
        <v>4266466994</v>
      </c>
      <c r="EE69" s="3">
        <v>0</v>
      </c>
      <c r="EF69" s="3">
        <v>1147821275</v>
      </c>
      <c r="EG69" s="3">
        <v>5430290314.2200003</v>
      </c>
      <c r="EH69" s="3">
        <v>16002045.220000001</v>
      </c>
      <c r="EI69" s="3">
        <v>3986501511.0100002</v>
      </c>
      <c r="EJ69" s="3">
        <v>0</v>
      </c>
      <c r="EK69" s="3">
        <v>837417927.12</v>
      </c>
      <c r="EL69" s="3">
        <v>4839921483.3500004</v>
      </c>
      <c r="EM69" s="3">
        <v>16002045.220000001</v>
      </c>
      <c r="EN69" s="3">
        <v>3334721459.8400002</v>
      </c>
      <c r="EO69" s="3">
        <v>0</v>
      </c>
      <c r="EP69" s="3">
        <v>316214288.05000001</v>
      </c>
      <c r="EQ69" s="3">
        <v>3666937793.1099997</v>
      </c>
      <c r="ER69" s="3">
        <v>17499000</v>
      </c>
      <c r="ES69" s="3">
        <v>7054930000</v>
      </c>
      <c r="ET69" s="3">
        <v>0</v>
      </c>
      <c r="EU69" s="3">
        <v>13680927000</v>
      </c>
      <c r="EV69" s="3">
        <v>20753356000</v>
      </c>
      <c r="EW69" s="3">
        <v>17499000</v>
      </c>
      <c r="EX69" s="3">
        <v>7311599000</v>
      </c>
      <c r="EY69" s="3">
        <v>0</v>
      </c>
      <c r="EZ69" s="3">
        <v>9778658000</v>
      </c>
      <c r="FA69" s="3">
        <v>17107756000</v>
      </c>
      <c r="FB69" s="3">
        <v>17499000</v>
      </c>
      <c r="FC69" s="3">
        <v>6530765000</v>
      </c>
      <c r="FD69" s="3">
        <v>0</v>
      </c>
      <c r="FE69" s="3">
        <v>6633566000</v>
      </c>
      <c r="FF69" s="3">
        <v>13181830000</v>
      </c>
      <c r="FG69" s="3">
        <v>16854270.850000001</v>
      </c>
      <c r="FH69" s="3">
        <v>2488457000</v>
      </c>
      <c r="FI69" s="3">
        <v>0</v>
      </c>
      <c r="FJ69" s="3">
        <v>675874000</v>
      </c>
      <c r="FK69" s="3">
        <v>3181185270.8499999</v>
      </c>
      <c r="FL69" s="3">
        <v>16854270.850000001</v>
      </c>
      <c r="FM69" s="3">
        <v>2488457000</v>
      </c>
      <c r="FN69" s="3">
        <v>0</v>
      </c>
      <c r="FO69" s="3">
        <v>675874000</v>
      </c>
      <c r="FP69" s="3">
        <v>3181185270.8499999</v>
      </c>
      <c r="FQ69" s="3">
        <v>16850727.73</v>
      </c>
      <c r="FR69" s="3">
        <v>2155564157.3699999</v>
      </c>
      <c r="FS69" s="3">
        <v>0</v>
      </c>
      <c r="FT69" s="3">
        <v>573761564.39999998</v>
      </c>
      <c r="FU69" s="3">
        <v>2746176449.5</v>
      </c>
      <c r="FV69" s="3">
        <v>16318872.359999999</v>
      </c>
      <c r="FW69" s="3">
        <v>1798454704.1900001</v>
      </c>
      <c r="FX69" s="3">
        <v>0</v>
      </c>
      <c r="FY69" s="3">
        <v>346006636.88</v>
      </c>
      <c r="FZ69" s="3">
        <v>2160780213.4299998</v>
      </c>
      <c r="GA69" s="3">
        <v>0</v>
      </c>
      <c r="GB69" s="3">
        <v>7608111000</v>
      </c>
      <c r="GC69" s="3">
        <v>0</v>
      </c>
      <c r="GD69" s="3">
        <v>11018562000</v>
      </c>
      <c r="GE69" s="3">
        <v>18626673000</v>
      </c>
      <c r="GF69" s="3">
        <v>0</v>
      </c>
      <c r="GG69" s="3">
        <v>7302495000</v>
      </c>
      <c r="GH69" s="3">
        <v>0</v>
      </c>
      <c r="GI69" s="3">
        <v>6941266000</v>
      </c>
      <c r="GJ69" s="3">
        <v>14243761000</v>
      </c>
      <c r="GK69" s="3">
        <v>0</v>
      </c>
      <c r="GL69" s="3">
        <v>6897589000</v>
      </c>
      <c r="GM69" s="3">
        <v>0</v>
      </c>
      <c r="GN69" s="3">
        <v>6417775000</v>
      </c>
      <c r="GO69" s="3">
        <v>13315364000</v>
      </c>
      <c r="GP69" s="3">
        <v>0</v>
      </c>
      <c r="GQ69" s="3">
        <v>2840533063</v>
      </c>
      <c r="GR69" s="3">
        <v>0</v>
      </c>
      <c r="GS69" s="3">
        <v>420001490</v>
      </c>
      <c r="GT69" s="3">
        <v>3260534553</v>
      </c>
      <c r="GU69" s="3">
        <v>0</v>
      </c>
      <c r="GV69" s="3">
        <v>2790533063</v>
      </c>
      <c r="GW69" s="3">
        <v>0</v>
      </c>
      <c r="GX69" s="3">
        <v>420001490</v>
      </c>
      <c r="GY69" s="3">
        <v>3210534553</v>
      </c>
      <c r="GZ69" s="3">
        <v>0</v>
      </c>
      <c r="HA69" s="3">
        <v>2515309623.6100001</v>
      </c>
      <c r="HB69" s="3">
        <v>0</v>
      </c>
      <c r="HC69" s="3">
        <v>345588396.23000002</v>
      </c>
      <c r="HD69" s="3">
        <v>2860898019.8400002</v>
      </c>
      <c r="HE69" s="3">
        <v>0</v>
      </c>
      <c r="HF69" s="3">
        <v>2018526969.8599999</v>
      </c>
      <c r="HG69" s="3">
        <v>0</v>
      </c>
      <c r="HH69" s="3">
        <v>219655894.33000001</v>
      </c>
      <c r="HI69" s="3">
        <v>2238182864.1900001</v>
      </c>
      <c r="HJ69" s="3">
        <v>0</v>
      </c>
      <c r="HK69" s="3">
        <v>8304667000</v>
      </c>
      <c r="HL69" s="3">
        <v>0</v>
      </c>
      <c r="HM69" s="3">
        <v>10014732000</v>
      </c>
      <c r="HN69" s="3">
        <v>18319399000</v>
      </c>
      <c r="HO69" s="3">
        <v>0</v>
      </c>
      <c r="HP69" s="3">
        <v>10912302000</v>
      </c>
      <c r="HQ69" s="3">
        <v>0</v>
      </c>
      <c r="HR69" s="3">
        <v>8109565000</v>
      </c>
      <c r="HS69" s="3">
        <v>19021867000</v>
      </c>
      <c r="HT69" s="3">
        <v>0</v>
      </c>
      <c r="HU69" s="3">
        <v>10912302000</v>
      </c>
      <c r="HV69" s="3">
        <v>0</v>
      </c>
      <c r="HW69" s="3">
        <v>8109565000</v>
      </c>
      <c r="HX69" s="3">
        <v>19021867000</v>
      </c>
      <c r="HY69" s="3">
        <v>0</v>
      </c>
      <c r="HZ69" s="3">
        <v>5449092000</v>
      </c>
      <c r="IA69" s="3">
        <v>0</v>
      </c>
      <c r="IB69" s="3">
        <v>3571617000</v>
      </c>
      <c r="IC69" s="3">
        <v>9020709000</v>
      </c>
      <c r="ID69" s="3">
        <v>0</v>
      </c>
      <c r="IE69" s="3">
        <v>5449092000</v>
      </c>
      <c r="IF69" s="3">
        <v>0</v>
      </c>
      <c r="IG69" s="3">
        <v>3571617000</v>
      </c>
      <c r="IH69" s="3">
        <v>9020709000</v>
      </c>
      <c r="II69" s="3">
        <v>0</v>
      </c>
      <c r="IJ69" s="3">
        <v>4183639744.8200002</v>
      </c>
      <c r="IK69" s="3">
        <v>0</v>
      </c>
      <c r="IL69" s="3">
        <v>1910157309.52</v>
      </c>
      <c r="IM69" s="3">
        <v>6093797054.3400002</v>
      </c>
      <c r="IN69" s="3">
        <v>0</v>
      </c>
      <c r="IO69" s="3">
        <v>2454308275.9699998</v>
      </c>
      <c r="IP69" s="3">
        <v>0</v>
      </c>
      <c r="IQ69" s="3">
        <v>480819644.91000003</v>
      </c>
      <c r="IR69" s="6">
        <v>2935127920.8800001</v>
      </c>
      <c r="IS69" s="3">
        <v>0</v>
      </c>
      <c r="IT69" s="3">
        <v>10147757000</v>
      </c>
      <c r="IU69" s="3">
        <v>0</v>
      </c>
      <c r="IV69" s="3">
        <v>18981450000</v>
      </c>
      <c r="IW69" s="3">
        <v>29129207000</v>
      </c>
      <c r="IX69" s="3">
        <v>0</v>
      </c>
      <c r="IY69" s="3">
        <v>14213364000</v>
      </c>
      <c r="IZ69" s="3">
        <v>0</v>
      </c>
      <c r="JA69" s="3">
        <v>20818221000</v>
      </c>
      <c r="JB69" s="3">
        <v>35031585000</v>
      </c>
      <c r="JC69" s="3">
        <v>0</v>
      </c>
      <c r="JD69" s="3">
        <f>188953000+181920000+4000000000+450000000+485000000+522506000+897577000+200000000+75000000+430000000+30000000+86880000+10000000+221748000+175392000+20000000+450000000+1000000000+1863467000</f>
        <v>11288443000</v>
      </c>
      <c r="JE69" s="3">
        <v>0</v>
      </c>
      <c r="JF69" s="3">
        <f>161047000+28419000+6000000000+515000000+67299000+197074000+70000000+1470000000+913120000+1636533000+193613000+6625000</f>
        <v>11258730000</v>
      </c>
      <c r="JG69" s="3">
        <v>22547173000</v>
      </c>
      <c r="JH69" s="3">
        <v>0</v>
      </c>
      <c r="JI69" s="3">
        <f>188953000+181920000+0+450000000+485000000+522140000+897577000+200000000+75000000+430000000+35000000+86880000+10000000+221748000+175392000+20000000+450000000+1000000000+1863467000</f>
        <v>7293077000</v>
      </c>
      <c r="JJ69" s="3">
        <v>0</v>
      </c>
      <c r="JK69" s="3">
        <f>161047000+28419000+0+515000000+67299000+197074000+70000000+1465000000+913120000+1636533000+193613000+6625000</f>
        <v>5253730000</v>
      </c>
      <c r="JL69" s="3">
        <v>12546807000</v>
      </c>
      <c r="JM69" s="3">
        <v>0</v>
      </c>
      <c r="JN69" s="3">
        <f>188953000+181920000+0+450000000+485000000+522140000+897577000+200000000+50000000+430000000+35000000+86880000+0+221748000+175392000+0+0+1000000000+1863467000</f>
        <v>6788077000</v>
      </c>
      <c r="JO69" s="3">
        <v>0</v>
      </c>
      <c r="JP69" s="3">
        <f>161047000+28419000+0+515000000+67299000+197074000+70000000+1465000000+913120000+0+0+6625000</f>
        <v>3423584000</v>
      </c>
      <c r="JQ69" s="3">
        <v>10211661000</v>
      </c>
      <c r="JR69" s="3">
        <v>0</v>
      </c>
      <c r="JS69" s="3">
        <f>169686533.2+168125408.19+300154730+427213262.45+455913273.66+830375545.76+106680122.04+63413688.54+15477016.1+41624597.65+59119788.63+104919425.95+1000000000+1863467000</f>
        <v>5606170392.1700001</v>
      </c>
      <c r="JT69" s="3">
        <v>0</v>
      </c>
      <c r="JU69" s="3">
        <f>145022619.3+24550598.47+301041555.3+29006422.86+176081760.7+656890250.33+882958511.75+1427010</f>
        <v>2216978728.71</v>
      </c>
      <c r="JV69" s="3">
        <v>7823149120.8800001</v>
      </c>
      <c r="JW69" s="3">
        <v>0</v>
      </c>
      <c r="JX69" s="3">
        <f>117232711.86+126524042.17+166500000+280804296.84+396981846.67+650715487.8+71133179.59+31317242.63+12429568.92+33792597.76+12633066.86+40457073.1+1000000000+1863467000</f>
        <v>4803988114.1999998</v>
      </c>
      <c r="JY69" s="3">
        <v>0</v>
      </c>
      <c r="JZ69" s="3">
        <f>75135060.86+12646929.35+48246161.86+24228957.56+122623154.66+8728240.26+328068276.98</f>
        <v>619676781.52999997</v>
      </c>
      <c r="KA69" s="3">
        <v>5423664895.7299995</v>
      </c>
      <c r="KB69" s="3">
        <v>0</v>
      </c>
      <c r="KC69" s="3">
        <v>34113589000</v>
      </c>
      <c r="KD69" s="3">
        <v>0</v>
      </c>
      <c r="KE69" s="3">
        <v>25375631000</v>
      </c>
      <c r="KF69" s="3">
        <v>59489220000</v>
      </c>
      <c r="KG69" s="3">
        <v>0</v>
      </c>
      <c r="KH69" s="3">
        <v>45139704000</v>
      </c>
      <c r="KI69" s="3">
        <v>0</v>
      </c>
      <c r="KJ69" s="3">
        <v>26469249000</v>
      </c>
      <c r="KK69" s="3">
        <v>71608953000</v>
      </c>
      <c r="KL69" s="3"/>
      <c r="KM69" s="3"/>
      <c r="KN69" s="3"/>
      <c r="KO69" s="3"/>
      <c r="KP69" s="3"/>
      <c r="KQ69" s="3"/>
      <c r="KR69" s="3"/>
      <c r="KS69" s="3"/>
      <c r="KT69" s="3"/>
      <c r="KU69" s="3"/>
      <c r="KV69" s="3"/>
      <c r="KW69" s="3"/>
      <c r="KX69" s="3"/>
      <c r="KY69" s="3"/>
      <c r="KZ69" s="3"/>
      <c r="LA69" s="3"/>
      <c r="LB69" s="3"/>
      <c r="LC69" s="3"/>
      <c r="LD69" s="3"/>
      <c r="LE69" s="3"/>
      <c r="LF69" s="3"/>
      <c r="LG69" s="3"/>
      <c r="LH69" s="3"/>
      <c r="LI69" s="3"/>
      <c r="LJ69" s="3"/>
      <c r="LK69" s="3">
        <v>0</v>
      </c>
      <c r="LL69" s="3">
        <f>41066465000-LL62</f>
        <v>41066465000</v>
      </c>
      <c r="LM69" s="3">
        <v>0</v>
      </c>
      <c r="LN69" s="3">
        <f>51802664000-LN62</f>
        <v>35802664000</v>
      </c>
      <c r="LO69" s="3">
        <f>92869129000-LO62</f>
        <v>76869129000</v>
      </c>
    </row>
    <row r="70" spans="1:327" x14ac:dyDescent="0.25">
      <c r="A70" t="s">
        <v>943</v>
      </c>
      <c r="B70" t="s">
        <v>944</v>
      </c>
      <c r="C70" t="s">
        <v>555</v>
      </c>
      <c r="D70" t="s">
        <v>974</v>
      </c>
      <c r="E70" t="s">
        <v>201</v>
      </c>
      <c r="F70" t="s">
        <v>202</v>
      </c>
      <c r="G70" t="s">
        <v>203</v>
      </c>
      <c r="H70" s="3">
        <v>4529000</v>
      </c>
      <c r="I70" s="3">
        <v>9826000</v>
      </c>
      <c r="J70" s="3">
        <v>11000</v>
      </c>
      <c r="K70" s="3">
        <v>1100000</v>
      </c>
      <c r="L70" s="3">
        <v>15466000</v>
      </c>
      <c r="M70" s="3">
        <v>4529000</v>
      </c>
      <c r="N70" s="3">
        <v>9826000</v>
      </c>
      <c r="O70" s="3">
        <v>11000</v>
      </c>
      <c r="P70" s="3">
        <v>1100000</v>
      </c>
      <c r="Q70" s="3">
        <v>15466000</v>
      </c>
      <c r="R70" s="3"/>
      <c r="S70" s="3"/>
      <c r="T70" s="3"/>
      <c r="U70" s="3"/>
      <c r="V70" s="3"/>
      <c r="W70" s="3"/>
      <c r="X70" s="3"/>
      <c r="Y70" s="3"/>
      <c r="Z70" s="3"/>
      <c r="AA70" s="3"/>
      <c r="AB70" s="3"/>
      <c r="AC70" s="3"/>
      <c r="AD70" s="3"/>
      <c r="AE70" s="3"/>
      <c r="AF70" s="3"/>
      <c r="AG70" s="3"/>
      <c r="AH70" s="3"/>
      <c r="AI70" s="3"/>
      <c r="AJ70" s="3"/>
      <c r="AK70" s="3"/>
      <c r="AL70" s="3"/>
      <c r="AM70" s="3"/>
      <c r="AN70" s="3"/>
      <c r="AO70" s="3"/>
      <c r="AP70" s="3"/>
      <c r="AQ70" s="3">
        <v>11184000</v>
      </c>
      <c r="AR70" s="3">
        <v>14979000</v>
      </c>
      <c r="AS70" s="3">
        <v>11000</v>
      </c>
      <c r="AT70" s="3">
        <v>2719000</v>
      </c>
      <c r="AU70" s="3">
        <v>28893000</v>
      </c>
      <c r="AV70" s="3">
        <v>11184000</v>
      </c>
      <c r="AW70" s="3">
        <v>14979000</v>
      </c>
      <c r="AX70" s="3">
        <v>11000</v>
      </c>
      <c r="AY70" s="3">
        <v>2719000</v>
      </c>
      <c r="AZ70" s="3">
        <v>28893000</v>
      </c>
      <c r="BA70" s="3"/>
      <c r="BB70" s="3"/>
      <c r="BC70" s="3"/>
      <c r="BD70" s="3"/>
      <c r="BE70" s="3"/>
      <c r="BF70" s="3"/>
      <c r="BG70" s="3"/>
      <c r="BH70" s="3"/>
      <c r="BI70" s="3"/>
      <c r="BJ70" s="3"/>
      <c r="BK70" s="3"/>
      <c r="BL70" s="3"/>
      <c r="BM70" s="3"/>
      <c r="BN70" s="3"/>
      <c r="BO70" s="3"/>
      <c r="BP70" s="3"/>
      <c r="BQ70" s="3"/>
      <c r="BR70" s="3"/>
      <c r="BS70" s="3"/>
      <c r="BU70" s="3"/>
      <c r="BV70" s="3"/>
      <c r="BW70" s="3"/>
      <c r="BX70" s="3"/>
      <c r="BZ70" s="3">
        <v>11292000</v>
      </c>
      <c r="CA70" s="3">
        <v>15840000</v>
      </c>
      <c r="CB70" s="3">
        <v>11000</v>
      </c>
      <c r="CC70" s="3">
        <v>0</v>
      </c>
      <c r="CD70" s="3">
        <v>27143000</v>
      </c>
      <c r="CE70" s="3">
        <v>11292000</v>
      </c>
      <c r="CF70" s="3">
        <v>15840000</v>
      </c>
      <c r="CG70" s="3">
        <v>11000</v>
      </c>
      <c r="CH70" s="3">
        <v>0</v>
      </c>
      <c r="CI70" s="3">
        <v>27143000</v>
      </c>
      <c r="CJ70" s="3"/>
      <c r="CK70" s="3"/>
      <c r="CL70" s="3"/>
      <c r="CM70" s="3"/>
      <c r="CN70" s="3"/>
      <c r="CO70" s="3"/>
      <c r="CP70" s="3"/>
      <c r="CQ70" s="3"/>
      <c r="CR70" s="3"/>
      <c r="CS70" s="3"/>
      <c r="CT70" s="3"/>
      <c r="CU70" s="3"/>
      <c r="CV70" s="3"/>
      <c r="CW70" s="3"/>
      <c r="CX70" s="3"/>
      <c r="CY70" s="3"/>
      <c r="CZ70" s="3"/>
      <c r="DA70" s="3"/>
      <c r="DB70" s="3"/>
      <c r="DD70" s="3"/>
      <c r="DE70" s="3"/>
      <c r="DF70" s="3"/>
      <c r="DG70" s="3"/>
      <c r="DI70" s="3">
        <v>11918000</v>
      </c>
      <c r="DJ70" s="3">
        <v>16118000</v>
      </c>
      <c r="DK70" s="3">
        <v>11000</v>
      </c>
      <c r="DL70" s="3">
        <v>0</v>
      </c>
      <c r="DM70" s="3">
        <v>28047000</v>
      </c>
      <c r="DN70" s="3">
        <v>11918000</v>
      </c>
      <c r="DO70" s="3">
        <v>16118000</v>
      </c>
      <c r="DP70" s="3">
        <v>11000</v>
      </c>
      <c r="DQ70" s="3">
        <v>0</v>
      </c>
      <c r="DR70" s="3">
        <v>28047000</v>
      </c>
      <c r="DS70" s="3"/>
      <c r="DT70" s="3"/>
      <c r="DU70" s="3"/>
      <c r="DV70" s="3"/>
      <c r="DW70" s="3"/>
      <c r="DX70" s="3"/>
      <c r="DY70" s="3"/>
      <c r="DZ70" s="3"/>
      <c r="EA70" s="3"/>
      <c r="EB70" s="3"/>
      <c r="EC70" s="3"/>
      <c r="ED70" s="3"/>
      <c r="EE70" s="3"/>
      <c r="EF70" s="3"/>
      <c r="EG70" s="3"/>
      <c r="EH70" s="3"/>
      <c r="EI70" s="3"/>
      <c r="EJ70" s="3"/>
      <c r="EK70" s="3"/>
      <c r="EL70" s="3"/>
      <c r="EM70" s="3"/>
      <c r="EN70" s="3"/>
      <c r="EO70" s="3"/>
      <c r="EP70" s="3"/>
      <c r="ER70" s="3">
        <v>12433000</v>
      </c>
      <c r="ES70" s="3">
        <v>16118000</v>
      </c>
      <c r="ET70" s="3">
        <v>11000</v>
      </c>
      <c r="EU70" s="3">
        <v>0</v>
      </c>
      <c r="EV70" s="3">
        <v>28562000</v>
      </c>
      <c r="EW70" s="3">
        <v>12433000</v>
      </c>
      <c r="EX70" s="3">
        <v>16118000</v>
      </c>
      <c r="EY70" s="3">
        <v>11000</v>
      </c>
      <c r="EZ70" s="3">
        <v>0</v>
      </c>
      <c r="FA70" s="3">
        <v>28562000</v>
      </c>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v>13464000</v>
      </c>
      <c r="GB70" s="3">
        <v>16670000</v>
      </c>
      <c r="GC70" s="3">
        <v>11000</v>
      </c>
      <c r="GD70" s="3">
        <v>0</v>
      </c>
      <c r="GE70" s="3">
        <v>30145000</v>
      </c>
      <c r="GF70" s="3">
        <v>13464000</v>
      </c>
      <c r="GG70" s="3">
        <v>16670000</v>
      </c>
      <c r="GH70" s="3">
        <v>11000</v>
      </c>
      <c r="GI70" s="3">
        <v>0</v>
      </c>
      <c r="GJ70" s="3">
        <v>30145000</v>
      </c>
      <c r="GK70" s="3"/>
      <c r="GL70" s="3"/>
      <c r="GM70" s="3"/>
      <c r="GN70" s="3"/>
      <c r="GO70" s="3"/>
      <c r="GP70" s="3"/>
      <c r="GQ70" s="3"/>
      <c r="GR70" s="3"/>
      <c r="GS70" s="3"/>
      <c r="GU70" s="3"/>
      <c r="GV70" s="3"/>
      <c r="GW70" s="3"/>
      <c r="GX70" s="3"/>
      <c r="GY70" s="3"/>
      <c r="GZ70" s="3"/>
      <c r="HA70" s="3"/>
      <c r="HB70" s="3"/>
      <c r="HC70" s="3"/>
      <c r="HE70" s="3"/>
      <c r="HF70" s="3"/>
      <c r="HG70" s="3"/>
      <c r="HH70" s="3"/>
      <c r="HJ70" s="3">
        <v>14102000</v>
      </c>
      <c r="HK70" s="3">
        <v>16981000</v>
      </c>
      <c r="HL70" s="3">
        <v>0</v>
      </c>
      <c r="HM70" s="3">
        <v>0</v>
      </c>
      <c r="HN70" s="3">
        <v>31083000</v>
      </c>
      <c r="HO70" s="3">
        <v>14102000</v>
      </c>
      <c r="HP70" s="3">
        <v>16981000</v>
      </c>
      <c r="HQ70" s="3">
        <v>0</v>
      </c>
      <c r="HR70" s="3">
        <v>0</v>
      </c>
      <c r="HS70" s="3">
        <v>31083000</v>
      </c>
      <c r="HT70" s="3"/>
      <c r="HU70" s="3"/>
      <c r="HV70" s="3"/>
      <c r="HW70" s="3"/>
      <c r="HX70" s="3"/>
      <c r="HY70" s="3"/>
      <c r="HZ70" s="3"/>
      <c r="IA70" s="3"/>
      <c r="IB70" s="3"/>
      <c r="ID70" s="3"/>
      <c r="IE70" s="3"/>
      <c r="IF70" s="3"/>
      <c r="IG70" s="3"/>
      <c r="IR70" s="6"/>
      <c r="IS70" s="3">
        <v>13949000</v>
      </c>
      <c r="IT70" s="3">
        <v>17287000</v>
      </c>
      <c r="IU70" s="3">
        <v>0</v>
      </c>
      <c r="IV70" s="3">
        <v>0</v>
      </c>
      <c r="IW70" s="3">
        <v>31236000</v>
      </c>
      <c r="IX70" s="3">
        <v>13949000</v>
      </c>
      <c r="IY70" s="3">
        <v>17287000</v>
      </c>
      <c r="IZ70" s="3">
        <v>0</v>
      </c>
      <c r="JA70" s="3">
        <v>0</v>
      </c>
      <c r="JB70" s="3">
        <v>31236000</v>
      </c>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v>11266000</v>
      </c>
      <c r="KC70" s="3">
        <v>17598000</v>
      </c>
      <c r="KD70" s="3">
        <v>0</v>
      </c>
      <c r="KE70" s="3">
        <v>0</v>
      </c>
      <c r="KF70" s="3">
        <v>28864000</v>
      </c>
      <c r="KG70" s="3">
        <v>11266000</v>
      </c>
      <c r="KH70" s="3">
        <v>17598000</v>
      </c>
      <c r="KI70" s="3">
        <v>0</v>
      </c>
      <c r="KJ70" s="3">
        <v>0</v>
      </c>
      <c r="KK70" s="3">
        <v>28864000</v>
      </c>
      <c r="KL70" s="3"/>
      <c r="KM70" s="3"/>
      <c r="KN70" s="3"/>
      <c r="KO70" s="3"/>
      <c r="KP70" s="3"/>
      <c r="KQ70" s="3"/>
      <c r="KR70" s="3"/>
      <c r="KS70" s="3"/>
      <c r="KT70" s="3"/>
      <c r="KU70" s="3"/>
      <c r="KV70" s="3"/>
      <c r="KW70" s="3"/>
      <c r="KX70" s="3"/>
      <c r="KY70" s="3"/>
      <c r="KZ70" s="3"/>
      <c r="LA70" s="3"/>
      <c r="LB70" s="3"/>
      <c r="LC70" s="3"/>
      <c r="LD70" s="3"/>
      <c r="LE70" s="3"/>
      <c r="LF70" s="3"/>
      <c r="LG70" s="3"/>
      <c r="LH70" s="3"/>
      <c r="LI70" s="3"/>
      <c r="LJ70" s="3"/>
      <c r="LK70" s="3">
        <v>12234000</v>
      </c>
      <c r="LL70" s="3">
        <v>11686000</v>
      </c>
      <c r="LM70">
        <v>0</v>
      </c>
      <c r="LN70" s="3">
        <v>0</v>
      </c>
      <c r="LO70" s="3">
        <v>23920000</v>
      </c>
    </row>
    <row r="71" spans="1:327" x14ac:dyDescent="0.25">
      <c r="A71" t="s">
        <v>943</v>
      </c>
      <c r="B71" t="s">
        <v>944</v>
      </c>
      <c r="C71" t="s">
        <v>555</v>
      </c>
      <c r="D71" t="s">
        <v>974</v>
      </c>
      <c r="E71" t="s">
        <v>201</v>
      </c>
      <c r="F71" t="s">
        <v>204</v>
      </c>
      <c r="G71" t="s">
        <v>205</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v>9162000</v>
      </c>
      <c r="AR71" s="3">
        <v>0</v>
      </c>
      <c r="AS71" s="3">
        <v>0</v>
      </c>
      <c r="AT71" s="3">
        <v>0</v>
      </c>
      <c r="AU71" s="3">
        <v>9162000</v>
      </c>
      <c r="AV71" s="3">
        <v>9162000</v>
      </c>
      <c r="AW71" s="3">
        <v>0</v>
      </c>
      <c r="AX71" s="3">
        <v>0</v>
      </c>
      <c r="AY71" s="3">
        <v>0</v>
      </c>
      <c r="AZ71" s="3">
        <v>9162000</v>
      </c>
      <c r="BA71" s="3"/>
      <c r="BB71" s="3"/>
      <c r="BC71" s="3"/>
      <c r="BD71" s="3"/>
      <c r="BE71" s="3"/>
      <c r="BF71" s="3"/>
      <c r="BG71" s="3"/>
      <c r="BH71" s="3"/>
      <c r="BI71" s="3"/>
      <c r="BJ71" s="3"/>
      <c r="BK71" s="3"/>
      <c r="BL71" s="3"/>
      <c r="BM71" s="3"/>
      <c r="BN71" s="3"/>
      <c r="BO71" s="3"/>
      <c r="BP71" s="3"/>
      <c r="BQ71" s="3"/>
      <c r="BR71" s="3"/>
      <c r="BS71" s="3"/>
      <c r="BU71" s="3"/>
      <c r="BV71" s="3"/>
      <c r="BW71" s="3"/>
      <c r="BX71" s="3"/>
      <c r="BZ71" s="3">
        <v>533000</v>
      </c>
      <c r="CA71" s="3">
        <v>0</v>
      </c>
      <c r="CB71" s="3">
        <v>0</v>
      </c>
      <c r="CC71" s="3">
        <v>0</v>
      </c>
      <c r="CD71" s="3">
        <v>533000</v>
      </c>
      <c r="CE71" s="3">
        <v>533000</v>
      </c>
      <c r="CF71" s="3">
        <v>0</v>
      </c>
      <c r="CG71" s="3">
        <v>0</v>
      </c>
      <c r="CH71" s="3">
        <v>0</v>
      </c>
      <c r="CI71" s="3">
        <v>533000</v>
      </c>
      <c r="CJ71" s="3"/>
      <c r="CK71" s="3"/>
      <c r="CL71" s="3"/>
      <c r="CM71" s="3"/>
      <c r="CN71" s="3"/>
      <c r="CO71" s="3"/>
      <c r="CP71" s="3"/>
      <c r="CQ71" s="3"/>
      <c r="CR71" s="3"/>
      <c r="CS71" s="3"/>
      <c r="CT71" s="3"/>
      <c r="CU71" s="3"/>
      <c r="CV71" s="3"/>
      <c r="CW71" s="3"/>
      <c r="CX71" s="3"/>
      <c r="CY71" s="3"/>
      <c r="CZ71" s="3"/>
      <c r="DA71" s="3"/>
      <c r="DB71" s="3"/>
      <c r="DD71" s="3"/>
      <c r="DE71" s="3"/>
      <c r="DF71" s="3"/>
      <c r="DG71" s="3"/>
      <c r="DI71" s="3">
        <v>216000</v>
      </c>
      <c r="DJ71" s="3">
        <v>0</v>
      </c>
      <c r="DK71" s="3">
        <v>0</v>
      </c>
      <c r="DL71" s="3">
        <v>0</v>
      </c>
      <c r="DM71" s="3">
        <v>216000</v>
      </c>
      <c r="DN71" s="3">
        <v>216000</v>
      </c>
      <c r="DO71" s="3">
        <v>0</v>
      </c>
      <c r="DP71" s="3">
        <v>0</v>
      </c>
      <c r="DQ71" s="3">
        <v>0</v>
      </c>
      <c r="DR71" s="3">
        <v>216000</v>
      </c>
      <c r="DS71" s="3"/>
      <c r="DT71" s="3"/>
      <c r="DU71" s="3"/>
      <c r="DV71" s="3"/>
      <c r="DW71" s="3"/>
      <c r="DX71" s="3"/>
      <c r="DY71" s="3"/>
      <c r="DZ71" s="3"/>
      <c r="EA71" s="3"/>
      <c r="EB71" s="3"/>
      <c r="EC71" s="3"/>
      <c r="ED71" s="3"/>
      <c r="EE71" s="3"/>
      <c r="EF71" s="3"/>
      <c r="EG71" s="3"/>
      <c r="EH71" s="3"/>
      <c r="EI71" s="3"/>
      <c r="EJ71" s="3"/>
      <c r="EK71" s="3"/>
      <c r="EL71" s="3"/>
      <c r="EM71" s="3"/>
      <c r="EN71" s="3"/>
      <c r="EO71" s="3"/>
      <c r="EP71" s="3"/>
      <c r="ER71" s="3">
        <v>1555000</v>
      </c>
      <c r="ES71" s="3">
        <v>0</v>
      </c>
      <c r="ET71" s="3">
        <v>0</v>
      </c>
      <c r="EU71" s="3">
        <v>0</v>
      </c>
      <c r="EV71" s="3">
        <v>1555000</v>
      </c>
      <c r="EW71" s="3">
        <v>1555000</v>
      </c>
      <c r="EX71" s="3">
        <v>0</v>
      </c>
      <c r="EY71" s="3">
        <v>0</v>
      </c>
      <c r="EZ71" s="3">
        <v>0</v>
      </c>
      <c r="FA71" s="3">
        <v>1555000</v>
      </c>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v>0</v>
      </c>
      <c r="GB71" s="3">
        <v>0</v>
      </c>
      <c r="GC71" s="3">
        <v>0</v>
      </c>
      <c r="GD71" s="3">
        <v>0</v>
      </c>
      <c r="GE71" s="3">
        <v>0</v>
      </c>
      <c r="GF71" s="3">
        <v>0</v>
      </c>
      <c r="GG71" s="3">
        <v>0</v>
      </c>
      <c r="GH71" s="3">
        <v>0</v>
      </c>
      <c r="GI71" s="3">
        <v>0</v>
      </c>
      <c r="GJ71" s="3">
        <v>0</v>
      </c>
      <c r="GK71" s="3"/>
      <c r="GL71" s="3"/>
      <c r="GM71" s="3"/>
      <c r="GN71" s="3"/>
      <c r="GO71" s="3"/>
      <c r="GP71" s="3"/>
      <c r="GQ71" s="3"/>
      <c r="GR71" s="3"/>
      <c r="GS71" s="3"/>
      <c r="GU71" s="3"/>
      <c r="GV71" s="3"/>
      <c r="GW71" s="3"/>
      <c r="GX71" s="3"/>
      <c r="GY71" s="3"/>
      <c r="GZ71" s="3"/>
      <c r="HA71" s="3"/>
      <c r="HB71" s="3"/>
      <c r="HC71" s="3"/>
      <c r="HE71" s="3"/>
      <c r="HF71" s="3"/>
      <c r="HG71" s="3"/>
      <c r="HH71" s="3"/>
      <c r="HJ71" s="3">
        <v>0</v>
      </c>
      <c r="HK71" s="3">
        <v>0</v>
      </c>
      <c r="HL71" s="3">
        <v>0</v>
      </c>
      <c r="HM71" s="3">
        <v>0</v>
      </c>
      <c r="HN71" s="3">
        <v>0</v>
      </c>
      <c r="HO71" s="3">
        <v>0</v>
      </c>
      <c r="HP71" s="3">
        <v>0</v>
      </c>
      <c r="HQ71" s="3">
        <v>0</v>
      </c>
      <c r="HR71" s="3">
        <v>0</v>
      </c>
      <c r="HS71" s="3">
        <v>0</v>
      </c>
      <c r="HT71" s="3"/>
      <c r="HU71" s="3"/>
      <c r="HV71" s="3"/>
      <c r="HW71" s="3"/>
      <c r="HX71" s="3"/>
      <c r="HY71" s="3"/>
      <c r="HZ71" s="3"/>
      <c r="IA71" s="3"/>
      <c r="IB71" s="3"/>
      <c r="ID71" s="3"/>
      <c r="IE71" s="3"/>
      <c r="IF71" s="3"/>
      <c r="IG71" s="3"/>
      <c r="IS71" s="3">
        <v>0</v>
      </c>
      <c r="IT71" s="3">
        <v>0</v>
      </c>
      <c r="IU71" s="3">
        <v>0</v>
      </c>
      <c r="IV71" s="3">
        <v>0</v>
      </c>
      <c r="IW71" s="3">
        <v>0</v>
      </c>
      <c r="IX71" s="3">
        <v>0</v>
      </c>
      <c r="IY71" s="3">
        <v>0</v>
      </c>
      <c r="IZ71" s="3">
        <v>0</v>
      </c>
      <c r="JA71" s="3">
        <v>0</v>
      </c>
      <c r="JB71" s="3">
        <v>0</v>
      </c>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v>3699000</v>
      </c>
      <c r="KC71" s="3">
        <v>0</v>
      </c>
      <c r="KD71" s="3">
        <v>0</v>
      </c>
      <c r="KE71" s="3">
        <v>0</v>
      </c>
      <c r="KF71" s="3">
        <v>3699000</v>
      </c>
      <c r="KG71" s="3">
        <v>3699000</v>
      </c>
      <c r="KH71" s="3">
        <v>0</v>
      </c>
      <c r="KI71" s="3">
        <v>0</v>
      </c>
      <c r="KJ71" s="3">
        <v>0</v>
      </c>
      <c r="KK71" s="3">
        <v>3699000</v>
      </c>
      <c r="KL71" s="3"/>
      <c r="KM71" s="3"/>
      <c r="KN71" s="3"/>
      <c r="KO71" s="3"/>
      <c r="KP71" s="3"/>
      <c r="KQ71" s="3"/>
      <c r="KR71" s="3"/>
      <c r="KS71" s="3"/>
      <c r="KT71" s="3"/>
      <c r="KU71" s="3"/>
      <c r="KV71" s="3"/>
      <c r="KW71" s="3"/>
      <c r="KX71" s="3"/>
      <c r="KY71" s="3"/>
      <c r="KZ71" s="3"/>
      <c r="LA71" s="3"/>
      <c r="LB71" s="3"/>
      <c r="LC71" s="3"/>
      <c r="LD71" s="3"/>
      <c r="LE71" s="3"/>
      <c r="LF71" s="3"/>
      <c r="LG71" s="3"/>
      <c r="LH71" s="3"/>
      <c r="LI71" s="3"/>
      <c r="LJ71" s="3"/>
      <c r="LK71" s="3">
        <v>1935000</v>
      </c>
      <c r="LL71">
        <v>0</v>
      </c>
      <c r="LM71">
        <v>0</v>
      </c>
      <c r="LN71">
        <v>0</v>
      </c>
      <c r="LO71" s="3">
        <v>1935000</v>
      </c>
    </row>
    <row r="72" spans="1:327" x14ac:dyDescent="0.25">
      <c r="A72" t="s">
        <v>943</v>
      </c>
      <c r="B72" t="s">
        <v>944</v>
      </c>
      <c r="C72" t="s">
        <v>555</v>
      </c>
      <c r="D72" t="s">
        <v>974</v>
      </c>
      <c r="E72" t="s">
        <v>217</v>
      </c>
      <c r="F72" t="s">
        <v>218</v>
      </c>
      <c r="G72" t="s">
        <v>1057</v>
      </c>
      <c r="H72" s="3">
        <v>12103000</v>
      </c>
      <c r="I72" s="3">
        <v>2753000</v>
      </c>
      <c r="J72" s="3">
        <v>0</v>
      </c>
      <c r="K72" s="3">
        <v>900000000</v>
      </c>
      <c r="L72" s="3">
        <v>914856000</v>
      </c>
      <c r="M72" s="3">
        <v>12103000</v>
      </c>
      <c r="N72" s="3">
        <v>2753000</v>
      </c>
      <c r="O72" s="3">
        <v>0</v>
      </c>
      <c r="P72" s="3">
        <v>1050000000</v>
      </c>
      <c r="Q72" s="3">
        <v>1064856000</v>
      </c>
      <c r="R72" s="3"/>
      <c r="S72" s="3"/>
      <c r="T72" s="3"/>
      <c r="U72" s="3"/>
      <c r="V72" s="3"/>
      <c r="W72" s="3"/>
      <c r="X72" s="3"/>
      <c r="Y72" s="3"/>
      <c r="Z72" s="3"/>
      <c r="AA72" s="3"/>
      <c r="AB72" s="3"/>
      <c r="AC72" s="3"/>
      <c r="AD72" s="3"/>
      <c r="AE72" s="3"/>
      <c r="AF72" s="3"/>
      <c r="AG72" s="3"/>
      <c r="AH72" s="3"/>
      <c r="AI72" s="3"/>
      <c r="AJ72" s="3"/>
      <c r="AK72" s="3"/>
      <c r="AL72" s="3"/>
      <c r="AM72" s="3"/>
      <c r="AN72" s="3"/>
      <c r="AO72" s="3"/>
      <c r="AP72" s="3"/>
      <c r="AQ72" s="3">
        <v>14354000</v>
      </c>
      <c r="AR72" s="3">
        <v>19738000</v>
      </c>
      <c r="AS72" s="3">
        <v>0</v>
      </c>
      <c r="AT72" s="3">
        <v>3426853000</v>
      </c>
      <c r="AU72" s="3">
        <v>3460945000</v>
      </c>
      <c r="AV72" s="3">
        <v>14354000</v>
      </c>
      <c r="AW72" s="3">
        <v>19738000</v>
      </c>
      <c r="AX72" s="3">
        <v>0</v>
      </c>
      <c r="AY72" s="3">
        <v>2432949000</v>
      </c>
      <c r="AZ72" s="3">
        <v>2467041000</v>
      </c>
      <c r="BA72" s="3"/>
      <c r="BB72" s="3"/>
      <c r="BC72" s="3"/>
      <c r="BD72" s="3"/>
      <c r="BE72" s="3"/>
      <c r="BF72" s="3"/>
      <c r="BG72" s="3"/>
      <c r="BH72" s="3"/>
      <c r="BI72" s="3"/>
      <c r="BJ72" s="3"/>
      <c r="BK72" s="3"/>
      <c r="BL72" s="3"/>
      <c r="BM72" s="3"/>
      <c r="BN72" s="3"/>
      <c r="BO72" s="3"/>
      <c r="BP72" s="3"/>
      <c r="BQ72" s="3"/>
      <c r="BR72" s="3"/>
      <c r="BS72" s="3"/>
      <c r="BU72" s="3"/>
      <c r="BV72" s="3"/>
      <c r="BW72" s="3"/>
      <c r="BX72" s="3"/>
      <c r="BZ72" s="3">
        <v>13919000</v>
      </c>
      <c r="CA72" s="3">
        <v>8270000</v>
      </c>
      <c r="CB72" s="3">
        <v>0</v>
      </c>
      <c r="CC72" s="3">
        <v>2500000000</v>
      </c>
      <c r="CD72" s="3">
        <v>2522189000</v>
      </c>
      <c r="CE72" s="3">
        <v>13919000</v>
      </c>
      <c r="CF72" s="3">
        <v>8270000</v>
      </c>
      <c r="CG72" s="3">
        <v>0</v>
      </c>
      <c r="CH72" s="3">
        <v>2280000000</v>
      </c>
      <c r="CI72" s="3">
        <v>2302189000</v>
      </c>
      <c r="CJ72" s="3"/>
      <c r="CK72" s="3"/>
      <c r="CL72" s="3"/>
      <c r="CM72" s="3"/>
      <c r="CN72" s="3"/>
      <c r="CO72" s="3"/>
      <c r="CP72" s="3"/>
      <c r="CQ72" s="3"/>
      <c r="CR72" s="3"/>
      <c r="CS72" s="3"/>
      <c r="CT72" s="3"/>
      <c r="CU72" s="3"/>
      <c r="CV72" s="3"/>
      <c r="CW72" s="3"/>
      <c r="CX72" s="3"/>
      <c r="CY72" s="3"/>
      <c r="CZ72" s="3"/>
      <c r="DA72" s="3"/>
      <c r="DB72" s="3"/>
      <c r="DD72" s="3"/>
      <c r="DE72" s="3"/>
      <c r="DF72" s="3"/>
      <c r="DG72" s="3"/>
      <c r="DI72" s="3">
        <v>10945000</v>
      </c>
      <c r="DJ72" s="3">
        <v>8322000</v>
      </c>
      <c r="DK72" s="3">
        <v>0</v>
      </c>
      <c r="DL72" s="3">
        <v>2515000000</v>
      </c>
      <c r="DM72" s="3">
        <v>2534267000</v>
      </c>
      <c r="DN72" s="3">
        <v>0</v>
      </c>
      <c r="DO72" s="3">
        <v>0</v>
      </c>
      <c r="DP72" s="3">
        <v>0</v>
      </c>
      <c r="DQ72" s="3">
        <v>0</v>
      </c>
      <c r="DR72" s="3">
        <v>0</v>
      </c>
      <c r="DS72" s="3"/>
      <c r="DT72" s="3"/>
      <c r="DU72" s="3"/>
      <c r="DV72" s="3"/>
      <c r="DW72" s="3"/>
      <c r="DX72" s="3"/>
      <c r="DY72" s="3"/>
      <c r="DZ72" s="3"/>
      <c r="EA72" s="3"/>
      <c r="EB72" s="3"/>
      <c r="EC72" s="3"/>
      <c r="ED72" s="3"/>
      <c r="EE72" s="3"/>
      <c r="EF72" s="3"/>
      <c r="EG72" s="3"/>
      <c r="EH72" s="3"/>
      <c r="EI72" s="3"/>
      <c r="EJ72" s="3"/>
      <c r="EK72" s="3"/>
      <c r="EL72" s="3"/>
      <c r="EM72" s="3"/>
      <c r="EN72" s="3"/>
      <c r="EO72" s="3"/>
      <c r="EP72" s="3"/>
      <c r="ER72" s="3">
        <v>13239000</v>
      </c>
      <c r="ES72" s="3">
        <v>8322000</v>
      </c>
      <c r="ET72" s="3">
        <v>0</v>
      </c>
      <c r="EU72" s="3">
        <v>2515000000</v>
      </c>
      <c r="EV72" s="3">
        <v>2536561000</v>
      </c>
      <c r="EW72" s="3">
        <v>13239000</v>
      </c>
      <c r="EX72" s="3">
        <v>8322000</v>
      </c>
      <c r="EY72" s="3">
        <v>0</v>
      </c>
      <c r="EZ72" s="3">
        <v>2515000000</v>
      </c>
      <c r="FA72" s="3">
        <v>2536561000</v>
      </c>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v>13551000</v>
      </c>
      <c r="GB72" s="3">
        <v>8622000</v>
      </c>
      <c r="GC72" s="3">
        <v>0</v>
      </c>
      <c r="GD72" s="3">
        <v>2750000000</v>
      </c>
      <c r="GE72" s="3">
        <v>2772173000</v>
      </c>
      <c r="GF72" s="3">
        <v>13551000</v>
      </c>
      <c r="GG72" s="3">
        <v>8622000</v>
      </c>
      <c r="GH72" s="3">
        <v>0</v>
      </c>
      <c r="GI72" s="3">
        <v>2750000000</v>
      </c>
      <c r="GJ72" s="3">
        <v>2772173000</v>
      </c>
      <c r="GK72" s="3"/>
      <c r="GL72" s="3"/>
      <c r="GM72" s="3"/>
      <c r="GN72" s="3"/>
      <c r="GO72" s="3"/>
      <c r="GP72" s="3"/>
      <c r="GQ72" s="3"/>
      <c r="GR72" s="3"/>
      <c r="GS72" s="3"/>
      <c r="GU72" s="3"/>
      <c r="GV72" s="3"/>
      <c r="GW72" s="3"/>
      <c r="GX72" s="3"/>
      <c r="GY72" s="3"/>
      <c r="GZ72" s="3"/>
      <c r="HA72" s="3"/>
      <c r="HB72" s="3"/>
      <c r="HC72" s="3"/>
      <c r="HE72" s="3"/>
      <c r="HF72" s="3"/>
      <c r="HG72" s="3"/>
      <c r="HH72" s="3"/>
      <c r="HJ72" s="3">
        <v>12794000</v>
      </c>
      <c r="HK72" s="3">
        <v>8777000</v>
      </c>
      <c r="HL72" s="3">
        <v>0</v>
      </c>
      <c r="HM72" s="3">
        <v>2750000000</v>
      </c>
      <c r="HN72" s="3">
        <v>2771571000</v>
      </c>
      <c r="HO72" s="3">
        <v>12794000</v>
      </c>
      <c r="HP72" s="3">
        <v>8777000</v>
      </c>
      <c r="HQ72" s="3">
        <v>0</v>
      </c>
      <c r="HR72" s="3">
        <v>2750000000</v>
      </c>
      <c r="HS72" s="3">
        <v>2771571000</v>
      </c>
      <c r="HT72" s="3"/>
      <c r="HU72" s="3"/>
      <c r="HV72" s="3"/>
      <c r="HW72" s="3"/>
      <c r="HX72" s="3"/>
      <c r="HY72" s="3"/>
      <c r="HZ72" s="3"/>
      <c r="IA72" s="3"/>
      <c r="IB72" s="3"/>
      <c r="ID72" s="3"/>
      <c r="IE72" s="3"/>
      <c r="IF72" s="3"/>
      <c r="IG72" s="3"/>
      <c r="IS72" s="3">
        <v>12885000</v>
      </c>
      <c r="IT72" s="3">
        <v>8935000</v>
      </c>
      <c r="IU72" s="3">
        <v>0</v>
      </c>
      <c r="IV72" s="3">
        <v>2750000000</v>
      </c>
      <c r="IW72" s="3">
        <v>2771820000</v>
      </c>
      <c r="IX72" s="3">
        <v>12885000</v>
      </c>
      <c r="IY72" s="3">
        <v>8935000</v>
      </c>
      <c r="IZ72" s="3">
        <v>0</v>
      </c>
      <c r="JA72" s="3">
        <v>2750000000</v>
      </c>
      <c r="JB72" s="3">
        <v>2771820000</v>
      </c>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v>15267000</v>
      </c>
      <c r="KC72" s="3">
        <v>9096000</v>
      </c>
      <c r="KD72" s="3">
        <v>0</v>
      </c>
      <c r="KE72" s="3">
        <v>2750000000</v>
      </c>
      <c r="KF72" s="3">
        <v>2774363000</v>
      </c>
      <c r="KG72" s="3">
        <v>15267000</v>
      </c>
      <c r="KH72" s="3">
        <v>9096000</v>
      </c>
      <c r="KI72" s="3">
        <v>0</v>
      </c>
      <c r="KJ72" s="3">
        <v>3000000000</v>
      </c>
      <c r="KK72" s="3">
        <v>3024363000</v>
      </c>
      <c r="KL72" s="3"/>
      <c r="KM72" s="3"/>
      <c r="KN72" s="3"/>
      <c r="KO72" s="3"/>
      <c r="KP72" s="3"/>
      <c r="KQ72" s="3"/>
      <c r="KR72" s="3"/>
      <c r="KS72" s="3"/>
      <c r="KT72" s="3"/>
      <c r="KU72" s="3"/>
      <c r="KV72" s="3"/>
      <c r="KW72" s="3"/>
      <c r="KX72" s="3"/>
      <c r="KY72" s="3"/>
      <c r="KZ72" s="3"/>
      <c r="LA72" s="3"/>
      <c r="LB72" s="3"/>
      <c r="LC72" s="3"/>
      <c r="LD72" s="3"/>
      <c r="LE72" s="3"/>
      <c r="LF72" s="3"/>
      <c r="LG72" s="3"/>
      <c r="LH72" s="3"/>
      <c r="LI72" s="3"/>
      <c r="LJ72" s="3"/>
      <c r="LK72" s="3">
        <v>15875000</v>
      </c>
      <c r="LL72" s="3">
        <v>9260000</v>
      </c>
      <c r="LM72">
        <v>0</v>
      </c>
      <c r="LN72" s="3">
        <v>2750000000</v>
      </c>
      <c r="LO72" s="3">
        <v>2775135000</v>
      </c>
    </row>
    <row r="73" spans="1:327" x14ac:dyDescent="0.25">
      <c r="A73" t="s">
        <v>943</v>
      </c>
      <c r="B73" t="s">
        <v>944</v>
      </c>
      <c r="C73" t="s">
        <v>555</v>
      </c>
      <c r="D73" t="s">
        <v>974</v>
      </c>
      <c r="E73" t="s">
        <v>217</v>
      </c>
      <c r="F73" t="s">
        <v>220</v>
      </c>
      <c r="G73" t="s">
        <v>1058</v>
      </c>
      <c r="H73" s="3">
        <v>19464000</v>
      </c>
      <c r="I73" s="3">
        <v>15004000</v>
      </c>
      <c r="J73" s="3">
        <v>0</v>
      </c>
      <c r="K73" s="3">
        <v>2830000</v>
      </c>
      <c r="L73" s="3">
        <v>37298000</v>
      </c>
      <c r="M73" s="3">
        <v>19464000</v>
      </c>
      <c r="N73" s="3">
        <v>15004000</v>
      </c>
      <c r="O73" s="3">
        <v>0</v>
      </c>
      <c r="P73" s="3">
        <v>2830000</v>
      </c>
      <c r="Q73" s="3">
        <v>37298000</v>
      </c>
      <c r="R73" s="3"/>
      <c r="S73" s="3"/>
      <c r="T73" s="3"/>
      <c r="U73" s="3"/>
      <c r="V73" s="3"/>
      <c r="W73" s="3"/>
      <c r="X73" s="3"/>
      <c r="Y73" s="3"/>
      <c r="Z73" s="3"/>
      <c r="AA73" s="3"/>
      <c r="AB73" s="3"/>
      <c r="AC73" s="3"/>
      <c r="AD73" s="3"/>
      <c r="AE73" s="3"/>
      <c r="AF73" s="3"/>
      <c r="AG73" s="3"/>
      <c r="AH73" s="3"/>
      <c r="AI73" s="3"/>
      <c r="AJ73" s="3"/>
      <c r="AK73" s="3"/>
      <c r="AL73" s="3"/>
      <c r="AM73" s="3"/>
      <c r="AN73" s="3"/>
      <c r="AO73" s="3"/>
      <c r="AP73" s="3"/>
      <c r="AQ73" s="3">
        <v>13536000</v>
      </c>
      <c r="AR73" s="3">
        <v>20273000</v>
      </c>
      <c r="AS73" s="3">
        <v>0</v>
      </c>
      <c r="AT73" s="3">
        <v>4325000</v>
      </c>
      <c r="AU73" s="3">
        <v>38134000</v>
      </c>
      <c r="AV73" s="3">
        <v>13536000</v>
      </c>
      <c r="AW73" s="3">
        <v>20273000</v>
      </c>
      <c r="AX73" s="3">
        <v>0</v>
      </c>
      <c r="AY73" s="3">
        <v>4325000</v>
      </c>
      <c r="AZ73" s="3">
        <v>38134000</v>
      </c>
      <c r="BA73" s="3"/>
      <c r="BB73" s="3"/>
      <c r="BC73" s="3"/>
      <c r="BD73" s="3"/>
      <c r="BE73" s="3"/>
      <c r="BF73" s="3"/>
      <c r="BG73" s="3"/>
      <c r="BH73" s="3"/>
      <c r="BI73" s="3"/>
      <c r="BJ73" s="3"/>
      <c r="BK73" s="3"/>
      <c r="BL73" s="3"/>
      <c r="BM73" s="3"/>
      <c r="BN73" s="3"/>
      <c r="BO73" s="3"/>
      <c r="BP73" s="3"/>
      <c r="BQ73" s="3"/>
      <c r="BR73" s="3"/>
      <c r="BS73" s="3"/>
      <c r="BU73" s="3"/>
      <c r="BV73" s="3"/>
      <c r="BW73" s="3"/>
      <c r="BX73" s="3"/>
      <c r="BZ73" s="3">
        <v>14652000</v>
      </c>
      <c r="CA73" s="3">
        <v>13936000</v>
      </c>
      <c r="CB73" s="3">
        <v>0</v>
      </c>
      <c r="CC73" s="3">
        <v>3740000</v>
      </c>
      <c r="CD73" s="3">
        <v>32328000</v>
      </c>
      <c r="CE73" s="3">
        <v>14652000</v>
      </c>
      <c r="CF73" s="3">
        <v>233936000</v>
      </c>
      <c r="CG73" s="3">
        <v>0</v>
      </c>
      <c r="CH73" s="3">
        <v>3740000</v>
      </c>
      <c r="CI73" s="3">
        <v>252328000</v>
      </c>
      <c r="CJ73" s="3"/>
      <c r="CK73" s="3"/>
      <c r="CL73" s="3"/>
      <c r="CM73" s="3"/>
      <c r="CN73" s="3"/>
      <c r="CO73" s="3"/>
      <c r="CP73" s="3"/>
      <c r="CQ73" s="3"/>
      <c r="CR73" s="3"/>
      <c r="CS73" s="3"/>
      <c r="CT73" s="3"/>
      <c r="CU73" s="3"/>
      <c r="CV73" s="3"/>
      <c r="CW73" s="3"/>
      <c r="CX73" s="3"/>
      <c r="CY73" s="3"/>
      <c r="CZ73" s="3"/>
      <c r="DA73" s="3"/>
      <c r="DB73" s="3"/>
      <c r="DD73" s="3"/>
      <c r="DE73" s="3"/>
      <c r="DF73" s="3"/>
      <c r="DG73" s="3"/>
      <c r="DI73" s="3">
        <v>15340000</v>
      </c>
      <c r="DJ73" s="3">
        <v>14507000</v>
      </c>
      <c r="DK73" s="3">
        <v>0</v>
      </c>
      <c r="DL73" s="3">
        <v>2050000</v>
      </c>
      <c r="DM73" s="3">
        <v>31897000</v>
      </c>
      <c r="DN73" s="3">
        <v>15340000</v>
      </c>
      <c r="DO73" s="3">
        <v>14507000</v>
      </c>
      <c r="DP73" s="3">
        <v>0</v>
      </c>
      <c r="DQ73" s="3">
        <v>2050000</v>
      </c>
      <c r="DR73" s="3">
        <v>31897000</v>
      </c>
      <c r="DS73" s="3"/>
      <c r="DT73" s="3"/>
      <c r="DU73" s="3"/>
      <c r="DV73" s="3"/>
      <c r="DW73" s="3"/>
      <c r="DX73" s="3"/>
      <c r="DY73" s="3"/>
      <c r="DZ73" s="3"/>
      <c r="EA73" s="3"/>
      <c r="EB73" s="3"/>
      <c r="EC73" s="3"/>
      <c r="ED73" s="3"/>
      <c r="EE73" s="3"/>
      <c r="EF73" s="3"/>
      <c r="EG73" s="3"/>
      <c r="EH73" s="3"/>
      <c r="EI73" s="3"/>
      <c r="EJ73" s="3"/>
      <c r="EK73" s="3"/>
      <c r="EL73" s="3"/>
      <c r="EM73" s="3"/>
      <c r="EN73" s="3"/>
      <c r="EO73" s="3"/>
      <c r="EP73" s="3"/>
      <c r="ER73" s="3">
        <v>13903000</v>
      </c>
      <c r="ES73" s="3">
        <v>14910000</v>
      </c>
      <c r="ET73" s="3">
        <v>0</v>
      </c>
      <c r="EU73" s="3">
        <v>4652000</v>
      </c>
      <c r="EV73" s="3">
        <v>33465000</v>
      </c>
      <c r="EW73" s="3">
        <v>13903000</v>
      </c>
      <c r="EX73" s="3">
        <v>14910000</v>
      </c>
      <c r="EY73" s="3">
        <v>0</v>
      </c>
      <c r="EZ73" s="3">
        <v>4652000</v>
      </c>
      <c r="FA73" s="3">
        <v>33465000</v>
      </c>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v>16164000</v>
      </c>
      <c r="GB73" s="3">
        <v>14840000</v>
      </c>
      <c r="GC73" s="3">
        <v>0</v>
      </c>
      <c r="GD73" s="3">
        <v>0</v>
      </c>
      <c r="GE73" s="3">
        <v>31004000</v>
      </c>
      <c r="GF73" s="3">
        <v>16164000</v>
      </c>
      <c r="GG73" s="3">
        <v>14840000</v>
      </c>
      <c r="GH73" s="3">
        <v>0</v>
      </c>
      <c r="GI73" s="3">
        <v>0</v>
      </c>
      <c r="GJ73" s="3">
        <v>31004000</v>
      </c>
      <c r="GK73" s="3"/>
      <c r="GL73" s="3"/>
      <c r="GM73" s="3"/>
      <c r="GN73" s="3"/>
      <c r="GO73" s="3"/>
      <c r="GP73" s="3"/>
      <c r="GQ73" s="3"/>
      <c r="GR73" s="3"/>
      <c r="GS73" s="3"/>
      <c r="GU73" s="3"/>
      <c r="GV73" s="3"/>
      <c r="GW73" s="3"/>
      <c r="GX73" s="3"/>
      <c r="GY73" s="3"/>
      <c r="GZ73" s="3"/>
      <c r="HA73" s="3"/>
      <c r="HB73" s="3"/>
      <c r="HC73" s="3"/>
      <c r="HE73" s="3"/>
      <c r="HF73" s="3"/>
      <c r="HG73" s="3"/>
      <c r="HH73" s="3"/>
      <c r="HJ73" s="3">
        <v>13016000</v>
      </c>
      <c r="HK73" s="3">
        <v>36757000</v>
      </c>
      <c r="HL73" s="3">
        <v>0</v>
      </c>
      <c r="HM73" s="3">
        <v>0</v>
      </c>
      <c r="HN73" s="3">
        <v>49773000</v>
      </c>
      <c r="HO73" s="3">
        <v>13016000</v>
      </c>
      <c r="HP73" s="3">
        <v>36757000</v>
      </c>
      <c r="HQ73" s="3">
        <v>0</v>
      </c>
      <c r="HR73" s="3">
        <v>0</v>
      </c>
      <c r="HS73" s="3">
        <v>49773000</v>
      </c>
      <c r="HT73" s="3"/>
      <c r="HU73" s="3"/>
      <c r="HV73" s="3"/>
      <c r="HW73" s="3"/>
      <c r="HX73" s="3"/>
      <c r="HY73" s="3"/>
      <c r="HZ73" s="3"/>
      <c r="IA73" s="3"/>
      <c r="IB73" s="3"/>
      <c r="ID73" s="3"/>
      <c r="IE73" s="3"/>
      <c r="IF73" s="3"/>
      <c r="IG73" s="3"/>
      <c r="IS73" s="3">
        <v>14879000</v>
      </c>
      <c r="IT73" s="3">
        <v>43039000</v>
      </c>
      <c r="IU73" s="3">
        <v>0</v>
      </c>
      <c r="IV73" s="3">
        <v>0</v>
      </c>
      <c r="IW73" s="3">
        <v>57918000</v>
      </c>
      <c r="IX73" s="3">
        <v>14879000</v>
      </c>
      <c r="IY73" s="3">
        <v>43039000</v>
      </c>
      <c r="IZ73" s="3">
        <v>0</v>
      </c>
      <c r="JA73" s="3">
        <v>0</v>
      </c>
      <c r="JB73" s="3">
        <v>57918000</v>
      </c>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v>16579000</v>
      </c>
      <c r="KC73" s="3">
        <v>40616000</v>
      </c>
      <c r="KD73" s="3">
        <v>0</v>
      </c>
      <c r="KE73" s="3">
        <v>0</v>
      </c>
      <c r="KF73" s="3">
        <v>57195000</v>
      </c>
      <c r="KG73" s="3">
        <v>16579000</v>
      </c>
      <c r="KH73" s="3">
        <v>40616000</v>
      </c>
      <c r="KI73" s="3">
        <v>0</v>
      </c>
      <c r="KJ73" s="3">
        <v>0</v>
      </c>
      <c r="KK73" s="3">
        <v>57195000</v>
      </c>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v>17287000</v>
      </c>
      <c r="LL73" s="3">
        <v>37844000</v>
      </c>
      <c r="LM73">
        <v>0</v>
      </c>
      <c r="LN73" s="3">
        <v>5000000</v>
      </c>
      <c r="LO73" s="3">
        <v>60131000</v>
      </c>
    </row>
    <row r="74" spans="1:327" x14ac:dyDescent="0.25">
      <c r="A74" t="s">
        <v>943</v>
      </c>
      <c r="B74" t="s">
        <v>944</v>
      </c>
      <c r="C74" t="s">
        <v>555</v>
      </c>
      <c r="D74" t="s">
        <v>974</v>
      </c>
      <c r="E74" t="s">
        <v>217</v>
      </c>
      <c r="F74" t="s">
        <v>222</v>
      </c>
      <c r="G74" t="s">
        <v>1137</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U74" s="3"/>
      <c r="BV74" s="3"/>
      <c r="BW74" s="3"/>
      <c r="BX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D74" s="3"/>
      <c r="DE74" s="3"/>
      <c r="DF74" s="3"/>
      <c r="DG74" s="3"/>
      <c r="DI74" s="3">
        <v>0</v>
      </c>
      <c r="DJ74" s="3">
        <v>0</v>
      </c>
      <c r="DK74" s="3">
        <v>0</v>
      </c>
      <c r="DL74" s="3">
        <v>0</v>
      </c>
      <c r="DM74" s="3">
        <v>0</v>
      </c>
      <c r="DN74" s="3">
        <v>10945000</v>
      </c>
      <c r="DO74" s="3">
        <v>8322000</v>
      </c>
      <c r="DP74" s="3">
        <v>0</v>
      </c>
      <c r="DQ74" s="3">
        <v>2715000000</v>
      </c>
      <c r="DR74" s="3">
        <v>2734267000</v>
      </c>
      <c r="DS74" s="3"/>
      <c r="DT74" s="3"/>
      <c r="DU74" s="3"/>
      <c r="DV74" s="3"/>
      <c r="DW74" s="3"/>
      <c r="DX74" s="3"/>
      <c r="DY74" s="3"/>
      <c r="DZ74" s="3"/>
      <c r="EA74" s="3"/>
      <c r="EB74" s="3"/>
      <c r="EC74" s="3"/>
      <c r="ED74" s="3"/>
      <c r="EE74" s="3"/>
      <c r="EF74" s="3"/>
      <c r="EG74" s="3"/>
      <c r="EH74" s="3"/>
      <c r="EI74" s="3"/>
      <c r="EJ74" s="3"/>
      <c r="EK74" s="3"/>
      <c r="EL74" s="3"/>
      <c r="EM74" s="3"/>
      <c r="EN74" s="3"/>
      <c r="EO74" s="3"/>
      <c r="EP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v>0</v>
      </c>
      <c r="GB74" s="3">
        <v>0</v>
      </c>
      <c r="GC74" s="3">
        <v>0</v>
      </c>
      <c r="GD74" s="3">
        <v>0</v>
      </c>
      <c r="GE74" s="3">
        <v>0</v>
      </c>
      <c r="GF74" s="3">
        <v>0</v>
      </c>
      <c r="GG74" s="3">
        <v>0</v>
      </c>
      <c r="GH74" s="3">
        <v>0</v>
      </c>
      <c r="GI74" s="3">
        <v>0</v>
      </c>
      <c r="GJ74" s="3">
        <v>0</v>
      </c>
      <c r="GK74" s="3"/>
      <c r="GL74" s="3"/>
      <c r="GM74" s="3"/>
      <c r="GN74" s="3"/>
      <c r="GO74" s="3"/>
      <c r="GP74" s="3"/>
      <c r="GQ74" s="3"/>
      <c r="GR74" s="3"/>
      <c r="GS74" s="3"/>
      <c r="GU74" s="3"/>
      <c r="GV74" s="3"/>
      <c r="GW74" s="3"/>
      <c r="GX74" s="3"/>
      <c r="GY74" s="3"/>
      <c r="GZ74" s="3"/>
      <c r="HA74" s="3"/>
      <c r="HB74" s="3"/>
      <c r="HC74" s="3"/>
      <c r="HE74" s="3"/>
      <c r="HF74" s="3"/>
      <c r="HG74" s="3"/>
      <c r="HH74" s="3"/>
      <c r="HJ74" s="3">
        <v>0</v>
      </c>
      <c r="HK74" s="3">
        <v>0</v>
      </c>
      <c r="HL74" s="3">
        <v>0</v>
      </c>
      <c r="HM74" s="3">
        <v>0</v>
      </c>
      <c r="HN74" s="3">
        <v>0</v>
      </c>
      <c r="HO74" s="3">
        <v>0</v>
      </c>
      <c r="HP74" s="3">
        <v>0</v>
      </c>
      <c r="HQ74" s="3">
        <v>0</v>
      </c>
      <c r="HR74" s="3">
        <v>0</v>
      </c>
      <c r="HS74" s="3">
        <v>0</v>
      </c>
      <c r="HT74" s="3"/>
      <c r="HU74" s="3"/>
      <c r="HV74" s="3"/>
      <c r="HW74" s="3"/>
      <c r="HX74" s="3"/>
      <c r="HY74" s="3"/>
      <c r="HZ74" s="3"/>
      <c r="IA74" s="3"/>
      <c r="IB74" s="3"/>
      <c r="ID74" s="3"/>
      <c r="IE74" s="3"/>
      <c r="IF74" s="3"/>
      <c r="IG74" s="3"/>
      <c r="IS74" s="3">
        <v>0</v>
      </c>
      <c r="IT74" s="3">
        <v>0</v>
      </c>
      <c r="IU74" s="3">
        <v>0</v>
      </c>
      <c r="IV74" s="3">
        <v>0</v>
      </c>
      <c r="IW74" s="3">
        <v>0</v>
      </c>
      <c r="IX74" s="3">
        <v>0</v>
      </c>
      <c r="IY74" s="3">
        <v>0</v>
      </c>
      <c r="IZ74" s="3">
        <v>0</v>
      </c>
      <c r="JA74" s="3">
        <v>0</v>
      </c>
      <c r="JB74" s="3">
        <v>0</v>
      </c>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c r="KC74" s="3"/>
      <c r="KD74" s="3"/>
      <c r="KE74" s="3"/>
      <c r="KF74" s="3"/>
      <c r="KG74" s="3"/>
      <c r="KH74" s="3"/>
      <c r="KI74" s="3"/>
      <c r="KJ74" s="3"/>
      <c r="KK74" s="3"/>
      <c r="KL74" s="3"/>
      <c r="KM74" s="3"/>
      <c r="KN74" s="3"/>
      <c r="KO74" s="3"/>
      <c r="KP74" s="3"/>
      <c r="KQ74" s="3"/>
      <c r="KR74" s="3"/>
      <c r="KS74" s="3"/>
      <c r="KT74" s="3"/>
      <c r="KU74" s="3"/>
      <c r="KV74" s="3"/>
      <c r="KW74" s="3"/>
      <c r="KX74" s="3"/>
      <c r="KY74" s="3"/>
      <c r="KZ74" s="3"/>
      <c r="LA74" s="3"/>
      <c r="LB74" s="3"/>
      <c r="LC74" s="3"/>
      <c r="LD74" s="3"/>
      <c r="LE74" s="3"/>
      <c r="LF74" s="3"/>
      <c r="LG74" s="3"/>
      <c r="LH74" s="3"/>
      <c r="LI74" s="3"/>
      <c r="LJ74" s="3"/>
    </row>
    <row r="75" spans="1:327" x14ac:dyDescent="0.25">
      <c r="A75" t="s">
        <v>943</v>
      </c>
      <c r="B75" t="s">
        <v>944</v>
      </c>
      <c r="C75" t="s">
        <v>555</v>
      </c>
      <c r="D75" t="s">
        <v>974</v>
      </c>
      <c r="E75" t="s">
        <v>217</v>
      </c>
      <c r="F75" t="s">
        <v>618</v>
      </c>
      <c r="G75" t="s">
        <v>1138</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U75" s="3"/>
      <c r="BV75" s="3"/>
      <c r="BW75" s="3"/>
      <c r="BX75" s="3"/>
      <c r="BZ75" s="3">
        <v>0</v>
      </c>
      <c r="CA75" s="3">
        <v>0</v>
      </c>
      <c r="CB75" s="3">
        <v>0</v>
      </c>
      <c r="CC75" s="3">
        <v>0</v>
      </c>
      <c r="CD75" s="3">
        <v>0</v>
      </c>
      <c r="CE75" s="3">
        <v>0</v>
      </c>
      <c r="CF75" s="3">
        <v>0</v>
      </c>
      <c r="CG75" s="3">
        <v>0</v>
      </c>
      <c r="CH75" s="3">
        <v>257988000</v>
      </c>
      <c r="CI75" s="3">
        <v>257988000</v>
      </c>
      <c r="CJ75" s="3"/>
      <c r="CK75" s="3"/>
      <c r="CL75" s="3"/>
      <c r="CM75" s="3"/>
      <c r="CN75" s="3"/>
      <c r="CO75" s="3"/>
      <c r="CP75" s="3"/>
      <c r="CQ75" s="3"/>
      <c r="CR75" s="3"/>
      <c r="CS75" s="3"/>
      <c r="CT75" s="3"/>
      <c r="CU75" s="3"/>
      <c r="CV75" s="3"/>
      <c r="CW75" s="3"/>
      <c r="CX75" s="3"/>
      <c r="CY75" s="3"/>
      <c r="CZ75" s="3"/>
      <c r="DA75" s="3"/>
      <c r="DB75" s="3"/>
      <c r="DD75" s="3"/>
      <c r="DE75" s="3"/>
      <c r="DF75" s="3"/>
      <c r="DG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U75" s="3"/>
      <c r="GV75" s="3"/>
      <c r="GW75" s="3"/>
      <c r="GX75" s="3"/>
      <c r="GY75" s="3"/>
      <c r="GZ75" s="3"/>
      <c r="HA75" s="3"/>
      <c r="HB75" s="3"/>
      <c r="HC75" s="3"/>
      <c r="HE75" s="3"/>
      <c r="HF75" s="3"/>
      <c r="HG75" s="3"/>
      <c r="HH75" s="3"/>
      <c r="HJ75" s="3"/>
      <c r="HK75" s="3"/>
      <c r="HL75" s="3"/>
      <c r="HM75" s="3"/>
      <c r="HN75" s="3"/>
      <c r="HO75" s="3"/>
      <c r="HP75" s="3"/>
      <c r="HQ75" s="3"/>
      <c r="HR75" s="3"/>
      <c r="HS75" s="3"/>
      <c r="HT75" s="3"/>
      <c r="HU75" s="3"/>
      <c r="HV75" s="3"/>
      <c r="HW75" s="3"/>
      <c r="HX75" s="3"/>
      <c r="HY75" s="3"/>
      <c r="HZ75" s="3"/>
      <c r="IA75" s="3"/>
      <c r="IB75" s="3"/>
      <c r="ID75" s="3"/>
      <c r="IE75" s="3"/>
      <c r="IF75" s="3"/>
      <c r="IG75" s="3"/>
      <c r="IS75" s="3"/>
      <c r="IT75" s="3"/>
      <c r="IU75" s="3"/>
      <c r="IV75" s="3"/>
      <c r="IW75" s="3"/>
      <c r="IX75" s="3"/>
      <c r="IY75" s="3"/>
      <c r="IZ75" s="3"/>
      <c r="JA75" s="3"/>
      <c r="JB75" s="3"/>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c r="KC75" s="3"/>
      <c r="KD75" s="3"/>
      <c r="KE75" s="3"/>
      <c r="KF75" s="3"/>
      <c r="KG75" s="3"/>
      <c r="KH75" s="3"/>
      <c r="KI75" s="3"/>
      <c r="KJ75" s="3"/>
      <c r="KK75" s="3"/>
      <c r="KL75" s="3"/>
      <c r="KM75" s="3"/>
      <c r="KN75" s="3"/>
      <c r="KO75" s="3"/>
      <c r="KP75" s="3"/>
      <c r="KQ75" s="3"/>
      <c r="KR75" s="3"/>
      <c r="KS75" s="3"/>
      <c r="KT75" s="3"/>
      <c r="KU75" s="3"/>
      <c r="KV75" s="3"/>
      <c r="KW75" s="3"/>
      <c r="KX75" s="3"/>
      <c r="KY75" s="3"/>
      <c r="KZ75" s="3"/>
      <c r="LA75" s="3"/>
      <c r="LB75" s="3"/>
      <c r="LC75" s="3"/>
      <c r="LD75" s="3"/>
      <c r="LE75" s="3"/>
      <c r="LF75" s="3"/>
      <c r="LG75" s="3"/>
      <c r="LH75" s="3"/>
      <c r="LI75" s="3"/>
      <c r="LJ75" s="3"/>
    </row>
    <row r="76" spans="1:327" x14ac:dyDescent="0.25">
      <c r="A76" t="s">
        <v>943</v>
      </c>
      <c r="B76" t="s">
        <v>944</v>
      </c>
      <c r="C76" t="s">
        <v>556</v>
      </c>
      <c r="D76" t="s">
        <v>975</v>
      </c>
      <c r="E76" t="s">
        <v>201</v>
      </c>
      <c r="F76" t="s">
        <v>202</v>
      </c>
      <c r="G76" t="s">
        <v>203</v>
      </c>
      <c r="H76" s="3">
        <v>170293000</v>
      </c>
      <c r="I76" s="3">
        <v>434891000</v>
      </c>
      <c r="J76" s="3">
        <v>57000</v>
      </c>
      <c r="K76" s="3">
        <v>176230000</v>
      </c>
      <c r="L76" s="3">
        <v>781471000</v>
      </c>
      <c r="M76" s="3">
        <v>170293000</v>
      </c>
      <c r="N76" s="3">
        <v>434891000</v>
      </c>
      <c r="O76" s="3">
        <v>57000</v>
      </c>
      <c r="P76" s="3">
        <v>176230000</v>
      </c>
      <c r="Q76" s="3">
        <v>781471000</v>
      </c>
      <c r="R76" s="3"/>
      <c r="S76" s="3"/>
      <c r="T76" s="3"/>
      <c r="U76" s="3"/>
      <c r="V76" s="3"/>
      <c r="W76" s="3"/>
      <c r="X76" s="3"/>
      <c r="Y76" s="3"/>
      <c r="Z76" s="3"/>
      <c r="AA76" s="3"/>
      <c r="AB76" s="3"/>
      <c r="AC76" s="3"/>
      <c r="AD76" s="3"/>
      <c r="AE76" s="3"/>
      <c r="AF76" s="3"/>
      <c r="AG76" s="3"/>
      <c r="AH76" s="3"/>
      <c r="AI76" s="3"/>
      <c r="AJ76" s="3"/>
      <c r="AK76" s="3"/>
      <c r="AL76" s="3"/>
      <c r="AM76" s="3"/>
      <c r="AN76" s="3"/>
      <c r="AO76" s="3"/>
      <c r="AP76" s="3"/>
      <c r="AQ76" s="3">
        <v>163947000</v>
      </c>
      <c r="AR76" s="3">
        <v>390104000</v>
      </c>
      <c r="AS76" s="3">
        <v>44000</v>
      </c>
      <c r="AT76" s="3">
        <v>57133000</v>
      </c>
      <c r="AU76" s="3">
        <v>611228000</v>
      </c>
      <c r="AV76" s="3">
        <v>163947000</v>
      </c>
      <c r="AW76" s="3">
        <v>390104000</v>
      </c>
      <c r="AX76" s="3">
        <v>44000</v>
      </c>
      <c r="AY76" s="3">
        <v>57133000</v>
      </c>
      <c r="AZ76" s="3">
        <v>611228000</v>
      </c>
      <c r="BA76" s="3"/>
      <c r="BB76" s="3"/>
      <c r="BC76" s="3"/>
      <c r="BD76" s="3"/>
      <c r="BE76" s="3"/>
      <c r="BF76" s="3"/>
      <c r="BG76" s="3"/>
      <c r="BH76" s="3"/>
      <c r="BI76" s="3"/>
      <c r="BJ76" s="3"/>
      <c r="BK76" s="3"/>
      <c r="BL76" s="3"/>
      <c r="BM76" s="3"/>
      <c r="BN76" s="3"/>
      <c r="BO76" s="3"/>
      <c r="BP76" s="3"/>
      <c r="BQ76" s="3"/>
      <c r="BR76" s="3"/>
      <c r="BS76" s="3"/>
      <c r="BU76" s="3"/>
      <c r="BV76" s="3"/>
      <c r="BW76" s="3"/>
      <c r="BX76" s="3"/>
      <c r="BZ76" s="3">
        <v>166304000</v>
      </c>
      <c r="CA76" s="3">
        <v>323078000</v>
      </c>
      <c r="CB76" s="3">
        <v>44000</v>
      </c>
      <c r="CC76" s="3">
        <v>31700000</v>
      </c>
      <c r="CD76" s="3">
        <v>521126000</v>
      </c>
      <c r="CE76" s="3">
        <v>166304000</v>
      </c>
      <c r="CF76" s="3">
        <v>323078000</v>
      </c>
      <c r="CG76" s="3">
        <v>44000</v>
      </c>
      <c r="CH76" s="3">
        <v>31700000</v>
      </c>
      <c r="CI76" s="3">
        <v>521126000</v>
      </c>
      <c r="CJ76" s="3"/>
      <c r="CK76" s="3"/>
      <c r="CL76" s="3"/>
      <c r="CM76" s="3"/>
      <c r="CN76" s="3"/>
      <c r="CO76" s="3"/>
      <c r="CP76" s="3"/>
      <c r="CQ76" s="3"/>
      <c r="CR76" s="3"/>
      <c r="CS76" s="3"/>
      <c r="CT76" s="3"/>
      <c r="CU76" s="3"/>
      <c r="CV76" s="3"/>
      <c r="CW76" s="3"/>
      <c r="CX76" s="3"/>
      <c r="CY76" s="3"/>
      <c r="CZ76" s="3"/>
      <c r="DA76" s="3"/>
      <c r="DB76" s="3"/>
      <c r="DD76" s="3"/>
      <c r="DE76" s="3"/>
      <c r="DF76" s="3"/>
      <c r="DG76" s="3"/>
      <c r="DI76" s="3">
        <v>165262000</v>
      </c>
      <c r="DJ76" s="3">
        <v>328962000</v>
      </c>
      <c r="DK76" s="3">
        <v>44000</v>
      </c>
      <c r="DL76" s="3">
        <v>0</v>
      </c>
      <c r="DM76" s="3">
        <v>494268000</v>
      </c>
      <c r="DN76" s="3">
        <v>165262000</v>
      </c>
      <c r="DO76" s="3">
        <v>328962000</v>
      </c>
      <c r="DP76" s="3">
        <v>44000</v>
      </c>
      <c r="DQ76" s="3">
        <v>0</v>
      </c>
      <c r="DR76" s="3">
        <v>494268000</v>
      </c>
      <c r="DS76" s="3"/>
      <c r="DT76" s="3"/>
      <c r="DU76" s="3"/>
      <c r="DV76" s="3"/>
      <c r="DW76" s="3"/>
      <c r="DX76" s="3"/>
      <c r="DY76" s="3"/>
      <c r="DZ76" s="3"/>
      <c r="EA76" s="3"/>
      <c r="EB76" s="3"/>
      <c r="EC76" s="3"/>
      <c r="ED76" s="3"/>
      <c r="EE76" s="3"/>
      <c r="EF76" s="3"/>
      <c r="EG76" s="3"/>
      <c r="EH76" s="3"/>
      <c r="EI76" s="3"/>
      <c r="EJ76" s="3"/>
      <c r="EK76" s="3"/>
      <c r="EL76" s="3"/>
      <c r="EM76" s="3"/>
      <c r="EN76" s="3"/>
      <c r="EO76" s="3"/>
      <c r="EP76" s="3"/>
      <c r="ER76" s="3">
        <v>168930000</v>
      </c>
      <c r="ES76" s="3">
        <v>328962000</v>
      </c>
      <c r="ET76" s="3">
        <v>44000</v>
      </c>
      <c r="EU76" s="3">
        <v>0</v>
      </c>
      <c r="EV76" s="3">
        <v>497936000</v>
      </c>
      <c r="EW76" s="3">
        <v>168930000</v>
      </c>
      <c r="EX76" s="3">
        <v>318962000</v>
      </c>
      <c r="EY76" s="3">
        <v>44000</v>
      </c>
      <c r="EZ76" s="3">
        <v>0</v>
      </c>
      <c r="FA76" s="3">
        <v>487936000</v>
      </c>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v>148512000</v>
      </c>
      <c r="GB76" s="3">
        <v>339797000</v>
      </c>
      <c r="GC76" s="3">
        <v>0</v>
      </c>
      <c r="GD76" s="3">
        <v>0</v>
      </c>
      <c r="GE76" s="3">
        <v>488309000</v>
      </c>
      <c r="GF76" s="3">
        <v>148512000</v>
      </c>
      <c r="GG76" s="3">
        <v>339797000</v>
      </c>
      <c r="GH76" s="3">
        <v>0</v>
      </c>
      <c r="GI76" s="3">
        <v>0</v>
      </c>
      <c r="GJ76" s="3">
        <v>488309000</v>
      </c>
      <c r="GK76" s="3"/>
      <c r="GL76" s="3"/>
      <c r="GM76" s="3"/>
      <c r="GN76" s="3"/>
      <c r="GO76" s="3"/>
      <c r="GP76" s="3"/>
      <c r="GQ76" s="3"/>
      <c r="GR76" s="3"/>
      <c r="GS76" s="3"/>
      <c r="GU76" s="3"/>
      <c r="GV76" s="3"/>
      <c r="GW76" s="3"/>
      <c r="GX76" s="3"/>
      <c r="GY76" s="3"/>
      <c r="GZ76" s="3"/>
      <c r="HA76" s="3"/>
      <c r="HB76" s="3"/>
      <c r="HC76" s="3"/>
      <c r="HE76" s="3"/>
      <c r="HF76" s="3"/>
      <c r="HG76" s="3"/>
      <c r="HH76" s="3"/>
      <c r="HJ76" s="3">
        <v>152155000</v>
      </c>
      <c r="HK76" s="3">
        <v>373349000</v>
      </c>
      <c r="HL76" s="3">
        <v>0</v>
      </c>
      <c r="HM76" s="3">
        <v>6075000</v>
      </c>
      <c r="HN76" s="3">
        <v>531579000</v>
      </c>
      <c r="HO76" s="3">
        <v>152155000</v>
      </c>
      <c r="HP76" s="3">
        <v>375054000</v>
      </c>
      <c r="HQ76" s="3">
        <v>0</v>
      </c>
      <c r="HR76" s="3">
        <v>14370000</v>
      </c>
      <c r="HS76" s="3">
        <v>541579000</v>
      </c>
      <c r="HT76" s="3"/>
      <c r="HU76" s="3"/>
      <c r="HV76" s="3"/>
      <c r="HW76" s="3"/>
      <c r="HX76" s="3"/>
      <c r="HY76" s="3"/>
      <c r="HZ76" s="3"/>
      <c r="IA76" s="3"/>
      <c r="IB76" s="3"/>
      <c r="ID76" s="3"/>
      <c r="IE76" s="3"/>
      <c r="IF76" s="3"/>
      <c r="IG76" s="3"/>
      <c r="IS76" s="3">
        <v>146504000</v>
      </c>
      <c r="IT76" s="3">
        <v>377964000</v>
      </c>
      <c r="IU76" s="3">
        <v>0</v>
      </c>
      <c r="IV76" s="3">
        <v>0</v>
      </c>
      <c r="IW76" s="3">
        <v>524468000</v>
      </c>
      <c r="IX76" s="3">
        <v>146504000</v>
      </c>
      <c r="IY76" s="3">
        <v>387964000</v>
      </c>
      <c r="IZ76" s="3">
        <v>0</v>
      </c>
      <c r="JA76" s="3">
        <v>0</v>
      </c>
      <c r="JB76" s="3">
        <v>534468000</v>
      </c>
      <c r="JC76" s="3"/>
      <c r="JD76" s="3"/>
      <c r="JE76" s="3"/>
      <c r="JF76" s="3"/>
      <c r="JG76" s="3"/>
      <c r="JH76" s="3"/>
      <c r="JI76" s="3"/>
      <c r="JJ76" s="3"/>
      <c r="JK76" s="3"/>
      <c r="JL76" s="3"/>
      <c r="JM76" s="3"/>
      <c r="JN76" s="3"/>
      <c r="JO76" s="3"/>
      <c r="JP76" s="3"/>
      <c r="JQ76" s="3"/>
      <c r="JR76" s="3"/>
      <c r="JS76" s="3"/>
      <c r="JT76" s="3"/>
      <c r="JU76" s="3"/>
      <c r="JV76" s="3"/>
      <c r="JW76" s="3"/>
      <c r="JX76" s="3"/>
      <c r="JY76" s="3"/>
      <c r="JZ76" s="3"/>
      <c r="KA76" s="3"/>
      <c r="KB76" s="3">
        <v>166002000</v>
      </c>
      <c r="KC76" s="3">
        <v>384767000</v>
      </c>
      <c r="KD76" s="3">
        <v>0</v>
      </c>
      <c r="KE76" s="3">
        <v>60200000</v>
      </c>
      <c r="KF76" s="3">
        <v>610969000</v>
      </c>
      <c r="KG76" s="3">
        <v>166002000</v>
      </c>
      <c r="KH76" s="3">
        <v>403487000</v>
      </c>
      <c r="KI76" s="3">
        <v>0</v>
      </c>
      <c r="KJ76" s="3">
        <v>72334000</v>
      </c>
      <c r="KK76" s="3">
        <v>641823000</v>
      </c>
      <c r="KL76" s="3"/>
      <c r="KM76" s="3"/>
      <c r="KN76" s="3"/>
      <c r="KO76" s="3"/>
      <c r="KP76" s="3"/>
      <c r="KQ76" s="3"/>
      <c r="KR76" s="3"/>
      <c r="KS76" s="3"/>
      <c r="KT76" s="3"/>
      <c r="KU76" s="3"/>
      <c r="KV76" s="3"/>
      <c r="KW76" s="3"/>
      <c r="KX76" s="3"/>
      <c r="KY76" s="3"/>
      <c r="KZ76" s="3"/>
      <c r="LA76" s="3"/>
      <c r="LB76" s="3"/>
      <c r="LC76" s="3"/>
      <c r="LD76" s="3"/>
      <c r="LE76" s="3"/>
      <c r="LF76" s="3"/>
      <c r="LG76" s="3"/>
      <c r="LH76" s="3"/>
      <c r="LI76" s="3"/>
      <c r="LJ76" s="3"/>
      <c r="LK76" s="3">
        <v>175314000</v>
      </c>
      <c r="LL76" s="3">
        <v>404201000</v>
      </c>
      <c r="LM76">
        <v>0</v>
      </c>
      <c r="LN76" s="3">
        <v>4860000</v>
      </c>
      <c r="LO76" s="3">
        <v>584375000</v>
      </c>
    </row>
    <row r="77" spans="1:327" x14ac:dyDescent="0.25">
      <c r="A77" t="s">
        <v>943</v>
      </c>
      <c r="B77" t="s">
        <v>944</v>
      </c>
      <c r="C77" t="s">
        <v>556</v>
      </c>
      <c r="D77" t="s">
        <v>975</v>
      </c>
      <c r="E77" t="s">
        <v>201</v>
      </c>
      <c r="F77" t="s">
        <v>204</v>
      </c>
      <c r="G77" t="s">
        <v>205</v>
      </c>
      <c r="H77" s="3">
        <v>15295000</v>
      </c>
      <c r="I77" s="3">
        <v>0</v>
      </c>
      <c r="J77" s="3">
        <v>0</v>
      </c>
      <c r="K77" s="3">
        <v>0</v>
      </c>
      <c r="L77" s="3">
        <v>15295000</v>
      </c>
      <c r="M77" s="3">
        <v>15295000</v>
      </c>
      <c r="N77" s="3">
        <v>0</v>
      </c>
      <c r="O77" s="3">
        <v>0</v>
      </c>
      <c r="P77" s="3">
        <v>0</v>
      </c>
      <c r="Q77" s="3">
        <v>15295000</v>
      </c>
      <c r="R77" s="3"/>
      <c r="S77" s="3"/>
      <c r="T77" s="3"/>
      <c r="U77" s="3"/>
      <c r="V77" s="3"/>
      <c r="W77" s="3"/>
      <c r="X77" s="3"/>
      <c r="Y77" s="3"/>
      <c r="Z77" s="3"/>
      <c r="AA77" s="3"/>
      <c r="AB77" s="3"/>
      <c r="AC77" s="3"/>
      <c r="AD77" s="3"/>
      <c r="AE77" s="3"/>
      <c r="AF77" s="3"/>
      <c r="AG77" s="3"/>
      <c r="AH77" s="3"/>
      <c r="AI77" s="3"/>
      <c r="AJ77" s="3"/>
      <c r="AK77" s="3"/>
      <c r="AL77" s="3"/>
      <c r="AM77" s="3"/>
      <c r="AN77" s="3"/>
      <c r="AO77" s="3"/>
      <c r="AP77" s="3"/>
      <c r="AQ77" s="3">
        <v>32144000</v>
      </c>
      <c r="AR77" s="3">
        <v>0</v>
      </c>
      <c r="AS77" s="3">
        <v>0</v>
      </c>
      <c r="AT77" s="3">
        <v>0</v>
      </c>
      <c r="AU77" s="3">
        <v>32144000</v>
      </c>
      <c r="AV77" s="3">
        <v>32144000</v>
      </c>
      <c r="AW77" s="3">
        <v>0</v>
      </c>
      <c r="AX77" s="3">
        <v>0</v>
      </c>
      <c r="AY77" s="3">
        <v>0</v>
      </c>
      <c r="AZ77" s="3">
        <v>32144000</v>
      </c>
      <c r="BA77" s="3"/>
      <c r="BB77" s="3"/>
      <c r="BC77" s="3"/>
      <c r="BD77" s="3"/>
      <c r="BE77" s="3"/>
      <c r="BF77" s="3"/>
      <c r="BG77" s="3"/>
      <c r="BH77" s="3"/>
      <c r="BI77" s="3"/>
      <c r="BJ77" s="3"/>
      <c r="BK77" s="3"/>
      <c r="BL77" s="3"/>
      <c r="BM77" s="3"/>
      <c r="BN77" s="3"/>
      <c r="BO77" s="3"/>
      <c r="BP77" s="3"/>
      <c r="BQ77" s="3"/>
      <c r="BR77" s="3"/>
      <c r="BS77" s="3"/>
      <c r="BU77" s="3"/>
      <c r="BV77" s="3"/>
      <c r="BW77" s="3"/>
      <c r="BX77" s="3"/>
      <c r="BZ77" s="3">
        <v>29546000</v>
      </c>
      <c r="CA77" s="3">
        <v>0</v>
      </c>
      <c r="CB77" s="3">
        <v>0</v>
      </c>
      <c r="CC77" s="3">
        <v>0</v>
      </c>
      <c r="CD77" s="3">
        <v>29546000</v>
      </c>
      <c r="CE77" s="3">
        <v>29546000</v>
      </c>
      <c r="CF77" s="3">
        <v>0</v>
      </c>
      <c r="CG77" s="3">
        <v>0</v>
      </c>
      <c r="CH77" s="3">
        <v>0</v>
      </c>
      <c r="CI77" s="3">
        <v>29546000</v>
      </c>
      <c r="CJ77" s="3"/>
      <c r="CK77" s="3"/>
      <c r="CL77" s="3"/>
      <c r="CM77" s="3"/>
      <c r="CN77" s="3"/>
      <c r="CO77" s="3"/>
      <c r="CP77" s="3"/>
      <c r="CQ77" s="3"/>
      <c r="CR77" s="3"/>
      <c r="CS77" s="3"/>
      <c r="CT77" s="3"/>
      <c r="CU77" s="3"/>
      <c r="CV77" s="3"/>
      <c r="CW77" s="3"/>
      <c r="CX77" s="3"/>
      <c r="CY77" s="3"/>
      <c r="CZ77" s="3"/>
      <c r="DA77" s="3"/>
      <c r="DB77" s="3"/>
      <c r="DD77" s="3"/>
      <c r="DE77" s="3"/>
      <c r="DF77" s="3"/>
      <c r="DG77" s="3"/>
      <c r="DI77" s="3">
        <v>32630000</v>
      </c>
      <c r="DJ77" s="3">
        <v>0</v>
      </c>
      <c r="DK77" s="3">
        <v>0</v>
      </c>
      <c r="DL77" s="3">
        <v>0</v>
      </c>
      <c r="DM77" s="3">
        <v>32630000</v>
      </c>
      <c r="DN77" s="3">
        <v>32630000</v>
      </c>
      <c r="DO77" s="3">
        <v>0</v>
      </c>
      <c r="DP77" s="3">
        <v>0</v>
      </c>
      <c r="DQ77" s="3">
        <v>0</v>
      </c>
      <c r="DR77" s="3">
        <v>32630000</v>
      </c>
      <c r="DS77" s="3"/>
      <c r="DT77" s="3"/>
      <c r="DU77" s="3"/>
      <c r="DV77" s="3"/>
      <c r="DW77" s="3"/>
      <c r="DX77" s="3"/>
      <c r="DY77" s="3"/>
      <c r="DZ77" s="3"/>
      <c r="EA77" s="3"/>
      <c r="EB77" s="3"/>
      <c r="EC77" s="3"/>
      <c r="ED77" s="3"/>
      <c r="EE77" s="3"/>
      <c r="EF77" s="3"/>
      <c r="EG77" s="3"/>
      <c r="EH77" s="3"/>
      <c r="EI77" s="3"/>
      <c r="EJ77" s="3"/>
      <c r="EK77" s="3"/>
      <c r="EL77" s="3"/>
      <c r="EM77" s="3"/>
      <c r="EN77" s="3"/>
      <c r="EO77" s="3"/>
      <c r="EP77" s="3"/>
      <c r="ER77" s="3">
        <v>27012000</v>
      </c>
      <c r="ES77" s="3">
        <v>0</v>
      </c>
      <c r="ET77" s="3">
        <v>0</v>
      </c>
      <c r="EU77" s="3">
        <v>0</v>
      </c>
      <c r="EV77" s="3">
        <v>27012000</v>
      </c>
      <c r="EW77" s="3">
        <v>27012000</v>
      </c>
      <c r="EX77" s="3">
        <v>0</v>
      </c>
      <c r="EY77" s="3">
        <v>0</v>
      </c>
      <c r="EZ77" s="3">
        <v>0</v>
      </c>
      <c r="FA77" s="3">
        <v>27012000</v>
      </c>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v>33647000</v>
      </c>
      <c r="GB77" s="3">
        <v>0</v>
      </c>
      <c r="GC77" s="3">
        <v>0</v>
      </c>
      <c r="GD77" s="3">
        <v>0</v>
      </c>
      <c r="GE77" s="3">
        <v>33647000</v>
      </c>
      <c r="GF77" s="3">
        <v>33647000</v>
      </c>
      <c r="GG77" s="3">
        <v>0</v>
      </c>
      <c r="GH77" s="3">
        <v>0</v>
      </c>
      <c r="GI77" s="3">
        <v>0</v>
      </c>
      <c r="GJ77" s="3">
        <v>33647000</v>
      </c>
      <c r="GK77" s="3"/>
      <c r="GL77" s="3"/>
      <c r="GM77" s="3"/>
      <c r="GN77" s="3"/>
      <c r="GO77" s="3"/>
      <c r="GP77" s="3"/>
      <c r="GQ77" s="3"/>
      <c r="GR77" s="3"/>
      <c r="GS77" s="3"/>
      <c r="GU77" s="3"/>
      <c r="GV77" s="3"/>
      <c r="GW77" s="3"/>
      <c r="GX77" s="3"/>
      <c r="GY77" s="3"/>
      <c r="GZ77" s="3"/>
      <c r="HA77" s="3"/>
      <c r="HB77" s="3"/>
      <c r="HC77" s="3"/>
      <c r="HE77" s="3"/>
      <c r="HF77" s="3"/>
      <c r="HG77" s="3"/>
      <c r="HH77" s="3"/>
      <c r="HJ77" s="3">
        <v>27692000</v>
      </c>
      <c r="HK77" s="3">
        <v>0</v>
      </c>
      <c r="HL77" s="3">
        <v>0</v>
      </c>
      <c r="HM77" s="3">
        <v>0</v>
      </c>
      <c r="HN77" s="3">
        <v>27692000</v>
      </c>
      <c r="HO77" s="3">
        <v>27692000</v>
      </c>
      <c r="HP77" s="3">
        <v>0</v>
      </c>
      <c r="HQ77" s="3">
        <v>0</v>
      </c>
      <c r="HR77" s="3">
        <v>0</v>
      </c>
      <c r="HS77" s="3">
        <v>27692000</v>
      </c>
      <c r="HT77" s="3"/>
      <c r="HU77" s="3"/>
      <c r="HV77" s="3"/>
      <c r="HW77" s="3"/>
      <c r="HX77" s="3"/>
      <c r="HY77" s="3"/>
      <c r="HZ77" s="3"/>
      <c r="IA77" s="3"/>
      <c r="IB77" s="3"/>
      <c r="ID77" s="3"/>
      <c r="IE77" s="3"/>
      <c r="IF77" s="3"/>
      <c r="IG77" s="3"/>
      <c r="IS77" s="3">
        <v>25494000</v>
      </c>
      <c r="IT77" s="3">
        <v>0</v>
      </c>
      <c r="IU77" s="3">
        <v>0</v>
      </c>
      <c r="IV77" s="3">
        <v>0</v>
      </c>
      <c r="IW77" s="3">
        <v>25494000</v>
      </c>
      <c r="IX77" s="3">
        <v>25494000</v>
      </c>
      <c r="IY77" s="3">
        <v>0</v>
      </c>
      <c r="IZ77" s="3">
        <v>0</v>
      </c>
      <c r="JA77" s="3">
        <v>0</v>
      </c>
      <c r="JB77" s="3">
        <v>25494000</v>
      </c>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v>26904000</v>
      </c>
      <c r="KC77" s="3">
        <v>0</v>
      </c>
      <c r="KD77" s="3">
        <v>0</v>
      </c>
      <c r="KE77" s="3">
        <v>0</v>
      </c>
      <c r="KF77" s="3">
        <v>26904000</v>
      </c>
      <c r="KG77" s="3">
        <v>26904000</v>
      </c>
      <c r="KH77" s="3">
        <v>0</v>
      </c>
      <c r="KI77" s="3">
        <v>0</v>
      </c>
      <c r="KJ77" s="3">
        <v>0</v>
      </c>
      <c r="KK77" s="3">
        <v>26904000</v>
      </c>
      <c r="KL77" s="3"/>
      <c r="KM77" s="3"/>
      <c r="KN77" s="3"/>
      <c r="KO77" s="3"/>
      <c r="KP77" s="3"/>
      <c r="KQ77" s="3"/>
      <c r="KR77" s="3"/>
      <c r="KS77" s="3"/>
      <c r="KT77" s="3"/>
      <c r="KU77" s="3"/>
      <c r="KV77" s="3"/>
      <c r="KW77" s="3"/>
      <c r="KX77" s="3"/>
      <c r="KY77" s="3"/>
      <c r="KZ77" s="3"/>
      <c r="LA77" s="3"/>
      <c r="LB77" s="3"/>
      <c r="LC77" s="3"/>
      <c r="LD77" s="3"/>
      <c r="LE77" s="3"/>
      <c r="LF77" s="3"/>
      <c r="LG77" s="3"/>
      <c r="LH77" s="3"/>
      <c r="LI77" s="3"/>
      <c r="LJ77" s="3"/>
      <c r="LK77" s="3">
        <v>31826000</v>
      </c>
      <c r="LL77">
        <v>0</v>
      </c>
      <c r="LM77">
        <v>0</v>
      </c>
      <c r="LN77">
        <v>0</v>
      </c>
      <c r="LO77" s="3">
        <v>31826000</v>
      </c>
    </row>
    <row r="78" spans="1:327" x14ac:dyDescent="0.25">
      <c r="A78" t="s">
        <v>943</v>
      </c>
      <c r="B78" t="s">
        <v>944</v>
      </c>
      <c r="C78" t="s">
        <v>556</v>
      </c>
      <c r="D78" t="s">
        <v>975</v>
      </c>
      <c r="E78" t="s">
        <v>208</v>
      </c>
      <c r="F78" t="s">
        <v>209</v>
      </c>
      <c r="G78" t="s">
        <v>1007</v>
      </c>
      <c r="H78" s="3">
        <v>3405000</v>
      </c>
      <c r="I78" s="3">
        <v>238001000</v>
      </c>
      <c r="J78" s="3">
        <v>0</v>
      </c>
      <c r="K78" s="3">
        <v>39970000</v>
      </c>
      <c r="L78" s="3">
        <v>281376000</v>
      </c>
      <c r="M78" s="3">
        <v>3405000</v>
      </c>
      <c r="N78" s="3">
        <v>238001000</v>
      </c>
      <c r="O78" s="3">
        <v>0</v>
      </c>
      <c r="P78" s="3">
        <v>39970000</v>
      </c>
      <c r="Q78" s="3">
        <v>281376000</v>
      </c>
      <c r="R78" s="3"/>
      <c r="S78" s="3"/>
      <c r="T78" s="3"/>
      <c r="U78" s="3"/>
      <c r="V78" s="3"/>
      <c r="W78" s="3"/>
      <c r="X78" s="3"/>
      <c r="Y78" s="3"/>
      <c r="Z78" s="3"/>
      <c r="AA78" s="3"/>
      <c r="AB78" s="3"/>
      <c r="AC78" s="3"/>
      <c r="AD78" s="3"/>
      <c r="AE78" s="3"/>
      <c r="AF78" s="3"/>
      <c r="AG78" s="3"/>
      <c r="AH78" s="3"/>
      <c r="AI78" s="3"/>
      <c r="AJ78" s="3"/>
      <c r="AK78" s="3"/>
      <c r="AL78" s="3"/>
      <c r="AM78" s="3"/>
      <c r="AN78" s="3"/>
      <c r="AO78" s="3"/>
      <c r="AP78" s="3"/>
      <c r="AQ78" s="3">
        <v>2425000</v>
      </c>
      <c r="AR78" s="3">
        <v>220161000</v>
      </c>
      <c r="AS78" s="3">
        <v>0</v>
      </c>
      <c r="AT78" s="3">
        <v>0</v>
      </c>
      <c r="AU78" s="3">
        <v>222586000</v>
      </c>
      <c r="AV78" s="3">
        <v>2425000</v>
      </c>
      <c r="AW78" s="3">
        <v>220161000</v>
      </c>
      <c r="AX78" s="3">
        <v>0</v>
      </c>
      <c r="AY78" s="3">
        <v>0</v>
      </c>
      <c r="AZ78" s="3">
        <v>222586000</v>
      </c>
      <c r="BA78" s="3"/>
      <c r="BB78" s="3"/>
      <c r="BC78" s="3"/>
      <c r="BD78" s="3"/>
      <c r="BE78" s="3"/>
      <c r="BF78" s="3"/>
      <c r="BG78" s="3"/>
      <c r="BH78" s="3"/>
      <c r="BI78" s="3"/>
      <c r="BJ78" s="3"/>
      <c r="BK78" s="3"/>
      <c r="BL78" s="3"/>
      <c r="BM78" s="3"/>
      <c r="BN78" s="3"/>
      <c r="BO78" s="3"/>
      <c r="BP78" s="3"/>
      <c r="BQ78" s="3"/>
      <c r="BR78" s="3"/>
      <c r="BS78" s="3"/>
      <c r="BU78" s="3"/>
      <c r="BV78" s="3"/>
      <c r="BW78" s="3"/>
      <c r="BX78" s="3"/>
      <c r="BZ78" s="3">
        <v>4962000</v>
      </c>
      <c r="CA78" s="3">
        <v>496158000</v>
      </c>
      <c r="CB78" s="3">
        <v>0</v>
      </c>
      <c r="CC78" s="3">
        <v>156591000</v>
      </c>
      <c r="CD78" s="3">
        <v>657711000</v>
      </c>
      <c r="CE78" s="3">
        <v>4962000</v>
      </c>
      <c r="CF78" s="3">
        <v>427749000</v>
      </c>
      <c r="CG78" s="3">
        <v>0</v>
      </c>
      <c r="CH78" s="3">
        <v>100000000</v>
      </c>
      <c r="CI78" s="3">
        <v>532711000</v>
      </c>
      <c r="CJ78" s="3"/>
      <c r="CK78" s="3"/>
      <c r="CL78" s="3"/>
      <c r="CM78" s="3"/>
      <c r="CN78" s="3"/>
      <c r="CO78" s="3"/>
      <c r="CP78" s="3"/>
      <c r="CQ78" s="3"/>
      <c r="CR78" s="3"/>
      <c r="CS78" s="3"/>
      <c r="CT78" s="3"/>
      <c r="CU78" s="3"/>
      <c r="CV78" s="3"/>
      <c r="CW78" s="3"/>
      <c r="CX78" s="3"/>
      <c r="CY78" s="3"/>
      <c r="CZ78" s="3"/>
      <c r="DA78" s="3"/>
      <c r="DB78" s="3"/>
      <c r="DD78" s="3"/>
      <c r="DE78" s="3"/>
      <c r="DF78" s="3"/>
      <c r="DG78" s="3"/>
      <c r="DI78" s="3">
        <v>5663000</v>
      </c>
      <c r="DJ78" s="3">
        <v>221017000</v>
      </c>
      <c r="DK78" s="3">
        <v>0</v>
      </c>
      <c r="DL78" s="3">
        <v>63901000</v>
      </c>
      <c r="DM78" s="3">
        <v>290581000</v>
      </c>
      <c r="DN78" s="3">
        <v>5663000</v>
      </c>
      <c r="DO78" s="3">
        <v>159833000</v>
      </c>
      <c r="DP78" s="3">
        <v>0</v>
      </c>
      <c r="DQ78" s="3">
        <v>63901000</v>
      </c>
      <c r="DR78" s="3">
        <v>229397000</v>
      </c>
      <c r="DS78" s="3"/>
      <c r="DT78" s="3"/>
      <c r="DU78" s="3"/>
      <c r="DV78" s="3"/>
      <c r="DW78" s="3"/>
      <c r="DX78" s="3"/>
      <c r="DY78" s="3"/>
      <c r="DZ78" s="3"/>
      <c r="EA78" s="3"/>
      <c r="EB78" s="3"/>
      <c r="EC78" s="3"/>
      <c r="ED78" s="3"/>
      <c r="EE78" s="3"/>
      <c r="EF78" s="3"/>
      <c r="EG78" s="3"/>
      <c r="EH78" s="3"/>
      <c r="EI78" s="3"/>
      <c r="EJ78" s="3"/>
      <c r="EK78" s="3"/>
      <c r="EL78" s="3"/>
      <c r="EM78" s="3"/>
      <c r="EN78" s="3"/>
      <c r="EO78" s="3"/>
      <c r="EP78" s="3"/>
      <c r="ER78" s="3">
        <v>6577000</v>
      </c>
      <c r="ES78" s="3">
        <v>264555000</v>
      </c>
      <c r="ET78" s="3">
        <v>0</v>
      </c>
      <c r="EU78" s="3">
        <v>75000000</v>
      </c>
      <c r="EV78" s="3">
        <v>346132000</v>
      </c>
      <c r="EW78" s="3">
        <v>6577000</v>
      </c>
      <c r="EX78" s="3">
        <v>249555000</v>
      </c>
      <c r="EY78" s="3">
        <v>0</v>
      </c>
      <c r="EZ78" s="3">
        <v>75000000</v>
      </c>
      <c r="FA78" s="3">
        <v>331132000</v>
      </c>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v>7539000</v>
      </c>
      <c r="GB78" s="3">
        <v>176888000</v>
      </c>
      <c r="GC78" s="3">
        <v>0</v>
      </c>
      <c r="GD78" s="3">
        <v>0</v>
      </c>
      <c r="GE78" s="3">
        <v>184427000</v>
      </c>
      <c r="GF78" s="3">
        <v>7539000</v>
      </c>
      <c r="GG78" s="3">
        <v>176888000</v>
      </c>
      <c r="GH78" s="3">
        <v>0</v>
      </c>
      <c r="GI78" s="3">
        <v>0</v>
      </c>
      <c r="GJ78" s="3">
        <v>184427000</v>
      </c>
      <c r="GK78" s="3"/>
      <c r="GL78" s="3"/>
      <c r="GM78" s="3"/>
      <c r="GN78" s="3"/>
      <c r="GO78" s="3"/>
      <c r="GP78" s="3"/>
      <c r="GQ78" s="3"/>
      <c r="GR78" s="3"/>
      <c r="GS78" s="3"/>
      <c r="GU78" s="3"/>
      <c r="GV78" s="3"/>
      <c r="GW78" s="3"/>
      <c r="GX78" s="3"/>
      <c r="GY78" s="3"/>
      <c r="GZ78" s="3"/>
      <c r="HA78" s="3"/>
      <c r="HB78" s="3"/>
      <c r="HC78" s="3"/>
      <c r="HE78" s="3"/>
      <c r="HF78" s="3"/>
      <c r="HG78" s="3"/>
      <c r="HH78" s="3"/>
      <c r="HJ78" s="3">
        <v>6888000</v>
      </c>
      <c r="HK78" s="3">
        <v>276035000</v>
      </c>
      <c r="HL78" s="3">
        <v>0</v>
      </c>
      <c r="HM78" s="3">
        <v>20920000</v>
      </c>
      <c r="HN78" s="3">
        <v>303843000</v>
      </c>
      <c r="HO78" s="3">
        <v>6888000</v>
      </c>
      <c r="HP78" s="3">
        <v>821135000</v>
      </c>
      <c r="HQ78" s="3">
        <v>0</v>
      </c>
      <c r="HR78" s="3">
        <v>124320000</v>
      </c>
      <c r="HS78" s="3">
        <v>952343000</v>
      </c>
      <c r="HT78" s="3"/>
      <c r="HU78" s="3"/>
      <c r="HV78" s="3"/>
      <c r="HW78" s="3"/>
      <c r="HX78" s="3"/>
      <c r="HY78" s="3"/>
      <c r="HZ78" s="3"/>
      <c r="IA78" s="3"/>
      <c r="IB78" s="3"/>
      <c r="ID78" s="3"/>
      <c r="IE78" s="3"/>
      <c r="IF78" s="3"/>
      <c r="IG78" s="3"/>
      <c r="IS78" s="3">
        <v>7430000</v>
      </c>
      <c r="IT78" s="3">
        <v>287813000</v>
      </c>
      <c r="IU78" s="3">
        <v>0</v>
      </c>
      <c r="IV78" s="3">
        <v>224449000</v>
      </c>
      <c r="IW78" s="3">
        <v>519692000</v>
      </c>
      <c r="IX78" s="3">
        <v>7430000</v>
      </c>
      <c r="IY78" s="3">
        <v>287813000</v>
      </c>
      <c r="IZ78" s="3">
        <v>0</v>
      </c>
      <c r="JA78" s="3">
        <v>224449000</v>
      </c>
      <c r="JB78" s="3">
        <v>519692000</v>
      </c>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v>8613000</v>
      </c>
      <c r="KC78" s="3">
        <v>287190000</v>
      </c>
      <c r="KD78" s="3">
        <v>0</v>
      </c>
      <c r="KE78" s="3">
        <v>400000</v>
      </c>
      <c r="KF78" s="3">
        <v>296203000</v>
      </c>
      <c r="KG78" s="3">
        <v>8613000</v>
      </c>
      <c r="KH78" s="3">
        <v>287306000</v>
      </c>
      <c r="KI78" s="3">
        <v>0</v>
      </c>
      <c r="KJ78" s="3">
        <v>400000</v>
      </c>
      <c r="KK78" s="3">
        <v>296319000</v>
      </c>
      <c r="KL78" s="3"/>
      <c r="KM78" s="3"/>
      <c r="KN78" s="3"/>
      <c r="KO78" s="3"/>
      <c r="KP78" s="3"/>
      <c r="KQ78" s="3"/>
      <c r="KR78" s="3"/>
      <c r="KS78" s="3"/>
      <c r="KT78" s="3"/>
      <c r="KU78" s="3"/>
      <c r="KV78" s="3"/>
      <c r="KW78" s="3"/>
      <c r="KX78" s="3"/>
      <c r="KY78" s="3"/>
      <c r="KZ78" s="3"/>
      <c r="LA78" s="3"/>
      <c r="LB78" s="3"/>
      <c r="LC78" s="3"/>
      <c r="LD78" s="3"/>
      <c r="LE78" s="3"/>
      <c r="LF78" s="3"/>
      <c r="LG78" s="3"/>
      <c r="LH78" s="3"/>
      <c r="LI78" s="3"/>
      <c r="LJ78" s="3"/>
      <c r="LK78" s="3">
        <v>9053000</v>
      </c>
      <c r="LL78" s="3">
        <v>223276000</v>
      </c>
      <c r="LM78">
        <v>0</v>
      </c>
      <c r="LN78">
        <v>0</v>
      </c>
      <c r="LO78" s="3">
        <v>232329000</v>
      </c>
    </row>
    <row r="79" spans="1:327" x14ac:dyDescent="0.25">
      <c r="A79" t="s">
        <v>943</v>
      </c>
      <c r="B79" t="s">
        <v>944</v>
      </c>
      <c r="C79" t="s">
        <v>556</v>
      </c>
      <c r="D79" t="s">
        <v>975</v>
      </c>
      <c r="E79" t="s">
        <v>208</v>
      </c>
      <c r="F79" t="s">
        <v>211</v>
      </c>
      <c r="G79" t="s">
        <v>1078</v>
      </c>
      <c r="H79" s="3">
        <v>0</v>
      </c>
      <c r="I79" s="3">
        <v>340542000</v>
      </c>
      <c r="J79" s="3">
        <v>0</v>
      </c>
      <c r="K79" s="3">
        <v>46467000</v>
      </c>
      <c r="L79" s="3">
        <v>387009000</v>
      </c>
      <c r="M79" s="3">
        <v>0</v>
      </c>
      <c r="N79" s="3">
        <v>340542000</v>
      </c>
      <c r="O79" s="3">
        <v>0</v>
      </c>
      <c r="P79" s="3">
        <v>33467000</v>
      </c>
      <c r="Q79" s="3">
        <v>374009000</v>
      </c>
      <c r="R79" s="3"/>
      <c r="S79" s="3"/>
      <c r="T79" s="3"/>
      <c r="U79" s="3"/>
      <c r="V79" s="3"/>
      <c r="W79" s="3"/>
      <c r="X79" s="3"/>
      <c r="Y79" s="3"/>
      <c r="Z79" s="3"/>
      <c r="AA79" s="3"/>
      <c r="AB79" s="3"/>
      <c r="AC79" s="3"/>
      <c r="AD79" s="3"/>
      <c r="AE79" s="3"/>
      <c r="AF79" s="3"/>
      <c r="AG79" s="3"/>
      <c r="AH79" s="3"/>
      <c r="AI79" s="3"/>
      <c r="AJ79" s="3"/>
      <c r="AK79" s="3"/>
      <c r="AL79" s="3"/>
      <c r="AM79" s="3"/>
      <c r="AN79" s="3"/>
      <c r="AO79" s="3"/>
      <c r="AP79" s="3"/>
      <c r="AQ79" s="3">
        <v>29474000</v>
      </c>
      <c r="AR79" s="3">
        <v>270404000</v>
      </c>
      <c r="AS79" s="3">
        <v>0</v>
      </c>
      <c r="AT79" s="3">
        <v>13629000</v>
      </c>
      <c r="AU79" s="3">
        <v>313507000</v>
      </c>
      <c r="AV79" s="3">
        <v>29474000</v>
      </c>
      <c r="AW79" s="3">
        <v>270404000</v>
      </c>
      <c r="AX79" s="3">
        <v>0</v>
      </c>
      <c r="AY79" s="3">
        <v>13629000</v>
      </c>
      <c r="AZ79" s="3">
        <v>313507000</v>
      </c>
      <c r="BA79" s="3"/>
      <c r="BB79" s="3"/>
      <c r="BC79" s="3"/>
      <c r="BD79" s="3"/>
      <c r="BE79" s="3"/>
      <c r="BF79" s="3"/>
      <c r="BG79" s="3"/>
      <c r="BH79" s="3"/>
      <c r="BI79" s="3"/>
      <c r="BJ79" s="3"/>
      <c r="BK79" s="3"/>
      <c r="BL79" s="3"/>
      <c r="BM79" s="3"/>
      <c r="BN79" s="3"/>
      <c r="BO79" s="3"/>
      <c r="BP79" s="3"/>
      <c r="BQ79" s="3"/>
      <c r="BR79" s="3"/>
      <c r="BS79" s="3"/>
      <c r="BU79" s="3"/>
      <c r="BV79" s="3"/>
      <c r="BW79" s="3"/>
      <c r="BX79" s="3"/>
      <c r="BZ79" s="3">
        <v>0</v>
      </c>
      <c r="CA79" s="3">
        <v>71493000</v>
      </c>
      <c r="CB79" s="3">
        <v>0</v>
      </c>
      <c r="CC79" s="3">
        <v>0</v>
      </c>
      <c r="CD79" s="3">
        <v>71493000</v>
      </c>
      <c r="CE79" s="3">
        <v>0</v>
      </c>
      <c r="CF79" s="3">
        <v>71493000</v>
      </c>
      <c r="CG79" s="3">
        <v>0</v>
      </c>
      <c r="CH79" s="3">
        <v>0</v>
      </c>
      <c r="CI79" s="3">
        <v>71493000</v>
      </c>
      <c r="CJ79" s="3"/>
      <c r="CK79" s="3"/>
      <c r="CL79" s="3"/>
      <c r="CM79" s="3"/>
      <c r="CN79" s="3"/>
      <c r="CO79" s="3"/>
      <c r="CP79" s="3"/>
      <c r="CQ79" s="3"/>
      <c r="CR79" s="3"/>
      <c r="CS79" s="3"/>
      <c r="CT79" s="3"/>
      <c r="CU79" s="3"/>
      <c r="CV79" s="3"/>
      <c r="CW79" s="3"/>
      <c r="CX79" s="3"/>
      <c r="CY79" s="3"/>
      <c r="CZ79" s="3"/>
      <c r="DA79" s="3"/>
      <c r="DB79" s="3"/>
      <c r="DD79" s="3"/>
      <c r="DE79" s="3"/>
      <c r="DF79" s="3"/>
      <c r="DG79" s="3"/>
      <c r="DI79" s="3">
        <v>0</v>
      </c>
      <c r="DJ79" s="3">
        <v>72810000</v>
      </c>
      <c r="DK79" s="3">
        <v>0</v>
      </c>
      <c r="DL79" s="3">
        <v>0</v>
      </c>
      <c r="DM79" s="3">
        <v>72810000</v>
      </c>
      <c r="DN79" s="3">
        <v>0</v>
      </c>
      <c r="DO79" s="3">
        <v>0</v>
      </c>
      <c r="DP79" s="3">
        <v>0</v>
      </c>
      <c r="DQ79" s="3">
        <v>0</v>
      </c>
      <c r="DR79" s="3">
        <v>0</v>
      </c>
      <c r="DS79" s="3"/>
      <c r="DT79" s="3"/>
      <c r="DU79" s="3"/>
      <c r="DV79" s="3"/>
      <c r="DW79" s="3"/>
      <c r="DX79" s="3"/>
      <c r="DY79" s="3"/>
      <c r="DZ79" s="3"/>
      <c r="EA79" s="3"/>
      <c r="EB79" s="3"/>
      <c r="EC79" s="3"/>
      <c r="ED79" s="3"/>
      <c r="EE79" s="3"/>
      <c r="EF79" s="3"/>
      <c r="EG79" s="3"/>
      <c r="EH79" s="3"/>
      <c r="EI79" s="3"/>
      <c r="EJ79" s="3"/>
      <c r="EK79" s="3"/>
      <c r="EL79" s="3"/>
      <c r="EM79" s="3"/>
      <c r="EN79" s="3"/>
      <c r="EO79" s="3"/>
      <c r="EP79" s="3"/>
      <c r="ER79" s="3">
        <v>0</v>
      </c>
      <c r="ES79" s="3">
        <v>0</v>
      </c>
      <c r="ET79" s="3">
        <v>0</v>
      </c>
      <c r="EU79" s="3">
        <v>0</v>
      </c>
      <c r="EV79" s="3">
        <v>0</v>
      </c>
      <c r="EW79" s="3">
        <v>0</v>
      </c>
      <c r="EX79" s="3">
        <v>0</v>
      </c>
      <c r="EY79" s="3">
        <v>0</v>
      </c>
      <c r="EZ79" s="3">
        <v>0</v>
      </c>
      <c r="FA79" s="3">
        <v>0</v>
      </c>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v>0</v>
      </c>
      <c r="GB79" s="3">
        <v>0</v>
      </c>
      <c r="GC79" s="3">
        <v>0</v>
      </c>
      <c r="GD79" s="3">
        <v>0</v>
      </c>
      <c r="GE79" s="3">
        <v>0</v>
      </c>
      <c r="GF79" s="3">
        <v>0</v>
      </c>
      <c r="GG79" s="3">
        <v>0</v>
      </c>
      <c r="GH79" s="3">
        <v>0</v>
      </c>
      <c r="GI79" s="3">
        <v>0</v>
      </c>
      <c r="GJ79" s="3">
        <v>0</v>
      </c>
      <c r="GK79" s="3"/>
      <c r="GL79" s="3"/>
      <c r="GM79" s="3"/>
      <c r="GN79" s="3"/>
      <c r="GO79" s="3"/>
      <c r="GP79" s="3"/>
      <c r="GQ79" s="3"/>
      <c r="GR79" s="3"/>
      <c r="GS79" s="3"/>
      <c r="GU79" s="3"/>
      <c r="GV79" s="3"/>
      <c r="GW79" s="3"/>
      <c r="GX79" s="3"/>
      <c r="GY79" s="3"/>
      <c r="GZ79" s="3"/>
      <c r="HA79" s="3"/>
      <c r="HB79" s="3"/>
      <c r="HC79" s="3"/>
      <c r="HE79" s="3"/>
      <c r="HF79" s="3"/>
      <c r="HG79" s="3"/>
      <c r="HH79" s="3"/>
      <c r="HJ79" s="3">
        <v>0</v>
      </c>
      <c r="HK79" s="3">
        <v>0</v>
      </c>
      <c r="HL79" s="3">
        <v>0</v>
      </c>
      <c r="HM79" s="3">
        <v>0</v>
      </c>
      <c r="HN79" s="3">
        <v>0</v>
      </c>
      <c r="HO79" s="3">
        <v>0</v>
      </c>
      <c r="HP79" s="3">
        <v>0</v>
      </c>
      <c r="HQ79" s="3">
        <v>0</v>
      </c>
      <c r="HR79" s="3">
        <v>0</v>
      </c>
      <c r="HS79" s="3">
        <v>0</v>
      </c>
      <c r="HT79" s="3"/>
      <c r="HU79" s="3"/>
      <c r="HV79" s="3"/>
      <c r="HW79" s="3"/>
      <c r="HX79" s="3"/>
      <c r="HY79" s="3"/>
      <c r="HZ79" s="3"/>
      <c r="IA79" s="3"/>
      <c r="IB79" s="3"/>
      <c r="ID79" s="3"/>
      <c r="IE79" s="3"/>
      <c r="IF79" s="3"/>
      <c r="IG79" s="3"/>
      <c r="IS79" s="3">
        <v>0</v>
      </c>
      <c r="IT79" s="3">
        <v>0</v>
      </c>
      <c r="IU79" s="3">
        <v>0</v>
      </c>
      <c r="IV79" s="3">
        <v>0</v>
      </c>
      <c r="IW79" s="3">
        <v>0</v>
      </c>
      <c r="IX79" s="3">
        <v>0</v>
      </c>
      <c r="IY79" s="3">
        <v>0</v>
      </c>
      <c r="IZ79" s="3">
        <v>0</v>
      </c>
      <c r="JA79" s="3">
        <v>0</v>
      </c>
      <c r="JB79" s="3">
        <v>0</v>
      </c>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v>0</v>
      </c>
      <c r="KC79" s="3">
        <v>0</v>
      </c>
      <c r="KD79" s="3">
        <v>0</v>
      </c>
      <c r="KE79" s="3">
        <v>0</v>
      </c>
      <c r="KF79" s="3">
        <v>0</v>
      </c>
      <c r="KG79" s="3">
        <v>0</v>
      </c>
      <c r="KH79" s="3">
        <v>0</v>
      </c>
      <c r="KI79" s="3">
        <v>0</v>
      </c>
      <c r="KJ79" s="3">
        <v>0</v>
      </c>
      <c r="KK79" s="3">
        <v>0</v>
      </c>
      <c r="KL79" s="3"/>
      <c r="KM79" s="3"/>
      <c r="KN79" s="3"/>
      <c r="KO79" s="3"/>
      <c r="KP79" s="3"/>
      <c r="KQ79" s="3"/>
      <c r="KR79" s="3"/>
      <c r="KS79" s="3"/>
      <c r="KT79" s="3"/>
      <c r="KU79" s="3"/>
      <c r="KV79" s="3"/>
      <c r="KW79" s="3"/>
      <c r="KX79" s="3"/>
      <c r="KY79" s="3"/>
      <c r="KZ79" s="3"/>
      <c r="LA79" s="3"/>
      <c r="LB79" s="3"/>
      <c r="LC79" s="3"/>
      <c r="LD79" s="3"/>
      <c r="LE79" s="3"/>
      <c r="LF79" s="3"/>
      <c r="LG79" s="3"/>
      <c r="LH79" s="3"/>
      <c r="LI79" s="3"/>
      <c r="LJ79" s="3"/>
    </row>
    <row r="80" spans="1:327" x14ac:dyDescent="0.25">
      <c r="A80" t="s">
        <v>943</v>
      </c>
      <c r="B80" t="s">
        <v>944</v>
      </c>
      <c r="C80" t="s">
        <v>556</v>
      </c>
      <c r="D80" t="s">
        <v>975</v>
      </c>
      <c r="E80" t="s">
        <v>208</v>
      </c>
      <c r="F80" t="s">
        <v>213</v>
      </c>
      <c r="G80" t="s">
        <v>1059</v>
      </c>
      <c r="H80" s="3">
        <v>27694000</v>
      </c>
      <c r="I80" s="3">
        <v>22129000</v>
      </c>
      <c r="J80" s="3">
        <v>0</v>
      </c>
      <c r="K80" s="3">
        <v>0</v>
      </c>
      <c r="L80" s="3">
        <v>49823000</v>
      </c>
      <c r="M80" s="3">
        <v>27694000</v>
      </c>
      <c r="N80" s="3">
        <v>22129000</v>
      </c>
      <c r="O80" s="3">
        <v>0</v>
      </c>
      <c r="P80" s="3">
        <v>0</v>
      </c>
      <c r="Q80" s="3">
        <v>49823000</v>
      </c>
      <c r="R80" s="3"/>
      <c r="S80" s="3"/>
      <c r="T80" s="3"/>
      <c r="U80" s="3"/>
      <c r="V80" s="3"/>
      <c r="W80" s="3"/>
      <c r="X80" s="3"/>
      <c r="Y80" s="3"/>
      <c r="Z80" s="3"/>
      <c r="AA80" s="3"/>
      <c r="AB80" s="3"/>
      <c r="AC80" s="3"/>
      <c r="AD80" s="3"/>
      <c r="AE80" s="3"/>
      <c r="AF80" s="3"/>
      <c r="AG80" s="3"/>
      <c r="AH80" s="3"/>
      <c r="AI80" s="3"/>
      <c r="AJ80" s="3"/>
      <c r="AK80" s="3"/>
      <c r="AL80" s="3"/>
      <c r="AM80" s="3"/>
      <c r="AN80" s="3"/>
      <c r="AO80" s="3"/>
      <c r="AP80" s="3"/>
      <c r="AQ80" s="3">
        <v>6219000</v>
      </c>
      <c r="AR80" s="3">
        <v>41922000</v>
      </c>
      <c r="AS80" s="3">
        <v>0</v>
      </c>
      <c r="AT80" s="3">
        <v>0</v>
      </c>
      <c r="AU80" s="3">
        <v>48141000</v>
      </c>
      <c r="AV80" s="3">
        <v>6219000</v>
      </c>
      <c r="AW80" s="3">
        <v>41922000</v>
      </c>
      <c r="AX80" s="3">
        <v>0</v>
      </c>
      <c r="AY80" s="3">
        <v>0</v>
      </c>
      <c r="AZ80" s="3">
        <v>48141000</v>
      </c>
      <c r="BA80" s="3"/>
      <c r="BB80" s="3"/>
      <c r="BC80" s="3"/>
      <c r="BD80" s="3"/>
      <c r="BE80" s="3"/>
      <c r="BF80" s="3"/>
      <c r="BG80" s="3"/>
      <c r="BH80" s="3"/>
      <c r="BI80" s="3"/>
      <c r="BJ80" s="3"/>
      <c r="BK80" s="3"/>
      <c r="BL80" s="3"/>
      <c r="BM80" s="3"/>
      <c r="BN80" s="3"/>
      <c r="BO80" s="3"/>
      <c r="BP80" s="3"/>
      <c r="BQ80" s="3"/>
      <c r="BR80" s="3"/>
      <c r="BS80" s="3"/>
      <c r="BU80" s="3"/>
      <c r="BV80" s="3"/>
      <c r="BW80" s="3"/>
      <c r="BX80" s="3"/>
      <c r="BZ80" s="3">
        <v>7458000</v>
      </c>
      <c r="CA80" s="3">
        <v>42250000</v>
      </c>
      <c r="CB80" s="3">
        <v>0</v>
      </c>
      <c r="CC80" s="3">
        <v>0</v>
      </c>
      <c r="CD80" s="3">
        <v>49708000</v>
      </c>
      <c r="CE80" s="3">
        <v>7458000</v>
      </c>
      <c r="CF80" s="3">
        <v>42250000</v>
      </c>
      <c r="CG80" s="3">
        <v>0</v>
      </c>
      <c r="CH80" s="3">
        <v>0</v>
      </c>
      <c r="CI80" s="3">
        <v>49708000</v>
      </c>
      <c r="CJ80" s="3"/>
      <c r="CK80" s="3"/>
      <c r="CL80" s="3"/>
      <c r="CM80" s="3"/>
      <c r="CN80" s="3"/>
      <c r="CO80" s="3"/>
      <c r="CP80" s="3"/>
      <c r="CQ80" s="3"/>
      <c r="CR80" s="3"/>
      <c r="CS80" s="3"/>
      <c r="CT80" s="3"/>
      <c r="CU80" s="3"/>
      <c r="CV80" s="3"/>
      <c r="CW80" s="3"/>
      <c r="CX80" s="3"/>
      <c r="CY80" s="3"/>
      <c r="CZ80" s="3"/>
      <c r="DA80" s="3"/>
      <c r="DB80" s="3"/>
      <c r="DD80" s="3"/>
      <c r="DE80" s="3"/>
      <c r="DF80" s="3"/>
      <c r="DG80" s="3"/>
      <c r="DI80" s="3">
        <v>7812000</v>
      </c>
      <c r="DJ80" s="3">
        <v>43020000</v>
      </c>
      <c r="DK80" s="3">
        <v>0</v>
      </c>
      <c r="DL80" s="3">
        <v>0</v>
      </c>
      <c r="DM80" s="3">
        <v>50832000</v>
      </c>
      <c r="DN80" s="3">
        <v>7812000</v>
      </c>
      <c r="DO80" s="3">
        <v>32028000</v>
      </c>
      <c r="DP80" s="3">
        <v>0</v>
      </c>
      <c r="DQ80" s="3">
        <v>0</v>
      </c>
      <c r="DR80" s="3">
        <v>39840000</v>
      </c>
      <c r="DS80" s="3"/>
      <c r="DT80" s="3"/>
      <c r="DU80" s="3"/>
      <c r="DV80" s="3"/>
      <c r="DW80" s="3"/>
      <c r="DX80" s="3"/>
      <c r="DY80" s="3"/>
      <c r="DZ80" s="3"/>
      <c r="EA80" s="3"/>
      <c r="EB80" s="3"/>
      <c r="EC80" s="3"/>
      <c r="ED80" s="3"/>
      <c r="EE80" s="3"/>
      <c r="EF80" s="3"/>
      <c r="EG80" s="3"/>
      <c r="EH80" s="3"/>
      <c r="EI80" s="3"/>
      <c r="EJ80" s="3"/>
      <c r="EK80" s="3"/>
      <c r="EL80" s="3"/>
      <c r="EM80" s="3"/>
      <c r="EN80" s="3"/>
      <c r="EO80" s="3"/>
      <c r="EP80" s="3"/>
      <c r="ER80" s="3">
        <v>8329000</v>
      </c>
      <c r="ES80" s="3">
        <v>43020000</v>
      </c>
      <c r="ET80" s="3">
        <v>0</v>
      </c>
      <c r="EU80" s="3">
        <v>0</v>
      </c>
      <c r="EV80" s="3">
        <v>51349000</v>
      </c>
      <c r="EW80" s="3">
        <v>8329000</v>
      </c>
      <c r="EX80" s="3">
        <v>43020000</v>
      </c>
      <c r="EY80" s="3">
        <v>0</v>
      </c>
      <c r="EZ80" s="3">
        <v>0</v>
      </c>
      <c r="FA80" s="3">
        <v>51349000</v>
      </c>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v>8267000</v>
      </c>
      <c r="GB80" s="3">
        <v>44133000</v>
      </c>
      <c r="GC80" s="3">
        <v>0</v>
      </c>
      <c r="GD80" s="3">
        <v>0</v>
      </c>
      <c r="GE80" s="3">
        <v>52400000</v>
      </c>
      <c r="GF80" s="3">
        <v>8267000</v>
      </c>
      <c r="GG80" s="3">
        <v>44133000</v>
      </c>
      <c r="GH80" s="3">
        <v>0</v>
      </c>
      <c r="GI80" s="3">
        <v>0</v>
      </c>
      <c r="GJ80" s="3">
        <v>52400000</v>
      </c>
      <c r="GK80" s="3"/>
      <c r="GL80" s="3"/>
      <c r="GM80" s="3"/>
      <c r="GN80" s="3"/>
      <c r="GO80" s="3"/>
      <c r="GP80" s="3"/>
      <c r="GQ80" s="3"/>
      <c r="GR80" s="3"/>
      <c r="GS80" s="3"/>
      <c r="GU80" s="3"/>
      <c r="GV80" s="3"/>
      <c r="GW80" s="3"/>
      <c r="GX80" s="3"/>
      <c r="GY80" s="3"/>
      <c r="GZ80" s="3"/>
      <c r="HA80" s="3"/>
      <c r="HB80" s="3"/>
      <c r="HC80" s="3"/>
      <c r="HE80" s="3"/>
      <c r="HF80" s="3"/>
      <c r="HG80" s="3"/>
      <c r="HH80" s="3"/>
      <c r="HJ80" s="3">
        <v>5604000</v>
      </c>
      <c r="HK80" s="3">
        <v>44927000</v>
      </c>
      <c r="HL80" s="3">
        <v>0</v>
      </c>
      <c r="HM80" s="3">
        <v>0</v>
      </c>
      <c r="HN80" s="3">
        <v>50531000</v>
      </c>
      <c r="HO80" s="3">
        <v>5604000</v>
      </c>
      <c r="HP80" s="3">
        <v>44927000</v>
      </c>
      <c r="HQ80" s="3">
        <v>0</v>
      </c>
      <c r="HR80" s="3">
        <v>0</v>
      </c>
      <c r="HS80" s="3">
        <v>50531000</v>
      </c>
      <c r="HT80" s="3"/>
      <c r="HU80" s="3"/>
      <c r="HV80" s="3"/>
      <c r="HW80" s="3"/>
      <c r="HX80" s="3"/>
      <c r="HY80" s="3"/>
      <c r="HZ80" s="3"/>
      <c r="IA80" s="3"/>
      <c r="IB80" s="3"/>
      <c r="ID80" s="3"/>
      <c r="IE80" s="3"/>
      <c r="IF80" s="3"/>
      <c r="IG80" s="3"/>
      <c r="IS80" s="3">
        <v>5720000</v>
      </c>
      <c r="IT80" s="3">
        <v>45736000</v>
      </c>
      <c r="IU80" s="3">
        <v>0</v>
      </c>
      <c r="IV80" s="3">
        <v>0</v>
      </c>
      <c r="IW80" s="3">
        <v>51456000</v>
      </c>
      <c r="IX80" s="3">
        <v>5720000</v>
      </c>
      <c r="IY80" s="3">
        <v>45736000</v>
      </c>
      <c r="IZ80" s="3">
        <v>0</v>
      </c>
      <c r="JA80" s="3">
        <v>0</v>
      </c>
      <c r="JB80" s="3">
        <v>51456000</v>
      </c>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v>9802000</v>
      </c>
      <c r="KC80" s="3">
        <v>46559000</v>
      </c>
      <c r="KD80" s="3">
        <v>0</v>
      </c>
      <c r="KE80" s="3">
        <v>0</v>
      </c>
      <c r="KF80" s="3">
        <v>56361000</v>
      </c>
      <c r="KG80" s="3">
        <v>9802000</v>
      </c>
      <c r="KH80" s="3">
        <v>46559000</v>
      </c>
      <c r="KI80" s="3">
        <v>0</v>
      </c>
      <c r="KJ80" s="3">
        <v>0</v>
      </c>
      <c r="KK80" s="3">
        <v>56361000</v>
      </c>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v>10271000</v>
      </c>
      <c r="LL80" s="3">
        <v>47397000</v>
      </c>
      <c r="LM80">
        <v>0</v>
      </c>
      <c r="LN80">
        <v>0</v>
      </c>
      <c r="LO80" s="3">
        <v>57668000</v>
      </c>
    </row>
    <row r="81" spans="1:327" x14ac:dyDescent="0.25">
      <c r="A81" t="s">
        <v>943</v>
      </c>
      <c r="B81" t="s">
        <v>944</v>
      </c>
      <c r="C81" t="s">
        <v>556</v>
      </c>
      <c r="D81" t="s">
        <v>975</v>
      </c>
      <c r="E81" t="s">
        <v>208</v>
      </c>
      <c r="F81" s="4" t="s">
        <v>506</v>
      </c>
      <c r="G81" t="s">
        <v>299</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U81" s="3"/>
      <c r="BV81" s="3"/>
      <c r="BW81" s="3"/>
      <c r="BX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D81" s="3"/>
      <c r="DE81" s="3"/>
      <c r="DF81" s="3"/>
      <c r="DG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U81" s="3"/>
      <c r="GV81" s="3"/>
      <c r="GW81" s="3"/>
      <c r="GX81" s="3"/>
      <c r="GY81" s="3"/>
      <c r="GZ81" s="3"/>
      <c r="HA81" s="3"/>
      <c r="HB81" s="3"/>
      <c r="HC81" s="3"/>
      <c r="HE81" s="3"/>
      <c r="HF81" s="3"/>
      <c r="HG81" s="3"/>
      <c r="HH81" s="3"/>
      <c r="HJ81" s="3"/>
      <c r="HK81" s="3"/>
      <c r="HL81" s="3"/>
      <c r="HM81" s="3"/>
      <c r="HN81" s="3"/>
      <c r="HO81" s="3"/>
      <c r="HP81" s="3"/>
      <c r="HQ81" s="3"/>
      <c r="HR81" s="3"/>
      <c r="HS81" s="3"/>
      <c r="HT81" s="3"/>
      <c r="HU81" s="3"/>
      <c r="HV81" s="3"/>
      <c r="HW81" s="3"/>
      <c r="HX81" s="3"/>
      <c r="HY81" s="3"/>
      <c r="HZ81" s="3"/>
      <c r="IA81" s="3"/>
      <c r="IB81" s="3"/>
      <c r="ID81" s="3"/>
      <c r="IE81" s="3"/>
      <c r="IF81" s="3"/>
      <c r="IG81" s="3"/>
      <c r="IS81" s="3"/>
      <c r="IT81" s="3"/>
      <c r="IU81" s="3"/>
      <c r="IV81" s="3"/>
      <c r="IW81" s="3"/>
      <c r="IX81" s="3"/>
      <c r="IY81" s="3"/>
      <c r="IZ81" s="3"/>
      <c r="JA81" s="3"/>
      <c r="JB81" s="3"/>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v>0</v>
      </c>
      <c r="LL81" s="3">
        <v>250000000</v>
      </c>
      <c r="LM81">
        <v>0</v>
      </c>
      <c r="LN81">
        <v>0</v>
      </c>
      <c r="LO81" s="3">
        <v>250000000</v>
      </c>
    </row>
    <row r="82" spans="1:327" x14ac:dyDescent="0.25">
      <c r="A82" t="s">
        <v>943</v>
      </c>
      <c r="B82" t="s">
        <v>944</v>
      </c>
      <c r="C82" t="s">
        <v>556</v>
      </c>
      <c r="D82" t="s">
        <v>975</v>
      </c>
      <c r="E82" t="s">
        <v>217</v>
      </c>
      <c r="F82" t="s">
        <v>618</v>
      </c>
      <c r="G82" t="s">
        <v>1139</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U82" s="3"/>
      <c r="BV82" s="3"/>
      <c r="BW82" s="3"/>
      <c r="BX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D82" s="3"/>
      <c r="DE82" s="3"/>
      <c r="DF82" s="3"/>
      <c r="DG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U82" s="3"/>
      <c r="GV82" s="3"/>
      <c r="GW82" s="3"/>
      <c r="GX82" s="3"/>
      <c r="GY82" s="3"/>
      <c r="GZ82" s="3"/>
      <c r="HA82" s="3"/>
      <c r="HB82" s="3"/>
      <c r="HC82" s="3"/>
      <c r="HE82" s="3"/>
      <c r="HF82" s="3"/>
      <c r="HG82" s="3"/>
      <c r="HH82" s="3"/>
      <c r="HJ82" s="3"/>
      <c r="HK82" s="3"/>
      <c r="HL82" s="3"/>
      <c r="HM82" s="3"/>
      <c r="HN82" s="3"/>
      <c r="HO82" s="3"/>
      <c r="HP82" s="3"/>
      <c r="HQ82" s="3"/>
      <c r="HR82" s="3"/>
      <c r="HS82" s="3"/>
      <c r="HT82" s="3"/>
      <c r="HU82" s="3"/>
      <c r="HV82" s="3"/>
      <c r="HW82" s="3"/>
      <c r="HX82" s="3"/>
      <c r="HY82" s="3"/>
      <c r="HZ82" s="3"/>
      <c r="IA82" s="3"/>
      <c r="IB82" s="3"/>
      <c r="ID82" s="3"/>
      <c r="IE82" s="3"/>
      <c r="IF82" s="3"/>
      <c r="IG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v>0</v>
      </c>
      <c r="KC82" s="3">
        <v>0</v>
      </c>
      <c r="KD82" s="3">
        <v>0</v>
      </c>
      <c r="KE82" s="3">
        <v>0</v>
      </c>
      <c r="KF82" s="3">
        <v>0</v>
      </c>
      <c r="KG82" s="3">
        <v>0</v>
      </c>
      <c r="KH82" s="3">
        <v>0</v>
      </c>
      <c r="KI82" s="3">
        <v>0</v>
      </c>
      <c r="KJ82" s="3">
        <v>150000000</v>
      </c>
      <c r="KK82" s="3">
        <v>150000000</v>
      </c>
      <c r="KL82" s="3"/>
      <c r="KM82" s="3"/>
      <c r="KN82" s="3"/>
      <c r="KO82" s="3"/>
      <c r="KP82" s="3"/>
      <c r="KQ82" s="3"/>
      <c r="KR82" s="3"/>
      <c r="KS82" s="3"/>
      <c r="KT82" s="3"/>
      <c r="KU82" s="3"/>
      <c r="KV82" s="3"/>
      <c r="KW82" s="3"/>
      <c r="KX82" s="3"/>
      <c r="KY82" s="3"/>
      <c r="KZ82" s="3"/>
      <c r="LA82" s="3"/>
      <c r="LB82" s="3"/>
      <c r="LC82" s="3"/>
      <c r="LD82" s="3"/>
      <c r="LE82" s="3"/>
      <c r="LF82" s="3"/>
      <c r="LG82" s="3"/>
      <c r="LH82" s="3"/>
      <c r="LI82" s="3"/>
      <c r="LJ82" s="3"/>
    </row>
    <row r="83" spans="1:327" x14ac:dyDescent="0.25">
      <c r="A83" t="s">
        <v>943</v>
      </c>
      <c r="B83" t="s">
        <v>944</v>
      </c>
      <c r="C83" t="s">
        <v>556</v>
      </c>
      <c r="D83" t="s">
        <v>975</v>
      </c>
      <c r="E83" t="s">
        <v>217</v>
      </c>
      <c r="F83" t="s">
        <v>721</v>
      </c>
      <c r="G83" t="s">
        <v>1060</v>
      </c>
      <c r="H83" s="3">
        <v>4172000</v>
      </c>
      <c r="I83" s="3">
        <v>472121000</v>
      </c>
      <c r="J83" s="3">
        <v>0</v>
      </c>
      <c r="K83" s="3">
        <v>54170000</v>
      </c>
      <c r="L83" s="3">
        <v>530463000</v>
      </c>
      <c r="M83" s="3">
        <v>4172000</v>
      </c>
      <c r="N83" s="3">
        <v>522121000</v>
      </c>
      <c r="O83" s="3">
        <v>0</v>
      </c>
      <c r="P83" s="3">
        <v>54170000</v>
      </c>
      <c r="Q83" s="3">
        <v>580463000</v>
      </c>
      <c r="R83" s="3"/>
      <c r="S83" s="3"/>
      <c r="T83" s="3"/>
      <c r="U83" s="3"/>
      <c r="V83" s="3"/>
      <c r="W83" s="3"/>
      <c r="X83" s="3"/>
      <c r="Y83" s="3"/>
      <c r="Z83" s="3"/>
      <c r="AA83" s="3"/>
      <c r="AB83" s="3"/>
      <c r="AC83" s="3"/>
      <c r="AD83" s="3"/>
      <c r="AE83" s="3"/>
      <c r="AF83" s="3"/>
      <c r="AG83" s="3"/>
      <c r="AH83" s="3"/>
      <c r="AI83" s="3"/>
      <c r="AJ83" s="3"/>
      <c r="AK83" s="3"/>
      <c r="AL83" s="3"/>
      <c r="AM83" s="3"/>
      <c r="AN83" s="3"/>
      <c r="AO83" s="3"/>
      <c r="AP83" s="3"/>
      <c r="AQ83" s="3">
        <v>5510000</v>
      </c>
      <c r="AR83" s="3">
        <v>187725000</v>
      </c>
      <c r="AS83" s="3">
        <v>0</v>
      </c>
      <c r="AT83" s="3">
        <v>21126000</v>
      </c>
      <c r="AU83" s="3">
        <v>214361000</v>
      </c>
      <c r="AV83" s="3">
        <v>5510000</v>
      </c>
      <c r="AW83" s="3">
        <v>239725000</v>
      </c>
      <c r="AX83" s="3">
        <v>0</v>
      </c>
      <c r="AY83" s="3">
        <v>21126000</v>
      </c>
      <c r="AZ83" s="3">
        <v>266361000</v>
      </c>
      <c r="BA83" s="3"/>
      <c r="BB83" s="3"/>
      <c r="BC83" s="3"/>
      <c r="BD83" s="3"/>
      <c r="BE83" s="3"/>
      <c r="BF83" s="3"/>
      <c r="BG83" s="3"/>
      <c r="BH83" s="3"/>
      <c r="BI83" s="3"/>
      <c r="BJ83" s="3"/>
      <c r="BK83" s="3"/>
      <c r="BL83" s="3"/>
      <c r="BM83" s="3"/>
      <c r="BN83" s="3"/>
      <c r="BO83" s="3"/>
      <c r="BP83" s="3"/>
      <c r="BQ83" s="3"/>
      <c r="BR83" s="3"/>
      <c r="BS83" s="3"/>
      <c r="BU83" s="3"/>
      <c r="BV83" s="3"/>
      <c r="BW83" s="3"/>
      <c r="BX83" s="3"/>
      <c r="BZ83" s="3">
        <v>5700000</v>
      </c>
      <c r="CA83" s="3">
        <v>188582000</v>
      </c>
      <c r="CB83" s="3">
        <v>0</v>
      </c>
      <c r="CC83" s="3">
        <v>21472000</v>
      </c>
      <c r="CD83" s="3">
        <v>215754000</v>
      </c>
      <c r="CE83" s="3">
        <v>5700000</v>
      </c>
      <c r="CF83" s="3">
        <v>580326000</v>
      </c>
      <c r="CG83" s="3">
        <v>0</v>
      </c>
      <c r="CH83" s="3">
        <v>46472000</v>
      </c>
      <c r="CI83" s="3">
        <v>632498000</v>
      </c>
      <c r="CJ83" s="3"/>
      <c r="CK83" s="3"/>
      <c r="CL83" s="3"/>
      <c r="CM83" s="3"/>
      <c r="CN83" s="3"/>
      <c r="CO83" s="3"/>
      <c r="CP83" s="3"/>
      <c r="CQ83" s="3"/>
      <c r="CR83" s="3"/>
      <c r="CS83" s="3"/>
      <c r="CT83" s="3"/>
      <c r="CU83" s="3"/>
      <c r="CV83" s="3"/>
      <c r="CW83" s="3"/>
      <c r="CX83" s="3"/>
      <c r="CY83" s="3"/>
      <c r="CZ83" s="3"/>
      <c r="DA83" s="3"/>
      <c r="DB83" s="3"/>
      <c r="DD83" s="3"/>
      <c r="DE83" s="3"/>
      <c r="DF83" s="3"/>
      <c r="DG83" s="3"/>
      <c r="DI83" s="3">
        <v>3637000</v>
      </c>
      <c r="DJ83" s="3">
        <v>192017000</v>
      </c>
      <c r="DK83" s="3">
        <v>0</v>
      </c>
      <c r="DL83" s="3">
        <v>22116000</v>
      </c>
      <c r="DM83" s="3">
        <v>217770000</v>
      </c>
      <c r="DN83" s="3">
        <v>3637000</v>
      </c>
      <c r="DO83" s="3">
        <v>205532000</v>
      </c>
      <c r="DP83" s="3">
        <v>0</v>
      </c>
      <c r="DQ83" s="3">
        <v>22116000</v>
      </c>
      <c r="DR83" s="3">
        <v>231285000</v>
      </c>
      <c r="DS83" s="3"/>
      <c r="DT83" s="3"/>
      <c r="DU83" s="3"/>
      <c r="DV83" s="3"/>
      <c r="DW83" s="3"/>
      <c r="DX83" s="3"/>
      <c r="DY83" s="3"/>
      <c r="DZ83" s="3"/>
      <c r="EA83" s="3"/>
      <c r="EB83" s="3"/>
      <c r="EC83" s="3"/>
      <c r="ED83" s="3"/>
      <c r="EE83" s="3"/>
      <c r="EF83" s="3"/>
      <c r="EG83" s="3"/>
      <c r="EH83" s="3"/>
      <c r="EI83" s="3"/>
      <c r="EJ83" s="3"/>
      <c r="EK83" s="3"/>
      <c r="EL83" s="3"/>
      <c r="EM83" s="3"/>
      <c r="EN83" s="3"/>
      <c r="EO83" s="3"/>
      <c r="EP83" s="3"/>
      <c r="ER83" s="3">
        <v>4618000</v>
      </c>
      <c r="ES83" s="3">
        <v>192017000</v>
      </c>
      <c r="ET83" s="3">
        <v>0</v>
      </c>
      <c r="EU83" s="3">
        <v>22116000</v>
      </c>
      <c r="EV83" s="3">
        <v>218751000</v>
      </c>
      <c r="EW83" s="3">
        <v>4618000</v>
      </c>
      <c r="EX83" s="3">
        <v>278186000</v>
      </c>
      <c r="EY83" s="3">
        <v>0</v>
      </c>
      <c r="EZ83" s="3">
        <v>22116000</v>
      </c>
      <c r="FA83" s="3">
        <v>304920000</v>
      </c>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v>5791000</v>
      </c>
      <c r="GB83" s="3">
        <v>247096000</v>
      </c>
      <c r="GC83" s="3">
        <v>0</v>
      </c>
      <c r="GD83" s="3">
        <v>102045000</v>
      </c>
      <c r="GE83" s="3">
        <v>354932000</v>
      </c>
      <c r="GF83" s="3">
        <v>5791000</v>
      </c>
      <c r="GG83" s="3">
        <v>225241000</v>
      </c>
      <c r="GH83" s="3">
        <v>0</v>
      </c>
      <c r="GI83" s="3">
        <v>451900000</v>
      </c>
      <c r="GJ83" s="3">
        <v>682932000</v>
      </c>
      <c r="GK83" s="3"/>
      <c r="GL83" s="3"/>
      <c r="GM83" s="3"/>
      <c r="GN83" s="3"/>
      <c r="GO83" s="3"/>
      <c r="GP83" s="3"/>
      <c r="GQ83" s="3"/>
      <c r="GR83" s="3"/>
      <c r="GS83" s="3"/>
      <c r="GU83" s="3"/>
      <c r="GV83" s="3"/>
      <c r="GW83" s="3"/>
      <c r="GX83" s="3"/>
      <c r="GY83" s="3"/>
      <c r="GZ83" s="3"/>
      <c r="HA83" s="3"/>
      <c r="HB83" s="3"/>
      <c r="HC83" s="3"/>
      <c r="HE83" s="3"/>
      <c r="HF83" s="3"/>
      <c r="HG83" s="3"/>
      <c r="HH83" s="3"/>
      <c r="HJ83" s="3">
        <v>6933000</v>
      </c>
      <c r="HK83" s="3">
        <v>335384000</v>
      </c>
      <c r="HL83" s="3">
        <v>0</v>
      </c>
      <c r="HM83" s="3">
        <v>21000000</v>
      </c>
      <c r="HN83" s="3">
        <v>363317000</v>
      </c>
      <c r="HO83" s="3">
        <v>6933000</v>
      </c>
      <c r="HP83" s="3">
        <v>436384000</v>
      </c>
      <c r="HQ83" s="3">
        <v>0</v>
      </c>
      <c r="HR83" s="3">
        <v>567000000</v>
      </c>
      <c r="HS83" s="3">
        <v>1010317000</v>
      </c>
      <c r="HT83" s="3"/>
      <c r="HU83" s="3"/>
      <c r="HV83" s="3"/>
      <c r="HW83" s="3"/>
      <c r="HX83" s="3"/>
      <c r="HY83" s="3"/>
      <c r="HZ83" s="3"/>
      <c r="IA83" s="3"/>
      <c r="IB83" s="3"/>
      <c r="ID83" s="3"/>
      <c r="IE83" s="3"/>
      <c r="IF83" s="3"/>
      <c r="IG83" s="3"/>
      <c r="IS83" s="3">
        <v>6450000</v>
      </c>
      <c r="IT83" s="3">
        <v>301771000</v>
      </c>
      <c r="IU83" s="3">
        <v>0</v>
      </c>
      <c r="IV83" s="3">
        <v>239045000</v>
      </c>
      <c r="IW83" s="3">
        <v>547266000</v>
      </c>
      <c r="IX83" s="3">
        <v>6450000</v>
      </c>
      <c r="IY83" s="3">
        <v>321771000</v>
      </c>
      <c r="IZ83" s="3">
        <v>0</v>
      </c>
      <c r="JA83" s="3">
        <v>239045000</v>
      </c>
      <c r="JB83" s="3">
        <v>567266000</v>
      </c>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v>5290000</v>
      </c>
      <c r="KC83" s="3">
        <v>411453000</v>
      </c>
      <c r="KD83" s="3">
        <v>0</v>
      </c>
      <c r="KE83" s="3">
        <v>239045000</v>
      </c>
      <c r="KF83" s="3">
        <v>655788000</v>
      </c>
      <c r="KG83" s="3">
        <v>5290000</v>
      </c>
      <c r="KH83" s="3">
        <v>474610000</v>
      </c>
      <c r="KI83" s="3">
        <v>0</v>
      </c>
      <c r="KJ83" s="3">
        <v>239045000</v>
      </c>
      <c r="KK83" s="3">
        <v>718945000</v>
      </c>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v>5583000</v>
      </c>
      <c r="LL83" s="3">
        <v>377186000</v>
      </c>
      <c r="LM83">
        <v>0</v>
      </c>
      <c r="LN83" s="3">
        <v>111045000</v>
      </c>
      <c r="LO83" s="3">
        <v>493814000</v>
      </c>
    </row>
    <row r="84" spans="1:327" x14ac:dyDescent="0.25">
      <c r="A84" t="s">
        <v>943</v>
      </c>
      <c r="B84" t="s">
        <v>944</v>
      </c>
      <c r="C84" t="s">
        <v>556</v>
      </c>
      <c r="D84" t="s">
        <v>975</v>
      </c>
      <c r="E84" t="s">
        <v>217</v>
      </c>
      <c r="F84" t="s">
        <v>725</v>
      </c>
      <c r="G84" t="s">
        <v>1061</v>
      </c>
      <c r="H84" s="3">
        <v>61278000</v>
      </c>
      <c r="I84" s="3">
        <v>320155000</v>
      </c>
      <c r="J84" s="3">
        <v>0</v>
      </c>
      <c r="K84" s="3">
        <v>2450000</v>
      </c>
      <c r="L84" s="3">
        <v>383883000</v>
      </c>
      <c r="M84" s="3">
        <v>61278000</v>
      </c>
      <c r="N84" s="3">
        <v>320155000</v>
      </c>
      <c r="O84" s="3">
        <v>0</v>
      </c>
      <c r="P84" s="3">
        <v>2450000</v>
      </c>
      <c r="Q84" s="3">
        <v>383883000</v>
      </c>
      <c r="R84" s="3"/>
      <c r="S84" s="3"/>
      <c r="T84" s="3"/>
      <c r="U84" s="3"/>
      <c r="V84" s="3"/>
      <c r="W84" s="3"/>
      <c r="X84" s="3"/>
      <c r="Y84" s="3"/>
      <c r="Z84" s="3"/>
      <c r="AA84" s="3"/>
      <c r="AB84" s="3"/>
      <c r="AC84" s="3"/>
      <c r="AD84" s="3"/>
      <c r="AE84" s="3"/>
      <c r="AF84" s="3"/>
      <c r="AG84" s="3"/>
      <c r="AH84" s="3"/>
      <c r="AI84" s="3"/>
      <c r="AJ84" s="3"/>
      <c r="AK84" s="3"/>
      <c r="AL84" s="3"/>
      <c r="AM84" s="3"/>
      <c r="AN84" s="3"/>
      <c r="AO84" s="3"/>
      <c r="AP84" s="3"/>
      <c r="AQ84" s="3">
        <v>72300000</v>
      </c>
      <c r="AR84" s="3">
        <v>207005000</v>
      </c>
      <c r="AS84" s="3">
        <v>0</v>
      </c>
      <c r="AT84" s="3">
        <v>1911000</v>
      </c>
      <c r="AU84" s="3">
        <v>281216000</v>
      </c>
      <c r="AV84" s="3">
        <v>72300000</v>
      </c>
      <c r="AW84" s="3">
        <v>207005000</v>
      </c>
      <c r="AX84" s="3">
        <v>0</v>
      </c>
      <c r="AY84" s="3">
        <v>1911000</v>
      </c>
      <c r="AZ84" s="3">
        <v>281216000</v>
      </c>
      <c r="BA84" s="3"/>
      <c r="BB84" s="3"/>
      <c r="BC84" s="3"/>
      <c r="BD84" s="3"/>
      <c r="BE84" s="3"/>
      <c r="BF84" s="3"/>
      <c r="BG84" s="3"/>
      <c r="BH84" s="3"/>
      <c r="BI84" s="3"/>
      <c r="BJ84" s="3"/>
      <c r="BK84" s="3"/>
      <c r="BL84" s="3"/>
      <c r="BM84" s="3"/>
      <c r="BN84" s="3"/>
      <c r="BO84" s="3"/>
      <c r="BP84" s="3"/>
      <c r="BQ84" s="3"/>
      <c r="BR84" s="3"/>
      <c r="BS84" s="3"/>
      <c r="BU84" s="3"/>
      <c r="BV84" s="3"/>
      <c r="BW84" s="3"/>
      <c r="BX84" s="3"/>
      <c r="BZ84" s="3">
        <v>94914000</v>
      </c>
      <c r="CA84" s="3">
        <v>208392000</v>
      </c>
      <c r="CB84" s="3">
        <v>0</v>
      </c>
      <c r="CC84" s="3">
        <v>0</v>
      </c>
      <c r="CD84" s="3">
        <v>303306000</v>
      </c>
      <c r="CE84" s="3">
        <v>94914000</v>
      </c>
      <c r="CF84" s="3">
        <v>208392000</v>
      </c>
      <c r="CG84" s="3">
        <v>0</v>
      </c>
      <c r="CH84" s="3">
        <v>0</v>
      </c>
      <c r="CI84" s="3">
        <v>303306000</v>
      </c>
      <c r="CJ84" s="3"/>
      <c r="CK84" s="3"/>
      <c r="CL84" s="3"/>
      <c r="CM84" s="3"/>
      <c r="CN84" s="3"/>
      <c r="CO84" s="3"/>
      <c r="CP84" s="3"/>
      <c r="CQ84" s="3"/>
      <c r="CR84" s="3"/>
      <c r="CS84" s="3"/>
      <c r="CT84" s="3"/>
      <c r="CU84" s="3"/>
      <c r="CV84" s="3"/>
      <c r="CW84" s="3"/>
      <c r="CX84" s="3"/>
      <c r="CY84" s="3"/>
      <c r="CZ84" s="3"/>
      <c r="DA84" s="3"/>
      <c r="DB84" s="3"/>
      <c r="DD84" s="3"/>
      <c r="DE84" s="3"/>
      <c r="DF84" s="3"/>
      <c r="DG84" s="3"/>
      <c r="DI84" s="3">
        <v>114044000</v>
      </c>
      <c r="DJ84" s="3">
        <v>212187000</v>
      </c>
      <c r="DK84" s="3">
        <v>0</v>
      </c>
      <c r="DL84" s="3">
        <v>0</v>
      </c>
      <c r="DM84" s="3">
        <v>326231000</v>
      </c>
      <c r="DN84" s="3">
        <v>114044000</v>
      </c>
      <c r="DO84" s="3">
        <v>317187000</v>
      </c>
      <c r="DP84" s="3">
        <v>0</v>
      </c>
      <c r="DQ84" s="3">
        <v>75000000</v>
      </c>
      <c r="DR84" s="3">
        <v>506231000</v>
      </c>
      <c r="DS84" s="3"/>
      <c r="DT84" s="3"/>
      <c r="DU84" s="3"/>
      <c r="DV84" s="3"/>
      <c r="DW84" s="3"/>
      <c r="DX84" s="3"/>
      <c r="DY84" s="3"/>
      <c r="DZ84" s="3"/>
      <c r="EA84" s="3"/>
      <c r="EB84" s="3"/>
      <c r="EC84" s="3"/>
      <c r="ED84" s="3"/>
      <c r="EE84" s="3"/>
      <c r="EF84" s="3"/>
      <c r="EG84" s="3"/>
      <c r="EH84" s="3"/>
      <c r="EI84" s="3"/>
      <c r="EJ84" s="3"/>
      <c r="EK84" s="3"/>
      <c r="EL84" s="3"/>
      <c r="EM84" s="3"/>
      <c r="EN84" s="3"/>
      <c r="EO84" s="3"/>
      <c r="EP84" s="3"/>
      <c r="ER84" s="3">
        <v>117186000</v>
      </c>
      <c r="ES84" s="3">
        <v>212187000</v>
      </c>
      <c r="ET84" s="3">
        <v>0</v>
      </c>
      <c r="EU84" s="3">
        <v>0</v>
      </c>
      <c r="EV84" s="3">
        <v>329373000</v>
      </c>
      <c r="EW84" s="3">
        <v>117186000</v>
      </c>
      <c r="EX84" s="3">
        <v>211187000</v>
      </c>
      <c r="EY84" s="3">
        <v>0</v>
      </c>
      <c r="EZ84" s="3">
        <v>0</v>
      </c>
      <c r="FA84" s="3">
        <v>328373000</v>
      </c>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v>129303000</v>
      </c>
      <c r="GB84" s="3">
        <v>554957000</v>
      </c>
      <c r="GC84" s="3">
        <v>0</v>
      </c>
      <c r="GD84" s="3">
        <v>220650000</v>
      </c>
      <c r="GE84" s="3">
        <v>904910000</v>
      </c>
      <c r="GF84" s="3">
        <v>129303000</v>
      </c>
      <c r="GG84" s="3">
        <v>374772000</v>
      </c>
      <c r="GH84" s="3">
        <v>0</v>
      </c>
      <c r="GI84" s="3">
        <v>114885000</v>
      </c>
      <c r="GJ84" s="3">
        <v>618960000</v>
      </c>
      <c r="GK84" s="3"/>
      <c r="GL84" s="3"/>
      <c r="GM84" s="3"/>
      <c r="GN84" s="3"/>
      <c r="GO84" s="3"/>
      <c r="GP84" s="3"/>
      <c r="GQ84" s="3"/>
      <c r="GR84" s="3"/>
      <c r="GS84" s="3"/>
      <c r="GU84" s="3"/>
      <c r="GV84" s="3"/>
      <c r="GW84" s="3"/>
      <c r="GX84" s="3"/>
      <c r="GY84" s="3"/>
      <c r="GZ84" s="3"/>
      <c r="HA84" s="3"/>
      <c r="HB84" s="3"/>
      <c r="HC84" s="3"/>
      <c r="HE84" s="3"/>
      <c r="HF84" s="3"/>
      <c r="HG84" s="3"/>
      <c r="HH84" s="3"/>
      <c r="HJ84" s="3">
        <v>142196000</v>
      </c>
      <c r="HK84" s="3">
        <v>660675000</v>
      </c>
      <c r="HL84" s="3">
        <v>0</v>
      </c>
      <c r="HM84" s="3">
        <v>174230000</v>
      </c>
      <c r="HN84" s="3">
        <v>977101000</v>
      </c>
      <c r="HO84" s="3">
        <v>142196000</v>
      </c>
      <c r="HP84" s="3">
        <v>590490000</v>
      </c>
      <c r="HQ84" s="3">
        <v>0</v>
      </c>
      <c r="HR84" s="3">
        <v>36830000</v>
      </c>
      <c r="HS84" s="3">
        <v>769516000</v>
      </c>
      <c r="HT84" s="3"/>
      <c r="HU84" s="3"/>
      <c r="HV84" s="3"/>
      <c r="HW84" s="3"/>
      <c r="HX84" s="3"/>
      <c r="HY84" s="3"/>
      <c r="HZ84" s="3"/>
      <c r="IA84" s="3"/>
      <c r="IB84" s="3"/>
      <c r="ID84" s="3"/>
      <c r="IE84" s="3"/>
      <c r="IF84" s="3"/>
      <c r="IG84" s="3"/>
      <c r="IS84" s="3">
        <v>147130000</v>
      </c>
      <c r="IT84" s="3">
        <v>1030704000</v>
      </c>
      <c r="IU84" s="3">
        <v>0</v>
      </c>
      <c r="IV84" s="3">
        <v>507306000</v>
      </c>
      <c r="IW84" s="3">
        <v>1685140000</v>
      </c>
      <c r="IX84" s="3">
        <v>147130000</v>
      </c>
      <c r="IY84" s="3">
        <v>1030704000</v>
      </c>
      <c r="IZ84" s="3">
        <v>0</v>
      </c>
      <c r="JA84" s="3">
        <v>507306000</v>
      </c>
      <c r="JB84" s="3">
        <v>1685140000</v>
      </c>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v>178630000</v>
      </c>
      <c r="KC84" s="3">
        <v>1330439000</v>
      </c>
      <c r="KD84" s="3">
        <v>0</v>
      </c>
      <c r="KE84" s="3">
        <v>539355000</v>
      </c>
      <c r="KF84" s="3">
        <v>2048424000</v>
      </c>
      <c r="KG84" s="3">
        <v>178630000</v>
      </c>
      <c r="KH84" s="3">
        <v>1336249000</v>
      </c>
      <c r="KI84" s="3">
        <v>0</v>
      </c>
      <c r="KJ84" s="3">
        <v>539355000</v>
      </c>
      <c r="KK84" s="3">
        <v>2054234000</v>
      </c>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v>189989000</v>
      </c>
      <c r="LL84" s="3">
        <v>1266732000</v>
      </c>
      <c r="LM84">
        <v>0</v>
      </c>
      <c r="LN84" s="3">
        <v>554355000</v>
      </c>
      <c r="LO84" s="3">
        <v>2011076000</v>
      </c>
    </row>
    <row r="85" spans="1:327" x14ac:dyDescent="0.25">
      <c r="A85" t="s">
        <v>943</v>
      </c>
      <c r="B85" t="s">
        <v>944</v>
      </c>
      <c r="C85" t="s">
        <v>556</v>
      </c>
      <c r="D85" t="s">
        <v>975</v>
      </c>
      <c r="E85" t="s">
        <v>217</v>
      </c>
      <c r="F85" t="s">
        <v>976</v>
      </c>
      <c r="G85" t="s">
        <v>1063</v>
      </c>
      <c r="H85" s="3">
        <v>3235000</v>
      </c>
      <c r="I85" s="3">
        <v>254823000</v>
      </c>
      <c r="J85" s="3">
        <v>0</v>
      </c>
      <c r="K85" s="3">
        <v>45725000</v>
      </c>
      <c r="L85" s="3">
        <v>303783000</v>
      </c>
      <c r="M85" s="3">
        <v>3235000</v>
      </c>
      <c r="N85" s="3">
        <v>245823000</v>
      </c>
      <c r="O85" s="3">
        <v>0</v>
      </c>
      <c r="P85" s="3">
        <v>72725000</v>
      </c>
      <c r="Q85" s="3">
        <v>321783000</v>
      </c>
      <c r="R85" s="3"/>
      <c r="S85" s="3"/>
      <c r="T85" s="3"/>
      <c r="U85" s="3"/>
      <c r="V85" s="3"/>
      <c r="W85" s="3"/>
      <c r="X85" s="3"/>
      <c r="Y85" s="3"/>
      <c r="Z85" s="3"/>
      <c r="AA85" s="3"/>
      <c r="AB85" s="3"/>
      <c r="AC85" s="3"/>
      <c r="AD85" s="3"/>
      <c r="AE85" s="3"/>
      <c r="AF85" s="3"/>
      <c r="AG85" s="3"/>
      <c r="AH85" s="3"/>
      <c r="AI85" s="3"/>
      <c r="AJ85" s="3"/>
      <c r="AK85" s="3"/>
      <c r="AL85" s="3"/>
      <c r="AM85" s="3"/>
      <c r="AN85" s="3"/>
      <c r="AO85" s="3"/>
      <c r="AP85" s="3"/>
      <c r="AQ85" s="3">
        <v>2992000</v>
      </c>
      <c r="AR85" s="3">
        <v>210896000</v>
      </c>
      <c r="AS85" s="3">
        <v>0</v>
      </c>
      <c r="AT85" s="3">
        <v>111635000</v>
      </c>
      <c r="AU85" s="3">
        <v>325523000</v>
      </c>
      <c r="AV85" s="3">
        <v>2992000</v>
      </c>
      <c r="AW85" s="3">
        <v>210896000</v>
      </c>
      <c r="AX85" s="3">
        <v>0</v>
      </c>
      <c r="AY85" s="3">
        <v>111635000</v>
      </c>
      <c r="AZ85" s="3">
        <v>325523000</v>
      </c>
      <c r="BA85" s="3"/>
      <c r="BB85" s="3"/>
      <c r="BC85" s="3"/>
      <c r="BD85" s="3"/>
      <c r="BE85" s="3"/>
      <c r="BF85" s="3"/>
      <c r="BG85" s="3"/>
      <c r="BH85" s="3"/>
      <c r="BI85" s="3"/>
      <c r="BJ85" s="3"/>
      <c r="BK85" s="3"/>
      <c r="BL85" s="3"/>
      <c r="BM85" s="3"/>
      <c r="BN85" s="3"/>
      <c r="BO85" s="3"/>
      <c r="BP85" s="3"/>
      <c r="BQ85" s="3"/>
      <c r="BR85" s="3"/>
      <c r="BS85" s="3"/>
      <c r="BU85" s="3"/>
      <c r="BV85" s="3"/>
      <c r="BW85" s="3"/>
      <c r="BX85" s="3"/>
      <c r="BZ85" s="3">
        <v>965000</v>
      </c>
      <c r="CA85" s="3">
        <v>175893000</v>
      </c>
      <c r="CB85" s="3">
        <v>0</v>
      </c>
      <c r="CC85" s="3">
        <v>40000000</v>
      </c>
      <c r="CD85" s="3">
        <v>216858000</v>
      </c>
      <c r="CE85" s="3">
        <v>965000</v>
      </c>
      <c r="CF85" s="3">
        <v>175893000</v>
      </c>
      <c r="CG85" s="3">
        <v>0</v>
      </c>
      <c r="CH85" s="3">
        <v>140000000</v>
      </c>
      <c r="CI85" s="3">
        <v>316858000</v>
      </c>
      <c r="CJ85" s="3"/>
      <c r="CK85" s="3"/>
      <c r="CL85" s="3"/>
      <c r="CM85" s="3"/>
      <c r="CN85" s="3"/>
      <c r="CO85" s="3"/>
      <c r="CP85" s="3"/>
      <c r="CQ85" s="3"/>
      <c r="CR85" s="3"/>
      <c r="CS85" s="3"/>
      <c r="CT85" s="3"/>
      <c r="CU85" s="3"/>
      <c r="CV85" s="3"/>
      <c r="CW85" s="3"/>
      <c r="CX85" s="3"/>
      <c r="CY85" s="3"/>
      <c r="CZ85" s="3"/>
      <c r="DA85" s="3"/>
      <c r="DB85" s="3"/>
      <c r="DD85" s="3"/>
      <c r="DE85" s="3"/>
      <c r="DF85" s="3"/>
      <c r="DG85" s="3"/>
      <c r="DI85" s="3">
        <v>5405000</v>
      </c>
      <c r="DJ85" s="3">
        <v>179096000</v>
      </c>
      <c r="DK85" s="3">
        <v>0</v>
      </c>
      <c r="DL85" s="3">
        <v>0</v>
      </c>
      <c r="DM85" s="3">
        <v>184501000</v>
      </c>
      <c r="DN85" s="3">
        <v>5405000</v>
      </c>
      <c r="DO85" s="3">
        <v>195346000</v>
      </c>
      <c r="DP85" s="3">
        <v>0</v>
      </c>
      <c r="DQ85" s="3">
        <v>635000000</v>
      </c>
      <c r="DR85" s="3">
        <v>835751000</v>
      </c>
      <c r="DS85" s="3"/>
      <c r="DT85" s="3"/>
      <c r="DU85" s="3"/>
      <c r="DV85" s="3"/>
      <c r="DW85" s="3"/>
      <c r="DX85" s="3"/>
      <c r="DY85" s="3"/>
      <c r="DZ85" s="3"/>
      <c r="EA85" s="3"/>
      <c r="EB85" s="3"/>
      <c r="EC85" s="3"/>
      <c r="ED85" s="3"/>
      <c r="EE85" s="3"/>
      <c r="EF85" s="3"/>
      <c r="EG85" s="3"/>
      <c r="EH85" s="3"/>
      <c r="EI85" s="3"/>
      <c r="EJ85" s="3"/>
      <c r="EK85" s="3"/>
      <c r="EL85" s="3"/>
      <c r="EM85" s="3"/>
      <c r="EN85" s="3"/>
      <c r="EO85" s="3"/>
      <c r="EP85" s="3"/>
      <c r="ER85" s="3">
        <v>5802000</v>
      </c>
      <c r="ES85" s="3">
        <v>179096000</v>
      </c>
      <c r="ET85" s="3">
        <v>0</v>
      </c>
      <c r="EU85" s="3">
        <v>0</v>
      </c>
      <c r="EV85" s="3">
        <v>184898000</v>
      </c>
      <c r="EW85" s="3">
        <v>5802000</v>
      </c>
      <c r="EX85" s="3">
        <v>179096000</v>
      </c>
      <c r="EY85" s="3">
        <v>0</v>
      </c>
      <c r="EZ85" s="3">
        <v>276636000</v>
      </c>
      <c r="FA85" s="3">
        <v>461534000</v>
      </c>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v>5440000</v>
      </c>
      <c r="GB85" s="3">
        <v>384261000</v>
      </c>
      <c r="GC85" s="3">
        <v>0</v>
      </c>
      <c r="GD85" s="3">
        <v>373150000</v>
      </c>
      <c r="GE85" s="3">
        <v>762851000</v>
      </c>
      <c r="GF85" s="3">
        <v>5440000</v>
      </c>
      <c r="GG85" s="3">
        <v>598861000</v>
      </c>
      <c r="GH85" s="3">
        <v>0</v>
      </c>
      <c r="GI85" s="3">
        <v>715500000</v>
      </c>
      <c r="GJ85" s="3">
        <v>1319801000</v>
      </c>
      <c r="GK85" s="3"/>
      <c r="GL85" s="3"/>
      <c r="GM85" s="3"/>
      <c r="GN85" s="3"/>
      <c r="GO85" s="3"/>
      <c r="GP85" s="3"/>
      <c r="GQ85" s="3"/>
      <c r="GR85" s="3"/>
      <c r="GS85" s="3"/>
      <c r="GU85" s="3"/>
      <c r="GV85" s="3"/>
      <c r="GW85" s="3"/>
      <c r="GX85" s="3"/>
      <c r="GY85" s="3"/>
      <c r="GZ85" s="3"/>
      <c r="HA85" s="3"/>
      <c r="HB85" s="3"/>
      <c r="HC85" s="3"/>
      <c r="HE85" s="3"/>
      <c r="HF85" s="3"/>
      <c r="HG85" s="3"/>
      <c r="HH85" s="3"/>
      <c r="HJ85" s="3">
        <v>5996000</v>
      </c>
      <c r="HK85" s="3">
        <v>346423000</v>
      </c>
      <c r="HL85" s="3">
        <v>0</v>
      </c>
      <c r="HM85" s="3">
        <v>183659000</v>
      </c>
      <c r="HN85" s="3">
        <v>536078000</v>
      </c>
      <c r="HO85" s="3">
        <v>5996000</v>
      </c>
      <c r="HP85" s="3">
        <v>270008000</v>
      </c>
      <c r="HQ85" s="3">
        <v>0</v>
      </c>
      <c r="HR85" s="3">
        <v>183659000</v>
      </c>
      <c r="HS85" s="3">
        <v>459663000</v>
      </c>
      <c r="HT85" s="3"/>
      <c r="HU85" s="3"/>
      <c r="HV85" s="3"/>
      <c r="HW85" s="3"/>
      <c r="HX85" s="3"/>
      <c r="HY85" s="3"/>
      <c r="HZ85" s="3"/>
      <c r="IA85" s="3"/>
      <c r="IB85" s="3"/>
      <c r="ID85" s="3"/>
      <c r="IE85" s="3"/>
      <c r="IF85" s="3"/>
      <c r="IG85" s="3"/>
      <c r="IS85" s="3">
        <v>6488000</v>
      </c>
      <c r="IT85" s="3">
        <v>504598000</v>
      </c>
      <c r="IU85" s="3">
        <v>0</v>
      </c>
      <c r="IV85" s="3">
        <v>855516000</v>
      </c>
      <c r="IW85" s="3">
        <v>1366602000</v>
      </c>
      <c r="IX85" s="3">
        <v>6488000</v>
      </c>
      <c r="IY85" s="3">
        <v>542518000</v>
      </c>
      <c r="IZ85" s="3">
        <v>0</v>
      </c>
      <c r="JA85" s="3">
        <v>871288000</v>
      </c>
      <c r="JB85" s="3">
        <v>1420294000</v>
      </c>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v>7362000</v>
      </c>
      <c r="KC85" s="3">
        <v>732010000</v>
      </c>
      <c r="KD85" s="3">
        <v>0</v>
      </c>
      <c r="KE85" s="3">
        <v>535379000</v>
      </c>
      <c r="KF85" s="3">
        <v>1274751000</v>
      </c>
      <c r="KG85" s="3">
        <v>7362000</v>
      </c>
      <c r="KH85" s="3">
        <v>733010000</v>
      </c>
      <c r="KI85" s="3">
        <v>0</v>
      </c>
      <c r="KJ85" s="3">
        <v>536964000</v>
      </c>
      <c r="KK85" s="3">
        <v>1277336000</v>
      </c>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v>5123000</v>
      </c>
      <c r="LL85" s="3">
        <v>706993000</v>
      </c>
      <c r="LM85">
        <v>0</v>
      </c>
      <c r="LN85" s="3">
        <v>1181879000</v>
      </c>
      <c r="LO85" s="3">
        <v>1893995000</v>
      </c>
    </row>
    <row r="86" spans="1:327" x14ac:dyDescent="0.25">
      <c r="A86" t="s">
        <v>943</v>
      </c>
      <c r="B86" t="s">
        <v>944</v>
      </c>
      <c r="C86" t="s">
        <v>556</v>
      </c>
      <c r="D86" t="s">
        <v>975</v>
      </c>
      <c r="E86" t="s">
        <v>217</v>
      </c>
      <c r="F86" t="s">
        <v>954</v>
      </c>
      <c r="G86" t="s">
        <v>1062</v>
      </c>
      <c r="H86" s="3">
        <v>7062000</v>
      </c>
      <c r="I86" s="3">
        <v>46764000</v>
      </c>
      <c r="J86" s="3">
        <v>0</v>
      </c>
      <c r="K86" s="3">
        <v>23910000</v>
      </c>
      <c r="L86" s="3">
        <v>77736000</v>
      </c>
      <c r="M86" s="3">
        <v>7062000</v>
      </c>
      <c r="N86" s="3">
        <v>46764000</v>
      </c>
      <c r="O86" s="3">
        <v>0</v>
      </c>
      <c r="P86" s="3">
        <v>23910000</v>
      </c>
      <c r="Q86" s="3">
        <v>77736000</v>
      </c>
      <c r="R86" s="3"/>
      <c r="S86" s="3"/>
      <c r="T86" s="3"/>
      <c r="U86" s="3"/>
      <c r="V86" s="3"/>
      <c r="W86" s="3"/>
      <c r="X86" s="3"/>
      <c r="Y86" s="3"/>
      <c r="Z86" s="3"/>
      <c r="AA86" s="3"/>
      <c r="AB86" s="3"/>
      <c r="AC86" s="3"/>
      <c r="AD86" s="3"/>
      <c r="AE86" s="3"/>
      <c r="AF86" s="3"/>
      <c r="AG86" s="3"/>
      <c r="AH86" s="3"/>
      <c r="AI86" s="3"/>
      <c r="AJ86" s="3"/>
      <c r="AK86" s="3"/>
      <c r="AL86" s="3"/>
      <c r="AM86" s="3"/>
      <c r="AN86" s="3"/>
      <c r="AO86" s="3"/>
      <c r="AP86" s="3"/>
      <c r="AQ86" s="3">
        <v>8789000</v>
      </c>
      <c r="AR86" s="3">
        <v>26779000</v>
      </c>
      <c r="AS86" s="3">
        <v>0</v>
      </c>
      <c r="AT86" s="3">
        <v>59162000</v>
      </c>
      <c r="AU86" s="3">
        <v>94730000</v>
      </c>
      <c r="AV86" s="3">
        <v>8789000</v>
      </c>
      <c r="AW86" s="3">
        <v>26779000</v>
      </c>
      <c r="AX86" s="3">
        <v>0</v>
      </c>
      <c r="AY86" s="3">
        <v>74162000</v>
      </c>
      <c r="AZ86" s="3">
        <v>109730000</v>
      </c>
      <c r="BA86" s="3"/>
      <c r="BB86" s="3"/>
      <c r="BC86" s="3"/>
      <c r="BD86" s="3"/>
      <c r="BE86" s="3"/>
      <c r="BF86" s="3"/>
      <c r="BG86" s="3"/>
      <c r="BH86" s="3"/>
      <c r="BI86" s="3"/>
      <c r="BJ86" s="3"/>
      <c r="BK86" s="3"/>
      <c r="BL86" s="3"/>
      <c r="BM86" s="3"/>
      <c r="BN86" s="3"/>
      <c r="BO86" s="3"/>
      <c r="BP86" s="3"/>
      <c r="BQ86" s="3"/>
      <c r="BR86" s="3"/>
      <c r="BS86" s="3"/>
      <c r="BU86" s="3"/>
      <c r="BV86" s="3"/>
      <c r="BW86" s="3"/>
      <c r="BX86" s="3"/>
      <c r="BZ86" s="3">
        <v>9064000</v>
      </c>
      <c r="CA86" s="3">
        <v>25604000</v>
      </c>
      <c r="CB86" s="3">
        <v>0</v>
      </c>
      <c r="CC86" s="3">
        <v>6048000</v>
      </c>
      <c r="CD86" s="3">
        <v>40716000</v>
      </c>
      <c r="CE86" s="3">
        <v>9064000</v>
      </c>
      <c r="CF86" s="3">
        <v>25604000</v>
      </c>
      <c r="CG86" s="3">
        <v>0</v>
      </c>
      <c r="CH86" s="3">
        <v>6048000</v>
      </c>
      <c r="CI86" s="3">
        <v>40716000</v>
      </c>
      <c r="CJ86" s="3"/>
      <c r="CK86" s="3"/>
      <c r="CL86" s="3"/>
      <c r="CM86" s="3"/>
      <c r="CN86" s="3"/>
      <c r="CO86" s="3"/>
      <c r="CP86" s="3"/>
      <c r="CQ86" s="3"/>
      <c r="CR86" s="3"/>
      <c r="CS86" s="3"/>
      <c r="CT86" s="3"/>
      <c r="CU86" s="3"/>
      <c r="CV86" s="3"/>
      <c r="CW86" s="3"/>
      <c r="CX86" s="3"/>
      <c r="CY86" s="3"/>
      <c r="CZ86" s="3"/>
      <c r="DA86" s="3"/>
      <c r="DB86" s="3"/>
      <c r="DD86" s="3"/>
      <c r="DE86" s="3"/>
      <c r="DF86" s="3"/>
      <c r="DG86" s="3"/>
      <c r="DI86" s="3">
        <v>12507000</v>
      </c>
      <c r="DJ86" s="3">
        <v>26070000</v>
      </c>
      <c r="DK86" s="3">
        <v>0</v>
      </c>
      <c r="DL86" s="3">
        <v>6230000</v>
      </c>
      <c r="DM86" s="3">
        <v>44807000</v>
      </c>
      <c r="DN86" s="3">
        <v>12507000</v>
      </c>
      <c r="DO86" s="3">
        <v>24765000</v>
      </c>
      <c r="DP86" s="3">
        <v>0</v>
      </c>
      <c r="DQ86" s="3">
        <v>6230000</v>
      </c>
      <c r="DR86" s="3">
        <v>43502000</v>
      </c>
      <c r="DS86" s="3"/>
      <c r="DT86" s="3"/>
      <c r="DU86" s="3"/>
      <c r="DV86" s="3"/>
      <c r="DW86" s="3"/>
      <c r="DX86" s="3"/>
      <c r="DY86" s="3"/>
      <c r="DZ86" s="3"/>
      <c r="EA86" s="3"/>
      <c r="EB86" s="3"/>
      <c r="EC86" s="3"/>
      <c r="ED86" s="3"/>
      <c r="EE86" s="3"/>
      <c r="EF86" s="3"/>
      <c r="EG86" s="3"/>
      <c r="EH86" s="3"/>
      <c r="EI86" s="3"/>
      <c r="EJ86" s="3"/>
      <c r="EK86" s="3"/>
      <c r="EL86" s="3"/>
      <c r="EM86" s="3"/>
      <c r="EN86" s="3"/>
      <c r="EO86" s="3"/>
      <c r="EP86" s="3"/>
      <c r="ER86" s="3">
        <v>17038000</v>
      </c>
      <c r="ES86" s="3">
        <v>26070000</v>
      </c>
      <c r="ET86" s="3">
        <v>0</v>
      </c>
      <c r="EU86" s="3">
        <v>6230000</v>
      </c>
      <c r="EV86" s="3">
        <v>49338000</v>
      </c>
      <c r="EW86" s="3">
        <v>17038000</v>
      </c>
      <c r="EX86" s="3">
        <v>24566000</v>
      </c>
      <c r="EY86" s="3">
        <v>0</v>
      </c>
      <c r="EZ86" s="3">
        <v>6230000</v>
      </c>
      <c r="FA86" s="3">
        <v>47834000</v>
      </c>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v>15563000</v>
      </c>
      <c r="GB86" s="3">
        <v>64768000</v>
      </c>
      <c r="GC86" s="3">
        <v>0</v>
      </c>
      <c r="GD86" s="3">
        <v>76984000</v>
      </c>
      <c r="GE86" s="3">
        <v>157315000</v>
      </c>
      <c r="GF86" s="3">
        <v>15563000</v>
      </c>
      <c r="GG86" s="3">
        <v>64768000</v>
      </c>
      <c r="GH86" s="3">
        <v>0</v>
      </c>
      <c r="GI86" s="3">
        <v>76984000</v>
      </c>
      <c r="GJ86" s="3">
        <v>157315000</v>
      </c>
      <c r="GK86" s="3"/>
      <c r="GL86" s="3"/>
      <c r="GM86" s="3"/>
      <c r="GN86" s="3"/>
      <c r="GO86" s="3"/>
      <c r="GP86" s="3"/>
      <c r="GQ86" s="3"/>
      <c r="GR86" s="3"/>
      <c r="GS86" s="3"/>
      <c r="GU86" s="3"/>
      <c r="GV86" s="3"/>
      <c r="GW86" s="3"/>
      <c r="GX86" s="3"/>
      <c r="GY86" s="3"/>
      <c r="GZ86" s="3"/>
      <c r="HA86" s="3"/>
      <c r="HB86" s="3"/>
      <c r="HC86" s="3"/>
      <c r="HE86" s="3"/>
      <c r="HF86" s="3"/>
      <c r="HG86" s="3"/>
      <c r="HH86" s="3"/>
      <c r="HJ86" s="3">
        <v>18882000</v>
      </c>
      <c r="HK86" s="3">
        <v>22607000</v>
      </c>
      <c r="HL86" s="3">
        <v>0</v>
      </c>
      <c r="HM86" s="3">
        <v>0</v>
      </c>
      <c r="HN86" s="3">
        <v>41489000</v>
      </c>
      <c r="HO86" s="3">
        <v>18882000</v>
      </c>
      <c r="HP86" s="3">
        <v>27607000</v>
      </c>
      <c r="HQ86" s="3">
        <v>0</v>
      </c>
      <c r="HR86" s="3">
        <v>0</v>
      </c>
      <c r="HS86" s="3">
        <v>46489000</v>
      </c>
      <c r="HT86" s="3"/>
      <c r="HU86" s="3"/>
      <c r="HV86" s="3"/>
      <c r="HW86" s="3"/>
      <c r="HX86" s="3"/>
      <c r="HY86" s="3"/>
      <c r="HZ86" s="3"/>
      <c r="IA86" s="3"/>
      <c r="IB86" s="3"/>
      <c r="ID86" s="3"/>
      <c r="IE86" s="3"/>
      <c r="IF86" s="3"/>
      <c r="IG86" s="3"/>
      <c r="IS86" s="3">
        <v>18889000</v>
      </c>
      <c r="IT86" s="3">
        <v>53566000</v>
      </c>
      <c r="IU86" s="3">
        <v>0</v>
      </c>
      <c r="IV86" s="3">
        <v>224448000</v>
      </c>
      <c r="IW86" s="3">
        <v>296903000</v>
      </c>
      <c r="IX86" s="3">
        <v>18889000</v>
      </c>
      <c r="IY86" s="3">
        <v>76874000</v>
      </c>
      <c r="IZ86" s="3">
        <v>0</v>
      </c>
      <c r="JA86" s="3">
        <v>237883000</v>
      </c>
      <c r="JB86" s="3">
        <v>333646000</v>
      </c>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v>20946000</v>
      </c>
      <c r="KC86" s="3">
        <v>23428000</v>
      </c>
      <c r="KD86" s="3">
        <v>0</v>
      </c>
      <c r="KE86" s="3">
        <v>24200000</v>
      </c>
      <c r="KF86" s="3">
        <v>68574000</v>
      </c>
      <c r="KG86" s="3">
        <v>20946000</v>
      </c>
      <c r="KH86" s="3">
        <v>24120000</v>
      </c>
      <c r="KI86" s="3">
        <v>0</v>
      </c>
      <c r="KJ86" s="3">
        <v>29200000</v>
      </c>
      <c r="KK86" s="3">
        <v>74266000</v>
      </c>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v>21941000</v>
      </c>
      <c r="LL86" s="3">
        <v>126299000</v>
      </c>
      <c r="LM86">
        <v>0</v>
      </c>
      <c r="LN86" s="3">
        <v>389950000</v>
      </c>
      <c r="LO86" s="3">
        <v>538190000</v>
      </c>
    </row>
    <row r="87" spans="1:327" x14ac:dyDescent="0.25">
      <c r="A87" t="s">
        <v>943</v>
      </c>
      <c r="B87" t="s">
        <v>944</v>
      </c>
      <c r="C87" t="s">
        <v>556</v>
      </c>
      <c r="D87" t="s">
        <v>975</v>
      </c>
      <c r="E87" t="s">
        <v>217</v>
      </c>
      <c r="F87" t="s">
        <v>962</v>
      </c>
      <c r="G87" t="s">
        <v>1015</v>
      </c>
      <c r="H87" s="3">
        <v>27884000</v>
      </c>
      <c r="I87" s="3">
        <v>48932000</v>
      </c>
      <c r="J87" s="3">
        <v>0</v>
      </c>
      <c r="K87" s="3">
        <v>0</v>
      </c>
      <c r="L87" s="3">
        <v>76816000</v>
      </c>
      <c r="M87" s="3">
        <v>27884000</v>
      </c>
      <c r="N87" s="3">
        <v>48932000</v>
      </c>
      <c r="O87" s="3">
        <v>0</v>
      </c>
      <c r="P87" s="3">
        <v>0</v>
      </c>
      <c r="Q87" s="3">
        <v>76816000</v>
      </c>
      <c r="R87" s="3"/>
      <c r="S87" s="3"/>
      <c r="T87" s="3"/>
      <c r="U87" s="3"/>
      <c r="V87" s="3"/>
      <c r="W87" s="3"/>
      <c r="X87" s="3"/>
      <c r="Y87" s="3"/>
      <c r="Z87" s="3"/>
      <c r="AA87" s="3"/>
      <c r="AB87" s="3"/>
      <c r="AC87" s="3"/>
      <c r="AD87" s="3"/>
      <c r="AE87" s="3"/>
      <c r="AF87" s="3"/>
      <c r="AG87" s="3"/>
      <c r="AH87" s="3"/>
      <c r="AI87" s="3"/>
      <c r="AJ87" s="3"/>
      <c r="AK87" s="3"/>
      <c r="AL87" s="3"/>
      <c r="AM87" s="3"/>
      <c r="AN87" s="3"/>
      <c r="AO87" s="3"/>
      <c r="AP87" s="3"/>
      <c r="AQ87" s="3">
        <v>47599000</v>
      </c>
      <c r="AR87" s="3">
        <v>38854000</v>
      </c>
      <c r="AS87" s="3">
        <v>0</v>
      </c>
      <c r="AT87" s="3">
        <v>0</v>
      </c>
      <c r="AU87" s="3">
        <v>86453000</v>
      </c>
      <c r="AV87" s="3">
        <v>47599000</v>
      </c>
      <c r="AW87" s="3">
        <v>38854000</v>
      </c>
      <c r="AX87" s="3">
        <v>0</v>
      </c>
      <c r="AY87" s="3">
        <v>0</v>
      </c>
      <c r="AZ87" s="3">
        <v>86453000</v>
      </c>
      <c r="BA87" s="3"/>
      <c r="BB87" s="3"/>
      <c r="BC87" s="3"/>
      <c r="BD87" s="3"/>
      <c r="BE87" s="3"/>
      <c r="BF87" s="3"/>
      <c r="BG87" s="3"/>
      <c r="BH87" s="3"/>
      <c r="BI87" s="3"/>
      <c r="BJ87" s="3"/>
      <c r="BK87" s="3"/>
      <c r="BL87" s="3"/>
      <c r="BM87" s="3"/>
      <c r="BN87" s="3"/>
      <c r="BO87" s="3"/>
      <c r="BP87" s="3"/>
      <c r="BQ87" s="3"/>
      <c r="BR87" s="3"/>
      <c r="BS87" s="3"/>
      <c r="BU87" s="3"/>
      <c r="BV87" s="3"/>
      <c r="BW87" s="3"/>
      <c r="BX87" s="3"/>
      <c r="BZ87" s="3">
        <v>59384000</v>
      </c>
      <c r="CA87" s="3">
        <v>37894000</v>
      </c>
      <c r="CB87" s="3">
        <v>0</v>
      </c>
      <c r="CC87" s="3">
        <v>0</v>
      </c>
      <c r="CD87" s="3">
        <v>97278000</v>
      </c>
      <c r="CE87" s="3">
        <v>59384000</v>
      </c>
      <c r="CF87" s="3">
        <v>37894000</v>
      </c>
      <c r="CG87" s="3">
        <v>0</v>
      </c>
      <c r="CH87" s="3">
        <v>0</v>
      </c>
      <c r="CI87" s="3">
        <v>97278000</v>
      </c>
      <c r="CJ87" s="3"/>
      <c r="CK87" s="3"/>
      <c r="CL87" s="3"/>
      <c r="CM87" s="3"/>
      <c r="CN87" s="3"/>
      <c r="CO87" s="3"/>
      <c r="CP87" s="3"/>
      <c r="CQ87" s="3"/>
      <c r="CR87" s="3"/>
      <c r="CS87" s="3"/>
      <c r="CT87" s="3"/>
      <c r="CU87" s="3"/>
      <c r="CV87" s="3"/>
      <c r="CW87" s="3"/>
      <c r="CX87" s="3"/>
      <c r="CY87" s="3"/>
      <c r="CZ87" s="3"/>
      <c r="DA87" s="3"/>
      <c r="DB87" s="3"/>
      <c r="DD87" s="3"/>
      <c r="DE87" s="3"/>
      <c r="DF87" s="3"/>
      <c r="DG87" s="3"/>
      <c r="DI87" s="3">
        <v>73769000</v>
      </c>
      <c r="DJ87" s="3">
        <v>38584000</v>
      </c>
      <c r="DK87" s="3">
        <v>0</v>
      </c>
      <c r="DL87" s="3">
        <v>0</v>
      </c>
      <c r="DM87" s="3">
        <v>112353000</v>
      </c>
      <c r="DN87" s="3">
        <v>73769000</v>
      </c>
      <c r="DO87" s="3">
        <v>21225000</v>
      </c>
      <c r="DP87" s="3">
        <v>0</v>
      </c>
      <c r="DQ87" s="3">
        <v>0</v>
      </c>
      <c r="DR87" s="3">
        <v>94994000</v>
      </c>
      <c r="DS87" s="3"/>
      <c r="DT87" s="3"/>
      <c r="DU87" s="3"/>
      <c r="DV87" s="3"/>
      <c r="DW87" s="3"/>
      <c r="DX87" s="3"/>
      <c r="DY87" s="3"/>
      <c r="DZ87" s="3"/>
      <c r="EA87" s="3"/>
      <c r="EB87" s="3"/>
      <c r="EC87" s="3"/>
      <c r="ED87" s="3"/>
      <c r="EE87" s="3"/>
      <c r="EF87" s="3"/>
      <c r="EG87" s="3"/>
      <c r="EH87" s="3"/>
      <c r="EI87" s="3"/>
      <c r="EJ87" s="3"/>
      <c r="EK87" s="3"/>
      <c r="EL87" s="3"/>
      <c r="EM87" s="3"/>
      <c r="EN87" s="3"/>
      <c r="EO87" s="3"/>
      <c r="EP87" s="3"/>
      <c r="ER87" s="3">
        <v>68847000</v>
      </c>
      <c r="ES87" s="3">
        <v>38584000</v>
      </c>
      <c r="ET87" s="3">
        <v>0</v>
      </c>
      <c r="EU87" s="3">
        <v>0</v>
      </c>
      <c r="EV87" s="3">
        <v>107431000</v>
      </c>
      <c r="EW87" s="3">
        <v>68847000</v>
      </c>
      <c r="EX87" s="3">
        <v>34370000</v>
      </c>
      <c r="EY87" s="3">
        <v>0</v>
      </c>
      <c r="EZ87" s="3">
        <v>0</v>
      </c>
      <c r="FA87" s="3">
        <v>103217000</v>
      </c>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v>78384000</v>
      </c>
      <c r="GB87" s="3">
        <v>39654000</v>
      </c>
      <c r="GC87" s="3">
        <v>0</v>
      </c>
      <c r="GD87" s="3">
        <v>0</v>
      </c>
      <c r="GE87" s="3">
        <v>118038000</v>
      </c>
      <c r="GF87" s="3">
        <v>78384000</v>
      </c>
      <c r="GG87" s="3">
        <v>39654000</v>
      </c>
      <c r="GH87" s="3">
        <v>0</v>
      </c>
      <c r="GI87" s="3">
        <v>0</v>
      </c>
      <c r="GJ87" s="3">
        <v>118038000</v>
      </c>
      <c r="GK87" s="3"/>
      <c r="GL87" s="3"/>
      <c r="GM87" s="3"/>
      <c r="GN87" s="3"/>
      <c r="GO87" s="3"/>
      <c r="GP87" s="3"/>
      <c r="GQ87" s="3"/>
      <c r="GR87" s="3"/>
      <c r="GS87" s="3"/>
      <c r="GU87" s="3"/>
      <c r="GV87" s="3"/>
      <c r="GW87" s="3"/>
      <c r="GX87" s="3"/>
      <c r="GY87" s="3"/>
      <c r="GZ87" s="3"/>
      <c r="HA87" s="3"/>
      <c r="HB87" s="3"/>
      <c r="HC87" s="3"/>
      <c r="HE87" s="3"/>
      <c r="HF87" s="3"/>
      <c r="HG87" s="3"/>
      <c r="HH87" s="3"/>
      <c r="HJ87" s="3">
        <v>76773000</v>
      </c>
      <c r="HK87" s="3">
        <v>42179000</v>
      </c>
      <c r="HL87" s="3">
        <v>0</v>
      </c>
      <c r="HM87" s="3">
        <v>0</v>
      </c>
      <c r="HN87" s="3">
        <v>118952000</v>
      </c>
      <c r="HO87" s="3">
        <v>76773000</v>
      </c>
      <c r="HP87" s="3">
        <v>42179000</v>
      </c>
      <c r="HQ87" s="3">
        <v>0</v>
      </c>
      <c r="HR87" s="3">
        <v>0</v>
      </c>
      <c r="HS87" s="3">
        <v>118952000</v>
      </c>
      <c r="HT87" s="3"/>
      <c r="HU87" s="3"/>
      <c r="HV87" s="3"/>
      <c r="HW87" s="3"/>
      <c r="HX87" s="3"/>
      <c r="HY87" s="3"/>
      <c r="HZ87" s="3"/>
      <c r="IA87" s="3"/>
      <c r="IB87" s="3"/>
      <c r="ID87" s="3"/>
      <c r="IE87" s="3"/>
      <c r="IF87" s="3"/>
      <c r="IG87" s="3"/>
      <c r="IS87" s="3">
        <v>82739000</v>
      </c>
      <c r="IT87" s="3">
        <v>42939000</v>
      </c>
      <c r="IU87" s="3">
        <v>0</v>
      </c>
      <c r="IV87" s="3">
        <v>0</v>
      </c>
      <c r="IW87" s="3">
        <v>125678000</v>
      </c>
      <c r="IX87" s="3">
        <v>82739000</v>
      </c>
      <c r="IY87" s="3">
        <v>42939000</v>
      </c>
      <c r="IZ87" s="3">
        <v>0</v>
      </c>
      <c r="JA87" s="3">
        <v>0</v>
      </c>
      <c r="JB87" s="3">
        <v>125678000</v>
      </c>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v>101584000</v>
      </c>
      <c r="KC87" s="3">
        <v>43712000</v>
      </c>
      <c r="KD87" s="3">
        <v>0</v>
      </c>
      <c r="KE87" s="3">
        <v>0</v>
      </c>
      <c r="KF87" s="3">
        <v>145296000</v>
      </c>
      <c r="KG87" s="3">
        <v>101584000</v>
      </c>
      <c r="KH87" s="3">
        <v>44122000</v>
      </c>
      <c r="KI87" s="3">
        <v>0</v>
      </c>
      <c r="KJ87" s="3">
        <v>0</v>
      </c>
      <c r="KK87" s="3">
        <v>145706000</v>
      </c>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v>109429000</v>
      </c>
      <c r="LL87" s="3">
        <v>44499000</v>
      </c>
      <c r="LM87">
        <v>0</v>
      </c>
      <c r="LN87">
        <v>0</v>
      </c>
      <c r="LO87" s="3">
        <v>153928000</v>
      </c>
    </row>
    <row r="88" spans="1:327" x14ac:dyDescent="0.25">
      <c r="A88" t="s">
        <v>943</v>
      </c>
      <c r="B88" t="s">
        <v>944</v>
      </c>
      <c r="C88" t="s">
        <v>556</v>
      </c>
      <c r="D88" t="s">
        <v>975</v>
      </c>
      <c r="E88" t="s">
        <v>217</v>
      </c>
      <c r="F88" s="4" t="s">
        <v>977</v>
      </c>
      <c r="G88" t="s">
        <v>1110</v>
      </c>
      <c r="H88" s="3">
        <v>0</v>
      </c>
      <c r="I88" s="3">
        <v>260000000</v>
      </c>
      <c r="J88" s="3">
        <v>0</v>
      </c>
      <c r="K88" s="3">
        <v>10000000</v>
      </c>
      <c r="L88" s="3">
        <v>270000000</v>
      </c>
      <c r="M88" s="3">
        <v>0</v>
      </c>
      <c r="N88" s="3">
        <v>260000000</v>
      </c>
      <c r="O88" s="3">
        <v>0</v>
      </c>
      <c r="P88" s="3">
        <v>10000000</v>
      </c>
      <c r="Q88" s="3">
        <v>270000000</v>
      </c>
      <c r="R88" s="3"/>
      <c r="S88" s="3"/>
      <c r="T88" s="3"/>
      <c r="U88" s="3"/>
      <c r="V88" s="3"/>
      <c r="W88" s="3"/>
      <c r="X88" s="3"/>
      <c r="Y88" s="3"/>
      <c r="Z88" s="3"/>
      <c r="AA88" s="3"/>
      <c r="AB88" s="3"/>
      <c r="AC88" s="3"/>
      <c r="AD88" s="3"/>
      <c r="AE88" s="3"/>
      <c r="AF88" s="3"/>
      <c r="AG88" s="3"/>
      <c r="AH88" s="3"/>
      <c r="AI88" s="3"/>
      <c r="AJ88" s="3"/>
      <c r="AK88" s="3"/>
      <c r="AL88" s="3"/>
      <c r="AM88" s="3"/>
      <c r="AN88" s="3"/>
      <c r="AO88" s="3"/>
      <c r="AP88" s="3"/>
      <c r="AQ88" s="3">
        <v>0</v>
      </c>
      <c r="AR88" s="3">
        <v>363000000</v>
      </c>
      <c r="AS88" s="3">
        <v>0</v>
      </c>
      <c r="AT88" s="3">
        <v>10000000</v>
      </c>
      <c r="AU88" s="3">
        <v>373000000</v>
      </c>
      <c r="AV88" s="3">
        <v>0</v>
      </c>
      <c r="AW88" s="3">
        <v>363000000</v>
      </c>
      <c r="AX88" s="3">
        <v>0</v>
      </c>
      <c r="AY88" s="3">
        <v>10000000</v>
      </c>
      <c r="AZ88" s="3">
        <v>373000000</v>
      </c>
      <c r="BA88" s="3"/>
      <c r="BB88" s="3"/>
      <c r="BC88" s="3"/>
      <c r="BD88" s="3"/>
      <c r="BE88" s="3"/>
      <c r="BF88" s="3"/>
      <c r="BG88" s="3"/>
      <c r="BH88" s="3"/>
      <c r="BI88" s="3"/>
      <c r="BJ88" s="3"/>
      <c r="BK88" s="3"/>
      <c r="BL88" s="3"/>
      <c r="BM88" s="3"/>
      <c r="BN88" s="3"/>
      <c r="BO88" s="3"/>
      <c r="BP88" s="3"/>
      <c r="BQ88" s="3"/>
      <c r="BR88" s="3"/>
      <c r="BS88" s="3"/>
      <c r="BU88" s="3"/>
      <c r="BV88" s="3"/>
      <c r="BW88" s="3"/>
      <c r="BX88" s="3"/>
      <c r="BZ88" s="3">
        <v>0</v>
      </c>
      <c r="CA88" s="3">
        <v>213000000</v>
      </c>
      <c r="CB88" s="3">
        <v>0</v>
      </c>
      <c r="CC88" s="3">
        <v>10000000</v>
      </c>
      <c r="CD88" s="3">
        <v>223000000</v>
      </c>
      <c r="CE88" s="3">
        <v>0</v>
      </c>
      <c r="CF88" s="3">
        <v>213000000</v>
      </c>
      <c r="CG88" s="3">
        <v>0</v>
      </c>
      <c r="CH88" s="3">
        <v>10000000</v>
      </c>
      <c r="CI88" s="3">
        <v>223000000</v>
      </c>
      <c r="CJ88" s="3"/>
      <c r="CK88" s="3"/>
      <c r="CL88" s="3"/>
      <c r="CM88" s="3"/>
      <c r="CN88" s="3"/>
      <c r="CO88" s="3"/>
      <c r="CP88" s="3"/>
      <c r="CQ88" s="3"/>
      <c r="CR88" s="3"/>
      <c r="CS88" s="3"/>
      <c r="CT88" s="3"/>
      <c r="CU88" s="3"/>
      <c r="CV88" s="3"/>
      <c r="CW88" s="3"/>
      <c r="CX88" s="3"/>
      <c r="CY88" s="3"/>
      <c r="CZ88" s="3"/>
      <c r="DA88" s="3"/>
      <c r="DB88" s="3"/>
      <c r="DD88" s="3"/>
      <c r="DE88" s="3"/>
      <c r="DF88" s="3"/>
      <c r="DG88" s="3"/>
      <c r="DI88" s="3">
        <v>0</v>
      </c>
      <c r="DJ88" s="3">
        <v>123135000</v>
      </c>
      <c r="DK88" s="3">
        <v>0</v>
      </c>
      <c r="DL88" s="3">
        <v>4500000</v>
      </c>
      <c r="DM88" s="3">
        <v>127635000</v>
      </c>
      <c r="DN88" s="3">
        <v>0</v>
      </c>
      <c r="DO88" s="3">
        <v>123135000</v>
      </c>
      <c r="DP88" s="3">
        <v>0</v>
      </c>
      <c r="DQ88" s="3">
        <v>4500000</v>
      </c>
      <c r="DR88" s="3">
        <v>127635000</v>
      </c>
      <c r="DS88" s="3"/>
      <c r="DT88" s="3"/>
      <c r="DU88" s="3"/>
      <c r="DV88" s="3"/>
      <c r="DW88" s="3"/>
      <c r="DX88" s="3"/>
      <c r="DY88" s="3"/>
      <c r="DZ88" s="3"/>
      <c r="EA88" s="3"/>
      <c r="EB88" s="3"/>
      <c r="EC88" s="3"/>
      <c r="ED88" s="3"/>
      <c r="EE88" s="3"/>
      <c r="EF88" s="3"/>
      <c r="EG88" s="3"/>
      <c r="EH88" s="3"/>
      <c r="EI88" s="3"/>
      <c r="EJ88" s="3"/>
      <c r="EK88" s="3"/>
      <c r="EL88" s="3"/>
      <c r="EM88" s="3"/>
      <c r="EN88" s="3"/>
      <c r="EO88" s="3"/>
      <c r="EP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U88" s="3"/>
      <c r="GV88" s="3"/>
      <c r="GW88" s="3"/>
      <c r="GX88" s="3"/>
      <c r="GY88" s="3"/>
      <c r="GZ88" s="3"/>
      <c r="HA88" s="3"/>
      <c r="HB88" s="3"/>
      <c r="HC88" s="3"/>
      <c r="HE88" s="3"/>
      <c r="HF88" s="3"/>
      <c r="HG88" s="3"/>
      <c r="HH88" s="3"/>
      <c r="HJ88" s="3"/>
      <c r="HK88" s="3"/>
      <c r="HL88" s="3"/>
      <c r="HM88" s="3"/>
      <c r="HN88" s="3"/>
      <c r="HO88" s="3"/>
      <c r="HP88" s="3"/>
      <c r="HQ88" s="3"/>
      <c r="HR88" s="3"/>
      <c r="HS88" s="3"/>
      <c r="HT88" s="3"/>
      <c r="HU88" s="3"/>
      <c r="HV88" s="3"/>
      <c r="HW88" s="3"/>
      <c r="HX88" s="3"/>
      <c r="HY88" s="3"/>
      <c r="HZ88" s="3"/>
      <c r="IA88" s="3"/>
      <c r="IB88" s="3"/>
      <c r="ID88" s="3"/>
      <c r="IE88" s="3"/>
      <c r="IF88" s="3"/>
      <c r="IG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c r="KS88" s="3"/>
      <c r="KT88" s="3"/>
      <c r="KU88" s="3"/>
      <c r="KV88" s="3"/>
      <c r="KW88" s="3"/>
      <c r="KX88" s="3"/>
      <c r="KY88" s="3"/>
      <c r="KZ88" s="3"/>
      <c r="LA88" s="3"/>
      <c r="LB88" s="3"/>
      <c r="LC88" s="3"/>
      <c r="LD88" s="3"/>
      <c r="LE88" s="3"/>
      <c r="LF88" s="3"/>
      <c r="LG88" s="3"/>
      <c r="LH88" s="3"/>
      <c r="LI88" s="3"/>
      <c r="LJ88" s="3"/>
      <c r="LK88" s="3">
        <v>0</v>
      </c>
      <c r="LL88" s="3">
        <v>585071000</v>
      </c>
      <c r="LM88" s="3">
        <v>0</v>
      </c>
      <c r="LN88" s="3">
        <v>1679000</v>
      </c>
      <c r="LO88" s="3">
        <v>586750000</v>
      </c>
    </row>
    <row r="89" spans="1:327" x14ac:dyDescent="0.25">
      <c r="A89" t="s">
        <v>943</v>
      </c>
      <c r="B89" t="s">
        <v>944</v>
      </c>
      <c r="C89" t="s">
        <v>556</v>
      </c>
      <c r="D89" t="s">
        <v>975</v>
      </c>
      <c r="E89" t="s">
        <v>217</v>
      </c>
      <c r="F89" s="4" t="s">
        <v>1111</v>
      </c>
      <c r="G89" t="s">
        <v>1112</v>
      </c>
      <c r="H89" s="3">
        <v>0</v>
      </c>
      <c r="I89" s="3">
        <v>0</v>
      </c>
      <c r="J89" s="3">
        <v>0</v>
      </c>
      <c r="K89" s="3">
        <v>0</v>
      </c>
      <c r="L89" s="3">
        <v>0</v>
      </c>
      <c r="M89" s="3">
        <v>0</v>
      </c>
      <c r="N89" s="3">
        <v>1550000</v>
      </c>
      <c r="O89" s="3">
        <v>0</v>
      </c>
      <c r="P89" s="3">
        <v>3450000</v>
      </c>
      <c r="Q89" s="3">
        <v>5000000</v>
      </c>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U89" s="3"/>
      <c r="BV89" s="3"/>
      <c r="BW89" s="3"/>
      <c r="BX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D89" s="3"/>
      <c r="DE89" s="3"/>
      <c r="DF89" s="3"/>
      <c r="DG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U89" s="3"/>
      <c r="GV89" s="3"/>
      <c r="GW89" s="3"/>
      <c r="GX89" s="3"/>
      <c r="GY89" s="3"/>
      <c r="GZ89" s="3"/>
      <c r="HA89" s="3"/>
      <c r="HB89" s="3"/>
      <c r="HC89" s="3"/>
      <c r="HE89" s="3"/>
      <c r="HF89" s="3"/>
      <c r="HG89" s="3"/>
      <c r="HH89" s="3"/>
      <c r="HJ89" s="3"/>
      <c r="HK89" s="3"/>
      <c r="HL89" s="3"/>
      <c r="HM89" s="3"/>
      <c r="HN89" s="3"/>
      <c r="HO89" s="3"/>
      <c r="HP89" s="3"/>
      <c r="HQ89" s="3"/>
      <c r="HR89" s="3"/>
      <c r="HS89" s="3"/>
      <c r="HT89" s="3"/>
      <c r="HU89" s="3"/>
      <c r="HV89" s="3"/>
      <c r="HW89" s="3"/>
      <c r="HX89" s="3"/>
      <c r="HY89" s="3"/>
      <c r="HZ89" s="3"/>
      <c r="IA89" s="3"/>
      <c r="IB89" s="3"/>
      <c r="ID89" s="3"/>
      <c r="IE89" s="3"/>
      <c r="IF89" s="3"/>
      <c r="IG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row>
    <row r="90" spans="1:327" x14ac:dyDescent="0.25">
      <c r="A90" t="s">
        <v>943</v>
      </c>
      <c r="B90" t="s">
        <v>944</v>
      </c>
      <c r="C90" t="s">
        <v>556</v>
      </c>
      <c r="D90" t="s">
        <v>975</v>
      </c>
      <c r="E90" t="s">
        <v>217</v>
      </c>
      <c r="F90" s="4" t="s">
        <v>1113</v>
      </c>
      <c r="G90" t="s">
        <v>1117</v>
      </c>
      <c r="H90" s="3">
        <v>0</v>
      </c>
      <c r="I90" s="3">
        <v>0</v>
      </c>
      <c r="J90" s="3">
        <v>0</v>
      </c>
      <c r="K90" s="3">
        <v>0</v>
      </c>
      <c r="L90" s="3">
        <v>0</v>
      </c>
      <c r="M90" s="3">
        <v>0</v>
      </c>
      <c r="N90" s="3">
        <v>0</v>
      </c>
      <c r="O90" s="3">
        <v>0</v>
      </c>
      <c r="P90" s="3">
        <v>3000000</v>
      </c>
      <c r="Q90" s="3">
        <v>3000000</v>
      </c>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U90" s="3"/>
      <c r="BV90" s="3"/>
      <c r="BW90" s="3"/>
      <c r="BX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D90" s="3"/>
      <c r="DE90" s="3"/>
      <c r="DF90" s="3"/>
      <c r="DG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U90" s="3"/>
      <c r="GV90" s="3"/>
      <c r="GW90" s="3"/>
      <c r="GX90" s="3"/>
      <c r="GY90" s="3"/>
      <c r="GZ90" s="3"/>
      <c r="HA90" s="3"/>
      <c r="HB90" s="3"/>
      <c r="HC90" s="3"/>
      <c r="HE90" s="3"/>
      <c r="HF90" s="3"/>
      <c r="HG90" s="3"/>
      <c r="HH90" s="3"/>
      <c r="HJ90" s="3"/>
      <c r="HK90" s="3"/>
      <c r="HL90" s="3"/>
      <c r="HM90" s="3"/>
      <c r="HN90" s="3"/>
      <c r="HO90" s="3"/>
      <c r="HP90" s="3"/>
      <c r="HQ90" s="3"/>
      <c r="HR90" s="3"/>
      <c r="HS90" s="3"/>
      <c r="HT90" s="3"/>
      <c r="HU90" s="3"/>
      <c r="HV90" s="3"/>
      <c r="HW90" s="3"/>
      <c r="HX90" s="3"/>
      <c r="HY90" s="3"/>
      <c r="HZ90" s="3"/>
      <c r="IA90" s="3"/>
      <c r="IB90" s="3"/>
      <c r="ID90" s="3"/>
      <c r="IE90" s="3"/>
      <c r="IF90" s="3"/>
      <c r="IG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row>
    <row r="91" spans="1:327" x14ac:dyDescent="0.25">
      <c r="A91" t="s">
        <v>943</v>
      </c>
      <c r="B91" t="s">
        <v>944</v>
      </c>
      <c r="C91" t="s">
        <v>556</v>
      </c>
      <c r="D91" t="s">
        <v>975</v>
      </c>
      <c r="E91" t="s">
        <v>217</v>
      </c>
      <c r="F91" s="4" t="s">
        <v>1114</v>
      </c>
      <c r="G91" t="s">
        <v>1118</v>
      </c>
      <c r="H91" s="3">
        <v>0</v>
      </c>
      <c r="I91" s="3">
        <v>0</v>
      </c>
      <c r="J91" s="3">
        <v>0</v>
      </c>
      <c r="K91" s="3">
        <v>0</v>
      </c>
      <c r="L91" s="3">
        <v>0</v>
      </c>
      <c r="M91" s="3">
        <v>0</v>
      </c>
      <c r="N91" s="3">
        <v>0</v>
      </c>
      <c r="O91" s="3">
        <v>0</v>
      </c>
      <c r="P91" s="3">
        <v>3000000</v>
      </c>
      <c r="Q91" s="3">
        <v>3000000</v>
      </c>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U91" s="3"/>
      <c r="BV91" s="3"/>
      <c r="BW91" s="3"/>
      <c r="BX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D91" s="3"/>
      <c r="DE91" s="3"/>
      <c r="DF91" s="3"/>
      <c r="DG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U91" s="3"/>
      <c r="GV91" s="3"/>
      <c r="GW91" s="3"/>
      <c r="GX91" s="3"/>
      <c r="GY91" s="3"/>
      <c r="GZ91" s="3"/>
      <c r="HA91" s="3"/>
      <c r="HB91" s="3"/>
      <c r="HC91" s="3"/>
      <c r="HE91" s="3"/>
      <c r="HF91" s="3"/>
      <c r="HG91" s="3"/>
      <c r="HH91" s="3"/>
      <c r="HJ91" s="3"/>
      <c r="HK91" s="3"/>
      <c r="HL91" s="3"/>
      <c r="HM91" s="3"/>
      <c r="HN91" s="3"/>
      <c r="HO91" s="3"/>
      <c r="HP91" s="3"/>
      <c r="HQ91" s="3"/>
      <c r="HR91" s="3"/>
      <c r="HS91" s="3"/>
      <c r="HT91" s="3"/>
      <c r="HU91" s="3"/>
      <c r="HV91" s="3"/>
      <c r="HW91" s="3"/>
      <c r="HX91" s="3"/>
      <c r="HY91" s="3"/>
      <c r="HZ91" s="3"/>
      <c r="IA91" s="3"/>
      <c r="IB91" s="3"/>
      <c r="ID91" s="3"/>
      <c r="IE91" s="3"/>
      <c r="IF91" s="3"/>
      <c r="IG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row>
    <row r="92" spans="1:327" x14ac:dyDescent="0.25">
      <c r="A92" t="s">
        <v>943</v>
      </c>
      <c r="B92" t="s">
        <v>944</v>
      </c>
      <c r="C92" t="s">
        <v>556</v>
      </c>
      <c r="D92" t="s">
        <v>975</v>
      </c>
      <c r="E92" t="s">
        <v>217</v>
      </c>
      <c r="F92" s="4" t="s">
        <v>1115</v>
      </c>
      <c r="G92" t="s">
        <v>1119</v>
      </c>
      <c r="H92" s="3">
        <v>0</v>
      </c>
      <c r="I92" s="3">
        <v>0</v>
      </c>
      <c r="J92" s="3">
        <v>0</v>
      </c>
      <c r="K92" s="3">
        <v>0</v>
      </c>
      <c r="L92" s="3">
        <v>0</v>
      </c>
      <c r="M92" s="3">
        <v>0</v>
      </c>
      <c r="N92" s="3">
        <v>0</v>
      </c>
      <c r="O92" s="3">
        <v>0</v>
      </c>
      <c r="P92" s="3">
        <v>3000000</v>
      </c>
      <c r="Q92" s="3">
        <v>3000000</v>
      </c>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U92" s="3"/>
      <c r="BV92" s="3"/>
      <c r="BW92" s="3"/>
      <c r="BX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D92" s="3"/>
      <c r="DE92" s="3"/>
      <c r="DF92" s="3"/>
      <c r="DG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U92" s="3"/>
      <c r="GV92" s="3"/>
      <c r="GW92" s="3"/>
      <c r="GX92" s="3"/>
      <c r="GY92" s="3"/>
      <c r="GZ92" s="3"/>
      <c r="HA92" s="3"/>
      <c r="HB92" s="3"/>
      <c r="HC92" s="3"/>
      <c r="HE92" s="3"/>
      <c r="HF92" s="3"/>
      <c r="HG92" s="3"/>
      <c r="HH92" s="3"/>
      <c r="HJ92" s="3"/>
      <c r="HK92" s="3"/>
      <c r="HL92" s="3"/>
      <c r="HM92" s="3"/>
      <c r="HN92" s="3"/>
      <c r="HO92" s="3"/>
      <c r="HP92" s="3"/>
      <c r="HQ92" s="3"/>
      <c r="HR92" s="3"/>
      <c r="HS92" s="3"/>
      <c r="HT92" s="3"/>
      <c r="HU92" s="3"/>
      <c r="HV92" s="3"/>
      <c r="HW92" s="3"/>
      <c r="HX92" s="3"/>
      <c r="HY92" s="3"/>
      <c r="HZ92" s="3"/>
      <c r="IA92" s="3"/>
      <c r="IB92" s="3"/>
      <c r="ID92" s="3"/>
      <c r="IE92" s="3"/>
      <c r="IF92" s="3"/>
      <c r="IG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row>
    <row r="93" spans="1:327" x14ac:dyDescent="0.25">
      <c r="A93" t="s">
        <v>943</v>
      </c>
      <c r="B93" t="s">
        <v>944</v>
      </c>
      <c r="C93" t="s">
        <v>556</v>
      </c>
      <c r="D93" t="s">
        <v>975</v>
      </c>
      <c r="E93" t="s">
        <v>217</v>
      </c>
      <c r="F93" s="4" t="s">
        <v>1116</v>
      </c>
      <c r="G93" t="s">
        <v>1120</v>
      </c>
      <c r="H93" s="3">
        <v>0</v>
      </c>
      <c r="I93" s="3">
        <v>0</v>
      </c>
      <c r="J93" s="3">
        <v>0</v>
      </c>
      <c r="K93" s="3">
        <v>0</v>
      </c>
      <c r="L93" s="3">
        <v>0</v>
      </c>
      <c r="M93" s="3">
        <v>0</v>
      </c>
      <c r="N93" s="3">
        <v>0</v>
      </c>
      <c r="O93" s="3">
        <v>0</v>
      </c>
      <c r="P93" s="3">
        <v>3000000</v>
      </c>
      <c r="Q93" s="3">
        <v>3000000</v>
      </c>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U93" s="3"/>
      <c r="BV93" s="3"/>
      <c r="BW93" s="3"/>
      <c r="BX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D93" s="3"/>
      <c r="DE93" s="3"/>
      <c r="DF93" s="3"/>
      <c r="DG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U93" s="3"/>
      <c r="GV93" s="3"/>
      <c r="GW93" s="3"/>
      <c r="GX93" s="3"/>
      <c r="GY93" s="3"/>
      <c r="GZ93" s="3"/>
      <c r="HA93" s="3"/>
      <c r="HB93" s="3"/>
      <c r="HC93" s="3"/>
      <c r="HE93" s="3"/>
      <c r="HF93" s="3"/>
      <c r="HG93" s="3"/>
      <c r="HH93" s="3"/>
      <c r="HJ93" s="3"/>
      <c r="HK93" s="3"/>
      <c r="HL93" s="3"/>
      <c r="HM93" s="3"/>
      <c r="HN93" s="3"/>
      <c r="HO93" s="3"/>
      <c r="HP93" s="3"/>
      <c r="HQ93" s="3"/>
      <c r="HR93" s="3"/>
      <c r="HS93" s="3"/>
      <c r="HT93" s="3"/>
      <c r="HU93" s="3"/>
      <c r="HV93" s="3"/>
      <c r="HW93" s="3"/>
      <c r="HX93" s="3"/>
      <c r="HY93" s="3"/>
      <c r="HZ93" s="3"/>
      <c r="IA93" s="3"/>
      <c r="IB93" s="3"/>
      <c r="ID93" s="3"/>
      <c r="IE93" s="3"/>
      <c r="IF93" s="3"/>
      <c r="IG93" s="3"/>
      <c r="IS93" s="3"/>
      <c r="IT93" s="3"/>
      <c r="IU93" s="3"/>
      <c r="IV93" s="3"/>
      <c r="IW93" s="3"/>
      <c r="IX93" s="3"/>
      <c r="IY93" s="3"/>
      <c r="IZ93" s="3"/>
      <c r="JA93" s="3"/>
      <c r="JB93" s="3"/>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row>
    <row r="94" spans="1:327" x14ac:dyDescent="0.25">
      <c r="A94" t="s">
        <v>943</v>
      </c>
      <c r="B94" t="s">
        <v>944</v>
      </c>
      <c r="C94" t="s">
        <v>556</v>
      </c>
      <c r="D94" t="s">
        <v>975</v>
      </c>
      <c r="E94" t="s">
        <v>217</v>
      </c>
      <c r="F94" t="s">
        <v>978</v>
      </c>
      <c r="G94" t="s">
        <v>1070</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U94" s="3"/>
      <c r="BV94" s="3"/>
      <c r="BW94" s="3"/>
      <c r="BX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D94" s="3"/>
      <c r="DE94" s="3"/>
      <c r="DF94" s="3"/>
      <c r="DG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v>0</v>
      </c>
      <c r="GB94" s="3">
        <v>586750000</v>
      </c>
      <c r="GC94" s="3">
        <v>0</v>
      </c>
      <c r="GD94" s="3">
        <v>0</v>
      </c>
      <c r="GE94" s="3">
        <v>586750000</v>
      </c>
      <c r="GF94" s="3">
        <v>0</v>
      </c>
      <c r="GG94" s="3">
        <v>486750000</v>
      </c>
      <c r="GH94" s="3">
        <v>0</v>
      </c>
      <c r="GI94" s="3">
        <v>0</v>
      </c>
      <c r="GJ94" s="3">
        <v>486750000</v>
      </c>
      <c r="GK94" s="3"/>
      <c r="GL94" s="3"/>
      <c r="GM94" s="3"/>
      <c r="GN94" s="3"/>
      <c r="GO94" s="3"/>
      <c r="GP94" s="3"/>
      <c r="GQ94" s="3"/>
      <c r="GR94" s="3"/>
      <c r="GS94" s="3"/>
      <c r="GU94" s="3"/>
      <c r="GV94" s="3"/>
      <c r="GW94" s="3"/>
      <c r="GX94" s="3"/>
      <c r="GY94" s="3"/>
      <c r="GZ94" s="3"/>
      <c r="HA94" s="3"/>
      <c r="HB94" s="3"/>
      <c r="HC94" s="3"/>
      <c r="HE94" s="3"/>
      <c r="HF94" s="3"/>
      <c r="HG94" s="3"/>
      <c r="HH94" s="3"/>
      <c r="HJ94" s="3">
        <v>0</v>
      </c>
      <c r="HK94" s="3">
        <v>586750000</v>
      </c>
      <c r="HL94" s="3">
        <v>0</v>
      </c>
      <c r="HM94" s="3">
        <v>0</v>
      </c>
      <c r="HN94" s="3">
        <v>586750000</v>
      </c>
      <c r="HO94" s="3">
        <v>0</v>
      </c>
      <c r="HP94" s="3">
        <v>486750000</v>
      </c>
      <c r="HQ94" s="3">
        <v>0</v>
      </c>
      <c r="HR94" s="3">
        <v>0</v>
      </c>
      <c r="HS94" s="3">
        <v>486750000</v>
      </c>
      <c r="HT94" s="3"/>
      <c r="HU94" s="3"/>
      <c r="HV94" s="3"/>
      <c r="HW94" s="3"/>
      <c r="HX94" s="3"/>
      <c r="HY94" s="3"/>
      <c r="HZ94" s="3"/>
      <c r="IA94" s="3"/>
      <c r="IB94" s="3"/>
      <c r="ID94" s="3"/>
      <c r="IE94" s="3"/>
      <c r="IF94" s="3"/>
      <c r="IG94" s="3"/>
      <c r="IS94" s="3">
        <v>0</v>
      </c>
      <c r="IT94" s="3">
        <v>563440000</v>
      </c>
      <c r="IU94" s="3">
        <v>0</v>
      </c>
      <c r="IV94" s="3">
        <v>23310000</v>
      </c>
      <c r="IW94" s="3">
        <v>586750000</v>
      </c>
      <c r="IX94" s="3">
        <v>0</v>
      </c>
      <c r="IY94" s="3">
        <v>563440000</v>
      </c>
      <c r="IZ94" s="3">
        <v>0</v>
      </c>
      <c r="JA94" s="3">
        <v>23310000</v>
      </c>
      <c r="JB94" s="3">
        <v>586750000</v>
      </c>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v>0</v>
      </c>
      <c r="KC94" s="3">
        <v>586750000</v>
      </c>
      <c r="KD94" s="3">
        <v>0</v>
      </c>
      <c r="KE94" s="3">
        <v>0</v>
      </c>
      <c r="KF94" s="3">
        <v>586750000</v>
      </c>
      <c r="KG94" s="3">
        <v>0</v>
      </c>
      <c r="KH94" s="3">
        <v>586750000</v>
      </c>
      <c r="KI94" s="3">
        <v>0</v>
      </c>
      <c r="KJ94" s="3">
        <v>0</v>
      </c>
      <c r="KK94" s="3">
        <v>586750000</v>
      </c>
      <c r="KL94" s="3"/>
      <c r="KM94" s="3"/>
      <c r="KN94" s="3"/>
      <c r="KO94" s="3"/>
      <c r="KP94" s="3"/>
      <c r="KQ94" s="3"/>
      <c r="KR94" s="3"/>
      <c r="KS94" s="3"/>
      <c r="KT94" s="3"/>
      <c r="KU94" s="3"/>
      <c r="KV94" s="3"/>
      <c r="KW94" s="3"/>
      <c r="KX94" s="3"/>
      <c r="KY94" s="3"/>
      <c r="KZ94" s="3"/>
      <c r="LA94" s="3"/>
      <c r="LB94" s="3"/>
      <c r="LC94" s="3"/>
      <c r="LD94" s="3"/>
      <c r="LE94" s="3"/>
      <c r="LF94" s="3"/>
      <c r="LG94" s="3"/>
      <c r="LH94" s="3"/>
      <c r="LI94" s="3"/>
      <c r="LJ94" s="3"/>
    </row>
    <row r="95" spans="1:327" x14ac:dyDescent="0.25">
      <c r="A95" t="s">
        <v>943</v>
      </c>
      <c r="B95" t="s">
        <v>944</v>
      </c>
      <c r="C95" t="s">
        <v>556</v>
      </c>
      <c r="D95" t="s">
        <v>975</v>
      </c>
      <c r="E95" t="s">
        <v>217</v>
      </c>
      <c r="F95" t="s">
        <v>979</v>
      </c>
      <c r="G95" t="s">
        <v>1071</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U95" s="3"/>
      <c r="BV95" s="3"/>
      <c r="BW95" s="3"/>
      <c r="BX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D95" s="3"/>
      <c r="DE95" s="3"/>
      <c r="DF95" s="3"/>
      <c r="DG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v>0</v>
      </c>
      <c r="GB95" s="3">
        <v>0</v>
      </c>
      <c r="GC95" s="3">
        <v>0</v>
      </c>
      <c r="GD95" s="3">
        <v>0</v>
      </c>
      <c r="GE95" s="3">
        <v>0</v>
      </c>
      <c r="GF95" s="3">
        <v>0</v>
      </c>
      <c r="GG95" s="3">
        <v>489553000</v>
      </c>
      <c r="GH95" s="3">
        <v>0</v>
      </c>
      <c r="GI95" s="3">
        <v>0</v>
      </c>
      <c r="GJ95" s="3">
        <v>489553000</v>
      </c>
      <c r="GK95" s="3"/>
      <c r="GL95" s="3"/>
      <c r="GM95" s="3"/>
      <c r="GN95" s="3"/>
      <c r="GO95" s="3"/>
      <c r="GP95" s="3"/>
      <c r="GQ95" s="3"/>
      <c r="GR95" s="3"/>
      <c r="GS95" s="3"/>
      <c r="GU95" s="3"/>
      <c r="GV95" s="3"/>
      <c r="GW95" s="3"/>
      <c r="GX95" s="3"/>
      <c r="GY95" s="3"/>
      <c r="GZ95" s="3"/>
      <c r="HA95" s="3"/>
      <c r="HB95" s="3"/>
      <c r="HC95" s="3"/>
      <c r="HE95" s="3"/>
      <c r="HF95" s="3"/>
      <c r="HG95" s="3"/>
      <c r="HH95" s="3"/>
      <c r="HJ95" s="3">
        <v>0</v>
      </c>
      <c r="HK95" s="3">
        <v>489553000</v>
      </c>
      <c r="HL95" s="3">
        <v>0</v>
      </c>
      <c r="HM95" s="3">
        <v>0</v>
      </c>
      <c r="HN95" s="3">
        <v>489553000</v>
      </c>
      <c r="HO95" s="3">
        <v>0</v>
      </c>
      <c r="HP95" s="3">
        <v>469553000</v>
      </c>
      <c r="HQ95" s="3">
        <v>0</v>
      </c>
      <c r="HR95" s="3">
        <v>0</v>
      </c>
      <c r="HS95" s="3">
        <v>469553000</v>
      </c>
      <c r="HT95" s="3"/>
      <c r="HU95" s="3"/>
      <c r="HV95" s="3"/>
      <c r="HW95" s="3"/>
      <c r="HX95" s="3"/>
      <c r="HY95" s="3"/>
      <c r="HZ95" s="3"/>
      <c r="IA95" s="3"/>
      <c r="IB95" s="3"/>
      <c r="ID95" s="3"/>
      <c r="IE95" s="3"/>
      <c r="IF95" s="3"/>
      <c r="IG95" s="3"/>
      <c r="IS95" s="3">
        <v>0</v>
      </c>
      <c r="IT95" s="3">
        <v>50000000</v>
      </c>
      <c r="IU95" s="3">
        <v>0</v>
      </c>
      <c r="IV95" s="3">
        <v>0</v>
      </c>
      <c r="IW95" s="3">
        <v>50000000</v>
      </c>
      <c r="IX95" s="3">
        <v>0</v>
      </c>
      <c r="IY95" s="3">
        <v>75000000</v>
      </c>
      <c r="IZ95" s="3">
        <v>0</v>
      </c>
      <c r="JA95" s="3">
        <v>0</v>
      </c>
      <c r="JB95" s="3">
        <v>75000000</v>
      </c>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v>0</v>
      </c>
      <c r="KC95" s="3">
        <v>0</v>
      </c>
      <c r="KD95" s="3">
        <v>0</v>
      </c>
      <c r="KE95" s="3">
        <v>0</v>
      </c>
      <c r="KF95" s="3">
        <v>0</v>
      </c>
      <c r="KG95" s="3">
        <v>0</v>
      </c>
      <c r="KH95" s="3">
        <v>0</v>
      </c>
      <c r="KI95" s="3">
        <v>0</v>
      </c>
      <c r="KJ95" s="3">
        <v>0</v>
      </c>
      <c r="KK95" s="3">
        <v>0</v>
      </c>
      <c r="KL95" s="3"/>
      <c r="KM95" s="3"/>
      <c r="KN95" s="3"/>
      <c r="KO95" s="3"/>
      <c r="KP95" s="3"/>
      <c r="KQ95" s="3"/>
      <c r="KR95" s="3"/>
      <c r="KS95" s="3"/>
      <c r="KT95" s="3"/>
      <c r="KU95" s="3"/>
      <c r="KV95" s="3"/>
      <c r="KW95" s="3"/>
      <c r="KX95" s="3"/>
      <c r="KY95" s="3"/>
      <c r="KZ95" s="3"/>
      <c r="LA95" s="3"/>
      <c r="LB95" s="3"/>
      <c r="LC95" s="3"/>
      <c r="LD95" s="3"/>
      <c r="LE95" s="3"/>
      <c r="LF95" s="3"/>
      <c r="LG95" s="3"/>
      <c r="LH95" s="3"/>
      <c r="LI95" s="3"/>
      <c r="LJ95" s="3"/>
    </row>
    <row r="96" spans="1:327" x14ac:dyDescent="0.25">
      <c r="A96" t="s">
        <v>943</v>
      </c>
      <c r="B96" t="s">
        <v>944</v>
      </c>
      <c r="C96" t="s">
        <v>556</v>
      </c>
      <c r="D96" t="s">
        <v>975</v>
      </c>
      <c r="E96" t="s">
        <v>217</v>
      </c>
      <c r="F96" t="s">
        <v>980</v>
      </c>
      <c r="G96" t="s">
        <v>1072</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U96" s="3"/>
      <c r="BV96" s="3"/>
      <c r="BW96" s="3"/>
      <c r="BX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D96" s="3"/>
      <c r="DE96" s="3"/>
      <c r="DF96" s="3"/>
      <c r="DG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v>0</v>
      </c>
      <c r="GB96" s="3">
        <v>0</v>
      </c>
      <c r="GC96" s="3">
        <v>0</v>
      </c>
      <c r="GD96" s="3">
        <v>0</v>
      </c>
      <c r="GE96" s="3">
        <v>0</v>
      </c>
      <c r="GF96" s="3">
        <v>0</v>
      </c>
      <c r="GG96" s="3">
        <v>100000000</v>
      </c>
      <c r="GH96" s="3">
        <v>0</v>
      </c>
      <c r="GI96" s="3">
        <v>0</v>
      </c>
      <c r="GJ96" s="3">
        <v>100000000</v>
      </c>
      <c r="GK96" s="3"/>
      <c r="GL96" s="3"/>
      <c r="GM96" s="3"/>
      <c r="GN96" s="3"/>
      <c r="GO96" s="3"/>
      <c r="GP96" s="3"/>
      <c r="GQ96" s="3"/>
      <c r="GR96" s="3"/>
      <c r="GS96" s="3"/>
      <c r="GU96" s="3"/>
      <c r="GV96" s="3"/>
      <c r="GW96" s="3"/>
      <c r="GX96" s="3"/>
      <c r="GY96" s="3"/>
      <c r="GZ96" s="3"/>
      <c r="HA96" s="3"/>
      <c r="HB96" s="3"/>
      <c r="HC96" s="3"/>
      <c r="HE96" s="3"/>
      <c r="HF96" s="3"/>
      <c r="HG96" s="3"/>
      <c r="HH96" s="3"/>
      <c r="HJ96" s="3">
        <v>0</v>
      </c>
      <c r="HK96" s="3">
        <v>100000000</v>
      </c>
      <c r="HL96" s="3">
        <v>0</v>
      </c>
      <c r="HM96" s="3">
        <v>0</v>
      </c>
      <c r="HN96" s="3">
        <v>100000000</v>
      </c>
      <c r="HO96" s="3">
        <v>0</v>
      </c>
      <c r="HP96" s="3">
        <v>100000000</v>
      </c>
      <c r="HQ96" s="3">
        <v>0</v>
      </c>
      <c r="HR96" s="3">
        <v>0</v>
      </c>
      <c r="HS96" s="3">
        <v>100000000</v>
      </c>
      <c r="HT96" s="3"/>
      <c r="HU96" s="3"/>
      <c r="HV96" s="3"/>
      <c r="HW96" s="3"/>
      <c r="HX96" s="3"/>
      <c r="HY96" s="3"/>
      <c r="HZ96" s="3"/>
      <c r="IA96" s="3"/>
      <c r="IB96" s="3"/>
      <c r="ID96" s="3"/>
      <c r="IE96" s="3"/>
      <c r="IF96" s="3"/>
      <c r="IG96" s="3"/>
      <c r="IS96" s="3">
        <v>0</v>
      </c>
      <c r="IT96" s="3">
        <v>162000000</v>
      </c>
      <c r="IU96" s="3">
        <v>0</v>
      </c>
      <c r="IV96" s="3">
        <v>38000000</v>
      </c>
      <c r="IW96" s="3">
        <v>200000000</v>
      </c>
      <c r="IX96" s="3">
        <v>0</v>
      </c>
      <c r="IY96" s="3">
        <v>168500000</v>
      </c>
      <c r="IZ96" s="3">
        <v>0</v>
      </c>
      <c r="JA96" s="3">
        <v>38000000</v>
      </c>
      <c r="JB96" s="3">
        <v>206500000</v>
      </c>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v>0</v>
      </c>
      <c r="KC96" s="3">
        <v>173000000</v>
      </c>
      <c r="KD96" s="3">
        <v>0</v>
      </c>
      <c r="KE96" s="3">
        <v>57000000</v>
      </c>
      <c r="KF96" s="3">
        <v>230000000</v>
      </c>
      <c r="KG96" s="3">
        <v>0</v>
      </c>
      <c r="KH96" s="3">
        <v>173000000</v>
      </c>
      <c r="KI96" s="3">
        <v>0</v>
      </c>
      <c r="KJ96" s="3">
        <v>57000000</v>
      </c>
      <c r="KK96" s="3">
        <v>230000000</v>
      </c>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v>0</v>
      </c>
      <c r="LL96" s="3">
        <v>173000000</v>
      </c>
      <c r="LM96">
        <v>0</v>
      </c>
      <c r="LN96" s="3">
        <v>57000000</v>
      </c>
      <c r="LO96" s="3">
        <v>230000000</v>
      </c>
    </row>
    <row r="97" spans="1:327" x14ac:dyDescent="0.25">
      <c r="A97" t="s">
        <v>943</v>
      </c>
      <c r="B97" t="s">
        <v>944</v>
      </c>
      <c r="C97" t="s">
        <v>556</v>
      </c>
      <c r="D97" t="s">
        <v>975</v>
      </c>
      <c r="E97" t="s">
        <v>217</v>
      </c>
      <c r="F97" t="s">
        <v>981</v>
      </c>
      <c r="G97" t="s">
        <v>1140</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U97" s="3"/>
      <c r="BV97" s="3"/>
      <c r="BW97" s="3"/>
      <c r="BX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D97" s="3"/>
      <c r="DE97" s="3"/>
      <c r="DF97" s="3"/>
      <c r="DG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v>0</v>
      </c>
      <c r="GB97" s="3">
        <v>489553000</v>
      </c>
      <c r="GC97" s="3">
        <v>0</v>
      </c>
      <c r="GD97" s="3">
        <v>0</v>
      </c>
      <c r="GE97" s="3">
        <v>489553000</v>
      </c>
      <c r="GF97" s="3">
        <v>0</v>
      </c>
      <c r="GG97" s="3">
        <v>0</v>
      </c>
      <c r="GH97" s="3">
        <v>0</v>
      </c>
      <c r="GI97" s="3">
        <v>0</v>
      </c>
      <c r="GJ97" s="3">
        <v>0</v>
      </c>
      <c r="GK97" s="3"/>
      <c r="GL97" s="3"/>
      <c r="GM97" s="3"/>
      <c r="GN97" s="3"/>
      <c r="GO97" s="3"/>
      <c r="GP97" s="3"/>
      <c r="GQ97" s="3"/>
      <c r="GR97" s="3"/>
      <c r="GS97" s="3"/>
      <c r="GU97" s="3"/>
      <c r="GV97" s="3"/>
      <c r="GW97" s="3"/>
      <c r="GX97" s="3"/>
      <c r="GY97" s="3"/>
      <c r="GZ97" s="3"/>
      <c r="HA97" s="3"/>
      <c r="HB97" s="3"/>
      <c r="HC97" s="3"/>
      <c r="HE97" s="3"/>
      <c r="HF97" s="3"/>
      <c r="HG97" s="3"/>
      <c r="HH97" s="3"/>
      <c r="HJ97" s="3">
        <v>0</v>
      </c>
      <c r="HK97" s="3">
        <v>0</v>
      </c>
      <c r="HL97" s="3">
        <v>0</v>
      </c>
      <c r="HM97" s="3">
        <v>0</v>
      </c>
      <c r="HN97" s="3">
        <v>0</v>
      </c>
      <c r="HO97" s="3">
        <v>0</v>
      </c>
      <c r="HP97" s="3">
        <v>500000000</v>
      </c>
      <c r="HQ97" s="3">
        <v>0</v>
      </c>
      <c r="HR97" s="3">
        <v>0</v>
      </c>
      <c r="HS97" s="3">
        <v>500000000</v>
      </c>
      <c r="HT97" s="3"/>
      <c r="HU97" s="3"/>
      <c r="HV97" s="3"/>
      <c r="HW97" s="3"/>
      <c r="HX97" s="3"/>
      <c r="HY97" s="3"/>
      <c r="HZ97" s="3"/>
      <c r="IA97" s="3"/>
      <c r="IB97" s="3"/>
      <c r="ID97" s="3"/>
      <c r="IE97" s="3"/>
      <c r="IF97" s="3"/>
      <c r="IG97" s="3"/>
      <c r="IS97" s="3"/>
      <c r="IT97" s="3"/>
      <c r="IU97" s="3"/>
      <c r="IV97" s="3"/>
      <c r="IW97" s="3"/>
      <c r="IX97" s="3"/>
      <c r="IY97" s="3"/>
      <c r="IZ97" s="3"/>
      <c r="JA97" s="3"/>
      <c r="JB97" s="3"/>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c r="KC97" s="3"/>
      <c r="KD97" s="3"/>
      <c r="KE97" s="3"/>
      <c r="KF97" s="3"/>
      <c r="KG97" s="3"/>
      <c r="KH97" s="3"/>
      <c r="KI97" s="3"/>
      <c r="KJ97" s="3"/>
      <c r="KK97" s="3"/>
      <c r="KL97" s="3"/>
      <c r="KM97" s="3"/>
      <c r="KN97" s="3"/>
      <c r="KO97" s="3"/>
      <c r="KP97" s="3"/>
      <c r="KQ97" s="3"/>
      <c r="KR97" s="3"/>
      <c r="KS97" s="3"/>
      <c r="KT97" s="3"/>
      <c r="KU97" s="3"/>
      <c r="KV97" s="3"/>
      <c r="KW97" s="3"/>
      <c r="KX97" s="3"/>
      <c r="KY97" s="3"/>
      <c r="KZ97" s="3"/>
      <c r="LA97" s="3"/>
      <c r="LB97" s="3"/>
      <c r="LC97" s="3"/>
      <c r="LD97" s="3"/>
      <c r="LE97" s="3"/>
      <c r="LF97" s="3"/>
      <c r="LG97" s="3"/>
      <c r="LH97" s="3"/>
      <c r="LI97" s="3"/>
      <c r="LJ97" s="3"/>
    </row>
    <row r="98" spans="1:327" x14ac:dyDescent="0.25">
      <c r="A98" t="s">
        <v>943</v>
      </c>
      <c r="B98" t="s">
        <v>944</v>
      </c>
      <c r="C98" t="s">
        <v>556</v>
      </c>
      <c r="D98" t="s">
        <v>975</v>
      </c>
      <c r="E98" t="s">
        <v>217</v>
      </c>
      <c r="F98" t="s">
        <v>982</v>
      </c>
      <c r="G98" t="s">
        <v>1141</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U98" s="3"/>
      <c r="BV98" s="3"/>
      <c r="BW98" s="3"/>
      <c r="BX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D98" s="3"/>
      <c r="DE98" s="3"/>
      <c r="DF98" s="3"/>
      <c r="DG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U98" s="3"/>
      <c r="GV98" s="3"/>
      <c r="GW98" s="3"/>
      <c r="GX98" s="3"/>
      <c r="GY98" s="3"/>
      <c r="GZ98" s="3"/>
      <c r="HA98" s="3"/>
      <c r="HB98" s="3"/>
      <c r="HC98" s="3"/>
      <c r="HE98" s="3"/>
      <c r="HF98" s="3"/>
      <c r="HG98" s="3"/>
      <c r="HH98" s="3"/>
      <c r="HJ98" s="3">
        <v>0</v>
      </c>
      <c r="HK98" s="3">
        <v>0</v>
      </c>
      <c r="HL98" s="3">
        <v>0</v>
      </c>
      <c r="HM98" s="3">
        <v>0</v>
      </c>
      <c r="HN98" s="3">
        <v>0</v>
      </c>
      <c r="HO98" s="3">
        <v>0</v>
      </c>
      <c r="HP98" s="3">
        <v>50000000</v>
      </c>
      <c r="HQ98" s="3">
        <v>0</v>
      </c>
      <c r="HR98" s="3">
        <v>0</v>
      </c>
      <c r="HS98" s="3">
        <v>50000000</v>
      </c>
      <c r="HT98" s="3"/>
      <c r="HU98" s="3"/>
      <c r="HV98" s="3"/>
      <c r="HW98" s="3"/>
      <c r="HX98" s="3"/>
      <c r="HY98" s="3"/>
      <c r="HZ98" s="3"/>
      <c r="IA98" s="3"/>
      <c r="IB98" s="3"/>
      <c r="ID98" s="3"/>
      <c r="IE98" s="3"/>
      <c r="IF98" s="3"/>
      <c r="IG98" s="3"/>
      <c r="IS98" s="3"/>
      <c r="IT98" s="3"/>
      <c r="IU98" s="3"/>
      <c r="IV98" s="3"/>
      <c r="IW98" s="3"/>
      <c r="IX98" s="3"/>
      <c r="IY98" s="3"/>
      <c r="IZ98" s="3"/>
      <c r="JA98" s="3"/>
      <c r="JB98" s="3"/>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c r="KC98" s="3"/>
      <c r="KD98" s="3"/>
      <c r="KE98" s="3"/>
      <c r="KF98" s="3"/>
      <c r="KG98" s="3"/>
      <c r="KH98" s="3"/>
      <c r="KI98" s="3"/>
      <c r="KJ98" s="3"/>
      <c r="KK98" s="3"/>
      <c r="KL98" s="3"/>
      <c r="KM98" s="3"/>
      <c r="KN98" s="3"/>
      <c r="KO98" s="3"/>
      <c r="KP98" s="3"/>
      <c r="KQ98" s="3"/>
      <c r="KR98" s="3"/>
      <c r="KS98" s="3"/>
      <c r="KT98" s="3"/>
      <c r="KU98" s="3"/>
      <c r="KV98" s="3"/>
      <c r="KW98" s="3"/>
      <c r="KX98" s="3"/>
      <c r="KY98" s="3"/>
      <c r="KZ98" s="3"/>
      <c r="LA98" s="3"/>
      <c r="LB98" s="3"/>
      <c r="LC98" s="3"/>
      <c r="LD98" s="3"/>
      <c r="LE98" s="3"/>
      <c r="LF98" s="3"/>
      <c r="LG98" s="3"/>
      <c r="LH98" s="3"/>
      <c r="LI98" s="3"/>
      <c r="LJ98" s="3"/>
    </row>
    <row r="99" spans="1:327" x14ac:dyDescent="0.25">
      <c r="A99" t="s">
        <v>943</v>
      </c>
      <c r="B99" t="s">
        <v>944</v>
      </c>
      <c r="C99" t="s">
        <v>556</v>
      </c>
      <c r="D99" t="s">
        <v>975</v>
      </c>
      <c r="E99" t="s">
        <v>217</v>
      </c>
      <c r="F99" t="s">
        <v>983</v>
      </c>
      <c r="G99" t="s">
        <v>1142</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U99" s="3"/>
      <c r="BV99" s="3"/>
      <c r="BW99" s="3"/>
      <c r="BX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D99" s="3"/>
      <c r="DE99" s="3"/>
      <c r="DF99" s="3"/>
      <c r="DG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U99" s="3"/>
      <c r="GV99" s="3"/>
      <c r="GW99" s="3"/>
      <c r="GX99" s="3"/>
      <c r="GY99" s="3"/>
      <c r="GZ99" s="3"/>
      <c r="HA99" s="3"/>
      <c r="HB99" s="3"/>
      <c r="HC99" s="3"/>
      <c r="HE99" s="3"/>
      <c r="HF99" s="3"/>
      <c r="HG99" s="3"/>
      <c r="HH99" s="3"/>
      <c r="HJ99" s="3">
        <v>0</v>
      </c>
      <c r="HK99" s="3">
        <v>0</v>
      </c>
      <c r="HL99" s="3">
        <v>0</v>
      </c>
      <c r="HM99" s="3">
        <v>0</v>
      </c>
      <c r="HN99" s="3">
        <v>0</v>
      </c>
      <c r="HO99" s="3">
        <v>0</v>
      </c>
      <c r="HP99" s="3">
        <v>55000000</v>
      </c>
      <c r="HQ99" s="3">
        <v>0</v>
      </c>
      <c r="HR99" s="3">
        <v>0</v>
      </c>
      <c r="HS99" s="3">
        <v>55000000</v>
      </c>
      <c r="HT99" s="3"/>
      <c r="HU99" s="3"/>
      <c r="HV99" s="3"/>
      <c r="HW99" s="3"/>
      <c r="HX99" s="3"/>
      <c r="HY99" s="3"/>
      <c r="HZ99" s="3"/>
      <c r="IA99" s="3"/>
      <c r="IB99" s="3"/>
      <c r="ID99" s="3"/>
      <c r="IE99" s="3"/>
      <c r="IF99" s="3"/>
      <c r="IG99" s="3"/>
      <c r="IS99" s="3"/>
      <c r="IT99" s="3"/>
      <c r="IU99" s="3"/>
      <c r="IV99" s="3"/>
      <c r="IW99" s="3"/>
      <c r="IX99" s="3"/>
      <c r="IY99" s="3"/>
      <c r="IZ99" s="3"/>
      <c r="JA99" s="3"/>
      <c r="JB99" s="3"/>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c r="KC99" s="3"/>
      <c r="KD99" s="3"/>
      <c r="KE99" s="3"/>
      <c r="KF99" s="3"/>
      <c r="KG99" s="3"/>
      <c r="KH99" s="3"/>
      <c r="KI99" s="3"/>
      <c r="KJ99" s="3"/>
      <c r="KK99" s="3"/>
      <c r="KL99" s="3"/>
      <c r="KM99" s="3"/>
      <c r="KN99" s="3"/>
      <c r="KO99" s="3"/>
      <c r="KP99" s="3"/>
      <c r="KQ99" s="3"/>
      <c r="KR99" s="3"/>
      <c r="KS99" s="3"/>
      <c r="KT99" s="3"/>
      <c r="KU99" s="3"/>
      <c r="KV99" s="3"/>
      <c r="KW99" s="3"/>
      <c r="KX99" s="3"/>
      <c r="KY99" s="3"/>
      <c r="KZ99" s="3"/>
      <c r="LA99" s="3"/>
      <c r="LB99" s="3"/>
      <c r="LC99" s="3"/>
      <c r="LD99" s="3"/>
      <c r="LE99" s="3"/>
      <c r="LF99" s="3"/>
      <c r="LG99" s="3"/>
      <c r="LH99" s="3"/>
      <c r="LI99" s="3"/>
      <c r="LJ99" s="3"/>
    </row>
    <row r="100" spans="1:327" x14ac:dyDescent="0.25">
      <c r="A100" t="s">
        <v>943</v>
      </c>
      <c r="B100" t="s">
        <v>944</v>
      </c>
      <c r="C100" t="s">
        <v>556</v>
      </c>
      <c r="D100" t="s">
        <v>975</v>
      </c>
      <c r="E100" t="s">
        <v>217</v>
      </c>
      <c r="F100" t="s">
        <v>984</v>
      </c>
      <c r="G100" t="s">
        <v>1121</v>
      </c>
      <c r="H100" s="3">
        <v>0</v>
      </c>
      <c r="I100" s="3">
        <v>259620000</v>
      </c>
      <c r="J100" s="3">
        <v>0</v>
      </c>
      <c r="K100" s="3">
        <v>105908000</v>
      </c>
      <c r="L100" s="3">
        <v>365528000</v>
      </c>
      <c r="M100" s="3">
        <v>0</v>
      </c>
      <c r="N100" s="3">
        <v>259620000</v>
      </c>
      <c r="O100" s="3">
        <v>0</v>
      </c>
      <c r="P100" s="3">
        <v>105908000</v>
      </c>
      <c r="Q100" s="3">
        <v>365528000</v>
      </c>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v>0</v>
      </c>
      <c r="AR100" s="3">
        <v>224146000</v>
      </c>
      <c r="AS100" s="3">
        <v>0</v>
      </c>
      <c r="AT100" s="3">
        <v>110041000</v>
      </c>
      <c r="AU100" s="3">
        <v>334187000</v>
      </c>
      <c r="AV100" s="3">
        <v>0</v>
      </c>
      <c r="AW100" s="3">
        <v>224146000</v>
      </c>
      <c r="AX100" s="3">
        <v>0</v>
      </c>
      <c r="AY100" s="3">
        <v>110041000</v>
      </c>
      <c r="AZ100" s="3">
        <v>334187000</v>
      </c>
      <c r="BA100" s="3"/>
      <c r="BB100" s="3"/>
      <c r="BC100" s="3"/>
      <c r="BD100" s="3"/>
      <c r="BE100" s="3"/>
      <c r="BF100" s="3"/>
      <c r="BG100" s="3"/>
      <c r="BH100" s="3"/>
      <c r="BI100" s="3"/>
      <c r="BJ100" s="3"/>
      <c r="BK100" s="3"/>
      <c r="BL100" s="3"/>
      <c r="BM100" s="3"/>
      <c r="BN100" s="3"/>
      <c r="BO100" s="3"/>
      <c r="BP100" s="3"/>
      <c r="BQ100" s="3"/>
      <c r="BR100" s="3"/>
      <c r="BS100" s="3"/>
      <c r="BU100" s="3"/>
      <c r="BV100" s="3"/>
      <c r="BW100" s="3"/>
      <c r="BX100" s="3"/>
      <c r="BZ100" s="3">
        <v>0</v>
      </c>
      <c r="CA100" s="3">
        <v>85616000</v>
      </c>
      <c r="CB100" s="3">
        <v>0</v>
      </c>
      <c r="CC100" s="3">
        <v>7561000</v>
      </c>
      <c r="CD100" s="3">
        <v>93177000</v>
      </c>
      <c r="CE100" s="3">
        <v>0</v>
      </c>
      <c r="CF100" s="3">
        <v>85616000</v>
      </c>
      <c r="CG100" s="3">
        <v>0</v>
      </c>
      <c r="CH100" s="3">
        <v>7561000</v>
      </c>
      <c r="CI100" s="3">
        <v>93177000</v>
      </c>
      <c r="CJ100" s="3"/>
      <c r="CK100" s="3"/>
      <c r="CL100" s="3"/>
      <c r="CM100" s="3"/>
      <c r="CN100" s="3"/>
      <c r="CO100" s="3"/>
      <c r="CP100" s="3"/>
      <c r="CQ100" s="3"/>
      <c r="CR100" s="3"/>
      <c r="CS100" s="3"/>
      <c r="CT100" s="3"/>
      <c r="CU100" s="3"/>
      <c r="CV100" s="3"/>
      <c r="CW100" s="3"/>
      <c r="CX100" s="3"/>
      <c r="CY100" s="3"/>
      <c r="CZ100" s="3"/>
      <c r="DA100" s="3"/>
      <c r="DB100" s="3"/>
      <c r="DD100" s="3"/>
      <c r="DE100" s="3"/>
      <c r="DF100" s="3"/>
      <c r="DG100" s="3"/>
      <c r="DI100" s="3">
        <v>0</v>
      </c>
      <c r="DJ100" s="3">
        <v>71963000</v>
      </c>
      <c r="DK100" s="3">
        <v>0</v>
      </c>
      <c r="DL100" s="3">
        <v>0</v>
      </c>
      <c r="DM100" s="3">
        <v>71963000</v>
      </c>
      <c r="DN100" s="3">
        <v>0</v>
      </c>
      <c r="DO100" s="3">
        <v>71963000</v>
      </c>
      <c r="DP100" s="3">
        <v>0</v>
      </c>
      <c r="DQ100" s="3">
        <v>0</v>
      </c>
      <c r="DR100" s="3">
        <v>71963000</v>
      </c>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R100" s="3">
        <v>0</v>
      </c>
      <c r="ES100" s="3">
        <v>9342000</v>
      </c>
      <c r="ET100" s="3">
        <v>0</v>
      </c>
      <c r="EU100" s="3">
        <v>0</v>
      </c>
      <c r="EV100" s="3">
        <v>9342000</v>
      </c>
      <c r="EW100" s="3">
        <v>0</v>
      </c>
      <c r="EX100" s="3">
        <v>9342000</v>
      </c>
      <c r="EY100" s="3">
        <v>0</v>
      </c>
      <c r="EZ100" s="3">
        <v>0</v>
      </c>
      <c r="FA100" s="3">
        <v>9342000</v>
      </c>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U100" s="3"/>
      <c r="GV100" s="3"/>
      <c r="GW100" s="3"/>
      <c r="GX100" s="3"/>
      <c r="GY100" s="3"/>
      <c r="GZ100" s="3"/>
      <c r="HA100" s="3"/>
      <c r="HB100" s="3"/>
      <c r="HC100" s="3"/>
      <c r="HE100" s="3"/>
      <c r="HF100" s="3"/>
      <c r="HG100" s="3"/>
      <c r="HH100" s="3"/>
      <c r="HJ100" s="3"/>
      <c r="HK100" s="3"/>
      <c r="HL100" s="3"/>
      <c r="HM100" s="3"/>
      <c r="HN100" s="3"/>
      <c r="HO100" s="3"/>
      <c r="HP100" s="3"/>
      <c r="HQ100" s="3"/>
      <c r="HR100" s="3"/>
      <c r="HS100" s="3"/>
      <c r="HT100" s="3"/>
      <c r="HU100" s="3"/>
      <c r="HV100" s="3"/>
      <c r="HW100" s="3"/>
      <c r="HX100" s="3"/>
      <c r="HY100" s="3"/>
      <c r="HZ100" s="3"/>
      <c r="IA100" s="3"/>
      <c r="IB100" s="3"/>
      <c r="ID100" s="3"/>
      <c r="IE100" s="3"/>
      <c r="IF100" s="3"/>
      <c r="IG100" s="3"/>
      <c r="IS100" s="3"/>
      <c r="IT100" s="3"/>
      <c r="IU100" s="3"/>
      <c r="IV100" s="3"/>
      <c r="IW100" s="3"/>
      <c r="IX100" s="3"/>
      <c r="IY100" s="3"/>
      <c r="IZ100" s="3"/>
      <c r="JA100" s="3"/>
      <c r="JB100" s="3"/>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c r="KC100" s="3"/>
      <c r="KD100" s="3"/>
      <c r="KE100" s="3"/>
      <c r="KF100" s="3"/>
      <c r="KG100" s="3"/>
      <c r="KH100" s="3"/>
      <c r="KI100" s="3"/>
      <c r="KJ100" s="3"/>
      <c r="KK100" s="3"/>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row>
    <row r="101" spans="1:327" x14ac:dyDescent="0.25">
      <c r="A101" t="s">
        <v>943</v>
      </c>
      <c r="B101" t="s">
        <v>944</v>
      </c>
      <c r="C101" t="s">
        <v>556</v>
      </c>
      <c r="D101" t="s">
        <v>975</v>
      </c>
      <c r="E101" t="s">
        <v>224</v>
      </c>
      <c r="F101" t="s">
        <v>520</v>
      </c>
      <c r="G101" t="s">
        <v>1064</v>
      </c>
      <c r="H101" s="3">
        <v>78387000</v>
      </c>
      <c r="I101" s="3">
        <v>619349000</v>
      </c>
      <c r="J101" s="3">
        <v>0</v>
      </c>
      <c r="K101" s="3">
        <v>0</v>
      </c>
      <c r="L101" s="3">
        <v>697736000</v>
      </c>
      <c r="M101" s="3">
        <v>78387000</v>
      </c>
      <c r="N101" s="3">
        <v>619349000</v>
      </c>
      <c r="O101" s="3">
        <v>0</v>
      </c>
      <c r="P101" s="3">
        <v>0</v>
      </c>
      <c r="Q101" s="3">
        <v>697736000</v>
      </c>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v>41114000</v>
      </c>
      <c r="AR101" s="3">
        <v>756798000</v>
      </c>
      <c r="AS101" s="3">
        <v>0</v>
      </c>
      <c r="AT101" s="3">
        <v>10000000</v>
      </c>
      <c r="AU101" s="3">
        <v>807912000</v>
      </c>
      <c r="AV101" s="3">
        <v>41114000</v>
      </c>
      <c r="AW101" s="3">
        <v>756798000</v>
      </c>
      <c r="AX101" s="3">
        <v>0</v>
      </c>
      <c r="AY101" s="3">
        <v>10000000</v>
      </c>
      <c r="AZ101" s="3">
        <v>807912000</v>
      </c>
      <c r="BA101" s="3"/>
      <c r="BB101" s="3"/>
      <c r="BC101" s="3"/>
      <c r="BD101" s="3"/>
      <c r="BE101" s="3"/>
      <c r="BF101" s="3"/>
      <c r="BG101" s="3"/>
      <c r="BH101" s="3"/>
      <c r="BI101" s="3"/>
      <c r="BJ101" s="3"/>
      <c r="BK101" s="3"/>
      <c r="BL101" s="3"/>
      <c r="BM101" s="3"/>
      <c r="BN101" s="3"/>
      <c r="BO101" s="3"/>
      <c r="BP101" s="3"/>
      <c r="BQ101" s="3"/>
      <c r="BR101" s="3"/>
      <c r="BS101" s="3"/>
      <c r="BU101" s="3"/>
      <c r="BV101" s="3"/>
      <c r="BW101" s="3"/>
      <c r="BX101" s="3"/>
      <c r="BZ101" s="3">
        <v>42603000</v>
      </c>
      <c r="CA101" s="3">
        <v>769341000</v>
      </c>
      <c r="CB101" s="3">
        <v>0</v>
      </c>
      <c r="CC101" s="3">
        <v>0</v>
      </c>
      <c r="CD101" s="3">
        <v>811944000</v>
      </c>
      <c r="CE101" s="3">
        <v>42603000</v>
      </c>
      <c r="CF101" s="3">
        <v>595321000</v>
      </c>
      <c r="CG101" s="3">
        <v>0</v>
      </c>
      <c r="CH101" s="3">
        <v>0</v>
      </c>
      <c r="CI101" s="3">
        <v>637924000</v>
      </c>
      <c r="CJ101" s="3"/>
      <c r="CK101" s="3"/>
      <c r="CL101" s="3"/>
      <c r="CM101" s="3"/>
      <c r="CN101" s="3"/>
      <c r="CO101" s="3"/>
      <c r="CP101" s="3"/>
      <c r="CQ101" s="3"/>
      <c r="CR101" s="3"/>
      <c r="CS101" s="3"/>
      <c r="CT101" s="3"/>
      <c r="CU101" s="3"/>
      <c r="CV101" s="3"/>
      <c r="CW101" s="3"/>
      <c r="CX101" s="3"/>
      <c r="CY101" s="3"/>
      <c r="CZ101" s="3"/>
      <c r="DA101" s="3"/>
      <c r="DB101" s="3"/>
      <c r="DD101" s="3"/>
      <c r="DE101" s="3"/>
      <c r="DF101" s="3"/>
      <c r="DG101" s="3"/>
      <c r="DI101" s="3">
        <v>47672000</v>
      </c>
      <c r="DJ101" s="3">
        <v>783353000</v>
      </c>
      <c r="DK101" s="3">
        <v>0</v>
      </c>
      <c r="DL101" s="3">
        <v>0</v>
      </c>
      <c r="DM101" s="3">
        <v>831025000</v>
      </c>
      <c r="DN101" s="3">
        <v>47672000</v>
      </c>
      <c r="DO101" s="3">
        <v>488294000</v>
      </c>
      <c r="DP101" s="3">
        <v>0</v>
      </c>
      <c r="DQ101" s="3">
        <v>0</v>
      </c>
      <c r="DR101" s="3">
        <v>535966000</v>
      </c>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R101" s="3">
        <v>51614000</v>
      </c>
      <c r="ES101" s="3">
        <v>856163000</v>
      </c>
      <c r="ET101" s="3">
        <v>0</v>
      </c>
      <c r="EU101" s="3">
        <v>0</v>
      </c>
      <c r="EV101" s="3">
        <v>907777000</v>
      </c>
      <c r="EW101" s="3">
        <v>51614000</v>
      </c>
      <c r="EX101" s="3">
        <v>735088000</v>
      </c>
      <c r="EY101" s="3">
        <v>0</v>
      </c>
      <c r="EZ101" s="3">
        <v>0</v>
      </c>
      <c r="FA101" s="3">
        <v>786702000</v>
      </c>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v>52142000</v>
      </c>
      <c r="GB101" s="3">
        <v>532985000</v>
      </c>
      <c r="GC101" s="3">
        <v>0</v>
      </c>
      <c r="GD101" s="3">
        <v>0</v>
      </c>
      <c r="GE101" s="3">
        <v>585127000</v>
      </c>
      <c r="GF101" s="3">
        <v>52142000</v>
      </c>
      <c r="GG101" s="3">
        <v>623985000</v>
      </c>
      <c r="GH101" s="3">
        <v>0</v>
      </c>
      <c r="GI101" s="3">
        <v>0</v>
      </c>
      <c r="GJ101" s="3">
        <v>676127000</v>
      </c>
      <c r="GK101" s="3"/>
      <c r="GL101" s="3"/>
      <c r="GM101" s="3"/>
      <c r="GN101" s="3"/>
      <c r="GO101" s="3"/>
      <c r="GP101" s="3"/>
      <c r="GQ101" s="3"/>
      <c r="GR101" s="3"/>
      <c r="GS101" s="3"/>
      <c r="GU101" s="3"/>
      <c r="GV101" s="3"/>
      <c r="GW101" s="3"/>
      <c r="GX101" s="3"/>
      <c r="GY101" s="3"/>
      <c r="GZ101" s="3"/>
      <c r="HA101" s="3"/>
      <c r="HB101" s="3"/>
      <c r="HC101" s="3"/>
      <c r="HE101" s="3"/>
      <c r="HF101" s="3"/>
      <c r="HG101" s="3"/>
      <c r="HH101" s="3"/>
      <c r="HJ101" s="3">
        <v>56657000</v>
      </c>
      <c r="HK101" s="3">
        <v>543008000</v>
      </c>
      <c r="HL101" s="3">
        <v>0</v>
      </c>
      <c r="HM101" s="3">
        <v>0</v>
      </c>
      <c r="HN101" s="3">
        <v>599665000</v>
      </c>
      <c r="HO101" s="3">
        <v>56657000</v>
      </c>
      <c r="HP101" s="3">
        <v>843008000</v>
      </c>
      <c r="HQ101" s="3">
        <v>0</v>
      </c>
      <c r="HR101" s="3">
        <v>1600000000</v>
      </c>
      <c r="HS101" s="3">
        <v>2499665000</v>
      </c>
      <c r="HT101" s="3"/>
      <c r="HU101" s="3"/>
      <c r="HV101" s="3"/>
      <c r="HW101" s="3"/>
      <c r="HX101" s="3"/>
      <c r="HY101" s="3"/>
      <c r="HZ101" s="3"/>
      <c r="IA101" s="3"/>
      <c r="IB101" s="3"/>
      <c r="ID101" s="3"/>
      <c r="IE101" s="3"/>
      <c r="IF101" s="3"/>
      <c r="IG101" s="3"/>
      <c r="IS101" s="3">
        <v>58525000</v>
      </c>
      <c r="IT101" s="3">
        <v>552782000</v>
      </c>
      <c r="IU101" s="3">
        <v>0</v>
      </c>
      <c r="IV101" s="3">
        <v>0</v>
      </c>
      <c r="IW101" s="3">
        <v>611307000</v>
      </c>
      <c r="IX101" s="3">
        <v>58525000</v>
      </c>
      <c r="IY101" s="3">
        <v>558782000</v>
      </c>
      <c r="IZ101" s="3">
        <v>0</v>
      </c>
      <c r="JA101" s="3">
        <v>9470000</v>
      </c>
      <c r="JB101" s="3">
        <v>626777000</v>
      </c>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v>66361000</v>
      </c>
      <c r="KC101" s="3">
        <v>926232000</v>
      </c>
      <c r="KD101" s="3">
        <v>0</v>
      </c>
      <c r="KE101" s="3">
        <v>82000000</v>
      </c>
      <c r="KF101" s="3">
        <v>1074593000</v>
      </c>
      <c r="KG101" s="3">
        <v>66361000</v>
      </c>
      <c r="KH101" s="3">
        <v>945232000</v>
      </c>
      <c r="KI101" s="3">
        <v>0</v>
      </c>
      <c r="KJ101" s="3">
        <v>397000000</v>
      </c>
      <c r="KK101" s="3">
        <v>1408593000</v>
      </c>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v>65474000</v>
      </c>
      <c r="LL101" s="3">
        <v>1328000000</v>
      </c>
      <c r="LM101">
        <v>0</v>
      </c>
      <c r="LN101" s="3">
        <v>280283000</v>
      </c>
      <c r="LO101" s="3">
        <v>1673757000</v>
      </c>
    </row>
    <row r="102" spans="1:327" x14ac:dyDescent="0.25">
      <c r="A102" t="s">
        <v>943</v>
      </c>
      <c r="B102" t="s">
        <v>944</v>
      </c>
      <c r="C102" t="s">
        <v>556</v>
      </c>
      <c r="D102" t="s">
        <v>975</v>
      </c>
      <c r="E102" t="s">
        <v>224</v>
      </c>
      <c r="F102" t="s">
        <v>521</v>
      </c>
      <c r="G102" t="s">
        <v>1052</v>
      </c>
      <c r="H102" s="3">
        <v>68732000</v>
      </c>
      <c r="I102" s="3">
        <v>99330000</v>
      </c>
      <c r="J102" s="3">
        <v>0</v>
      </c>
      <c r="K102" s="3">
        <v>6890000</v>
      </c>
      <c r="L102" s="3">
        <v>174952000</v>
      </c>
      <c r="M102" s="3">
        <v>68732000</v>
      </c>
      <c r="N102" s="3">
        <v>99330000</v>
      </c>
      <c r="O102" s="3">
        <v>0</v>
      </c>
      <c r="P102" s="3">
        <v>6890000</v>
      </c>
      <c r="Q102" s="3">
        <v>174952000</v>
      </c>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v>50064000</v>
      </c>
      <c r="AR102" s="3">
        <v>78872000</v>
      </c>
      <c r="AS102" s="3">
        <v>0</v>
      </c>
      <c r="AT102" s="3">
        <v>2830000</v>
      </c>
      <c r="AU102" s="3">
        <v>131766000</v>
      </c>
      <c r="AV102" s="3">
        <v>50064000</v>
      </c>
      <c r="AW102" s="3">
        <v>78872000</v>
      </c>
      <c r="AX102" s="3">
        <v>0</v>
      </c>
      <c r="AY102" s="3">
        <v>2830000</v>
      </c>
      <c r="AZ102" s="3">
        <v>131766000</v>
      </c>
      <c r="BA102" s="3"/>
      <c r="BB102" s="3"/>
      <c r="BC102" s="3"/>
      <c r="BD102" s="3"/>
      <c r="BE102" s="3"/>
      <c r="BF102" s="3"/>
      <c r="BG102" s="3"/>
      <c r="BH102" s="3"/>
      <c r="BI102" s="3"/>
      <c r="BJ102" s="3"/>
      <c r="BK102" s="3"/>
      <c r="BL102" s="3"/>
      <c r="BM102" s="3"/>
      <c r="BN102" s="3"/>
      <c r="BO102" s="3"/>
      <c r="BP102" s="3"/>
      <c r="BQ102" s="3"/>
      <c r="BR102" s="3"/>
      <c r="BS102" s="3"/>
      <c r="BU102" s="3"/>
      <c r="BV102" s="3"/>
      <c r="BW102" s="3"/>
      <c r="BX102" s="3"/>
      <c r="BZ102" s="3">
        <v>51258000</v>
      </c>
      <c r="CA102" s="3">
        <v>79810000</v>
      </c>
      <c r="CB102" s="3">
        <v>0</v>
      </c>
      <c r="CC102" s="3">
        <v>0</v>
      </c>
      <c r="CD102" s="3">
        <v>131068000</v>
      </c>
      <c r="CE102" s="3">
        <v>51258000</v>
      </c>
      <c r="CF102" s="3">
        <v>79810000</v>
      </c>
      <c r="CG102" s="3">
        <v>0</v>
      </c>
      <c r="CH102" s="3">
        <v>0</v>
      </c>
      <c r="CI102" s="3">
        <v>131068000</v>
      </c>
      <c r="CJ102" s="3"/>
      <c r="CK102" s="3"/>
      <c r="CL102" s="3"/>
      <c r="CM102" s="3"/>
      <c r="CN102" s="3"/>
      <c r="CO102" s="3"/>
      <c r="CP102" s="3"/>
      <c r="CQ102" s="3"/>
      <c r="CR102" s="3"/>
      <c r="CS102" s="3"/>
      <c r="CT102" s="3"/>
      <c r="CU102" s="3"/>
      <c r="CV102" s="3"/>
      <c r="CW102" s="3"/>
      <c r="CX102" s="3"/>
      <c r="CY102" s="3"/>
      <c r="CZ102" s="3"/>
      <c r="DA102" s="3"/>
      <c r="DB102" s="3"/>
      <c r="DD102" s="3"/>
      <c r="DE102" s="3"/>
      <c r="DF102" s="3"/>
      <c r="DG102" s="3"/>
      <c r="DI102" s="3">
        <v>58131000</v>
      </c>
      <c r="DJ102" s="3">
        <v>81264000</v>
      </c>
      <c r="DK102" s="3">
        <v>0</v>
      </c>
      <c r="DL102" s="3">
        <v>0</v>
      </c>
      <c r="DM102" s="3">
        <v>139395000</v>
      </c>
      <c r="DN102" s="3">
        <v>58131000</v>
      </c>
      <c r="DO102" s="3">
        <v>56008000</v>
      </c>
      <c r="DP102" s="3">
        <v>0</v>
      </c>
      <c r="DQ102" s="3">
        <v>0</v>
      </c>
      <c r="DR102" s="3">
        <v>114139000</v>
      </c>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R102" s="3">
        <v>56982000</v>
      </c>
      <c r="ES102" s="3">
        <v>81264000</v>
      </c>
      <c r="ET102" s="3">
        <v>0</v>
      </c>
      <c r="EU102" s="3">
        <v>0</v>
      </c>
      <c r="EV102" s="3">
        <v>138246000</v>
      </c>
      <c r="EW102" s="3">
        <v>56982000</v>
      </c>
      <c r="EX102" s="3">
        <v>81264000</v>
      </c>
      <c r="EY102" s="3">
        <v>0</v>
      </c>
      <c r="EZ102" s="3">
        <v>0</v>
      </c>
      <c r="FA102" s="3">
        <v>138246000</v>
      </c>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v>68560000</v>
      </c>
      <c r="GB102" s="3">
        <v>83820000</v>
      </c>
      <c r="GC102" s="3">
        <v>0</v>
      </c>
      <c r="GD102" s="3">
        <v>4932000</v>
      </c>
      <c r="GE102" s="3">
        <v>157312000</v>
      </c>
      <c r="GF102" s="3">
        <v>68560000</v>
      </c>
      <c r="GG102" s="3">
        <v>83820000</v>
      </c>
      <c r="GH102" s="3">
        <v>0</v>
      </c>
      <c r="GI102" s="3">
        <v>4932000</v>
      </c>
      <c r="GJ102" s="3">
        <v>157312000</v>
      </c>
      <c r="GK102" s="3"/>
      <c r="GL102" s="3"/>
      <c r="GM102" s="3"/>
      <c r="GN102" s="3"/>
      <c r="GO102" s="3"/>
      <c r="GP102" s="3"/>
      <c r="GQ102" s="3"/>
      <c r="GR102" s="3"/>
      <c r="GS102" s="3"/>
      <c r="GU102" s="3"/>
      <c r="GV102" s="3"/>
      <c r="GW102" s="3"/>
      <c r="GX102" s="3"/>
      <c r="GY102" s="3"/>
      <c r="GZ102" s="3"/>
      <c r="HA102" s="3"/>
      <c r="HB102" s="3"/>
      <c r="HC102" s="3"/>
      <c r="HE102" s="3"/>
      <c r="HF102" s="3"/>
      <c r="HG102" s="3"/>
      <c r="HH102" s="3"/>
      <c r="HJ102" s="3">
        <v>72121000</v>
      </c>
      <c r="HK102" s="3">
        <v>89538000</v>
      </c>
      <c r="HL102" s="3">
        <v>0</v>
      </c>
      <c r="HM102" s="3">
        <v>5292000</v>
      </c>
      <c r="HN102" s="3">
        <v>166951000</v>
      </c>
      <c r="HO102" s="3">
        <v>72121000</v>
      </c>
      <c r="HP102" s="3">
        <v>89538000</v>
      </c>
      <c r="HQ102" s="3">
        <v>0</v>
      </c>
      <c r="HR102" s="3">
        <v>5292000</v>
      </c>
      <c r="HS102" s="3">
        <v>166951000</v>
      </c>
      <c r="HT102" s="3"/>
      <c r="HU102" s="3"/>
      <c r="HV102" s="3"/>
      <c r="HW102" s="3"/>
      <c r="HX102" s="3"/>
      <c r="HY102" s="3"/>
      <c r="HZ102" s="3"/>
      <c r="IA102" s="3"/>
      <c r="IB102" s="3"/>
      <c r="ID102" s="3"/>
      <c r="IE102" s="3"/>
      <c r="IF102" s="3"/>
      <c r="IG102" s="3"/>
      <c r="IS102" s="3">
        <v>70471000</v>
      </c>
      <c r="IT102" s="3">
        <v>86935000</v>
      </c>
      <c r="IU102" s="3">
        <v>0</v>
      </c>
      <c r="IV102" s="3">
        <v>4932000</v>
      </c>
      <c r="IW102" s="3">
        <v>162338000</v>
      </c>
      <c r="IX102" s="3">
        <v>70471000</v>
      </c>
      <c r="IY102" s="3">
        <v>86935000</v>
      </c>
      <c r="IZ102" s="3">
        <v>0</v>
      </c>
      <c r="JA102" s="3">
        <v>4932000</v>
      </c>
      <c r="JB102" s="3">
        <v>162338000</v>
      </c>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v>81291000</v>
      </c>
      <c r="KC102" s="3">
        <v>93500000</v>
      </c>
      <c r="KD102" s="3">
        <v>0</v>
      </c>
      <c r="KE102" s="3">
        <v>49932000</v>
      </c>
      <c r="KF102" s="3">
        <v>224723000</v>
      </c>
      <c r="KG102" s="3">
        <v>81291000</v>
      </c>
      <c r="KH102" s="3">
        <v>93700000</v>
      </c>
      <c r="KI102" s="3">
        <v>0</v>
      </c>
      <c r="KJ102" s="3">
        <v>49932000</v>
      </c>
      <c r="KK102" s="3">
        <v>224923000</v>
      </c>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v>86663000</v>
      </c>
      <c r="LL102" s="3">
        <v>90093000</v>
      </c>
      <c r="LM102">
        <v>0</v>
      </c>
      <c r="LN102" s="3">
        <v>141823000</v>
      </c>
      <c r="LO102" s="3">
        <v>318579000</v>
      </c>
    </row>
    <row r="103" spans="1:327" x14ac:dyDescent="0.25">
      <c r="A103" t="s">
        <v>943</v>
      </c>
      <c r="B103" t="s">
        <v>944</v>
      </c>
      <c r="C103" t="s">
        <v>556</v>
      </c>
      <c r="D103" t="s">
        <v>975</v>
      </c>
      <c r="E103" t="s">
        <v>224</v>
      </c>
      <c r="F103" t="s">
        <v>522</v>
      </c>
      <c r="G103" t="s">
        <v>1065</v>
      </c>
      <c r="H103" s="3">
        <v>10000</v>
      </c>
      <c r="I103" s="3">
        <v>46517000</v>
      </c>
      <c r="J103" s="3">
        <v>0</v>
      </c>
      <c r="K103" s="3">
        <v>0</v>
      </c>
      <c r="L103" s="3">
        <v>46527000</v>
      </c>
      <c r="M103" s="3">
        <v>10000</v>
      </c>
      <c r="N103" s="3">
        <v>46517000</v>
      </c>
      <c r="O103" s="3">
        <v>0</v>
      </c>
      <c r="P103" s="3">
        <v>0</v>
      </c>
      <c r="Q103" s="3">
        <v>46527000</v>
      </c>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v>67880000</v>
      </c>
      <c r="AR103" s="3">
        <v>36936000</v>
      </c>
      <c r="AS103" s="3">
        <v>0</v>
      </c>
      <c r="AT103" s="3">
        <v>0</v>
      </c>
      <c r="AU103" s="3">
        <v>104816000</v>
      </c>
      <c r="AV103" s="3">
        <v>67880000</v>
      </c>
      <c r="AW103" s="3">
        <v>36936000</v>
      </c>
      <c r="AX103" s="3">
        <v>0</v>
      </c>
      <c r="AY103" s="3">
        <v>0</v>
      </c>
      <c r="AZ103" s="3">
        <v>104816000</v>
      </c>
      <c r="BA103" s="3"/>
      <c r="BB103" s="3"/>
      <c r="BC103" s="3"/>
      <c r="BD103" s="3"/>
      <c r="BE103" s="3"/>
      <c r="BF103" s="3"/>
      <c r="BG103" s="3"/>
      <c r="BH103" s="3"/>
      <c r="BI103" s="3"/>
      <c r="BJ103" s="3"/>
      <c r="BK103" s="3"/>
      <c r="BL103" s="3"/>
      <c r="BM103" s="3"/>
      <c r="BN103" s="3"/>
      <c r="BO103" s="3"/>
      <c r="BP103" s="3"/>
      <c r="BQ103" s="3"/>
      <c r="BR103" s="3"/>
      <c r="BS103" s="3"/>
      <c r="BU103" s="3"/>
      <c r="BV103" s="3"/>
      <c r="BW103" s="3"/>
      <c r="BX103" s="3"/>
      <c r="BZ103" s="3">
        <v>76481000</v>
      </c>
      <c r="CA103" s="3">
        <v>37507000</v>
      </c>
      <c r="CB103" s="3">
        <v>0</v>
      </c>
      <c r="CC103" s="3">
        <v>0</v>
      </c>
      <c r="CD103" s="3">
        <v>113988000</v>
      </c>
      <c r="CE103" s="3">
        <v>76481000</v>
      </c>
      <c r="CF103" s="3">
        <v>37507000</v>
      </c>
      <c r="CG103" s="3">
        <v>0</v>
      </c>
      <c r="CH103" s="3">
        <v>0</v>
      </c>
      <c r="CI103" s="3">
        <v>113988000</v>
      </c>
      <c r="CJ103" s="3"/>
      <c r="CK103" s="3"/>
      <c r="CL103" s="3"/>
      <c r="CM103" s="3"/>
      <c r="CN103" s="3"/>
      <c r="CO103" s="3"/>
      <c r="CP103" s="3"/>
      <c r="CQ103" s="3"/>
      <c r="CR103" s="3"/>
      <c r="CS103" s="3"/>
      <c r="CT103" s="3"/>
      <c r="CU103" s="3"/>
      <c r="CV103" s="3"/>
      <c r="CW103" s="3"/>
      <c r="CX103" s="3"/>
      <c r="CY103" s="3"/>
      <c r="CZ103" s="3"/>
      <c r="DA103" s="3"/>
      <c r="DB103" s="3"/>
      <c r="DD103" s="3"/>
      <c r="DE103" s="3"/>
      <c r="DF103" s="3"/>
      <c r="DG103" s="3"/>
      <c r="DI103" s="3">
        <v>88164000</v>
      </c>
      <c r="DJ103" s="3">
        <v>38190000</v>
      </c>
      <c r="DK103" s="3">
        <v>0</v>
      </c>
      <c r="DL103" s="3">
        <v>0</v>
      </c>
      <c r="DM103" s="3">
        <v>126354000</v>
      </c>
      <c r="DN103" s="3">
        <v>88164000</v>
      </c>
      <c r="DO103" s="3">
        <v>32601000</v>
      </c>
      <c r="DP103" s="3">
        <v>0</v>
      </c>
      <c r="DQ103" s="3">
        <v>0</v>
      </c>
      <c r="DR103" s="3">
        <v>120765000</v>
      </c>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R103" s="3">
        <v>93081000</v>
      </c>
      <c r="ES103" s="3">
        <v>38190000</v>
      </c>
      <c r="ET103" s="3">
        <v>0</v>
      </c>
      <c r="EU103" s="3">
        <v>0</v>
      </c>
      <c r="EV103" s="3">
        <v>131271000</v>
      </c>
      <c r="EW103" s="3">
        <v>93081000</v>
      </c>
      <c r="EX103" s="3">
        <v>38190000</v>
      </c>
      <c r="EY103" s="3">
        <v>0</v>
      </c>
      <c r="EZ103" s="3">
        <v>0</v>
      </c>
      <c r="FA103" s="3">
        <v>131271000</v>
      </c>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v>108340000</v>
      </c>
      <c r="GB103" s="3">
        <v>38778000</v>
      </c>
      <c r="GC103" s="3">
        <v>0</v>
      </c>
      <c r="GD103" s="3">
        <v>0</v>
      </c>
      <c r="GE103" s="3">
        <v>147118000</v>
      </c>
      <c r="GF103" s="3">
        <v>108340000</v>
      </c>
      <c r="GG103" s="3">
        <v>38778000</v>
      </c>
      <c r="GH103" s="3">
        <v>0</v>
      </c>
      <c r="GI103" s="3">
        <v>0</v>
      </c>
      <c r="GJ103" s="3">
        <v>147118000</v>
      </c>
      <c r="GK103" s="3"/>
      <c r="GL103" s="3"/>
      <c r="GM103" s="3"/>
      <c r="GN103" s="3"/>
      <c r="GO103" s="3"/>
      <c r="GP103" s="3"/>
      <c r="GQ103" s="3"/>
      <c r="GR103" s="3"/>
      <c r="GS103" s="3"/>
      <c r="GU103" s="3"/>
      <c r="GV103" s="3"/>
      <c r="GW103" s="3"/>
      <c r="GX103" s="3"/>
      <c r="GY103" s="3"/>
      <c r="GZ103" s="3"/>
      <c r="HA103" s="3"/>
      <c r="HB103" s="3"/>
      <c r="HC103" s="3"/>
      <c r="HE103" s="3"/>
      <c r="HF103" s="3"/>
      <c r="HG103" s="3"/>
      <c r="HH103" s="3"/>
      <c r="HJ103" s="3">
        <v>102201000</v>
      </c>
      <c r="HK103" s="3">
        <v>39950000</v>
      </c>
      <c r="HL103" s="3">
        <v>0</v>
      </c>
      <c r="HM103" s="3">
        <v>0</v>
      </c>
      <c r="HN103" s="3">
        <v>142151000</v>
      </c>
      <c r="HO103" s="3">
        <v>102201000</v>
      </c>
      <c r="HP103" s="3">
        <v>39950000</v>
      </c>
      <c r="HQ103" s="3">
        <v>0</v>
      </c>
      <c r="HR103" s="3">
        <v>0</v>
      </c>
      <c r="HS103" s="3">
        <v>142151000</v>
      </c>
      <c r="HT103" s="3"/>
      <c r="HU103" s="3"/>
      <c r="HV103" s="3"/>
      <c r="HW103" s="3"/>
      <c r="HX103" s="3"/>
      <c r="HY103" s="3"/>
      <c r="HZ103" s="3"/>
      <c r="IA103" s="3"/>
      <c r="IB103" s="3"/>
      <c r="ID103" s="3"/>
      <c r="IE103" s="3"/>
      <c r="IF103" s="3"/>
      <c r="IG103" s="3"/>
      <c r="IS103" s="3">
        <v>107058000</v>
      </c>
      <c r="IT103" s="3">
        <v>40670000</v>
      </c>
      <c r="IU103" s="3">
        <v>0</v>
      </c>
      <c r="IV103" s="3">
        <v>0</v>
      </c>
      <c r="IW103" s="3">
        <v>147728000</v>
      </c>
      <c r="IX103" s="3">
        <v>107058000</v>
      </c>
      <c r="IY103" s="3">
        <v>40670000</v>
      </c>
      <c r="IZ103" s="3">
        <v>0</v>
      </c>
      <c r="JA103" s="3">
        <v>0</v>
      </c>
      <c r="JB103" s="3">
        <v>147728000</v>
      </c>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v>131459000</v>
      </c>
      <c r="KC103" s="3">
        <v>41402000</v>
      </c>
      <c r="KD103" s="3">
        <v>0</v>
      </c>
      <c r="KE103" s="3">
        <v>0</v>
      </c>
      <c r="KF103" s="3">
        <v>172861000</v>
      </c>
      <c r="KG103" s="3">
        <v>131459000</v>
      </c>
      <c r="KH103" s="3">
        <v>42249000</v>
      </c>
      <c r="KI103" s="3">
        <v>0</v>
      </c>
      <c r="KJ103" s="3">
        <v>0</v>
      </c>
      <c r="KK103" s="3">
        <v>173708000</v>
      </c>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v>139326000</v>
      </c>
      <c r="LL103" s="3">
        <v>42147000</v>
      </c>
      <c r="LM103">
        <v>0</v>
      </c>
      <c r="LN103">
        <v>0</v>
      </c>
      <c r="LO103" s="3">
        <v>181473000</v>
      </c>
    </row>
    <row r="104" spans="1:327" x14ac:dyDescent="0.25">
      <c r="A104" t="s">
        <v>943</v>
      </c>
      <c r="B104" t="s">
        <v>944</v>
      </c>
      <c r="C104" t="s">
        <v>556</v>
      </c>
      <c r="D104" t="s">
        <v>975</v>
      </c>
      <c r="E104" t="s">
        <v>224</v>
      </c>
      <c r="F104" t="s">
        <v>523</v>
      </c>
      <c r="G104" t="s">
        <v>1066</v>
      </c>
      <c r="H104" s="3">
        <v>127621000</v>
      </c>
      <c r="I104" s="3">
        <v>411923000</v>
      </c>
      <c r="J104" s="3">
        <v>0</v>
      </c>
      <c r="K104" s="3">
        <v>0</v>
      </c>
      <c r="L104" s="3">
        <v>539544000</v>
      </c>
      <c r="M104" s="3">
        <v>127621000</v>
      </c>
      <c r="N104" s="3">
        <v>406923000</v>
      </c>
      <c r="O104" s="3">
        <v>0</v>
      </c>
      <c r="P104" s="3">
        <v>0</v>
      </c>
      <c r="Q104" s="3">
        <v>534544000</v>
      </c>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v>130103000</v>
      </c>
      <c r="AR104" s="3">
        <v>323113000</v>
      </c>
      <c r="AS104" s="3">
        <v>0</v>
      </c>
      <c r="AT104" s="3">
        <v>0</v>
      </c>
      <c r="AU104" s="3">
        <v>453216000</v>
      </c>
      <c r="AV104" s="3">
        <v>130103000</v>
      </c>
      <c r="AW104" s="3">
        <v>323113000</v>
      </c>
      <c r="AX104" s="3">
        <v>0</v>
      </c>
      <c r="AY104" s="3">
        <v>0</v>
      </c>
      <c r="AZ104" s="3">
        <v>453216000</v>
      </c>
      <c r="BA104" s="3"/>
      <c r="BB104" s="3"/>
      <c r="BC104" s="3"/>
      <c r="BD104" s="3"/>
      <c r="BE104" s="3"/>
      <c r="BF104" s="3"/>
      <c r="BG104" s="3"/>
      <c r="BH104" s="3"/>
      <c r="BI104" s="3"/>
      <c r="BJ104" s="3"/>
      <c r="BK104" s="3"/>
      <c r="BL104" s="3"/>
      <c r="BM104" s="3"/>
      <c r="BN104" s="3"/>
      <c r="BO104" s="3"/>
      <c r="BP104" s="3"/>
      <c r="BQ104" s="3"/>
      <c r="BR104" s="3"/>
      <c r="BS104" s="3"/>
      <c r="BU104" s="3"/>
      <c r="BV104" s="3"/>
      <c r="BW104" s="3"/>
      <c r="BX104" s="3"/>
      <c r="BZ104" s="3">
        <v>135185000</v>
      </c>
      <c r="CA104" s="3">
        <v>439534000</v>
      </c>
      <c r="CB104" s="3">
        <v>0</v>
      </c>
      <c r="CC104" s="3">
        <v>0</v>
      </c>
      <c r="CD104" s="3">
        <v>574719000</v>
      </c>
      <c r="CE104" s="3">
        <v>135185000</v>
      </c>
      <c r="CF104" s="3">
        <v>545534000</v>
      </c>
      <c r="CG104" s="3">
        <v>0</v>
      </c>
      <c r="CH104" s="3">
        <v>0</v>
      </c>
      <c r="CI104" s="3">
        <v>680719000</v>
      </c>
      <c r="CJ104" s="3"/>
      <c r="CK104" s="3"/>
      <c r="CL104" s="3"/>
      <c r="CM104" s="3"/>
      <c r="CN104" s="3"/>
      <c r="CO104" s="3"/>
      <c r="CP104" s="3"/>
      <c r="CQ104" s="3"/>
      <c r="CR104" s="3"/>
      <c r="CS104" s="3"/>
      <c r="CT104" s="3"/>
      <c r="CU104" s="3"/>
      <c r="CV104" s="3"/>
      <c r="CW104" s="3"/>
      <c r="CX104" s="3"/>
      <c r="CY104" s="3"/>
      <c r="CZ104" s="3"/>
      <c r="DA104" s="3"/>
      <c r="DB104" s="3"/>
      <c r="DD104" s="3"/>
      <c r="DE104" s="3"/>
      <c r="DF104" s="3"/>
      <c r="DG104" s="3"/>
      <c r="DI104" s="3">
        <v>151820000</v>
      </c>
      <c r="DJ104" s="3">
        <v>332073000</v>
      </c>
      <c r="DK104" s="3">
        <v>0</v>
      </c>
      <c r="DL104" s="3">
        <v>0</v>
      </c>
      <c r="DM104" s="3">
        <v>483893000</v>
      </c>
      <c r="DN104" s="3">
        <v>151820000</v>
      </c>
      <c r="DO104" s="3">
        <v>332073000</v>
      </c>
      <c r="DP104" s="3">
        <v>0</v>
      </c>
      <c r="DQ104" s="3">
        <v>0</v>
      </c>
      <c r="DR104" s="3">
        <v>483893000</v>
      </c>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R104" s="3">
        <v>161620000</v>
      </c>
      <c r="ES104" s="3">
        <v>332073000</v>
      </c>
      <c r="ET104" s="3">
        <v>0</v>
      </c>
      <c r="EU104" s="3">
        <v>0</v>
      </c>
      <c r="EV104" s="3">
        <v>493693000</v>
      </c>
      <c r="EW104" s="3">
        <v>161620000</v>
      </c>
      <c r="EX104" s="3">
        <v>325573000</v>
      </c>
      <c r="EY104" s="3">
        <v>0</v>
      </c>
      <c r="EZ104" s="3">
        <v>0</v>
      </c>
      <c r="FA104" s="3">
        <v>487193000</v>
      </c>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v>184667000</v>
      </c>
      <c r="GB104" s="3">
        <v>274555000</v>
      </c>
      <c r="GC104" s="3">
        <v>0</v>
      </c>
      <c r="GD104" s="3">
        <v>0</v>
      </c>
      <c r="GE104" s="3">
        <v>459222000</v>
      </c>
      <c r="GF104" s="3">
        <v>184667000</v>
      </c>
      <c r="GG104" s="3">
        <v>274555000</v>
      </c>
      <c r="GH104" s="3">
        <v>0</v>
      </c>
      <c r="GI104" s="3">
        <v>0</v>
      </c>
      <c r="GJ104" s="3">
        <v>459222000</v>
      </c>
      <c r="GK104" s="3"/>
      <c r="GL104" s="3"/>
      <c r="GM104" s="3"/>
      <c r="GN104" s="3"/>
      <c r="GO104" s="3"/>
      <c r="GP104" s="3"/>
      <c r="GQ104" s="3"/>
      <c r="GR104" s="3"/>
      <c r="GS104" s="3"/>
      <c r="GU104" s="3"/>
      <c r="GV104" s="3"/>
      <c r="GW104" s="3"/>
      <c r="GX104" s="3"/>
      <c r="GY104" s="3"/>
      <c r="GZ104" s="3"/>
      <c r="HA104" s="3"/>
      <c r="HB104" s="3"/>
      <c r="HC104" s="3"/>
      <c r="HE104" s="3"/>
      <c r="HF104" s="3"/>
      <c r="HG104" s="3"/>
      <c r="HH104" s="3"/>
      <c r="HJ104" s="3">
        <v>189032000</v>
      </c>
      <c r="HK104" s="3">
        <v>280171000</v>
      </c>
      <c r="HL104" s="3">
        <v>0</v>
      </c>
      <c r="HM104" s="3">
        <v>0</v>
      </c>
      <c r="HN104" s="3">
        <v>469203000</v>
      </c>
      <c r="HO104" s="3">
        <v>189032000</v>
      </c>
      <c r="HP104" s="3">
        <v>342171000</v>
      </c>
      <c r="HQ104" s="3">
        <v>0</v>
      </c>
      <c r="HR104" s="3">
        <v>22000000</v>
      </c>
      <c r="HS104" s="3">
        <v>553203000</v>
      </c>
      <c r="HT104" s="3"/>
      <c r="HU104" s="3"/>
      <c r="HV104" s="3"/>
      <c r="HW104" s="3"/>
      <c r="HX104" s="3"/>
      <c r="HY104" s="3"/>
      <c r="HZ104" s="3"/>
      <c r="IA104" s="3"/>
      <c r="IB104" s="3"/>
      <c r="ID104" s="3"/>
      <c r="IE104" s="3"/>
      <c r="IF104" s="3"/>
      <c r="IG104" s="3"/>
      <c r="IS104" s="3">
        <v>192647000</v>
      </c>
      <c r="IT104" s="3">
        <v>285214000</v>
      </c>
      <c r="IU104" s="3">
        <v>0</v>
      </c>
      <c r="IV104" s="3">
        <v>0</v>
      </c>
      <c r="IW104" s="3">
        <v>477861000</v>
      </c>
      <c r="IX104" s="3">
        <v>192647000</v>
      </c>
      <c r="IY104" s="3">
        <v>285214000</v>
      </c>
      <c r="IZ104" s="3">
        <v>0</v>
      </c>
      <c r="JA104" s="3">
        <v>0</v>
      </c>
      <c r="JB104" s="3">
        <v>477861000</v>
      </c>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v>227088000</v>
      </c>
      <c r="KC104" s="3">
        <v>290348000</v>
      </c>
      <c r="KD104" s="3">
        <v>0</v>
      </c>
      <c r="KE104" s="3">
        <v>0</v>
      </c>
      <c r="KF104" s="3">
        <v>517436000</v>
      </c>
      <c r="KG104" s="3">
        <v>227088000</v>
      </c>
      <c r="KH104" s="3">
        <v>294408000</v>
      </c>
      <c r="KI104" s="3">
        <v>0</v>
      </c>
      <c r="KJ104" s="3">
        <v>0</v>
      </c>
      <c r="KK104" s="3">
        <v>521496000</v>
      </c>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v>236527000</v>
      </c>
      <c r="LL104" s="3">
        <v>295074000</v>
      </c>
      <c r="LM104">
        <v>0</v>
      </c>
      <c r="LN104">
        <v>0</v>
      </c>
      <c r="LO104" s="3">
        <v>531601000</v>
      </c>
    </row>
    <row r="105" spans="1:327" x14ac:dyDescent="0.25">
      <c r="A105" t="s">
        <v>943</v>
      </c>
      <c r="B105" t="s">
        <v>944</v>
      </c>
      <c r="C105" t="s">
        <v>556</v>
      </c>
      <c r="D105" t="s">
        <v>975</v>
      </c>
      <c r="E105" t="s">
        <v>224</v>
      </c>
      <c r="F105" s="4" t="s">
        <v>530</v>
      </c>
      <c r="G105" t="s">
        <v>1122</v>
      </c>
      <c r="H105" s="3">
        <v>0</v>
      </c>
      <c r="I105" s="3">
        <v>0</v>
      </c>
      <c r="J105" s="3">
        <v>0</v>
      </c>
      <c r="K105" s="3">
        <v>0</v>
      </c>
      <c r="L105" s="3">
        <v>0</v>
      </c>
      <c r="M105" s="3">
        <v>0</v>
      </c>
      <c r="N105" s="3">
        <v>15500000</v>
      </c>
      <c r="O105" s="3">
        <v>0</v>
      </c>
      <c r="P105" s="3">
        <v>10500000</v>
      </c>
      <c r="Q105" s="3">
        <v>26000000</v>
      </c>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U105" s="3"/>
      <c r="BV105" s="3"/>
      <c r="BW105" s="3"/>
      <c r="BX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D105" s="3"/>
      <c r="DE105" s="3"/>
      <c r="DF105" s="3"/>
      <c r="DG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U105" s="3"/>
      <c r="GV105" s="3"/>
      <c r="GW105" s="3"/>
      <c r="GX105" s="3"/>
      <c r="GY105" s="3"/>
      <c r="GZ105" s="3"/>
      <c r="HA105" s="3"/>
      <c r="HB105" s="3"/>
      <c r="HC105" s="3"/>
      <c r="HE105" s="3"/>
      <c r="HF105" s="3"/>
      <c r="HG105" s="3"/>
      <c r="HH105" s="3"/>
      <c r="HJ105" s="3"/>
      <c r="HK105" s="3"/>
      <c r="HL105" s="3"/>
      <c r="HM105" s="3"/>
      <c r="HN105" s="3"/>
      <c r="HO105" s="3"/>
      <c r="HP105" s="3"/>
      <c r="HQ105" s="3"/>
      <c r="HR105" s="3"/>
      <c r="HS105" s="3"/>
      <c r="HT105" s="3"/>
      <c r="HU105" s="3"/>
      <c r="HV105" s="3"/>
      <c r="HW105" s="3"/>
      <c r="HX105" s="3"/>
      <c r="HY105" s="3"/>
      <c r="HZ105" s="3"/>
      <c r="IA105" s="3"/>
      <c r="IB105" s="3"/>
      <c r="ID105" s="3"/>
      <c r="IE105" s="3"/>
      <c r="IF105" s="3"/>
      <c r="IG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row>
    <row r="106" spans="1:327" x14ac:dyDescent="0.25">
      <c r="A106" t="s">
        <v>943</v>
      </c>
      <c r="B106" t="s">
        <v>944</v>
      </c>
      <c r="C106" t="s">
        <v>556</v>
      </c>
      <c r="D106" t="s">
        <v>975</v>
      </c>
      <c r="E106" t="s">
        <v>224</v>
      </c>
      <c r="F106" t="s">
        <v>985</v>
      </c>
      <c r="G106" t="s">
        <v>1130</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v>0</v>
      </c>
      <c r="AR106" s="3">
        <v>183582000</v>
      </c>
      <c r="AS106" s="3">
        <v>0</v>
      </c>
      <c r="AT106" s="3">
        <v>489057000</v>
      </c>
      <c r="AU106" s="3">
        <v>672639000</v>
      </c>
      <c r="AV106" s="3">
        <v>0</v>
      </c>
      <c r="AW106" s="3">
        <v>183582000</v>
      </c>
      <c r="AX106" s="3">
        <v>0</v>
      </c>
      <c r="AY106" s="3">
        <v>489057000</v>
      </c>
      <c r="AZ106" s="3">
        <v>672639000</v>
      </c>
      <c r="BA106" s="3"/>
      <c r="BB106" s="3"/>
      <c r="BC106" s="3"/>
      <c r="BD106" s="3"/>
      <c r="BE106" s="3"/>
      <c r="BF106" s="3"/>
      <c r="BG106" s="3"/>
      <c r="BH106" s="3"/>
      <c r="BI106" s="3"/>
      <c r="BJ106" s="3"/>
      <c r="BK106" s="3"/>
      <c r="BL106" s="3"/>
      <c r="BM106" s="3"/>
      <c r="BN106" s="3"/>
      <c r="BO106" s="3"/>
      <c r="BP106" s="3"/>
      <c r="BQ106" s="3"/>
      <c r="BR106" s="3"/>
      <c r="BS106" s="3"/>
      <c r="BU106" s="3"/>
      <c r="BV106" s="3"/>
      <c r="BW106" s="3"/>
      <c r="BX106" s="3"/>
      <c r="BZ106" s="3">
        <v>0</v>
      </c>
      <c r="CA106" s="3">
        <v>145212000</v>
      </c>
      <c r="CB106" s="3">
        <v>0</v>
      </c>
      <c r="CC106" s="3">
        <v>968712000</v>
      </c>
      <c r="CD106" s="3">
        <v>1113924000</v>
      </c>
      <c r="CE106" s="3">
        <v>0</v>
      </c>
      <c r="CF106" s="3">
        <v>145212000</v>
      </c>
      <c r="CG106" s="3">
        <v>0</v>
      </c>
      <c r="CH106" s="3">
        <v>968712000</v>
      </c>
      <c r="CI106" s="3">
        <v>1113924000</v>
      </c>
      <c r="CJ106" s="3"/>
      <c r="CK106" s="3"/>
      <c r="CL106" s="3"/>
      <c r="CM106" s="3"/>
      <c r="CN106" s="3"/>
      <c r="CO106" s="3"/>
      <c r="CP106" s="3"/>
      <c r="CQ106" s="3"/>
      <c r="CR106" s="3"/>
      <c r="CS106" s="3"/>
      <c r="CT106" s="3"/>
      <c r="CU106" s="3"/>
      <c r="CV106" s="3"/>
      <c r="CW106" s="3"/>
      <c r="CX106" s="3"/>
      <c r="CY106" s="3"/>
      <c r="CZ106" s="3"/>
      <c r="DA106" s="3"/>
      <c r="DB106" s="3"/>
      <c r="DD106" s="3"/>
      <c r="DE106" s="3"/>
      <c r="DF106" s="3"/>
      <c r="DG106" s="3"/>
      <c r="DI106" s="3">
        <v>0</v>
      </c>
      <c r="DJ106" s="3">
        <v>58343000</v>
      </c>
      <c r="DK106" s="3">
        <v>0</v>
      </c>
      <c r="DL106" s="3">
        <v>202913000</v>
      </c>
      <c r="DM106" s="3">
        <v>261256000</v>
      </c>
      <c r="DN106" s="3">
        <v>0</v>
      </c>
      <c r="DO106" s="3">
        <v>58343000</v>
      </c>
      <c r="DP106" s="3">
        <v>0</v>
      </c>
      <c r="DQ106" s="3">
        <v>202913000</v>
      </c>
      <c r="DR106" s="3">
        <v>261256000</v>
      </c>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R106" s="3">
        <v>0</v>
      </c>
      <c r="ES106" s="3">
        <v>40478000</v>
      </c>
      <c r="ET106" s="3">
        <v>0</v>
      </c>
      <c r="EU106" s="3">
        <v>205812000</v>
      </c>
      <c r="EV106" s="3">
        <v>246290000</v>
      </c>
      <c r="EW106" s="3">
        <v>0</v>
      </c>
      <c r="EX106" s="3">
        <v>40478000</v>
      </c>
      <c r="EY106" s="3">
        <v>0</v>
      </c>
      <c r="EZ106" s="3">
        <v>205812000</v>
      </c>
      <c r="FA106" s="3">
        <v>246290000</v>
      </c>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U106" s="3"/>
      <c r="GV106" s="3"/>
      <c r="GW106" s="3"/>
      <c r="GX106" s="3"/>
      <c r="GY106" s="3"/>
      <c r="GZ106" s="3"/>
      <c r="HA106" s="3"/>
      <c r="HB106" s="3"/>
      <c r="HC106" s="3"/>
      <c r="HE106" s="3"/>
      <c r="HF106" s="3"/>
      <c r="HG106" s="3"/>
      <c r="HH106" s="3"/>
      <c r="HJ106" s="3"/>
      <c r="HK106" s="3"/>
      <c r="HL106" s="3"/>
      <c r="HM106" s="3"/>
      <c r="HN106" s="3"/>
      <c r="HO106" s="3"/>
      <c r="HP106" s="3"/>
      <c r="HQ106" s="3"/>
      <c r="HR106" s="3"/>
      <c r="HS106" s="3"/>
      <c r="HT106" s="3"/>
      <c r="HU106" s="3"/>
      <c r="HV106" s="3"/>
      <c r="HW106" s="3"/>
      <c r="HX106" s="3"/>
      <c r="HY106" s="3"/>
      <c r="HZ106" s="3"/>
      <c r="IA106" s="3"/>
      <c r="IB106" s="3"/>
      <c r="ID106" s="3"/>
      <c r="IE106" s="3"/>
      <c r="IF106" s="3"/>
      <c r="IG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row>
    <row r="107" spans="1:327" x14ac:dyDescent="0.25">
      <c r="A107" t="s">
        <v>943</v>
      </c>
      <c r="B107" t="s">
        <v>944</v>
      </c>
      <c r="C107" t="s">
        <v>556</v>
      </c>
      <c r="D107" t="s">
        <v>975</v>
      </c>
      <c r="E107" t="s">
        <v>224</v>
      </c>
      <c r="F107" t="s">
        <v>986</v>
      </c>
      <c r="G107" t="s">
        <v>1145</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U107" s="3"/>
      <c r="BV107" s="3"/>
      <c r="BW107" s="3"/>
      <c r="BX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D107" s="3"/>
      <c r="DE107" s="3"/>
      <c r="DF107" s="3"/>
      <c r="DG107" s="3"/>
      <c r="DI107" s="3">
        <v>0</v>
      </c>
      <c r="DJ107" s="3">
        <v>0</v>
      </c>
      <c r="DK107" s="3">
        <v>0</v>
      </c>
      <c r="DL107" s="3">
        <v>0</v>
      </c>
      <c r="DM107" s="3">
        <v>0</v>
      </c>
      <c r="DN107" s="3">
        <v>0</v>
      </c>
      <c r="DO107" s="3">
        <v>30000000</v>
      </c>
      <c r="DP107" s="3">
        <v>0</v>
      </c>
      <c r="DQ107" s="3">
        <v>0</v>
      </c>
      <c r="DR107" s="3">
        <v>30000000</v>
      </c>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R107" s="3">
        <v>0</v>
      </c>
      <c r="ES107" s="3">
        <v>0</v>
      </c>
      <c r="ET107" s="3">
        <v>0</v>
      </c>
      <c r="EU107" s="3">
        <v>0</v>
      </c>
      <c r="EV107" s="3">
        <v>0</v>
      </c>
      <c r="EW107" s="3">
        <v>0</v>
      </c>
      <c r="EX107" s="3">
        <v>10000000</v>
      </c>
      <c r="EY107" s="3">
        <v>0</v>
      </c>
      <c r="EZ107" s="3">
        <v>0</v>
      </c>
      <c r="FA107" s="3">
        <v>10000000</v>
      </c>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U107" s="3"/>
      <c r="GV107" s="3"/>
      <c r="GW107" s="3"/>
      <c r="GX107" s="3"/>
      <c r="GY107" s="3"/>
      <c r="GZ107" s="3"/>
      <c r="HA107" s="3"/>
      <c r="HB107" s="3"/>
      <c r="HC107" s="3"/>
      <c r="HE107" s="3"/>
      <c r="HF107" s="3"/>
      <c r="HG107" s="3"/>
      <c r="HH107" s="3"/>
      <c r="HJ107" s="3"/>
      <c r="HK107" s="3"/>
      <c r="HL107" s="3"/>
      <c r="HM107" s="3"/>
      <c r="HN107" s="3"/>
      <c r="HO107" s="3"/>
      <c r="HP107" s="3"/>
      <c r="HQ107" s="3"/>
      <c r="HR107" s="3"/>
      <c r="HS107" s="3"/>
      <c r="HT107" s="3"/>
      <c r="HU107" s="3"/>
      <c r="HV107" s="3"/>
      <c r="HW107" s="3"/>
      <c r="HX107" s="3"/>
      <c r="HY107" s="3"/>
      <c r="HZ107" s="3"/>
      <c r="IA107" s="3"/>
      <c r="IB107" s="3"/>
      <c r="ID107" s="3"/>
      <c r="IE107" s="3"/>
      <c r="IF107" s="3"/>
      <c r="IG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c r="KC107" s="3"/>
      <c r="KD107" s="3"/>
      <c r="KE107" s="3"/>
      <c r="KF107" s="3"/>
      <c r="KG107" s="3"/>
      <c r="KH107" s="3"/>
      <c r="KI107" s="3"/>
      <c r="KJ107" s="3"/>
      <c r="KK107" s="3"/>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row>
    <row r="108" spans="1:327" x14ac:dyDescent="0.25">
      <c r="A108" t="s">
        <v>943</v>
      </c>
      <c r="B108" t="s">
        <v>944</v>
      </c>
      <c r="C108" t="s">
        <v>556</v>
      </c>
      <c r="D108" t="s">
        <v>975</v>
      </c>
      <c r="E108" t="s">
        <v>224</v>
      </c>
      <c r="F108" t="s">
        <v>987</v>
      </c>
      <c r="G108" t="s">
        <v>1151</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U108" s="3"/>
      <c r="BV108" s="3"/>
      <c r="BW108" s="3"/>
      <c r="BX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D108" s="3"/>
      <c r="DE108" s="3"/>
      <c r="DF108" s="3"/>
      <c r="DG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R108" s="3">
        <v>0</v>
      </c>
      <c r="ES108" s="3">
        <v>0</v>
      </c>
      <c r="ET108" s="3">
        <v>0</v>
      </c>
      <c r="EU108" s="3">
        <v>0</v>
      </c>
      <c r="EV108" s="3">
        <v>0</v>
      </c>
      <c r="EW108" s="3">
        <v>0</v>
      </c>
      <c r="EX108" s="3">
        <v>30000000</v>
      </c>
      <c r="EY108" s="3">
        <v>0</v>
      </c>
      <c r="EZ108" s="3">
        <v>0</v>
      </c>
      <c r="FA108" s="3">
        <v>30000000</v>
      </c>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U108" s="3"/>
      <c r="GV108" s="3"/>
      <c r="GW108" s="3"/>
      <c r="GX108" s="3"/>
      <c r="GY108" s="3"/>
      <c r="GZ108" s="3"/>
      <c r="HA108" s="3"/>
      <c r="HB108" s="3"/>
      <c r="HC108" s="3"/>
      <c r="HE108" s="3"/>
      <c r="HF108" s="3"/>
      <c r="HG108" s="3"/>
      <c r="HH108" s="3"/>
      <c r="HJ108" s="3"/>
      <c r="HK108" s="3"/>
      <c r="HL108" s="3"/>
      <c r="HM108" s="3"/>
      <c r="HN108" s="3"/>
      <c r="HO108" s="3"/>
      <c r="HP108" s="3"/>
      <c r="HQ108" s="3"/>
      <c r="HR108" s="3"/>
      <c r="HS108" s="3"/>
      <c r="HT108" s="3"/>
      <c r="HU108" s="3"/>
      <c r="HV108" s="3"/>
      <c r="HW108" s="3"/>
      <c r="HX108" s="3"/>
      <c r="HY108" s="3"/>
      <c r="HZ108" s="3"/>
      <c r="IA108" s="3"/>
      <c r="IB108" s="3"/>
      <c r="ID108" s="3"/>
      <c r="IE108" s="3"/>
      <c r="IF108" s="3"/>
      <c r="IG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c r="KC108" s="3"/>
      <c r="KD108" s="3"/>
      <c r="KE108" s="3"/>
      <c r="KF108" s="3"/>
      <c r="KG108" s="3"/>
      <c r="KH108" s="3"/>
      <c r="KI108" s="3"/>
      <c r="KJ108" s="3"/>
      <c r="KK108" s="3"/>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row>
    <row r="109" spans="1:327" x14ac:dyDescent="0.25">
      <c r="A109" t="s">
        <v>943</v>
      </c>
      <c r="B109" t="s">
        <v>944</v>
      </c>
      <c r="C109" t="s">
        <v>556</v>
      </c>
      <c r="D109" t="s">
        <v>975</v>
      </c>
      <c r="E109" t="s">
        <v>224</v>
      </c>
      <c r="F109" s="4" t="s">
        <v>531</v>
      </c>
      <c r="G109" t="s">
        <v>1124</v>
      </c>
      <c r="H109" s="3">
        <v>0</v>
      </c>
      <c r="I109" s="3">
        <v>264263000</v>
      </c>
      <c r="J109" s="3">
        <v>0</v>
      </c>
      <c r="K109" s="3">
        <v>24770000</v>
      </c>
      <c r="L109" s="3">
        <v>289033000</v>
      </c>
      <c r="M109" s="3">
        <v>0</v>
      </c>
      <c r="N109" s="3">
        <v>264263000</v>
      </c>
      <c r="O109" s="3">
        <v>0</v>
      </c>
      <c r="P109" s="3">
        <v>24770000</v>
      </c>
      <c r="Q109" s="3">
        <v>289033000</v>
      </c>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U109" s="3"/>
      <c r="BV109" s="3"/>
      <c r="BW109" s="3"/>
      <c r="BX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D109" s="3"/>
      <c r="DE109" s="3"/>
      <c r="DF109" s="3"/>
      <c r="DG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U109" s="3"/>
      <c r="GV109" s="3"/>
      <c r="GW109" s="3"/>
      <c r="GX109" s="3"/>
      <c r="GY109" s="3"/>
      <c r="GZ109" s="3"/>
      <c r="HA109" s="3"/>
      <c r="HB109" s="3"/>
      <c r="HC109" s="3"/>
      <c r="HE109" s="3"/>
      <c r="HF109" s="3"/>
      <c r="HG109" s="3"/>
      <c r="HH109" s="3"/>
      <c r="HJ109" s="3"/>
      <c r="HK109" s="3"/>
      <c r="HL109" s="3"/>
      <c r="HM109" s="3"/>
      <c r="HN109" s="3"/>
      <c r="HO109" s="3"/>
      <c r="HP109" s="3"/>
      <c r="HQ109" s="3"/>
      <c r="HR109" s="3"/>
      <c r="HS109" s="3"/>
      <c r="HT109" s="3"/>
      <c r="HU109" s="3"/>
      <c r="HV109" s="3"/>
      <c r="HW109" s="3"/>
      <c r="HX109" s="3"/>
      <c r="HY109" s="3"/>
      <c r="HZ109" s="3"/>
      <c r="IA109" s="3"/>
      <c r="IB109" s="3"/>
      <c r="ID109" s="3"/>
      <c r="IE109" s="3"/>
      <c r="IF109" s="3"/>
      <c r="IG109" s="3"/>
      <c r="IS109" s="3"/>
      <c r="IT109" s="3"/>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c r="JX109" s="3"/>
      <c r="JY109" s="3"/>
      <c r="JZ109" s="3"/>
      <c r="KA109" s="3"/>
      <c r="KB109" s="3"/>
      <c r="KC109" s="3"/>
      <c r="KD109" s="3"/>
      <c r="KE109" s="3"/>
      <c r="KF109" s="3"/>
      <c r="KG109" s="3"/>
      <c r="KH109" s="3"/>
      <c r="KI109" s="3"/>
      <c r="KJ109" s="3"/>
      <c r="KK109" s="3"/>
      <c r="KL109" s="3"/>
      <c r="KM109" s="3"/>
      <c r="KN109" s="3"/>
      <c r="KO109" s="3"/>
      <c r="KP109" s="3"/>
      <c r="KQ109" s="3"/>
      <c r="KR109" s="3"/>
      <c r="KS109" s="3"/>
      <c r="KT109" s="3"/>
      <c r="KU109" s="3"/>
      <c r="KV109" s="3"/>
      <c r="KW109" s="3"/>
      <c r="KX109" s="3"/>
      <c r="KY109" s="3"/>
      <c r="KZ109" s="3"/>
      <c r="LA109" s="3"/>
      <c r="LB109" s="3"/>
      <c r="LC109" s="3"/>
      <c r="LD109" s="3"/>
      <c r="LE109" s="3"/>
      <c r="LF109" s="3"/>
      <c r="LG109" s="3"/>
      <c r="LH109" s="3"/>
      <c r="LI109" s="3"/>
      <c r="LJ109" s="3"/>
    </row>
    <row r="110" spans="1:327" x14ac:dyDescent="0.25">
      <c r="A110" t="s">
        <v>943</v>
      </c>
      <c r="B110" t="s">
        <v>944</v>
      </c>
      <c r="C110" t="s">
        <v>556</v>
      </c>
      <c r="D110" t="s">
        <v>975</v>
      </c>
      <c r="E110" t="s">
        <v>224</v>
      </c>
      <c r="F110" s="4" t="s">
        <v>1123</v>
      </c>
      <c r="G110" t="s">
        <v>1074</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U110" s="3"/>
      <c r="BV110" s="3"/>
      <c r="BW110" s="3"/>
      <c r="BX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D110" s="3"/>
      <c r="DE110" s="3"/>
      <c r="DF110" s="3"/>
      <c r="DG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R110" s="3">
        <v>0</v>
      </c>
      <c r="ES110" s="3">
        <v>0</v>
      </c>
      <c r="ET110" s="3">
        <v>0</v>
      </c>
      <c r="EU110" s="3">
        <v>0</v>
      </c>
      <c r="EV110" s="3">
        <v>0</v>
      </c>
      <c r="EW110" s="3">
        <v>0</v>
      </c>
      <c r="EX110" s="3">
        <v>0</v>
      </c>
      <c r="EY110" s="3">
        <v>0</v>
      </c>
      <c r="EZ110" s="3">
        <v>0</v>
      </c>
      <c r="FA110" s="3">
        <v>0</v>
      </c>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v>0</v>
      </c>
      <c r="GB110" s="3">
        <v>136235000</v>
      </c>
      <c r="GC110" s="3">
        <v>0</v>
      </c>
      <c r="GD110" s="3">
        <v>4897000</v>
      </c>
      <c r="GE110" s="3">
        <v>141132000</v>
      </c>
      <c r="GF110" s="3">
        <v>0</v>
      </c>
      <c r="GG110" s="3">
        <v>11132000</v>
      </c>
      <c r="GH110" s="3">
        <v>0</v>
      </c>
      <c r="GI110" s="3">
        <v>0</v>
      </c>
      <c r="GJ110" s="3">
        <v>11132000</v>
      </c>
      <c r="GK110" s="3"/>
      <c r="GL110" s="3"/>
      <c r="GM110" s="3"/>
      <c r="GN110" s="3"/>
      <c r="GO110" s="3"/>
      <c r="GP110" s="3"/>
      <c r="GQ110" s="3"/>
      <c r="GR110" s="3"/>
      <c r="GS110" s="3"/>
      <c r="GU110" s="3"/>
      <c r="GV110" s="3"/>
      <c r="GW110" s="3"/>
      <c r="GX110" s="3"/>
      <c r="GY110" s="3"/>
      <c r="GZ110" s="3"/>
      <c r="HA110" s="3"/>
      <c r="HB110" s="3"/>
      <c r="HC110" s="3"/>
      <c r="HE110" s="3"/>
      <c r="HF110" s="3"/>
      <c r="HG110" s="3"/>
      <c r="HH110" s="3"/>
      <c r="HJ110" s="3">
        <v>0</v>
      </c>
      <c r="HK110" s="3">
        <v>869465000</v>
      </c>
      <c r="HL110" s="3">
        <v>0</v>
      </c>
      <c r="HM110" s="3">
        <v>701422000</v>
      </c>
      <c r="HN110" s="3">
        <v>1570887000</v>
      </c>
      <c r="HO110" s="3">
        <v>0</v>
      </c>
      <c r="HP110" s="3">
        <v>0</v>
      </c>
      <c r="HQ110" s="3">
        <v>0</v>
      </c>
      <c r="HR110" s="3">
        <v>0</v>
      </c>
      <c r="HS110" s="3">
        <v>0</v>
      </c>
      <c r="HT110" s="3"/>
      <c r="HU110" s="3"/>
      <c r="HV110" s="3"/>
      <c r="HW110" s="3"/>
      <c r="HX110" s="3"/>
      <c r="HY110" s="3"/>
      <c r="HZ110" s="3"/>
      <c r="IA110" s="3"/>
      <c r="IB110" s="3"/>
      <c r="ID110" s="3"/>
      <c r="IE110" s="3"/>
      <c r="IF110" s="3"/>
      <c r="IG110" s="3"/>
      <c r="IS110" s="3">
        <v>0</v>
      </c>
      <c r="IT110" s="3">
        <v>992065000</v>
      </c>
      <c r="IU110" s="3">
        <v>0</v>
      </c>
      <c r="IV110" s="3">
        <v>1235115000</v>
      </c>
      <c r="IW110" s="3">
        <v>2227180000</v>
      </c>
      <c r="IX110" s="3">
        <v>0</v>
      </c>
      <c r="IY110" s="3">
        <v>992065000</v>
      </c>
      <c r="IZ110" s="3">
        <v>0</v>
      </c>
      <c r="JA110" s="3">
        <v>1235115000</v>
      </c>
      <c r="JB110" s="3">
        <v>2227180000</v>
      </c>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v>0</v>
      </c>
      <c r="KC110" s="3">
        <v>1052676000</v>
      </c>
      <c r="KD110" s="3">
        <v>0</v>
      </c>
      <c r="KE110" s="3">
        <v>982827000</v>
      </c>
      <c r="KF110" s="3">
        <v>2035503000</v>
      </c>
      <c r="KG110" s="3">
        <v>0</v>
      </c>
      <c r="KH110" s="3">
        <v>1052676000</v>
      </c>
      <c r="KI110" s="3">
        <v>0</v>
      </c>
      <c r="KJ110" s="3">
        <v>982827000</v>
      </c>
      <c r="KK110" s="3">
        <v>2035503000</v>
      </c>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v>0</v>
      </c>
      <c r="LL110" s="3">
        <v>906751000</v>
      </c>
      <c r="LM110">
        <v>0</v>
      </c>
      <c r="LN110" s="3">
        <v>891328000</v>
      </c>
      <c r="LO110" s="3">
        <v>1798079000</v>
      </c>
    </row>
    <row r="111" spans="1:327" x14ac:dyDescent="0.25">
      <c r="A111" t="s">
        <v>943</v>
      </c>
      <c r="B111" t="s">
        <v>944</v>
      </c>
      <c r="C111" t="s">
        <v>556</v>
      </c>
      <c r="D111" t="s">
        <v>975</v>
      </c>
      <c r="E111" t="s">
        <v>241</v>
      </c>
      <c r="F111" t="s">
        <v>532</v>
      </c>
      <c r="G111" t="s">
        <v>1067</v>
      </c>
      <c r="H111" s="3">
        <v>26042000</v>
      </c>
      <c r="I111" s="3">
        <v>663096000</v>
      </c>
      <c r="J111" s="3">
        <v>0</v>
      </c>
      <c r="K111" s="3">
        <v>0</v>
      </c>
      <c r="L111" s="3">
        <v>689138000</v>
      </c>
      <c r="M111" s="3">
        <v>26042000</v>
      </c>
      <c r="N111" s="3">
        <v>663096000</v>
      </c>
      <c r="O111" s="3">
        <v>0</v>
      </c>
      <c r="P111" s="3">
        <v>0</v>
      </c>
      <c r="Q111" s="3">
        <v>689138000</v>
      </c>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v>25783000</v>
      </c>
      <c r="AR111" s="3">
        <v>526525000</v>
      </c>
      <c r="AS111" s="3">
        <v>0</v>
      </c>
      <c r="AT111" s="3">
        <v>0</v>
      </c>
      <c r="AU111" s="3">
        <v>552308000</v>
      </c>
      <c r="AV111" s="3">
        <v>25783000</v>
      </c>
      <c r="AW111" s="3">
        <v>526525000</v>
      </c>
      <c r="AX111" s="3">
        <v>0</v>
      </c>
      <c r="AY111" s="3">
        <v>0</v>
      </c>
      <c r="AZ111" s="3">
        <v>552308000</v>
      </c>
      <c r="BA111" s="3"/>
      <c r="BB111" s="3"/>
      <c r="BC111" s="3"/>
      <c r="BD111" s="3"/>
      <c r="BE111" s="3"/>
      <c r="BF111" s="3"/>
      <c r="BG111" s="3"/>
      <c r="BH111" s="3"/>
      <c r="BI111" s="3"/>
      <c r="BJ111" s="3"/>
      <c r="BK111" s="3"/>
      <c r="BL111" s="3"/>
      <c r="BM111" s="3"/>
      <c r="BN111" s="3"/>
      <c r="BO111" s="3"/>
      <c r="BP111" s="3"/>
      <c r="BQ111" s="3"/>
      <c r="BR111" s="3"/>
      <c r="BS111" s="3"/>
      <c r="BU111" s="3"/>
      <c r="BV111" s="3"/>
      <c r="BW111" s="3"/>
      <c r="BX111" s="3"/>
      <c r="BZ111" s="3">
        <v>31536000</v>
      </c>
      <c r="CA111" s="3">
        <v>529408000</v>
      </c>
      <c r="CB111" s="3">
        <v>0</v>
      </c>
      <c r="CC111" s="3">
        <v>0</v>
      </c>
      <c r="CD111" s="3">
        <v>560944000</v>
      </c>
      <c r="CE111" s="3">
        <v>31536000</v>
      </c>
      <c r="CF111" s="3">
        <v>456628000</v>
      </c>
      <c r="CG111" s="3">
        <v>0</v>
      </c>
      <c r="CH111" s="3">
        <v>0</v>
      </c>
      <c r="CI111" s="3">
        <v>488164000</v>
      </c>
      <c r="CJ111" s="3"/>
      <c r="CK111" s="3"/>
      <c r="CL111" s="3"/>
      <c r="CM111" s="3"/>
      <c r="CN111" s="3"/>
      <c r="CO111" s="3"/>
      <c r="CP111" s="3"/>
      <c r="CQ111" s="3"/>
      <c r="CR111" s="3"/>
      <c r="CS111" s="3"/>
      <c r="CT111" s="3"/>
      <c r="CU111" s="3"/>
      <c r="CV111" s="3"/>
      <c r="CW111" s="3"/>
      <c r="CX111" s="3"/>
      <c r="CY111" s="3"/>
      <c r="CZ111" s="3"/>
      <c r="DA111" s="3"/>
      <c r="DB111" s="3"/>
      <c r="DD111" s="3"/>
      <c r="DE111" s="3"/>
      <c r="DF111" s="3"/>
      <c r="DG111" s="3"/>
      <c r="DI111" s="3">
        <v>37377000</v>
      </c>
      <c r="DJ111" s="3">
        <v>539050000</v>
      </c>
      <c r="DK111" s="3">
        <v>0</v>
      </c>
      <c r="DL111" s="3">
        <v>0</v>
      </c>
      <c r="DM111" s="3">
        <v>576427000</v>
      </c>
      <c r="DN111" s="3">
        <v>37377000</v>
      </c>
      <c r="DO111" s="3">
        <v>428701000</v>
      </c>
      <c r="DP111" s="3">
        <v>0</v>
      </c>
      <c r="DQ111" s="3">
        <v>0</v>
      </c>
      <c r="DR111" s="3">
        <v>466078000</v>
      </c>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R111" s="3">
        <v>42132000</v>
      </c>
      <c r="ES111" s="3">
        <v>539050000</v>
      </c>
      <c r="ET111" s="3">
        <v>0</v>
      </c>
      <c r="EU111" s="3">
        <v>0</v>
      </c>
      <c r="EV111" s="3">
        <v>581182000</v>
      </c>
      <c r="EW111" s="3">
        <v>42132000</v>
      </c>
      <c r="EX111" s="3">
        <v>518538000</v>
      </c>
      <c r="EY111" s="3">
        <v>0</v>
      </c>
      <c r="EZ111" s="3">
        <v>0</v>
      </c>
      <c r="FA111" s="3">
        <v>560670000</v>
      </c>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v>41933000</v>
      </c>
      <c r="GB111" s="3">
        <v>508197000</v>
      </c>
      <c r="GC111" s="3">
        <v>0</v>
      </c>
      <c r="GD111" s="3">
        <v>0</v>
      </c>
      <c r="GE111" s="3">
        <v>550130000</v>
      </c>
      <c r="GF111" s="3">
        <v>41933000</v>
      </c>
      <c r="GG111" s="3">
        <v>558197000</v>
      </c>
      <c r="GH111" s="3">
        <v>0</v>
      </c>
      <c r="GI111" s="3">
        <v>0</v>
      </c>
      <c r="GJ111" s="3">
        <v>600130000</v>
      </c>
      <c r="GK111" s="3"/>
      <c r="GL111" s="3"/>
      <c r="GM111" s="3"/>
      <c r="GN111" s="3"/>
      <c r="GO111" s="3"/>
      <c r="GP111" s="3"/>
      <c r="GQ111" s="3"/>
      <c r="GR111" s="3"/>
      <c r="GS111" s="3"/>
      <c r="GU111" s="3"/>
      <c r="GV111" s="3"/>
      <c r="GW111" s="3"/>
      <c r="GX111" s="3"/>
      <c r="GY111" s="3"/>
      <c r="GZ111" s="3"/>
      <c r="HA111" s="3"/>
      <c r="HB111" s="3"/>
      <c r="HC111" s="3"/>
      <c r="HE111" s="3"/>
      <c r="HF111" s="3"/>
      <c r="HG111" s="3"/>
      <c r="HH111" s="3"/>
      <c r="HJ111" s="3">
        <v>48514000</v>
      </c>
      <c r="HK111" s="3">
        <v>569372000</v>
      </c>
      <c r="HL111" s="3">
        <v>0</v>
      </c>
      <c r="HM111" s="3">
        <v>0</v>
      </c>
      <c r="HN111" s="3">
        <v>617886000</v>
      </c>
      <c r="HO111" s="3">
        <v>48514000</v>
      </c>
      <c r="HP111" s="3">
        <v>569372000</v>
      </c>
      <c r="HQ111" s="3">
        <v>0</v>
      </c>
      <c r="HR111" s="3">
        <v>0</v>
      </c>
      <c r="HS111" s="3">
        <v>617886000</v>
      </c>
      <c r="HT111" s="3"/>
      <c r="HU111" s="3"/>
      <c r="HV111" s="3"/>
      <c r="HW111" s="3"/>
      <c r="HX111" s="3"/>
      <c r="HY111" s="3"/>
      <c r="HZ111" s="3"/>
      <c r="IA111" s="3"/>
      <c r="IB111" s="3"/>
      <c r="ID111" s="3"/>
      <c r="IE111" s="3"/>
      <c r="IF111" s="3"/>
      <c r="IG111" s="3"/>
      <c r="IS111" s="3">
        <v>49526000</v>
      </c>
      <c r="IT111" s="3">
        <v>529804000</v>
      </c>
      <c r="IU111" s="3">
        <v>0</v>
      </c>
      <c r="IV111" s="3">
        <v>0</v>
      </c>
      <c r="IW111" s="3">
        <v>579330000</v>
      </c>
      <c r="IX111" s="3">
        <v>49526000</v>
      </c>
      <c r="IY111" s="3">
        <v>529804000</v>
      </c>
      <c r="IZ111" s="3">
        <v>0</v>
      </c>
      <c r="JA111" s="3">
        <v>0</v>
      </c>
      <c r="JB111" s="3">
        <v>579330000</v>
      </c>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v>58230000</v>
      </c>
      <c r="KC111" s="3">
        <v>799341000</v>
      </c>
      <c r="KD111" s="3">
        <v>0</v>
      </c>
      <c r="KE111" s="3">
        <v>240000000</v>
      </c>
      <c r="KF111" s="3">
        <v>1097571000</v>
      </c>
      <c r="KG111" s="3">
        <v>58230000</v>
      </c>
      <c r="KH111" s="3">
        <v>808610000</v>
      </c>
      <c r="KI111" s="3">
        <v>0</v>
      </c>
      <c r="KJ111" s="3">
        <v>240000000</v>
      </c>
      <c r="KK111" s="3">
        <v>1106840000</v>
      </c>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v>63020000</v>
      </c>
      <c r="LL111" s="3">
        <v>582816000</v>
      </c>
      <c r="LM111">
        <v>0</v>
      </c>
      <c r="LN111">
        <v>0</v>
      </c>
      <c r="LO111" s="3">
        <v>645836000</v>
      </c>
    </row>
    <row r="112" spans="1:327" x14ac:dyDescent="0.25">
      <c r="A112" t="s">
        <v>943</v>
      </c>
      <c r="B112" t="s">
        <v>944</v>
      </c>
      <c r="C112" t="s">
        <v>556</v>
      </c>
      <c r="D112" t="s">
        <v>975</v>
      </c>
      <c r="E112" t="s">
        <v>241</v>
      </c>
      <c r="F112" t="s">
        <v>242</v>
      </c>
      <c r="G112" t="s">
        <v>1073</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U112" s="3"/>
      <c r="BV112" s="3"/>
      <c r="BW112" s="3"/>
      <c r="BX112" s="3"/>
      <c r="BZ112" s="3">
        <v>0</v>
      </c>
      <c r="CA112" s="3">
        <v>0</v>
      </c>
      <c r="CB112" s="3">
        <v>0</v>
      </c>
      <c r="CC112" s="3">
        <v>0</v>
      </c>
      <c r="CD112" s="3">
        <v>0</v>
      </c>
      <c r="CE112" s="3">
        <v>0</v>
      </c>
      <c r="CF112" s="3">
        <v>0</v>
      </c>
      <c r="CG112" s="3">
        <v>0</v>
      </c>
      <c r="CH112" s="3">
        <v>0</v>
      </c>
      <c r="CI112" s="3">
        <v>0</v>
      </c>
      <c r="CJ112" s="3"/>
      <c r="CK112" s="3"/>
      <c r="CL112" s="3"/>
      <c r="CM112" s="3"/>
      <c r="CN112" s="3"/>
      <c r="CO112" s="3"/>
      <c r="CP112" s="3"/>
      <c r="CQ112" s="3"/>
      <c r="CR112" s="3"/>
      <c r="CS112" s="3"/>
      <c r="CT112" s="3"/>
      <c r="CU112" s="3"/>
      <c r="CV112" s="3"/>
      <c r="CW112" s="3"/>
      <c r="CX112" s="3"/>
      <c r="CY112" s="3"/>
      <c r="CZ112" s="3"/>
      <c r="DA112" s="3"/>
      <c r="DB112" s="3"/>
      <c r="DD112" s="3"/>
      <c r="DE112" s="3"/>
      <c r="DF112" s="3"/>
      <c r="DG112" s="3"/>
      <c r="DI112" s="3">
        <v>0</v>
      </c>
      <c r="DJ112" s="3">
        <v>0</v>
      </c>
      <c r="DK112" s="3">
        <v>0</v>
      </c>
      <c r="DL112" s="3">
        <v>0</v>
      </c>
      <c r="DM112" s="3">
        <v>0</v>
      </c>
      <c r="DN112" s="3">
        <v>0</v>
      </c>
      <c r="DO112" s="3">
        <v>0</v>
      </c>
      <c r="DP112" s="3">
        <v>0</v>
      </c>
      <c r="DQ112" s="3">
        <v>0</v>
      </c>
      <c r="DR112" s="3">
        <v>0</v>
      </c>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R112" s="3">
        <v>0</v>
      </c>
      <c r="ES112" s="3">
        <v>0</v>
      </c>
      <c r="ET112" s="3">
        <v>0</v>
      </c>
      <c r="EU112" s="3">
        <v>0</v>
      </c>
      <c r="EV112" s="3">
        <v>0</v>
      </c>
      <c r="EW112" s="3">
        <v>0</v>
      </c>
      <c r="EX112" s="3">
        <v>0</v>
      </c>
      <c r="EY112" s="3">
        <v>0</v>
      </c>
      <c r="EZ112" s="3">
        <v>0</v>
      </c>
      <c r="FA112" s="3">
        <v>0</v>
      </c>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v>0</v>
      </c>
      <c r="GB112" s="3">
        <v>0</v>
      </c>
      <c r="GC112" s="3">
        <v>0</v>
      </c>
      <c r="GD112" s="3">
        <v>0</v>
      </c>
      <c r="GE112" s="3">
        <v>0</v>
      </c>
      <c r="GF112" s="3">
        <v>0</v>
      </c>
      <c r="GG112" s="3">
        <v>0</v>
      </c>
      <c r="GH112" s="3">
        <v>0</v>
      </c>
      <c r="GI112" s="3">
        <v>0</v>
      </c>
      <c r="GJ112" s="3">
        <v>0</v>
      </c>
      <c r="GK112" s="3"/>
      <c r="GL112" s="3"/>
      <c r="GM112" s="3"/>
      <c r="GN112" s="3"/>
      <c r="GO112" s="3"/>
      <c r="GP112" s="3"/>
      <c r="GQ112" s="3"/>
      <c r="GR112" s="3"/>
      <c r="GS112" s="3"/>
      <c r="GU112" s="3"/>
      <c r="GV112" s="3"/>
      <c r="GW112" s="3"/>
      <c r="GX112" s="3"/>
      <c r="GY112" s="3"/>
      <c r="GZ112" s="3"/>
      <c r="HA112" s="3"/>
      <c r="HB112" s="3"/>
      <c r="HC112" s="3"/>
      <c r="HE112" s="3"/>
      <c r="HF112" s="3"/>
      <c r="HG112" s="3"/>
      <c r="HH112" s="3"/>
      <c r="HJ112" s="3">
        <v>0</v>
      </c>
      <c r="HK112" s="3">
        <v>0</v>
      </c>
      <c r="HL112" s="3">
        <v>0</v>
      </c>
      <c r="HM112" s="3">
        <v>0</v>
      </c>
      <c r="HN112" s="3">
        <v>0</v>
      </c>
      <c r="HO112" s="3">
        <v>0</v>
      </c>
      <c r="HP112" s="3">
        <v>0</v>
      </c>
      <c r="HQ112" s="3">
        <v>0</v>
      </c>
      <c r="HR112" s="3">
        <v>0</v>
      </c>
      <c r="HS112" s="3">
        <v>0</v>
      </c>
      <c r="HT112" s="3"/>
      <c r="HU112" s="3"/>
      <c r="HV112" s="3"/>
      <c r="HW112" s="3"/>
      <c r="HX112" s="3"/>
      <c r="HY112" s="3"/>
      <c r="HZ112" s="3"/>
      <c r="IA112" s="3"/>
      <c r="IB112" s="3"/>
      <c r="ID112" s="3"/>
      <c r="IE112" s="3"/>
      <c r="IF112" s="3"/>
      <c r="IG112" s="3"/>
      <c r="IS112" s="3">
        <v>0</v>
      </c>
      <c r="IT112" s="3">
        <v>0</v>
      </c>
      <c r="IU112" s="3">
        <v>0</v>
      </c>
      <c r="IV112" s="3">
        <v>0</v>
      </c>
      <c r="IW112" s="3">
        <v>0</v>
      </c>
      <c r="IX112" s="3">
        <v>0</v>
      </c>
      <c r="IY112" s="3">
        <v>50000000</v>
      </c>
      <c r="IZ112" s="3">
        <v>0</v>
      </c>
      <c r="JA112" s="3">
        <v>0</v>
      </c>
      <c r="JB112" s="3">
        <v>50000000</v>
      </c>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c r="KC112" s="3"/>
      <c r="KD112" s="3"/>
      <c r="KE112" s="3"/>
      <c r="KF112" s="3"/>
      <c r="KG112" s="3"/>
      <c r="KH112" s="3"/>
      <c r="KI112" s="3"/>
      <c r="KJ112" s="3"/>
      <c r="KK112" s="3"/>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row>
    <row r="113" spans="1:327" x14ac:dyDescent="0.25">
      <c r="A113" t="s">
        <v>943</v>
      </c>
      <c r="B113" t="s">
        <v>944</v>
      </c>
      <c r="C113" t="s">
        <v>556</v>
      </c>
      <c r="D113" t="s">
        <v>975</v>
      </c>
      <c r="E113" t="s">
        <v>292</v>
      </c>
      <c r="F113" t="s">
        <v>293</v>
      </c>
      <c r="G113" t="s">
        <v>1068</v>
      </c>
      <c r="H113" s="3">
        <v>0</v>
      </c>
      <c r="I113" s="3">
        <v>39381000</v>
      </c>
      <c r="J113" s="3">
        <v>0</v>
      </c>
      <c r="K113" s="3">
        <v>0</v>
      </c>
      <c r="L113" s="3">
        <v>39381000</v>
      </c>
      <c r="M113" s="3">
        <v>0</v>
      </c>
      <c r="N113" s="3">
        <v>39381000</v>
      </c>
      <c r="O113" s="3">
        <v>0</v>
      </c>
      <c r="P113" s="3">
        <v>0</v>
      </c>
      <c r="Q113" s="3">
        <v>39381000</v>
      </c>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v>0</v>
      </c>
      <c r="AR113" s="3">
        <v>31270000</v>
      </c>
      <c r="AS113" s="3">
        <v>0</v>
      </c>
      <c r="AT113" s="3">
        <v>0</v>
      </c>
      <c r="AU113" s="3">
        <v>31270000</v>
      </c>
      <c r="AV113" s="3">
        <v>0</v>
      </c>
      <c r="AW113" s="3">
        <v>31270000</v>
      </c>
      <c r="AX113" s="3">
        <v>0</v>
      </c>
      <c r="AY113" s="3">
        <v>0</v>
      </c>
      <c r="AZ113" s="3">
        <v>31270000</v>
      </c>
      <c r="BA113" s="3"/>
      <c r="BB113" s="3"/>
      <c r="BC113" s="3"/>
      <c r="BD113" s="3"/>
      <c r="BE113" s="3"/>
      <c r="BF113" s="3"/>
      <c r="BG113" s="3"/>
      <c r="BH113" s="3"/>
      <c r="BI113" s="3"/>
      <c r="BJ113" s="3"/>
      <c r="BK113" s="3"/>
      <c r="BL113" s="3"/>
      <c r="BM113" s="3"/>
      <c r="BN113" s="3"/>
      <c r="BO113" s="3"/>
      <c r="BP113" s="3"/>
      <c r="BQ113" s="3"/>
      <c r="BR113" s="3"/>
      <c r="BS113" s="3"/>
      <c r="BU113" s="3"/>
      <c r="BV113" s="3"/>
      <c r="BW113" s="3"/>
      <c r="BX113" s="3"/>
      <c r="BZ113" s="3">
        <v>0</v>
      </c>
      <c r="CA113" s="3">
        <v>31680000</v>
      </c>
      <c r="CB113" s="3">
        <v>0</v>
      </c>
      <c r="CC113" s="3">
        <v>0</v>
      </c>
      <c r="CD113" s="3">
        <v>31680000</v>
      </c>
      <c r="CE113" s="3">
        <v>0</v>
      </c>
      <c r="CF113" s="3">
        <v>31680000</v>
      </c>
      <c r="CG113" s="3">
        <v>0</v>
      </c>
      <c r="CH113" s="3">
        <v>0</v>
      </c>
      <c r="CI113" s="3">
        <v>31680000</v>
      </c>
      <c r="CJ113" s="3"/>
      <c r="CK113" s="3"/>
      <c r="CL113" s="3"/>
      <c r="CM113" s="3"/>
      <c r="CN113" s="3"/>
      <c r="CO113" s="3"/>
      <c r="CP113" s="3"/>
      <c r="CQ113" s="3"/>
      <c r="CR113" s="3"/>
      <c r="CS113" s="3"/>
      <c r="CT113" s="3"/>
      <c r="CU113" s="3"/>
      <c r="CV113" s="3"/>
      <c r="CW113" s="3"/>
      <c r="CX113" s="3"/>
      <c r="CY113" s="3"/>
      <c r="CZ113" s="3"/>
      <c r="DA113" s="3"/>
      <c r="DB113" s="3"/>
      <c r="DD113" s="3"/>
      <c r="DE113" s="3"/>
      <c r="DF113" s="3"/>
      <c r="DG113" s="3"/>
      <c r="DI113" s="3">
        <v>0</v>
      </c>
      <c r="DJ113" s="3">
        <v>32257000</v>
      </c>
      <c r="DK113" s="3">
        <v>0</v>
      </c>
      <c r="DL113" s="3">
        <v>0</v>
      </c>
      <c r="DM113" s="3">
        <v>32257000</v>
      </c>
      <c r="DN113" s="3">
        <v>0</v>
      </c>
      <c r="DO113" s="3">
        <v>17395000</v>
      </c>
      <c r="DP113" s="3">
        <v>0</v>
      </c>
      <c r="DQ113" s="3">
        <v>0</v>
      </c>
      <c r="DR113" s="3">
        <v>17395000</v>
      </c>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R113" s="3">
        <v>0</v>
      </c>
      <c r="ES113" s="3">
        <v>32257000</v>
      </c>
      <c r="ET113" s="3">
        <v>0</v>
      </c>
      <c r="EU113" s="3">
        <v>0</v>
      </c>
      <c r="EV113" s="3">
        <v>32257000</v>
      </c>
      <c r="EW113" s="3">
        <v>0</v>
      </c>
      <c r="EX113" s="3">
        <v>24257000</v>
      </c>
      <c r="EY113" s="3">
        <v>0</v>
      </c>
      <c r="EZ113" s="3">
        <v>0</v>
      </c>
      <c r="FA113" s="3">
        <v>24257000</v>
      </c>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v>0</v>
      </c>
      <c r="GB113" s="3">
        <v>32904000</v>
      </c>
      <c r="GC113" s="3">
        <v>0</v>
      </c>
      <c r="GD113" s="3">
        <v>0</v>
      </c>
      <c r="GE113" s="3">
        <v>32904000</v>
      </c>
      <c r="GF113" s="3">
        <v>0</v>
      </c>
      <c r="GG113" s="3">
        <v>32904000</v>
      </c>
      <c r="GH113" s="3">
        <v>0</v>
      </c>
      <c r="GI113" s="3">
        <v>0</v>
      </c>
      <c r="GJ113" s="3">
        <v>32904000</v>
      </c>
      <c r="GK113" s="3"/>
      <c r="GL113" s="3"/>
      <c r="GM113" s="3"/>
      <c r="GN113" s="3"/>
      <c r="GO113" s="3"/>
      <c r="GP113" s="3"/>
      <c r="GQ113" s="3"/>
      <c r="GR113" s="3"/>
      <c r="GS113" s="3"/>
      <c r="GU113" s="3"/>
      <c r="GV113" s="3"/>
      <c r="GW113" s="3"/>
      <c r="GX113" s="3"/>
      <c r="GY113" s="3"/>
      <c r="GZ113" s="3"/>
      <c r="HA113" s="3"/>
      <c r="HB113" s="3"/>
      <c r="HC113" s="3"/>
      <c r="HE113" s="3"/>
      <c r="HF113" s="3"/>
      <c r="HG113" s="3"/>
      <c r="HH113" s="3"/>
      <c r="HJ113" s="3">
        <v>0</v>
      </c>
      <c r="HK113" s="3">
        <v>35902000</v>
      </c>
      <c r="HL113" s="3">
        <v>0</v>
      </c>
      <c r="HM113" s="3">
        <v>0</v>
      </c>
      <c r="HN113" s="3">
        <v>35902000</v>
      </c>
      <c r="HO113" s="3">
        <v>0</v>
      </c>
      <c r="HP113" s="3">
        <v>35902000</v>
      </c>
      <c r="HQ113" s="3">
        <v>0</v>
      </c>
      <c r="HR113" s="3">
        <v>0</v>
      </c>
      <c r="HS113" s="3">
        <v>35902000</v>
      </c>
      <c r="HT113" s="3"/>
      <c r="HU113" s="3"/>
      <c r="HV113" s="3"/>
      <c r="HW113" s="3"/>
      <c r="HX113" s="3"/>
      <c r="HY113" s="3"/>
      <c r="HZ113" s="3"/>
      <c r="IA113" s="3"/>
      <c r="IB113" s="3"/>
      <c r="ID113" s="3"/>
      <c r="IE113" s="3"/>
      <c r="IF113" s="3"/>
      <c r="IG113" s="3"/>
      <c r="IS113" s="3">
        <v>0</v>
      </c>
      <c r="IT113" s="3">
        <v>39119000</v>
      </c>
      <c r="IU113" s="3">
        <v>0</v>
      </c>
      <c r="IV113" s="3">
        <v>480000</v>
      </c>
      <c r="IW113" s="3">
        <v>39599000</v>
      </c>
      <c r="IX113" s="3">
        <v>0</v>
      </c>
      <c r="IY113" s="3">
        <v>39119000</v>
      </c>
      <c r="IZ113" s="3">
        <v>0</v>
      </c>
      <c r="JA113" s="3">
        <v>480000</v>
      </c>
      <c r="JB113" s="3">
        <v>39599000</v>
      </c>
      <c r="JC113" s="3"/>
      <c r="JD113" s="3"/>
      <c r="JE113" s="3"/>
      <c r="JF113" s="3"/>
      <c r="JG113" s="3"/>
      <c r="JH113" s="3"/>
      <c r="JI113" s="3"/>
      <c r="JJ113" s="3"/>
      <c r="JK113" s="3"/>
      <c r="JL113" s="3"/>
      <c r="JM113" s="3"/>
      <c r="JN113" s="3"/>
      <c r="JO113" s="3"/>
      <c r="JP113" s="3"/>
      <c r="JQ113" s="3"/>
      <c r="JR113" s="3"/>
      <c r="JS113" s="3"/>
      <c r="JT113" s="3"/>
      <c r="JU113" s="3"/>
      <c r="JV113" s="3"/>
      <c r="JW113" s="3"/>
      <c r="JX113" s="3"/>
      <c r="JY113" s="3"/>
      <c r="JZ113" s="3"/>
      <c r="KA113" s="3"/>
      <c r="KB113" s="3">
        <v>0</v>
      </c>
      <c r="KC113" s="3">
        <v>34713000</v>
      </c>
      <c r="KD113" s="3">
        <v>0</v>
      </c>
      <c r="KE113" s="3">
        <v>0</v>
      </c>
      <c r="KF113" s="3">
        <v>34713000</v>
      </c>
      <c r="KG113" s="3">
        <v>0</v>
      </c>
      <c r="KH113" s="3">
        <v>34713000</v>
      </c>
      <c r="KI113" s="3">
        <v>0</v>
      </c>
      <c r="KJ113" s="3">
        <v>0</v>
      </c>
      <c r="KK113" s="3">
        <v>34713000</v>
      </c>
      <c r="KL113" s="3"/>
      <c r="KM113" s="3"/>
      <c r="KN113" s="3"/>
      <c r="KO113" s="3"/>
      <c r="KP113" s="3"/>
      <c r="KQ113" s="3"/>
      <c r="KR113" s="3"/>
      <c r="KS113" s="3"/>
      <c r="KT113" s="3"/>
      <c r="KU113" s="3"/>
      <c r="KV113" s="3"/>
      <c r="KW113" s="3"/>
      <c r="KX113" s="3"/>
      <c r="KY113" s="3"/>
      <c r="KZ113" s="3"/>
      <c r="LA113" s="3"/>
      <c r="LB113" s="3"/>
      <c r="LC113" s="3"/>
      <c r="LD113" s="3"/>
      <c r="LE113" s="3"/>
      <c r="LF113" s="3"/>
      <c r="LG113" s="3"/>
      <c r="LH113" s="3"/>
      <c r="LI113" s="3"/>
      <c r="LJ113" s="3"/>
      <c r="LK113">
        <v>0</v>
      </c>
      <c r="LL113" s="3">
        <v>35338000</v>
      </c>
      <c r="LM113">
        <v>0</v>
      </c>
      <c r="LN113">
        <v>0</v>
      </c>
      <c r="LO113" s="3">
        <v>35338000</v>
      </c>
    </row>
    <row r="114" spans="1:327" x14ac:dyDescent="0.25">
      <c r="A114" t="s">
        <v>943</v>
      </c>
      <c r="B114" t="s">
        <v>944</v>
      </c>
      <c r="C114" t="s">
        <v>599</v>
      </c>
      <c r="D114" t="s">
        <v>988</v>
      </c>
      <c r="E114" t="s">
        <v>201</v>
      </c>
      <c r="F114" t="s">
        <v>202</v>
      </c>
      <c r="G114" t="s">
        <v>203</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v>25862000</v>
      </c>
      <c r="AW114" s="3">
        <v>19885000</v>
      </c>
      <c r="AX114" s="3">
        <v>0</v>
      </c>
      <c r="AY114" s="3">
        <v>69220000</v>
      </c>
      <c r="AZ114" s="3">
        <v>114967000</v>
      </c>
      <c r="BA114" s="3"/>
      <c r="BB114" s="3"/>
      <c r="BC114" s="3"/>
      <c r="BD114" s="3"/>
      <c r="BE114" s="3"/>
      <c r="BF114" s="3"/>
      <c r="BG114" s="3"/>
      <c r="BH114" s="3"/>
      <c r="BI114" s="3"/>
      <c r="BJ114" s="3"/>
      <c r="BK114" s="3"/>
      <c r="BL114" s="3"/>
      <c r="BM114" s="3"/>
      <c r="BN114" s="3"/>
      <c r="BO114" s="3"/>
      <c r="BP114" s="3"/>
      <c r="BQ114" s="3"/>
      <c r="BR114" s="3"/>
      <c r="BS114" s="3"/>
      <c r="BU114" s="3"/>
      <c r="BV114" s="3"/>
      <c r="BW114" s="3"/>
      <c r="BX114" s="3"/>
      <c r="BZ114" s="3">
        <v>27281000</v>
      </c>
      <c r="CA114" s="3">
        <v>18694000</v>
      </c>
      <c r="CB114" s="3">
        <v>0</v>
      </c>
      <c r="CC114" s="3">
        <v>39191000</v>
      </c>
      <c r="CD114" s="3">
        <v>85166000</v>
      </c>
      <c r="CE114" s="3">
        <v>27281000</v>
      </c>
      <c r="CF114" s="3">
        <v>18694000</v>
      </c>
      <c r="CG114" s="3">
        <v>0</v>
      </c>
      <c r="CH114" s="3">
        <v>39191000</v>
      </c>
      <c r="CI114" s="3">
        <v>85166000</v>
      </c>
      <c r="CJ114" s="3"/>
      <c r="CK114" s="3"/>
      <c r="CL114" s="3"/>
      <c r="CM114" s="3"/>
      <c r="CN114" s="3"/>
      <c r="CO114" s="3"/>
      <c r="CP114" s="3"/>
      <c r="CQ114" s="3"/>
      <c r="CR114" s="3"/>
      <c r="CS114" s="3"/>
      <c r="CT114" s="3"/>
      <c r="CU114" s="3"/>
      <c r="CV114" s="3"/>
      <c r="CW114" s="3"/>
      <c r="CX114" s="3"/>
      <c r="CY114" s="3"/>
      <c r="CZ114" s="3"/>
      <c r="DA114" s="3"/>
      <c r="DB114" s="3"/>
      <c r="DD114" s="3"/>
      <c r="DE114" s="3"/>
      <c r="DF114" s="3"/>
      <c r="DG114" s="3"/>
      <c r="DI114" s="3">
        <v>30381000</v>
      </c>
      <c r="DJ114" s="3">
        <v>18834000</v>
      </c>
      <c r="DK114" s="3">
        <v>0</v>
      </c>
      <c r="DL114" s="3">
        <v>0</v>
      </c>
      <c r="DM114" s="3">
        <v>49215000</v>
      </c>
      <c r="DN114" s="3">
        <v>30381000</v>
      </c>
      <c r="DO114" s="3">
        <v>18834000</v>
      </c>
      <c r="DP114" s="3">
        <v>0</v>
      </c>
      <c r="DQ114" s="3">
        <v>0</v>
      </c>
      <c r="DR114" s="3">
        <v>49215000</v>
      </c>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R114" s="3">
        <v>19437000</v>
      </c>
      <c r="ES114" s="3">
        <v>22954000</v>
      </c>
      <c r="ET114" s="3">
        <v>0</v>
      </c>
      <c r="EU114" s="3">
        <v>3325000</v>
      </c>
      <c r="EV114" s="3">
        <v>45716000</v>
      </c>
      <c r="EW114" s="3">
        <v>19437000</v>
      </c>
      <c r="EX114" s="3">
        <v>22954000</v>
      </c>
      <c r="EY114" s="3">
        <v>0</v>
      </c>
      <c r="EZ114" s="3">
        <v>3325000</v>
      </c>
      <c r="FA114" s="3">
        <v>45716000</v>
      </c>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v>34836000</v>
      </c>
      <c r="GB114" s="3">
        <v>21532000</v>
      </c>
      <c r="GC114" s="3">
        <v>0</v>
      </c>
      <c r="GD114" s="3">
        <v>81900000</v>
      </c>
      <c r="GE114" s="3">
        <v>138268000</v>
      </c>
      <c r="GF114" s="3">
        <v>34836000</v>
      </c>
      <c r="GG114" s="3">
        <v>21532000</v>
      </c>
      <c r="GH114" s="3">
        <v>0</v>
      </c>
      <c r="GI114" s="3">
        <v>81900000</v>
      </c>
      <c r="GJ114" s="3">
        <v>138268000</v>
      </c>
      <c r="GK114" s="3"/>
      <c r="GL114" s="3"/>
      <c r="GM114" s="3"/>
      <c r="GN114" s="3"/>
      <c r="GO114" s="3"/>
      <c r="GP114" s="3"/>
      <c r="GQ114" s="3"/>
      <c r="GR114" s="3"/>
      <c r="GS114" s="3"/>
      <c r="GU114" s="3"/>
      <c r="GV114" s="3"/>
      <c r="GW114" s="3"/>
      <c r="GX114" s="3"/>
      <c r="GY114" s="3"/>
      <c r="GZ114" s="3"/>
      <c r="HA114" s="3"/>
      <c r="HB114" s="3"/>
      <c r="HC114" s="3"/>
      <c r="HE114" s="3"/>
      <c r="HF114" s="3"/>
      <c r="HG114" s="3"/>
      <c r="HH114" s="3"/>
      <c r="HJ114" s="3">
        <v>33196000</v>
      </c>
      <c r="HK114" s="3">
        <v>31920000</v>
      </c>
      <c r="HL114" s="3">
        <v>0</v>
      </c>
      <c r="HM114" s="3">
        <v>0</v>
      </c>
      <c r="HN114" s="3">
        <v>65116000</v>
      </c>
      <c r="HO114" s="3">
        <v>33196000</v>
      </c>
      <c r="HP114" s="3">
        <v>31920000</v>
      </c>
      <c r="HQ114" s="3">
        <v>0</v>
      </c>
      <c r="HR114" s="3">
        <v>0</v>
      </c>
      <c r="HS114" s="3">
        <v>65116000</v>
      </c>
      <c r="HT114" s="3"/>
      <c r="HU114" s="3"/>
      <c r="HV114" s="3"/>
      <c r="HW114" s="3"/>
      <c r="HX114" s="3"/>
      <c r="HY114" s="3"/>
      <c r="HZ114" s="3"/>
      <c r="IA114" s="3"/>
      <c r="IB114" s="3"/>
      <c r="ID114" s="3"/>
      <c r="IE114" s="3"/>
      <c r="IF114" s="3"/>
      <c r="IG114" s="3"/>
      <c r="IS114" s="3">
        <v>36641000</v>
      </c>
      <c r="IT114" s="3">
        <v>27818000</v>
      </c>
      <c r="IU114" s="3">
        <v>0</v>
      </c>
      <c r="IV114" s="3">
        <v>9600000</v>
      </c>
      <c r="IW114" s="3">
        <v>74059000</v>
      </c>
      <c r="IX114" s="3">
        <v>36641000</v>
      </c>
      <c r="IY114" s="3">
        <v>27818000</v>
      </c>
      <c r="IZ114" s="3">
        <v>0</v>
      </c>
      <c r="JA114" s="3">
        <v>9600000</v>
      </c>
      <c r="JB114" s="3">
        <v>74059000</v>
      </c>
      <c r="JC114" s="3"/>
      <c r="JD114" s="3"/>
      <c r="JE114" s="3"/>
      <c r="JF114" s="3"/>
      <c r="JG114" s="3"/>
      <c r="JH114" s="3"/>
      <c r="JI114" s="3"/>
      <c r="JJ114" s="3"/>
      <c r="JK114" s="3"/>
      <c r="JL114" s="3"/>
      <c r="JM114" s="3"/>
      <c r="JN114" s="3"/>
      <c r="JO114" s="3"/>
      <c r="JP114" s="3"/>
      <c r="JQ114" s="3"/>
      <c r="JR114" s="3"/>
      <c r="JS114" s="3"/>
      <c r="JT114" s="3"/>
      <c r="JU114" s="3"/>
      <c r="JV114" s="3"/>
      <c r="JW114" s="3"/>
      <c r="JX114" s="3"/>
      <c r="JY114" s="3"/>
      <c r="JZ114" s="3"/>
      <c r="KA114" s="3"/>
      <c r="KB114" s="3">
        <v>38190000</v>
      </c>
      <c r="KC114" s="3">
        <v>40858000</v>
      </c>
      <c r="KD114" s="3">
        <v>0</v>
      </c>
      <c r="KE114" s="3">
        <v>8500000</v>
      </c>
      <c r="KF114" s="3">
        <v>87548000</v>
      </c>
      <c r="KG114" s="3">
        <v>38190000</v>
      </c>
      <c r="KH114" s="3">
        <v>40858000</v>
      </c>
      <c r="KI114" s="3">
        <v>0</v>
      </c>
      <c r="KJ114" s="3">
        <v>8500000</v>
      </c>
      <c r="KK114" s="3">
        <v>87548000</v>
      </c>
      <c r="KL114" s="3"/>
      <c r="KM114" s="3"/>
      <c r="KN114" s="3"/>
      <c r="KO114" s="3"/>
      <c r="KP114" s="3"/>
      <c r="KQ114" s="3"/>
      <c r="KR114" s="3"/>
      <c r="KS114" s="3"/>
      <c r="KT114" s="3"/>
      <c r="KU114" s="3"/>
      <c r="KV114" s="3"/>
      <c r="KW114" s="3"/>
      <c r="KX114" s="3"/>
      <c r="KY114" s="3"/>
      <c r="KZ114" s="3"/>
      <c r="LA114" s="3"/>
      <c r="LB114" s="3"/>
      <c r="LC114" s="3"/>
      <c r="LD114" s="3"/>
      <c r="LE114" s="3"/>
      <c r="LF114" s="3"/>
      <c r="LG114" s="3"/>
      <c r="LH114" s="3"/>
      <c r="LI114" s="3"/>
      <c r="LJ114" s="3"/>
      <c r="LK114" s="3">
        <v>43312000</v>
      </c>
      <c r="LL114" s="3">
        <v>36497000</v>
      </c>
      <c r="LM114">
        <v>0</v>
      </c>
      <c r="LN114" s="3">
        <v>0</v>
      </c>
      <c r="LO114" s="3">
        <v>79809000</v>
      </c>
    </row>
    <row r="115" spans="1:327" x14ac:dyDescent="0.25">
      <c r="A115" t="s">
        <v>943</v>
      </c>
      <c r="B115" t="s">
        <v>944</v>
      </c>
      <c r="C115" t="s">
        <v>599</v>
      </c>
      <c r="D115" t="s">
        <v>988</v>
      </c>
      <c r="E115" t="s">
        <v>201</v>
      </c>
      <c r="F115" t="s">
        <v>204</v>
      </c>
      <c r="G115" t="s">
        <v>205</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U115" s="3"/>
      <c r="BV115" s="3"/>
      <c r="BW115" s="3"/>
      <c r="BX115" s="3"/>
      <c r="BZ115" s="3">
        <v>2540000</v>
      </c>
      <c r="CA115" s="3">
        <v>0</v>
      </c>
      <c r="CB115" s="3">
        <v>0</v>
      </c>
      <c r="CC115" s="3">
        <v>0</v>
      </c>
      <c r="CD115" s="3">
        <v>2540000</v>
      </c>
      <c r="CE115" s="3">
        <v>2540000</v>
      </c>
      <c r="CF115" s="3">
        <v>0</v>
      </c>
      <c r="CG115" s="3">
        <v>0</v>
      </c>
      <c r="CH115" s="3">
        <v>0</v>
      </c>
      <c r="CI115" s="3">
        <v>2540000</v>
      </c>
      <c r="CJ115" s="3"/>
      <c r="CK115" s="3"/>
      <c r="CL115" s="3"/>
      <c r="CM115" s="3"/>
      <c r="CN115" s="3"/>
      <c r="CO115" s="3"/>
      <c r="CP115" s="3"/>
      <c r="CQ115" s="3"/>
      <c r="CR115" s="3"/>
      <c r="CS115" s="3"/>
      <c r="CT115" s="3"/>
      <c r="CU115" s="3"/>
      <c r="CV115" s="3"/>
      <c r="CW115" s="3"/>
      <c r="CX115" s="3"/>
      <c r="CY115" s="3"/>
      <c r="CZ115" s="3"/>
      <c r="DA115" s="3"/>
      <c r="DB115" s="3"/>
      <c r="DD115" s="3"/>
      <c r="DE115" s="3"/>
      <c r="DF115" s="3"/>
      <c r="DG115" s="3"/>
      <c r="DI115" s="3">
        <v>3778000</v>
      </c>
      <c r="DJ115" s="3">
        <v>0</v>
      </c>
      <c r="DK115" s="3">
        <v>0</v>
      </c>
      <c r="DL115" s="3">
        <v>0</v>
      </c>
      <c r="DM115" s="3">
        <v>3778000</v>
      </c>
      <c r="DN115" s="3">
        <v>3778000</v>
      </c>
      <c r="DO115" s="3">
        <v>0</v>
      </c>
      <c r="DP115" s="3">
        <v>0</v>
      </c>
      <c r="DQ115" s="3">
        <v>0</v>
      </c>
      <c r="DR115" s="3">
        <v>3778000</v>
      </c>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R115" s="3">
        <v>2795000</v>
      </c>
      <c r="ES115" s="3">
        <v>0</v>
      </c>
      <c r="ET115" s="3">
        <v>0</v>
      </c>
      <c r="EU115" s="3">
        <v>0</v>
      </c>
      <c r="EV115" s="3">
        <v>2795000</v>
      </c>
      <c r="EW115" s="3">
        <v>2795000</v>
      </c>
      <c r="EX115" s="3">
        <v>0</v>
      </c>
      <c r="EY115" s="3">
        <v>0</v>
      </c>
      <c r="EZ115" s="3">
        <v>0</v>
      </c>
      <c r="FA115" s="3">
        <v>2795000</v>
      </c>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v>36000</v>
      </c>
      <c r="GB115" s="3">
        <v>0</v>
      </c>
      <c r="GC115" s="3">
        <v>0</v>
      </c>
      <c r="GD115" s="3">
        <v>0</v>
      </c>
      <c r="GE115" s="3">
        <v>36000</v>
      </c>
      <c r="GF115" s="3">
        <v>36000</v>
      </c>
      <c r="GG115" s="3">
        <v>0</v>
      </c>
      <c r="GH115" s="3">
        <v>0</v>
      </c>
      <c r="GI115" s="3">
        <v>0</v>
      </c>
      <c r="GJ115" s="3">
        <v>36000</v>
      </c>
      <c r="GK115" s="3"/>
      <c r="GL115" s="3"/>
      <c r="GM115" s="3"/>
      <c r="GN115" s="3"/>
      <c r="GO115" s="3"/>
      <c r="GP115" s="3"/>
      <c r="GQ115" s="3"/>
      <c r="GR115" s="3"/>
      <c r="GS115" s="3"/>
      <c r="GU115" s="3"/>
      <c r="GV115" s="3"/>
      <c r="GW115" s="3"/>
      <c r="GX115" s="3"/>
      <c r="GY115" s="3"/>
      <c r="GZ115" s="3"/>
      <c r="HA115" s="3"/>
      <c r="HB115" s="3"/>
      <c r="HC115" s="3"/>
      <c r="HE115" s="3"/>
      <c r="HF115" s="3"/>
      <c r="HG115" s="3"/>
      <c r="HH115" s="3"/>
      <c r="HJ115" s="3">
        <v>4281000</v>
      </c>
      <c r="HK115" s="3">
        <v>0</v>
      </c>
      <c r="HL115" s="3">
        <v>0</v>
      </c>
      <c r="HM115" s="3">
        <v>0</v>
      </c>
      <c r="HN115" s="3">
        <v>4281000</v>
      </c>
      <c r="HO115" s="3">
        <v>4281000</v>
      </c>
      <c r="HP115" s="3">
        <v>0</v>
      </c>
      <c r="HQ115" s="3">
        <v>0</v>
      </c>
      <c r="HR115" s="3">
        <v>0</v>
      </c>
      <c r="HS115" s="3">
        <v>4281000</v>
      </c>
      <c r="HT115" s="3"/>
      <c r="HU115" s="3"/>
      <c r="HV115" s="3"/>
      <c r="HW115" s="3"/>
      <c r="HX115" s="3"/>
      <c r="HY115" s="3"/>
      <c r="HZ115" s="3"/>
      <c r="IA115" s="3"/>
      <c r="IB115" s="3"/>
      <c r="ID115" s="3"/>
      <c r="IE115" s="3"/>
      <c r="IF115" s="3"/>
      <c r="IG115" s="3"/>
      <c r="IS115" s="3">
        <v>4318000</v>
      </c>
      <c r="IT115" s="3">
        <v>0</v>
      </c>
      <c r="IU115" s="3">
        <v>0</v>
      </c>
      <c r="IV115" s="3">
        <v>0</v>
      </c>
      <c r="IW115" s="3">
        <v>4318000</v>
      </c>
      <c r="IX115" s="3">
        <v>4318000</v>
      </c>
      <c r="IY115" s="3">
        <v>0</v>
      </c>
      <c r="IZ115" s="3">
        <v>0</v>
      </c>
      <c r="JA115" s="3">
        <v>0</v>
      </c>
      <c r="JB115" s="3">
        <v>4318000</v>
      </c>
      <c r="JC115" s="3"/>
      <c r="JD115" s="3"/>
      <c r="JE115" s="3"/>
      <c r="JF115" s="3"/>
      <c r="JG115" s="3"/>
      <c r="JH115" s="3"/>
      <c r="JI115" s="3"/>
      <c r="JJ115" s="3"/>
      <c r="JK115" s="3"/>
      <c r="JL115" s="3"/>
      <c r="JM115" s="3"/>
      <c r="JN115" s="3"/>
      <c r="JO115" s="3"/>
      <c r="JP115" s="3"/>
      <c r="JQ115" s="3"/>
      <c r="JR115" s="3"/>
      <c r="JS115" s="3"/>
      <c r="JT115" s="3"/>
      <c r="JU115" s="3"/>
      <c r="JV115" s="3"/>
      <c r="JW115" s="3"/>
      <c r="JX115" s="3"/>
      <c r="JY115" s="3"/>
      <c r="JZ115" s="3"/>
      <c r="KA115" s="3"/>
      <c r="KB115" s="3"/>
      <c r="KC115" s="3"/>
      <c r="KD115" s="3"/>
      <c r="KE115" s="3"/>
      <c r="KF115" s="3"/>
      <c r="KG115" s="3"/>
      <c r="KH115" s="3"/>
      <c r="KI115" s="3"/>
      <c r="KJ115" s="3"/>
      <c r="KK115" s="3"/>
      <c r="KL115" s="3"/>
      <c r="KM115" s="3"/>
      <c r="KN115" s="3"/>
      <c r="KO115" s="3"/>
      <c r="KP115" s="3"/>
      <c r="KQ115" s="3"/>
      <c r="KR115" s="3"/>
      <c r="KS115" s="3"/>
      <c r="KT115" s="3"/>
      <c r="KU115" s="3"/>
      <c r="KV115" s="3"/>
      <c r="KW115" s="3"/>
      <c r="KX115" s="3"/>
      <c r="KY115" s="3"/>
      <c r="KZ115" s="3"/>
      <c r="LA115" s="3"/>
      <c r="LB115" s="3"/>
      <c r="LC115" s="3"/>
      <c r="LD115" s="3"/>
      <c r="LE115" s="3"/>
      <c r="LF115" s="3"/>
      <c r="LG115" s="3"/>
      <c r="LH115" s="3"/>
      <c r="LI115" s="3"/>
      <c r="LJ115" s="3"/>
    </row>
    <row r="116" spans="1:327" x14ac:dyDescent="0.25">
      <c r="A116" t="s">
        <v>943</v>
      </c>
      <c r="B116" t="s">
        <v>944</v>
      </c>
      <c r="C116" t="s">
        <v>599</v>
      </c>
      <c r="D116" t="s">
        <v>988</v>
      </c>
      <c r="E116" t="s">
        <v>217</v>
      </c>
      <c r="F116" t="s">
        <v>218</v>
      </c>
      <c r="G116" t="s">
        <v>1052</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v>43817000</v>
      </c>
      <c r="AW116" s="3">
        <v>20136000</v>
      </c>
      <c r="AX116" s="3">
        <v>0</v>
      </c>
      <c r="AY116" s="3">
        <v>0</v>
      </c>
      <c r="AZ116" s="3">
        <v>63953000</v>
      </c>
      <c r="BA116" s="3"/>
      <c r="BB116" s="3"/>
      <c r="BC116" s="3"/>
      <c r="BD116" s="3"/>
      <c r="BE116" s="3"/>
      <c r="BF116" s="3"/>
      <c r="BG116" s="3"/>
      <c r="BH116" s="3"/>
      <c r="BI116" s="3"/>
      <c r="BJ116" s="3"/>
      <c r="BK116" s="3"/>
      <c r="BL116" s="3"/>
      <c r="BM116" s="3"/>
      <c r="BN116" s="3"/>
      <c r="BO116" s="3"/>
      <c r="BP116" s="3"/>
      <c r="BQ116" s="3"/>
      <c r="BR116" s="3"/>
      <c r="BS116" s="3"/>
      <c r="BU116" s="3"/>
      <c r="BV116" s="3"/>
      <c r="BW116" s="3"/>
      <c r="BX116" s="3"/>
      <c r="BZ116" s="3">
        <v>46302000</v>
      </c>
      <c r="CA116" s="3">
        <v>28781000</v>
      </c>
      <c r="CB116" s="3">
        <v>0</v>
      </c>
      <c r="CC116" s="3">
        <v>0</v>
      </c>
      <c r="CD116" s="3">
        <v>75083000</v>
      </c>
      <c r="CE116" s="3">
        <v>46302000</v>
      </c>
      <c r="CF116" s="3">
        <v>23781000</v>
      </c>
      <c r="CG116" s="3">
        <v>0</v>
      </c>
      <c r="CH116" s="3">
        <v>0</v>
      </c>
      <c r="CI116" s="3">
        <v>70083000</v>
      </c>
      <c r="CJ116" s="3"/>
      <c r="CK116" s="3"/>
      <c r="CL116" s="3"/>
      <c r="CM116" s="3"/>
      <c r="CN116" s="3"/>
      <c r="CO116" s="3"/>
      <c r="CP116" s="3"/>
      <c r="CQ116" s="3"/>
      <c r="CR116" s="3"/>
      <c r="CS116" s="3"/>
      <c r="CT116" s="3"/>
      <c r="CU116" s="3"/>
      <c r="CV116" s="3"/>
      <c r="CW116" s="3"/>
      <c r="CX116" s="3"/>
      <c r="CY116" s="3"/>
      <c r="CZ116" s="3"/>
      <c r="DA116" s="3"/>
      <c r="DB116" s="3"/>
      <c r="DD116" s="3"/>
      <c r="DE116" s="3"/>
      <c r="DF116" s="3"/>
      <c r="DG116" s="3"/>
      <c r="DI116" s="3">
        <v>44487000</v>
      </c>
      <c r="DJ116" s="3">
        <v>19640000</v>
      </c>
      <c r="DK116" s="3">
        <v>0</v>
      </c>
      <c r="DL116" s="3">
        <v>0</v>
      </c>
      <c r="DM116" s="3">
        <v>64127000</v>
      </c>
      <c r="DN116" s="3">
        <v>44487000</v>
      </c>
      <c r="DO116" s="3">
        <v>16790000</v>
      </c>
      <c r="DP116" s="3">
        <v>0</v>
      </c>
      <c r="DQ116" s="3">
        <v>0</v>
      </c>
      <c r="DR116" s="3">
        <v>61277000</v>
      </c>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R116" s="3">
        <v>50118000</v>
      </c>
      <c r="ES116" s="3">
        <v>19640000</v>
      </c>
      <c r="ET116" s="3">
        <v>0</v>
      </c>
      <c r="EU116" s="3">
        <v>0</v>
      </c>
      <c r="EV116" s="3">
        <v>69758000</v>
      </c>
      <c r="EW116" s="3">
        <v>50118000</v>
      </c>
      <c r="EX116" s="3">
        <v>19640000</v>
      </c>
      <c r="EY116" s="3">
        <v>0</v>
      </c>
      <c r="EZ116" s="3">
        <v>0</v>
      </c>
      <c r="FA116" s="3">
        <v>69758000</v>
      </c>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v>47788000</v>
      </c>
      <c r="GB116" s="3">
        <v>25869000</v>
      </c>
      <c r="GC116" s="3">
        <v>0</v>
      </c>
      <c r="GD116" s="3">
        <v>7857000</v>
      </c>
      <c r="GE116" s="3">
        <v>81514000</v>
      </c>
      <c r="GF116" s="3">
        <v>47788000</v>
      </c>
      <c r="GG116" s="3">
        <v>25869000</v>
      </c>
      <c r="GH116" s="3">
        <v>0</v>
      </c>
      <c r="GI116" s="3">
        <v>7857000</v>
      </c>
      <c r="GJ116" s="3">
        <v>81514000</v>
      </c>
      <c r="GK116" s="3"/>
      <c r="GL116" s="3"/>
      <c r="GM116" s="3"/>
      <c r="GN116" s="3"/>
      <c r="GO116" s="3"/>
      <c r="GP116" s="3"/>
      <c r="GQ116" s="3"/>
      <c r="GR116" s="3"/>
      <c r="GS116" s="3"/>
      <c r="GU116" s="3"/>
      <c r="GV116" s="3"/>
      <c r="GW116" s="3"/>
      <c r="GX116" s="3"/>
      <c r="GY116" s="3"/>
      <c r="GZ116" s="3"/>
      <c r="HA116" s="3"/>
      <c r="HB116" s="3"/>
      <c r="HC116" s="3"/>
      <c r="HE116" s="3"/>
      <c r="HF116" s="3"/>
      <c r="HG116" s="3"/>
      <c r="HH116" s="3"/>
      <c r="HJ116" s="3">
        <v>50581000</v>
      </c>
      <c r="HK116" s="3">
        <v>38167000</v>
      </c>
      <c r="HL116" s="3">
        <v>0</v>
      </c>
      <c r="HM116" s="3">
        <v>0</v>
      </c>
      <c r="HN116" s="3">
        <v>88748000</v>
      </c>
      <c r="HO116" s="3">
        <v>50581000</v>
      </c>
      <c r="HP116" s="3">
        <v>38167000</v>
      </c>
      <c r="HQ116" s="3">
        <v>0</v>
      </c>
      <c r="HR116" s="3">
        <v>0</v>
      </c>
      <c r="HS116" s="3">
        <v>88748000</v>
      </c>
      <c r="HT116" s="3"/>
      <c r="HU116" s="3"/>
      <c r="HV116" s="3"/>
      <c r="HW116" s="3"/>
      <c r="HX116" s="3"/>
      <c r="HY116" s="3"/>
      <c r="HZ116" s="3"/>
      <c r="IA116" s="3"/>
      <c r="IB116" s="3"/>
      <c r="ID116" s="3"/>
      <c r="IE116" s="3"/>
      <c r="IF116" s="3"/>
      <c r="IG116" s="3"/>
      <c r="IS116" s="3">
        <v>51598000</v>
      </c>
      <c r="IT116" s="3">
        <v>41067000</v>
      </c>
      <c r="IU116" s="3">
        <v>0</v>
      </c>
      <c r="IV116" s="3">
        <v>0</v>
      </c>
      <c r="IW116" s="3">
        <v>92665000</v>
      </c>
      <c r="IX116" s="3">
        <v>51598000</v>
      </c>
      <c r="IY116" s="3">
        <v>41067000</v>
      </c>
      <c r="IZ116" s="3">
        <v>0</v>
      </c>
      <c r="JA116" s="3">
        <v>0</v>
      </c>
      <c r="JB116" s="3">
        <v>92665000</v>
      </c>
      <c r="JC116" s="3"/>
      <c r="JD116" s="3"/>
      <c r="JE116" s="3"/>
      <c r="JF116" s="3"/>
      <c r="JG116" s="3"/>
      <c r="JH116" s="3"/>
      <c r="JI116" s="3"/>
      <c r="JJ116" s="3"/>
      <c r="JK116" s="3"/>
      <c r="JL116" s="3"/>
      <c r="JM116" s="3"/>
      <c r="JN116" s="3"/>
      <c r="JO116" s="3"/>
      <c r="JP116" s="3"/>
      <c r="JQ116" s="3"/>
      <c r="JR116" s="3"/>
      <c r="JS116" s="3"/>
      <c r="JT116" s="3"/>
      <c r="JU116" s="3"/>
      <c r="JV116" s="3"/>
      <c r="JW116" s="3"/>
      <c r="JX116" s="3"/>
      <c r="JY116" s="3"/>
      <c r="JZ116" s="3"/>
      <c r="KA116" s="3"/>
      <c r="KB116" s="3">
        <v>60059000</v>
      </c>
      <c r="KC116" s="3">
        <v>66740000</v>
      </c>
      <c r="KD116" s="3">
        <v>0</v>
      </c>
      <c r="KE116" s="3">
        <v>27362000</v>
      </c>
      <c r="KF116" s="3">
        <v>154161000</v>
      </c>
      <c r="KG116" s="3">
        <v>60059000</v>
      </c>
      <c r="KH116" s="3">
        <v>66740000</v>
      </c>
      <c r="KI116" s="3">
        <v>0</v>
      </c>
      <c r="KJ116" s="3">
        <v>27362000</v>
      </c>
      <c r="KK116" s="3">
        <v>154161000</v>
      </c>
      <c r="KL116" s="3"/>
      <c r="KM116" s="3"/>
      <c r="KN116" s="3"/>
      <c r="KO116" s="3"/>
      <c r="KP116" s="3"/>
      <c r="KQ116" s="3"/>
      <c r="KR116" s="3"/>
      <c r="KS116" s="3"/>
      <c r="KT116" s="3"/>
      <c r="KU116" s="3"/>
      <c r="KV116" s="3"/>
      <c r="KW116" s="3"/>
      <c r="KX116" s="3"/>
      <c r="KY116" s="3"/>
      <c r="KZ116" s="3"/>
      <c r="LA116" s="3"/>
      <c r="LB116" s="3"/>
      <c r="LC116" s="3"/>
      <c r="LD116" s="3"/>
      <c r="LE116" s="3"/>
      <c r="LF116" s="3"/>
      <c r="LG116" s="3"/>
      <c r="LH116" s="3"/>
      <c r="LI116" s="3"/>
      <c r="LJ116" s="3"/>
      <c r="LK116" s="3">
        <v>63419000</v>
      </c>
      <c r="LL116" s="3">
        <v>63409000</v>
      </c>
      <c r="LM116">
        <v>0</v>
      </c>
      <c r="LN116">
        <v>0</v>
      </c>
      <c r="LO116" s="3">
        <v>126828000</v>
      </c>
    </row>
    <row r="117" spans="1:327" x14ac:dyDescent="0.25">
      <c r="A117" t="s">
        <v>943</v>
      </c>
      <c r="B117" t="s">
        <v>944</v>
      </c>
      <c r="C117" t="s">
        <v>599</v>
      </c>
      <c r="D117" t="s">
        <v>988</v>
      </c>
      <c r="E117" t="s">
        <v>217</v>
      </c>
      <c r="F117" t="s">
        <v>220</v>
      </c>
      <c r="G117" t="s">
        <v>1055</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v>14264000</v>
      </c>
      <c r="AW117" s="3">
        <v>12887000</v>
      </c>
      <c r="AX117" s="3">
        <v>0</v>
      </c>
      <c r="AY117" s="3">
        <v>0</v>
      </c>
      <c r="AZ117" s="3">
        <v>27151000</v>
      </c>
      <c r="BA117" s="3"/>
      <c r="BB117" s="3"/>
      <c r="BC117" s="3"/>
      <c r="BD117" s="3"/>
      <c r="BE117" s="3"/>
      <c r="BF117" s="3"/>
      <c r="BG117" s="3"/>
      <c r="BH117" s="3"/>
      <c r="BI117" s="3"/>
      <c r="BJ117" s="3"/>
      <c r="BK117" s="3"/>
      <c r="BL117" s="3"/>
      <c r="BM117" s="3"/>
      <c r="BN117" s="3"/>
      <c r="BO117" s="3"/>
      <c r="BP117" s="3"/>
      <c r="BQ117" s="3"/>
      <c r="BR117" s="3"/>
      <c r="BS117" s="3"/>
      <c r="BU117" s="3"/>
      <c r="BV117" s="3"/>
      <c r="BW117" s="3"/>
      <c r="BX117" s="3"/>
      <c r="BZ117" s="3">
        <v>16344000</v>
      </c>
      <c r="CA117" s="3">
        <v>13090000</v>
      </c>
      <c r="CB117" s="3">
        <v>0</v>
      </c>
      <c r="CC117" s="3">
        <v>0</v>
      </c>
      <c r="CD117" s="3">
        <v>29434000</v>
      </c>
      <c r="CE117" s="3">
        <v>16344000</v>
      </c>
      <c r="CF117" s="3">
        <v>13090000</v>
      </c>
      <c r="CG117" s="3">
        <v>0</v>
      </c>
      <c r="CH117" s="3">
        <v>0</v>
      </c>
      <c r="CI117" s="3">
        <v>29434000</v>
      </c>
      <c r="CJ117" s="3"/>
      <c r="CK117" s="3"/>
      <c r="CL117" s="3"/>
      <c r="CM117" s="3"/>
      <c r="CN117" s="3"/>
      <c r="CO117" s="3"/>
      <c r="CP117" s="3"/>
      <c r="CQ117" s="3"/>
      <c r="CR117" s="3"/>
      <c r="CS117" s="3"/>
      <c r="CT117" s="3"/>
      <c r="CU117" s="3"/>
      <c r="CV117" s="3"/>
      <c r="CW117" s="3"/>
      <c r="CX117" s="3"/>
      <c r="CY117" s="3"/>
      <c r="CZ117" s="3"/>
      <c r="DA117" s="3"/>
      <c r="DB117" s="3"/>
      <c r="DD117" s="3"/>
      <c r="DE117" s="3"/>
      <c r="DF117" s="3"/>
      <c r="DG117" s="3"/>
      <c r="DI117" s="3">
        <v>16945000</v>
      </c>
      <c r="DJ117" s="3">
        <v>13329000</v>
      </c>
      <c r="DK117" s="3">
        <v>0</v>
      </c>
      <c r="DL117" s="3">
        <v>0</v>
      </c>
      <c r="DM117" s="3">
        <v>30274000</v>
      </c>
      <c r="DN117" s="3">
        <v>16945000</v>
      </c>
      <c r="DO117" s="3">
        <v>13329000</v>
      </c>
      <c r="DP117" s="3">
        <v>0</v>
      </c>
      <c r="DQ117" s="3">
        <v>0</v>
      </c>
      <c r="DR117" s="3">
        <v>30274000</v>
      </c>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R117" s="3">
        <v>16768000</v>
      </c>
      <c r="ES117" s="3">
        <v>13329000</v>
      </c>
      <c r="ET117" s="3">
        <v>0</v>
      </c>
      <c r="EU117" s="3">
        <v>0</v>
      </c>
      <c r="EV117" s="3">
        <v>30097000</v>
      </c>
      <c r="EW117" s="3">
        <v>16768000</v>
      </c>
      <c r="EX117" s="3">
        <v>13329000</v>
      </c>
      <c r="EY117" s="3">
        <v>0</v>
      </c>
      <c r="EZ117" s="3">
        <v>0</v>
      </c>
      <c r="FA117" s="3">
        <v>30097000</v>
      </c>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v>17311000</v>
      </c>
      <c r="GB117" s="3">
        <v>9973000</v>
      </c>
      <c r="GC117" s="3">
        <v>0</v>
      </c>
      <c r="GD117" s="3">
        <v>0</v>
      </c>
      <c r="GE117" s="3">
        <v>27284000</v>
      </c>
      <c r="GF117" s="3">
        <v>17311000</v>
      </c>
      <c r="GG117" s="3">
        <v>9973000</v>
      </c>
      <c r="GH117" s="3">
        <v>0</v>
      </c>
      <c r="GI117" s="3">
        <v>0</v>
      </c>
      <c r="GJ117" s="3">
        <v>27284000</v>
      </c>
      <c r="GK117" s="3"/>
      <c r="GL117" s="3"/>
      <c r="GM117" s="3"/>
      <c r="GN117" s="3"/>
      <c r="GO117" s="3"/>
      <c r="GP117" s="3"/>
      <c r="GQ117" s="3"/>
      <c r="GR117" s="3"/>
      <c r="GS117" s="3"/>
      <c r="GU117" s="3"/>
      <c r="GV117" s="3"/>
      <c r="GW117" s="3"/>
      <c r="GX117" s="3"/>
      <c r="GY117" s="3"/>
      <c r="GZ117" s="3"/>
      <c r="HA117" s="3"/>
      <c r="HB117" s="3"/>
      <c r="HC117" s="3"/>
      <c r="HE117" s="3"/>
      <c r="HF117" s="3"/>
      <c r="HG117" s="3"/>
      <c r="HH117" s="3"/>
      <c r="HJ117" s="3">
        <v>13101000</v>
      </c>
      <c r="HK117" s="3">
        <v>13264000</v>
      </c>
      <c r="HL117" s="3">
        <v>0</v>
      </c>
      <c r="HM117" s="3">
        <v>0</v>
      </c>
      <c r="HN117" s="3">
        <v>26365000</v>
      </c>
      <c r="HO117" s="3">
        <v>13101000</v>
      </c>
      <c r="HP117" s="3">
        <v>13264000</v>
      </c>
      <c r="HQ117" s="3">
        <v>0</v>
      </c>
      <c r="HR117" s="3">
        <v>0</v>
      </c>
      <c r="HS117" s="3">
        <v>26365000</v>
      </c>
      <c r="HT117" s="3"/>
      <c r="HU117" s="3"/>
      <c r="HV117" s="3"/>
      <c r="HW117" s="3"/>
      <c r="HX117" s="3"/>
      <c r="HY117" s="3"/>
      <c r="HZ117" s="3"/>
      <c r="IA117" s="3"/>
      <c r="IB117" s="3"/>
      <c r="ID117" s="3"/>
      <c r="IE117" s="3"/>
      <c r="IF117" s="3"/>
      <c r="IG117" s="3"/>
      <c r="IS117" s="3">
        <v>16187000</v>
      </c>
      <c r="IT117" s="3">
        <v>14560000</v>
      </c>
      <c r="IU117" s="3">
        <v>0</v>
      </c>
      <c r="IV117" s="3">
        <v>44313000</v>
      </c>
      <c r="IW117" s="3">
        <v>75060000</v>
      </c>
      <c r="IX117" s="3">
        <v>16187000</v>
      </c>
      <c r="IY117" s="3">
        <v>14560000</v>
      </c>
      <c r="IZ117" s="3">
        <v>0</v>
      </c>
      <c r="JA117" s="3">
        <v>44313000</v>
      </c>
      <c r="JB117" s="3">
        <v>75060000</v>
      </c>
      <c r="JC117" s="3"/>
      <c r="JD117" s="3"/>
      <c r="JE117" s="3"/>
      <c r="JF117" s="3"/>
      <c r="JG117" s="3"/>
      <c r="JH117" s="3"/>
      <c r="JI117" s="3"/>
      <c r="JJ117" s="3"/>
      <c r="JK117" s="3"/>
      <c r="JL117" s="3"/>
      <c r="JM117" s="3"/>
      <c r="JN117" s="3"/>
      <c r="JO117" s="3"/>
      <c r="JP117" s="3"/>
      <c r="JQ117" s="3"/>
      <c r="JR117" s="3"/>
      <c r="JS117" s="3"/>
      <c r="JT117" s="3"/>
      <c r="JU117" s="3"/>
      <c r="JV117" s="3"/>
      <c r="JW117" s="3"/>
      <c r="JX117" s="3"/>
      <c r="JY117" s="3"/>
      <c r="JZ117" s="3"/>
      <c r="KA117" s="3"/>
      <c r="KB117" s="3">
        <v>22656000</v>
      </c>
      <c r="KC117" s="3">
        <v>77118000</v>
      </c>
      <c r="KD117" s="3">
        <v>0</v>
      </c>
      <c r="KE117" s="3">
        <v>77750000</v>
      </c>
      <c r="KF117" s="3">
        <v>177524000</v>
      </c>
      <c r="KG117" s="3">
        <v>22656000</v>
      </c>
      <c r="KH117" s="3">
        <v>77118000</v>
      </c>
      <c r="KI117" s="3">
        <v>0</v>
      </c>
      <c r="KJ117" s="3">
        <v>77750000</v>
      </c>
      <c r="KK117" s="3">
        <v>177524000</v>
      </c>
      <c r="KL117" s="3"/>
      <c r="KM117" s="3"/>
      <c r="KN117" s="3"/>
      <c r="KO117" s="3"/>
      <c r="KP117" s="3"/>
      <c r="KQ117" s="3"/>
      <c r="KR117" s="3"/>
      <c r="KS117" s="3"/>
      <c r="KT117" s="3"/>
      <c r="KU117" s="3"/>
      <c r="KV117" s="3"/>
      <c r="KW117" s="3"/>
      <c r="KX117" s="3"/>
      <c r="KY117" s="3"/>
      <c r="KZ117" s="3"/>
      <c r="LA117" s="3"/>
      <c r="LB117" s="3"/>
      <c r="LC117" s="3"/>
      <c r="LD117" s="3"/>
      <c r="LE117" s="3"/>
      <c r="LF117" s="3"/>
      <c r="LG117" s="3"/>
      <c r="LH117" s="3"/>
      <c r="LI117" s="3"/>
      <c r="LJ117" s="3"/>
      <c r="LK117" s="3">
        <v>25072000</v>
      </c>
      <c r="LL117" s="3">
        <v>31417000</v>
      </c>
      <c r="LM117">
        <v>0</v>
      </c>
      <c r="LN117" s="3">
        <v>900000</v>
      </c>
      <c r="LO117" s="3">
        <v>57389000</v>
      </c>
    </row>
    <row r="118" spans="1:327" x14ac:dyDescent="0.25">
      <c r="A118" t="s">
        <v>943</v>
      </c>
      <c r="B118" t="s">
        <v>944</v>
      </c>
      <c r="C118" t="s">
        <v>599</v>
      </c>
      <c r="D118" t="s">
        <v>988</v>
      </c>
      <c r="E118" t="s">
        <v>217</v>
      </c>
      <c r="F118" t="s">
        <v>642</v>
      </c>
      <c r="G118" t="s">
        <v>1075</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U118" s="3"/>
      <c r="BV118" s="3"/>
      <c r="BW118" s="3"/>
      <c r="BX118" s="3"/>
      <c r="BZ118" s="3">
        <v>0</v>
      </c>
      <c r="CA118" s="3">
        <v>0</v>
      </c>
      <c r="CB118" s="3">
        <v>0</v>
      </c>
      <c r="CC118" s="3">
        <v>0</v>
      </c>
      <c r="CD118" s="3">
        <v>0</v>
      </c>
      <c r="CE118" s="3">
        <v>0</v>
      </c>
      <c r="CF118" s="3">
        <v>5000000</v>
      </c>
      <c r="CG118" s="3">
        <v>0</v>
      </c>
      <c r="CH118" s="3">
        <v>0</v>
      </c>
      <c r="CI118" s="3">
        <v>5000000</v>
      </c>
      <c r="CJ118" s="3"/>
      <c r="CK118" s="3"/>
      <c r="CL118" s="3"/>
      <c r="CM118" s="3"/>
      <c r="CN118" s="3"/>
      <c r="CO118" s="3"/>
      <c r="CP118" s="3"/>
      <c r="CQ118" s="3"/>
      <c r="CR118" s="3"/>
      <c r="CS118" s="3"/>
      <c r="CT118" s="3"/>
      <c r="CU118" s="3"/>
      <c r="CV118" s="3"/>
      <c r="CW118" s="3"/>
      <c r="CX118" s="3"/>
      <c r="CY118" s="3"/>
      <c r="CZ118" s="3"/>
      <c r="DA118" s="3"/>
      <c r="DB118" s="3"/>
      <c r="DD118" s="3"/>
      <c r="DE118" s="3"/>
      <c r="DF118" s="3"/>
      <c r="DG118" s="3"/>
      <c r="DI118" s="3">
        <v>0</v>
      </c>
      <c r="DJ118" s="3">
        <v>0</v>
      </c>
      <c r="DK118" s="3">
        <v>0</v>
      </c>
      <c r="DL118" s="3">
        <v>0</v>
      </c>
      <c r="DM118" s="3">
        <v>0</v>
      </c>
      <c r="DN118" s="3">
        <v>0</v>
      </c>
      <c r="DO118" s="3">
        <v>2850000</v>
      </c>
      <c r="DP118" s="3">
        <v>0</v>
      </c>
      <c r="DQ118" s="3">
        <v>0</v>
      </c>
      <c r="DR118" s="3">
        <v>2850000</v>
      </c>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R118" s="3">
        <v>0</v>
      </c>
      <c r="ES118" s="3">
        <v>0</v>
      </c>
      <c r="ET118" s="3">
        <v>0</v>
      </c>
      <c r="EU118" s="3">
        <v>0</v>
      </c>
      <c r="EV118" s="3">
        <v>0</v>
      </c>
      <c r="EW118" s="3">
        <v>0</v>
      </c>
      <c r="EX118" s="3">
        <v>0</v>
      </c>
      <c r="EY118" s="3">
        <v>0</v>
      </c>
      <c r="EZ118" s="3">
        <v>0</v>
      </c>
      <c r="FA118" s="3">
        <v>0</v>
      </c>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v>0</v>
      </c>
      <c r="GB118" s="3">
        <v>3000000</v>
      </c>
      <c r="GC118" s="3">
        <v>0</v>
      </c>
      <c r="GD118" s="3">
        <v>0</v>
      </c>
      <c r="GE118" s="3">
        <v>3000000</v>
      </c>
      <c r="GF118" s="3">
        <v>0</v>
      </c>
      <c r="GG118" s="3">
        <v>3000000</v>
      </c>
      <c r="GH118" s="3">
        <v>0</v>
      </c>
      <c r="GI118" s="3">
        <v>0</v>
      </c>
      <c r="GJ118" s="3">
        <v>3000000</v>
      </c>
      <c r="GK118" s="3"/>
      <c r="GL118" s="3"/>
      <c r="GM118" s="3"/>
      <c r="GN118" s="3"/>
      <c r="GO118" s="3"/>
      <c r="GP118" s="3"/>
      <c r="GQ118" s="3"/>
      <c r="GR118" s="3"/>
      <c r="GS118" s="3"/>
      <c r="GU118" s="3"/>
      <c r="GV118" s="3"/>
      <c r="GW118" s="3"/>
      <c r="GX118" s="3"/>
      <c r="GY118" s="3"/>
      <c r="GZ118" s="3"/>
      <c r="HA118" s="3"/>
      <c r="HB118" s="3"/>
      <c r="HC118" s="3"/>
      <c r="HE118" s="3"/>
      <c r="HF118" s="3"/>
      <c r="HG118" s="3"/>
      <c r="HH118" s="3"/>
      <c r="HJ118" s="3">
        <v>0</v>
      </c>
      <c r="HK118" s="3">
        <v>4000000</v>
      </c>
      <c r="HL118" s="3">
        <v>0</v>
      </c>
      <c r="HM118" s="3">
        <v>0</v>
      </c>
      <c r="HN118" s="3">
        <v>4000000</v>
      </c>
      <c r="HO118" s="3">
        <v>0</v>
      </c>
      <c r="HP118" s="3">
        <v>4000000</v>
      </c>
      <c r="HQ118" s="3">
        <v>0</v>
      </c>
      <c r="HR118" s="3">
        <v>0</v>
      </c>
      <c r="HS118" s="3">
        <v>4000000</v>
      </c>
      <c r="HT118" s="3"/>
      <c r="HU118" s="3"/>
      <c r="HV118" s="3"/>
      <c r="HW118" s="3"/>
      <c r="HX118" s="3"/>
      <c r="HY118" s="3"/>
      <c r="HZ118" s="3"/>
      <c r="IA118" s="3"/>
      <c r="IB118" s="3"/>
      <c r="ID118" s="3"/>
      <c r="IE118" s="3"/>
      <c r="IF118" s="3"/>
      <c r="IG118" s="3"/>
      <c r="IS118" s="3">
        <v>0</v>
      </c>
      <c r="IT118" s="3">
        <v>4000000</v>
      </c>
      <c r="IU118" s="3">
        <v>0</v>
      </c>
      <c r="IV118" s="3">
        <v>0</v>
      </c>
      <c r="IW118" s="3">
        <v>4000000</v>
      </c>
      <c r="IX118" s="3">
        <v>0</v>
      </c>
      <c r="IY118" s="3">
        <v>1000000</v>
      </c>
      <c r="IZ118" s="3">
        <v>0</v>
      </c>
      <c r="JA118" s="3">
        <v>3000000</v>
      </c>
      <c r="JB118" s="3">
        <v>4000000</v>
      </c>
      <c r="JC118" s="3"/>
      <c r="JD118" s="3"/>
      <c r="JE118" s="3"/>
      <c r="JF118" s="3"/>
      <c r="JG118" s="3"/>
      <c r="JH118" s="3"/>
      <c r="JI118" s="3"/>
      <c r="JJ118" s="3"/>
      <c r="JK118" s="3"/>
      <c r="JL118" s="3"/>
      <c r="JM118" s="3"/>
      <c r="JN118" s="3"/>
      <c r="JO118" s="3"/>
      <c r="JP118" s="3"/>
      <c r="JQ118" s="3"/>
      <c r="JR118" s="3"/>
      <c r="JS118" s="3"/>
      <c r="JT118" s="3"/>
      <c r="JU118" s="3"/>
      <c r="JV118" s="3"/>
      <c r="JW118" s="3"/>
      <c r="JX118" s="3"/>
      <c r="JY118" s="3"/>
      <c r="JZ118" s="3"/>
      <c r="KA118" s="3"/>
      <c r="KB118" s="3">
        <v>0</v>
      </c>
      <c r="KC118" s="3">
        <v>4000000</v>
      </c>
      <c r="KD118" s="3">
        <v>0</v>
      </c>
      <c r="KE118" s="3">
        <v>0</v>
      </c>
      <c r="KF118" s="3">
        <v>4000000</v>
      </c>
      <c r="KG118" s="3">
        <v>0</v>
      </c>
      <c r="KH118" s="3">
        <v>4000000</v>
      </c>
      <c r="KI118" s="3">
        <v>0</v>
      </c>
      <c r="KJ118" s="3">
        <v>0</v>
      </c>
      <c r="KK118" s="3">
        <v>4000000</v>
      </c>
      <c r="KL118" s="3"/>
      <c r="KM118" s="3"/>
      <c r="KN118" s="3"/>
      <c r="KO118" s="3"/>
      <c r="KP118" s="3"/>
      <c r="KQ118" s="3"/>
      <c r="KR118" s="3"/>
      <c r="KS118" s="3"/>
      <c r="KT118" s="3"/>
      <c r="KU118" s="3"/>
      <c r="KV118" s="3"/>
      <c r="KW118" s="3"/>
      <c r="KX118" s="3"/>
      <c r="KY118" s="3"/>
      <c r="KZ118" s="3"/>
      <c r="LA118" s="3"/>
      <c r="LB118" s="3"/>
      <c r="LC118" s="3"/>
      <c r="LD118" s="3"/>
      <c r="LE118" s="3"/>
      <c r="LF118" s="3"/>
      <c r="LG118" s="3"/>
      <c r="LH118" s="3"/>
      <c r="LI118" s="3"/>
      <c r="LJ118" s="3"/>
    </row>
    <row r="119" spans="1:327" x14ac:dyDescent="0.25">
      <c r="A119" t="s">
        <v>943</v>
      </c>
      <c r="B119" t="s">
        <v>944</v>
      </c>
      <c r="C119" t="s">
        <v>599</v>
      </c>
      <c r="D119" t="s">
        <v>988</v>
      </c>
      <c r="E119" t="s">
        <v>217</v>
      </c>
      <c r="F119" t="s">
        <v>641</v>
      </c>
      <c r="G119" t="s">
        <v>1076</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U119" s="3"/>
      <c r="BV119" s="3"/>
      <c r="BW119" s="3"/>
      <c r="BX119" s="3"/>
      <c r="BZ119" s="3">
        <v>0</v>
      </c>
      <c r="CA119" s="3">
        <v>0</v>
      </c>
      <c r="CB119" s="3">
        <v>0</v>
      </c>
      <c r="CC119" s="3">
        <v>0</v>
      </c>
      <c r="CD119" s="3">
        <v>0</v>
      </c>
      <c r="CE119" s="3">
        <v>0</v>
      </c>
      <c r="CF119" s="3">
        <v>0</v>
      </c>
      <c r="CG119" s="3">
        <v>0</v>
      </c>
      <c r="CH119" s="3">
        <v>0</v>
      </c>
      <c r="CI119" s="3">
        <v>0</v>
      </c>
      <c r="CJ119" s="3"/>
      <c r="CK119" s="3"/>
      <c r="CL119" s="3"/>
      <c r="CM119" s="3"/>
      <c r="CN119" s="3"/>
      <c r="CO119" s="3"/>
      <c r="CP119" s="3"/>
      <c r="CQ119" s="3"/>
      <c r="CR119" s="3"/>
      <c r="CS119" s="3"/>
      <c r="CT119" s="3"/>
      <c r="CU119" s="3"/>
      <c r="CV119" s="3"/>
      <c r="CW119" s="3"/>
      <c r="CX119" s="3"/>
      <c r="CY119" s="3"/>
      <c r="CZ119" s="3"/>
      <c r="DA119" s="3"/>
      <c r="DB119" s="3"/>
      <c r="DD119" s="3"/>
      <c r="DE119" s="3"/>
      <c r="DF119" s="3"/>
      <c r="DG119" s="3"/>
      <c r="DI119" s="3">
        <v>0</v>
      </c>
      <c r="DJ119" s="3">
        <v>0</v>
      </c>
      <c r="DK119" s="3">
        <v>0</v>
      </c>
      <c r="DL119" s="3">
        <v>0</v>
      </c>
      <c r="DM119" s="3">
        <v>0</v>
      </c>
      <c r="DN119" s="3">
        <v>0</v>
      </c>
      <c r="DO119" s="3">
        <v>0</v>
      </c>
      <c r="DP119" s="3">
        <v>0</v>
      </c>
      <c r="DQ119" s="3">
        <v>0</v>
      </c>
      <c r="DR119" s="3">
        <v>0</v>
      </c>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R119" s="3">
        <v>0</v>
      </c>
      <c r="ES119" s="3">
        <v>0</v>
      </c>
      <c r="ET119" s="3">
        <v>0</v>
      </c>
      <c r="EU119" s="3">
        <v>0</v>
      </c>
      <c r="EV119" s="3">
        <v>0</v>
      </c>
      <c r="EW119" s="3">
        <v>0</v>
      </c>
      <c r="EX119" s="3">
        <v>0</v>
      </c>
      <c r="EY119" s="3">
        <v>0</v>
      </c>
      <c r="EZ119" s="3">
        <v>0</v>
      </c>
      <c r="FA119" s="3">
        <v>0</v>
      </c>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v>0</v>
      </c>
      <c r="GB119" s="3">
        <v>0</v>
      </c>
      <c r="GC119" s="3">
        <v>0</v>
      </c>
      <c r="GD119" s="3">
        <v>0</v>
      </c>
      <c r="GE119" s="3">
        <v>0</v>
      </c>
      <c r="GF119" s="3">
        <v>0</v>
      </c>
      <c r="GG119" s="3">
        <v>0</v>
      </c>
      <c r="GH119" s="3">
        <v>0</v>
      </c>
      <c r="GI119" s="3">
        <v>0</v>
      </c>
      <c r="GJ119" s="3">
        <v>0</v>
      </c>
      <c r="GK119" s="3"/>
      <c r="GL119" s="3"/>
      <c r="GM119" s="3"/>
      <c r="GN119" s="3"/>
      <c r="GO119" s="3"/>
      <c r="GP119" s="3"/>
      <c r="GQ119" s="3"/>
      <c r="GR119" s="3"/>
      <c r="GS119" s="3"/>
      <c r="GU119" s="3"/>
      <c r="GV119" s="3"/>
      <c r="GW119" s="3"/>
      <c r="GX119" s="3"/>
      <c r="GY119" s="3"/>
      <c r="GZ119" s="3"/>
      <c r="HA119" s="3"/>
      <c r="HB119" s="3"/>
      <c r="HC119" s="3"/>
      <c r="HE119" s="3"/>
      <c r="HF119" s="3"/>
      <c r="HG119" s="3"/>
      <c r="HH119" s="3"/>
      <c r="HJ119" s="3">
        <v>0</v>
      </c>
      <c r="HK119" s="3">
        <v>0</v>
      </c>
      <c r="HL119" s="3">
        <v>0</v>
      </c>
      <c r="HM119" s="3">
        <v>0</v>
      </c>
      <c r="HN119" s="3">
        <v>0</v>
      </c>
      <c r="HO119" s="3">
        <v>0</v>
      </c>
      <c r="HP119" s="3">
        <v>0</v>
      </c>
      <c r="HQ119" s="3">
        <v>0</v>
      </c>
      <c r="HR119" s="3">
        <v>0</v>
      </c>
      <c r="HS119" s="3">
        <v>0</v>
      </c>
      <c r="HT119" s="3"/>
      <c r="HU119" s="3"/>
      <c r="HV119" s="3"/>
      <c r="HW119" s="3"/>
      <c r="HX119" s="3"/>
      <c r="HY119" s="3"/>
      <c r="HZ119" s="3"/>
      <c r="IA119" s="3"/>
      <c r="IB119" s="3"/>
      <c r="ID119" s="3"/>
      <c r="IE119" s="3"/>
      <c r="IF119" s="3"/>
      <c r="IG119" s="3"/>
      <c r="IS119" s="3">
        <v>0</v>
      </c>
      <c r="IT119" s="3">
        <v>0</v>
      </c>
      <c r="IU119" s="3">
        <v>0</v>
      </c>
      <c r="IV119" s="3">
        <v>0</v>
      </c>
      <c r="IW119" s="3">
        <v>0</v>
      </c>
      <c r="IX119" s="3">
        <v>0</v>
      </c>
      <c r="IY119" s="3">
        <v>0</v>
      </c>
      <c r="IZ119" s="3">
        <v>0</v>
      </c>
      <c r="JA119" s="3">
        <v>25000000</v>
      </c>
      <c r="JB119" s="3">
        <v>25000000</v>
      </c>
      <c r="JC119" s="3"/>
      <c r="JD119" s="3"/>
      <c r="JE119" s="3"/>
      <c r="JF119" s="3"/>
      <c r="JG119" s="3"/>
      <c r="JH119" s="3"/>
      <c r="JI119" s="3"/>
      <c r="JJ119" s="3"/>
      <c r="JK119" s="3"/>
      <c r="JL119" s="3"/>
      <c r="JM119" s="3"/>
      <c r="JN119" s="3"/>
      <c r="JO119" s="3"/>
      <c r="JP119" s="3"/>
      <c r="JQ119" s="3"/>
      <c r="JR119" s="3"/>
      <c r="JS119" s="3"/>
      <c r="JT119" s="3"/>
      <c r="JU119" s="3"/>
      <c r="JV119" s="3"/>
      <c r="JW119" s="3"/>
      <c r="JX119" s="3"/>
      <c r="JY119" s="3"/>
      <c r="JZ119" s="3"/>
      <c r="KA119" s="3"/>
      <c r="KB119" s="3"/>
      <c r="KC119" s="3"/>
      <c r="KD119" s="3"/>
      <c r="KE119" s="3"/>
      <c r="KF119" s="3"/>
      <c r="KG119" s="3"/>
      <c r="KH119" s="3"/>
      <c r="KI119" s="3"/>
      <c r="KJ119" s="3"/>
      <c r="KK119" s="3"/>
      <c r="KL119" s="3"/>
      <c r="KM119" s="3"/>
      <c r="KN119" s="3"/>
      <c r="KO119" s="3"/>
      <c r="KP119" s="3"/>
      <c r="KQ119" s="3"/>
      <c r="KR119" s="3"/>
      <c r="KS119" s="3"/>
      <c r="KT119" s="3"/>
      <c r="KU119" s="3"/>
      <c r="KV119" s="3"/>
      <c r="KW119" s="3"/>
      <c r="KX119" s="3"/>
      <c r="KY119" s="3"/>
      <c r="KZ119" s="3"/>
      <c r="LA119" s="3"/>
      <c r="LB119" s="3"/>
      <c r="LC119" s="3"/>
      <c r="LD119" s="3"/>
      <c r="LE119" s="3"/>
      <c r="LF119" s="3"/>
      <c r="LG119" s="3"/>
      <c r="LH119" s="3"/>
      <c r="LI119" s="3"/>
      <c r="LJ119" s="3"/>
    </row>
    <row r="120" spans="1:327" x14ac:dyDescent="0.25">
      <c r="A120" t="s">
        <v>943</v>
      </c>
      <c r="B120" t="s">
        <v>944</v>
      </c>
      <c r="C120" t="s">
        <v>733</v>
      </c>
      <c r="D120" t="s">
        <v>989</v>
      </c>
      <c r="E120" t="s">
        <v>201</v>
      </c>
      <c r="F120" t="s">
        <v>202</v>
      </c>
      <c r="G120" t="s">
        <v>203</v>
      </c>
      <c r="H120" s="3">
        <v>12392000</v>
      </c>
      <c r="I120" s="3">
        <v>45367000</v>
      </c>
      <c r="J120" s="3">
        <v>0</v>
      </c>
      <c r="K120" s="3">
        <v>39386000</v>
      </c>
      <c r="L120" s="3">
        <v>97145000</v>
      </c>
      <c r="M120" s="3">
        <v>12392000</v>
      </c>
      <c r="N120" s="3">
        <v>45367000</v>
      </c>
      <c r="O120" s="3">
        <v>0</v>
      </c>
      <c r="P120" s="3">
        <v>39386000</v>
      </c>
      <c r="Q120" s="3">
        <v>97145000</v>
      </c>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v>15339000</v>
      </c>
      <c r="AR120" s="3">
        <v>59711000</v>
      </c>
      <c r="AS120" s="3">
        <v>0</v>
      </c>
      <c r="AT120" s="3">
        <v>15859000</v>
      </c>
      <c r="AU120" s="3">
        <v>90909000</v>
      </c>
      <c r="AV120" s="3">
        <v>15339000</v>
      </c>
      <c r="AW120" s="3">
        <v>59711000</v>
      </c>
      <c r="AX120" s="3">
        <v>0</v>
      </c>
      <c r="AY120" s="3">
        <v>15859000</v>
      </c>
      <c r="AZ120" s="3">
        <v>90909000</v>
      </c>
      <c r="BA120" s="3"/>
      <c r="BB120" s="3"/>
      <c r="BC120" s="3"/>
      <c r="BD120" s="3"/>
      <c r="BE120" s="3"/>
      <c r="BF120" s="3"/>
      <c r="BG120" s="3"/>
      <c r="BH120" s="3"/>
      <c r="BI120" s="3"/>
      <c r="BJ120" s="3"/>
      <c r="BK120" s="3"/>
      <c r="BL120" s="3"/>
      <c r="BM120" s="3"/>
      <c r="BN120" s="3"/>
      <c r="BO120" s="3"/>
      <c r="BP120" s="3"/>
      <c r="BQ120" s="3"/>
      <c r="BR120" s="3"/>
      <c r="BS120" s="3"/>
      <c r="BU120" s="3"/>
      <c r="BV120" s="3"/>
      <c r="BW120" s="3"/>
      <c r="BX120" s="3"/>
      <c r="BZ120" s="3">
        <v>15005000</v>
      </c>
      <c r="CA120" s="3">
        <v>38954000</v>
      </c>
      <c r="CB120" s="3">
        <v>0</v>
      </c>
      <c r="CC120" s="3">
        <v>0</v>
      </c>
      <c r="CD120" s="3">
        <v>53959000</v>
      </c>
      <c r="CE120" s="3">
        <v>15005000</v>
      </c>
      <c r="CF120" s="3">
        <v>38954000</v>
      </c>
      <c r="CG120" s="3">
        <v>0</v>
      </c>
      <c r="CH120" s="3">
        <v>0</v>
      </c>
      <c r="CI120" s="3">
        <v>53959000</v>
      </c>
      <c r="CJ120" s="3"/>
      <c r="CK120" s="3"/>
      <c r="CL120" s="3"/>
      <c r="CM120" s="3"/>
      <c r="CN120" s="3"/>
      <c r="CO120" s="3"/>
      <c r="CP120" s="3"/>
      <c r="CQ120" s="3"/>
      <c r="CR120" s="3"/>
      <c r="CS120" s="3"/>
      <c r="CT120" s="3"/>
      <c r="CU120" s="3"/>
      <c r="CV120" s="3"/>
      <c r="CW120" s="3"/>
      <c r="CX120" s="3"/>
      <c r="CY120" s="3"/>
      <c r="CZ120" s="3"/>
      <c r="DA120" s="3"/>
      <c r="DB120" s="3"/>
      <c r="DD120" s="3"/>
      <c r="DE120" s="3"/>
      <c r="DF120" s="3"/>
      <c r="DG120" s="3"/>
      <c r="DI120" s="3">
        <v>16499000</v>
      </c>
      <c r="DJ120" s="3">
        <v>45753000</v>
      </c>
      <c r="DK120" s="3">
        <v>0</v>
      </c>
      <c r="DL120" s="3">
        <v>130000</v>
      </c>
      <c r="DM120" s="3">
        <v>62382000</v>
      </c>
      <c r="DN120" s="3">
        <v>16499000</v>
      </c>
      <c r="DO120" s="3">
        <v>45753000</v>
      </c>
      <c r="DP120" s="3">
        <v>0</v>
      </c>
      <c r="DQ120" s="3">
        <v>130000</v>
      </c>
      <c r="DR120" s="3">
        <v>62382000</v>
      </c>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R120" s="3">
        <v>22255000</v>
      </c>
      <c r="ES120" s="3">
        <v>39663000</v>
      </c>
      <c r="ET120" s="3">
        <v>0</v>
      </c>
      <c r="EU120" s="3">
        <v>0</v>
      </c>
      <c r="EV120" s="3">
        <v>61918000</v>
      </c>
      <c r="EW120" s="3">
        <v>22255000</v>
      </c>
      <c r="EX120" s="3">
        <v>39663000</v>
      </c>
      <c r="EY120" s="3">
        <v>0</v>
      </c>
      <c r="EZ120" s="3">
        <v>0</v>
      </c>
      <c r="FA120" s="3">
        <v>61918000</v>
      </c>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v>18285000</v>
      </c>
      <c r="GB120" s="3">
        <v>40763000</v>
      </c>
      <c r="GC120" s="3">
        <v>0</v>
      </c>
      <c r="GD120" s="3">
        <v>500000</v>
      </c>
      <c r="GE120" s="3">
        <v>59548000</v>
      </c>
      <c r="GF120" s="3">
        <v>18285000</v>
      </c>
      <c r="GG120" s="3">
        <v>40763000</v>
      </c>
      <c r="GH120" s="3">
        <v>0</v>
      </c>
      <c r="GI120" s="3">
        <v>500000</v>
      </c>
      <c r="GJ120" s="3">
        <v>59548000</v>
      </c>
      <c r="GK120" s="3"/>
      <c r="GL120" s="3"/>
      <c r="GM120" s="3"/>
      <c r="GN120" s="3"/>
      <c r="GO120" s="3"/>
      <c r="GP120" s="3"/>
      <c r="GQ120" s="3"/>
      <c r="GR120" s="3"/>
      <c r="GS120" s="3"/>
      <c r="GU120" s="3"/>
      <c r="GV120" s="3"/>
      <c r="GW120" s="3"/>
      <c r="GX120" s="3"/>
      <c r="GY120" s="3"/>
      <c r="GZ120" s="3"/>
      <c r="HA120" s="3"/>
      <c r="HB120" s="3"/>
      <c r="HC120" s="3"/>
      <c r="HE120" s="3"/>
      <c r="HF120" s="3"/>
      <c r="HG120" s="3"/>
      <c r="HH120" s="3"/>
      <c r="HJ120" s="3">
        <v>18571000</v>
      </c>
      <c r="HK120" s="3">
        <v>44476000</v>
      </c>
      <c r="HL120" s="3">
        <v>0</v>
      </c>
      <c r="HM120" s="3">
        <v>6350000</v>
      </c>
      <c r="HN120" s="3">
        <v>69397000</v>
      </c>
      <c r="HO120" s="3">
        <v>18571000</v>
      </c>
      <c r="HP120" s="3">
        <v>44476000</v>
      </c>
      <c r="HQ120" s="3">
        <v>0</v>
      </c>
      <c r="HR120" s="3">
        <v>6350000</v>
      </c>
      <c r="HS120" s="3">
        <v>69397000</v>
      </c>
      <c r="HT120" s="3"/>
      <c r="HU120" s="3"/>
      <c r="HV120" s="3"/>
      <c r="HW120" s="3"/>
      <c r="HX120" s="3"/>
      <c r="HY120" s="3"/>
      <c r="HZ120" s="3"/>
      <c r="IA120" s="3"/>
      <c r="IB120" s="3"/>
      <c r="ID120" s="3"/>
      <c r="IE120" s="3"/>
      <c r="IF120" s="3"/>
      <c r="IG120" s="3"/>
      <c r="IS120" s="3">
        <v>18926000</v>
      </c>
      <c r="IT120" s="3">
        <v>54406000</v>
      </c>
      <c r="IU120" s="3">
        <v>0</v>
      </c>
      <c r="IV120" s="3">
        <v>2500000</v>
      </c>
      <c r="IW120" s="3">
        <v>75832000</v>
      </c>
      <c r="IX120" s="3">
        <v>18926000</v>
      </c>
      <c r="IY120" s="3">
        <v>54406000</v>
      </c>
      <c r="IZ120" s="3">
        <v>0</v>
      </c>
      <c r="JA120" s="3">
        <v>2500000</v>
      </c>
      <c r="JB120" s="3">
        <v>75832000</v>
      </c>
      <c r="JC120" s="3"/>
      <c r="JD120" s="3"/>
      <c r="JE120" s="3"/>
      <c r="JF120" s="3"/>
      <c r="JG120" s="3"/>
      <c r="JH120" s="3"/>
      <c r="JI120" s="3"/>
      <c r="JJ120" s="3"/>
      <c r="JK120" s="3"/>
      <c r="JL120" s="3"/>
      <c r="JM120" s="3"/>
      <c r="JN120" s="3"/>
      <c r="JO120" s="3"/>
      <c r="JP120" s="3"/>
      <c r="JQ120" s="3"/>
      <c r="JR120" s="3"/>
      <c r="JS120" s="3"/>
      <c r="JT120" s="3"/>
      <c r="JU120" s="3"/>
      <c r="JV120" s="3"/>
      <c r="JW120" s="3"/>
      <c r="JX120" s="3"/>
      <c r="JY120" s="3"/>
      <c r="JZ120" s="3"/>
      <c r="KA120" s="3"/>
      <c r="KB120" s="3">
        <v>18503000</v>
      </c>
      <c r="KC120" s="3">
        <v>68815000</v>
      </c>
      <c r="KD120" s="3">
        <v>0</v>
      </c>
      <c r="KE120" s="3">
        <v>0</v>
      </c>
      <c r="KF120" s="3">
        <v>87318000</v>
      </c>
      <c r="KG120" s="3">
        <v>18503000</v>
      </c>
      <c r="KH120" s="3">
        <v>68815000</v>
      </c>
      <c r="KI120" s="3">
        <v>0</v>
      </c>
      <c r="KJ120" s="3">
        <v>0</v>
      </c>
      <c r="KK120" s="3">
        <v>87318000</v>
      </c>
      <c r="KL120" s="3"/>
      <c r="KM120" s="3"/>
      <c r="KN120" s="3"/>
      <c r="KO120" s="3"/>
      <c r="KP120" s="3"/>
      <c r="KQ120" s="3"/>
      <c r="KR120" s="3"/>
      <c r="KS120" s="3"/>
      <c r="KT120" s="3"/>
      <c r="KU120" s="3"/>
      <c r="KV120" s="3"/>
      <c r="KW120" s="3"/>
      <c r="KX120" s="3"/>
      <c r="KY120" s="3"/>
      <c r="KZ120" s="3"/>
      <c r="LA120" s="3"/>
      <c r="LB120" s="3"/>
      <c r="LC120" s="3"/>
      <c r="LD120" s="3"/>
      <c r="LE120" s="3"/>
      <c r="LF120" s="3"/>
      <c r="LG120" s="3"/>
      <c r="LH120" s="3"/>
      <c r="LI120" s="3"/>
      <c r="LJ120" s="3"/>
      <c r="LK120" s="3">
        <v>19213000</v>
      </c>
      <c r="LL120" s="3">
        <v>57784000</v>
      </c>
      <c r="LM120">
        <v>0</v>
      </c>
      <c r="LN120">
        <v>0</v>
      </c>
      <c r="LO120" s="3">
        <v>76997000</v>
      </c>
    </row>
    <row r="121" spans="1:327" x14ac:dyDescent="0.25">
      <c r="A121" t="s">
        <v>943</v>
      </c>
      <c r="B121" t="s">
        <v>944</v>
      </c>
      <c r="C121" t="s">
        <v>733</v>
      </c>
      <c r="D121" t="s">
        <v>989</v>
      </c>
      <c r="E121" t="s">
        <v>201</v>
      </c>
      <c r="F121" t="s">
        <v>204</v>
      </c>
      <c r="G121" t="s">
        <v>205</v>
      </c>
      <c r="H121" s="3">
        <v>3974000</v>
      </c>
      <c r="I121" s="3">
        <v>0</v>
      </c>
      <c r="J121" s="3">
        <v>0</v>
      </c>
      <c r="K121" s="3">
        <v>0</v>
      </c>
      <c r="L121" s="3">
        <v>3974000</v>
      </c>
      <c r="M121" s="3">
        <v>3974000</v>
      </c>
      <c r="N121" s="3">
        <v>0</v>
      </c>
      <c r="O121" s="3">
        <v>0</v>
      </c>
      <c r="P121" s="3">
        <v>0</v>
      </c>
      <c r="Q121" s="3">
        <v>3974000</v>
      </c>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v>25896000</v>
      </c>
      <c r="AR121" s="3">
        <v>0</v>
      </c>
      <c r="AS121" s="3">
        <v>0</v>
      </c>
      <c r="AT121" s="3">
        <v>0</v>
      </c>
      <c r="AU121" s="3">
        <v>25896000</v>
      </c>
      <c r="AV121" s="3">
        <v>25896000</v>
      </c>
      <c r="AW121" s="3">
        <v>0</v>
      </c>
      <c r="AX121" s="3">
        <v>0</v>
      </c>
      <c r="AY121" s="3">
        <v>0</v>
      </c>
      <c r="AZ121" s="3">
        <v>25896000</v>
      </c>
      <c r="BA121" s="3"/>
      <c r="BB121" s="3"/>
      <c r="BC121" s="3"/>
      <c r="BD121" s="3"/>
      <c r="BE121" s="3"/>
      <c r="BF121" s="3"/>
      <c r="BG121" s="3"/>
      <c r="BH121" s="3"/>
      <c r="BI121" s="3"/>
      <c r="BJ121" s="3"/>
      <c r="BK121" s="3"/>
      <c r="BL121" s="3"/>
      <c r="BM121" s="3"/>
      <c r="BN121" s="3"/>
      <c r="BO121" s="3"/>
      <c r="BP121" s="3"/>
      <c r="BQ121" s="3"/>
      <c r="BR121" s="3"/>
      <c r="BS121" s="3"/>
      <c r="BU121" s="3"/>
      <c r="BV121" s="3"/>
      <c r="BW121" s="3"/>
      <c r="BX121" s="3"/>
      <c r="BZ121" s="3">
        <v>9130000</v>
      </c>
      <c r="CA121" s="3">
        <v>0</v>
      </c>
      <c r="CB121" s="3">
        <v>0</v>
      </c>
      <c r="CC121" s="3">
        <v>0</v>
      </c>
      <c r="CD121" s="3">
        <v>9130000</v>
      </c>
      <c r="CE121" s="3">
        <v>9130000</v>
      </c>
      <c r="CF121" s="3">
        <v>0</v>
      </c>
      <c r="CG121" s="3">
        <v>0</v>
      </c>
      <c r="CH121" s="3">
        <v>0</v>
      </c>
      <c r="CI121" s="3">
        <v>9130000</v>
      </c>
      <c r="CJ121" s="3"/>
      <c r="CK121" s="3"/>
      <c r="CL121" s="3"/>
      <c r="CM121" s="3"/>
      <c r="CN121" s="3"/>
      <c r="CO121" s="3"/>
      <c r="CP121" s="3"/>
      <c r="CQ121" s="3"/>
      <c r="CR121" s="3"/>
      <c r="CS121" s="3"/>
      <c r="CT121" s="3"/>
      <c r="CU121" s="3"/>
      <c r="CV121" s="3"/>
      <c r="CW121" s="3"/>
      <c r="CX121" s="3"/>
      <c r="CY121" s="3"/>
      <c r="CZ121" s="3"/>
      <c r="DA121" s="3"/>
      <c r="DB121" s="3"/>
      <c r="DD121" s="3"/>
      <c r="DE121" s="3"/>
      <c r="DF121" s="3"/>
      <c r="DG121" s="3"/>
      <c r="DI121" s="3">
        <v>12708000</v>
      </c>
      <c r="DJ121" s="3">
        <v>0</v>
      </c>
      <c r="DK121" s="3">
        <v>0</v>
      </c>
      <c r="DL121" s="3">
        <v>0</v>
      </c>
      <c r="DM121" s="3">
        <v>12708000</v>
      </c>
      <c r="DN121" s="3">
        <v>12708000</v>
      </c>
      <c r="DO121" s="3">
        <v>0</v>
      </c>
      <c r="DP121" s="3">
        <v>0</v>
      </c>
      <c r="DQ121" s="3">
        <v>0</v>
      </c>
      <c r="DR121" s="3">
        <v>12708000</v>
      </c>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R121" s="3">
        <v>12870000</v>
      </c>
      <c r="ES121" s="3">
        <v>0</v>
      </c>
      <c r="ET121" s="3">
        <v>0</v>
      </c>
      <c r="EU121" s="3">
        <v>0</v>
      </c>
      <c r="EV121" s="3">
        <v>12870000</v>
      </c>
      <c r="EW121" s="3">
        <v>12870000</v>
      </c>
      <c r="EX121" s="3">
        <v>0</v>
      </c>
      <c r="EY121" s="3">
        <v>0</v>
      </c>
      <c r="EZ121" s="3">
        <v>0</v>
      </c>
      <c r="FA121" s="3">
        <v>12870000</v>
      </c>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v>5702000</v>
      </c>
      <c r="GB121" s="3">
        <v>0</v>
      </c>
      <c r="GC121" s="3">
        <v>0</v>
      </c>
      <c r="GD121" s="3">
        <v>0</v>
      </c>
      <c r="GE121" s="3">
        <v>5702000</v>
      </c>
      <c r="GF121" s="3">
        <v>5702000</v>
      </c>
      <c r="GG121" s="3">
        <v>0</v>
      </c>
      <c r="GH121" s="3">
        <v>0</v>
      </c>
      <c r="GI121" s="3">
        <v>0</v>
      </c>
      <c r="GJ121" s="3">
        <v>5702000</v>
      </c>
      <c r="GK121" s="3"/>
      <c r="GL121" s="3"/>
      <c r="GM121" s="3"/>
      <c r="GN121" s="3"/>
      <c r="GO121" s="3"/>
      <c r="GP121" s="3"/>
      <c r="GQ121" s="3"/>
      <c r="GR121" s="3"/>
      <c r="GS121" s="3"/>
      <c r="GU121" s="3"/>
      <c r="GV121" s="3"/>
      <c r="GW121" s="3"/>
      <c r="GX121" s="3"/>
      <c r="GY121" s="3"/>
      <c r="GZ121" s="3"/>
      <c r="HA121" s="3"/>
      <c r="HB121" s="3"/>
      <c r="HC121" s="3"/>
      <c r="HE121" s="3"/>
      <c r="HF121" s="3"/>
      <c r="HG121" s="3"/>
      <c r="HH121" s="3"/>
      <c r="HJ121" s="3">
        <v>8066000</v>
      </c>
      <c r="HK121" s="3">
        <v>0</v>
      </c>
      <c r="HL121" s="3">
        <v>0</v>
      </c>
      <c r="HM121" s="3">
        <v>0</v>
      </c>
      <c r="HN121" s="3">
        <v>8066000</v>
      </c>
      <c r="HO121" s="3">
        <v>8066000</v>
      </c>
      <c r="HP121" s="3">
        <v>0</v>
      </c>
      <c r="HQ121" s="3">
        <v>0</v>
      </c>
      <c r="HR121" s="3">
        <v>0</v>
      </c>
      <c r="HS121" s="3">
        <v>8066000</v>
      </c>
      <c r="HT121" s="3"/>
      <c r="HU121" s="3"/>
      <c r="HV121" s="3"/>
      <c r="HW121" s="3"/>
      <c r="HX121" s="3"/>
      <c r="HY121" s="3"/>
      <c r="HZ121" s="3"/>
      <c r="IA121" s="3"/>
      <c r="IB121" s="3"/>
      <c r="ID121" s="3"/>
      <c r="IE121" s="3"/>
      <c r="IF121" s="3"/>
      <c r="IG121" s="3"/>
      <c r="IS121" s="3">
        <v>8631000</v>
      </c>
      <c r="IT121" s="3">
        <v>0</v>
      </c>
      <c r="IU121" s="3">
        <v>0</v>
      </c>
      <c r="IV121" s="3">
        <v>0</v>
      </c>
      <c r="IW121" s="3">
        <v>8631000</v>
      </c>
      <c r="IX121" s="3">
        <v>8631000</v>
      </c>
      <c r="IY121" s="3">
        <v>0</v>
      </c>
      <c r="IZ121" s="3">
        <v>0</v>
      </c>
      <c r="JA121" s="3">
        <v>0</v>
      </c>
      <c r="JB121" s="3">
        <v>8631000</v>
      </c>
      <c r="JC121" s="3"/>
      <c r="JD121" s="3"/>
      <c r="JE121" s="3"/>
      <c r="JF121" s="3"/>
      <c r="JG121" s="3"/>
      <c r="JH121" s="3"/>
      <c r="JI121" s="3"/>
      <c r="JJ121" s="3"/>
      <c r="JK121" s="3"/>
      <c r="JL121" s="3"/>
      <c r="JM121" s="3"/>
      <c r="JN121" s="3"/>
      <c r="JO121" s="3"/>
      <c r="JP121" s="3"/>
      <c r="JQ121" s="3"/>
      <c r="JR121" s="3"/>
      <c r="JS121" s="3"/>
      <c r="JT121" s="3"/>
      <c r="JU121" s="3"/>
      <c r="JV121" s="3"/>
      <c r="JW121" s="3"/>
      <c r="JX121" s="3"/>
      <c r="JY121" s="3"/>
      <c r="JZ121" s="3"/>
      <c r="KA121" s="3"/>
      <c r="KB121" s="3">
        <v>10965000</v>
      </c>
      <c r="KC121" s="3">
        <v>0</v>
      </c>
      <c r="KD121" s="3">
        <v>0</v>
      </c>
      <c r="KE121" s="3">
        <v>0</v>
      </c>
      <c r="KF121" s="3">
        <v>10965000</v>
      </c>
      <c r="KG121" s="3">
        <v>10965000</v>
      </c>
      <c r="KH121" s="3">
        <v>0</v>
      </c>
      <c r="KI121" s="3">
        <v>0</v>
      </c>
      <c r="KJ121" s="3">
        <v>0</v>
      </c>
      <c r="KK121" s="3">
        <v>10965000</v>
      </c>
      <c r="KL121" s="3"/>
      <c r="KM121" s="3"/>
      <c r="KN121" s="3"/>
      <c r="KO121" s="3"/>
      <c r="KP121" s="3"/>
      <c r="KQ121" s="3"/>
      <c r="KR121" s="3"/>
      <c r="KS121" s="3"/>
      <c r="KT121" s="3"/>
      <c r="KU121" s="3"/>
      <c r="KV121" s="3"/>
      <c r="KW121" s="3"/>
      <c r="KX121" s="3"/>
      <c r="KY121" s="3"/>
      <c r="KZ121" s="3"/>
      <c r="LA121" s="3"/>
      <c r="LB121" s="3"/>
      <c r="LC121" s="3"/>
      <c r="LD121" s="3"/>
      <c r="LE121" s="3"/>
      <c r="LF121" s="3"/>
      <c r="LG121" s="3"/>
      <c r="LH121" s="3"/>
      <c r="LI121" s="3"/>
      <c r="LJ121" s="3"/>
      <c r="LK121" s="3">
        <v>8992000</v>
      </c>
      <c r="LL121">
        <v>0</v>
      </c>
      <c r="LM121">
        <v>0</v>
      </c>
      <c r="LN121">
        <v>0</v>
      </c>
      <c r="LO121" s="3">
        <v>8992000</v>
      </c>
    </row>
    <row r="122" spans="1:327" x14ac:dyDescent="0.25">
      <c r="A122" t="s">
        <v>943</v>
      </c>
      <c r="B122" t="s">
        <v>944</v>
      </c>
      <c r="C122" t="s">
        <v>733</v>
      </c>
      <c r="D122" t="s">
        <v>989</v>
      </c>
      <c r="E122" t="s">
        <v>217</v>
      </c>
      <c r="F122" t="s">
        <v>721</v>
      </c>
      <c r="G122" t="s">
        <v>1079</v>
      </c>
      <c r="H122" s="3">
        <v>91234000</v>
      </c>
      <c r="I122" s="3">
        <v>31308000</v>
      </c>
      <c r="J122" s="3">
        <v>0</v>
      </c>
      <c r="K122" s="3">
        <v>0</v>
      </c>
      <c r="L122" s="3">
        <v>122542000</v>
      </c>
      <c r="M122" s="3">
        <v>91234000</v>
      </c>
      <c r="N122" s="3">
        <v>31308000</v>
      </c>
      <c r="O122" s="3">
        <v>0</v>
      </c>
      <c r="P122" s="3">
        <v>0</v>
      </c>
      <c r="Q122" s="3">
        <v>122542000</v>
      </c>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v>94367000</v>
      </c>
      <c r="AR122" s="3">
        <v>33747000</v>
      </c>
      <c r="AS122" s="3">
        <v>0</v>
      </c>
      <c r="AT122" s="3">
        <v>5000000</v>
      </c>
      <c r="AU122" s="3">
        <v>133114000</v>
      </c>
      <c r="AV122" s="3">
        <v>94367000</v>
      </c>
      <c r="AW122" s="3">
        <v>33747000</v>
      </c>
      <c r="AX122" s="3">
        <v>0</v>
      </c>
      <c r="AY122" s="3">
        <v>5000000</v>
      </c>
      <c r="AZ122" s="3">
        <v>133114000</v>
      </c>
      <c r="BA122" s="3"/>
      <c r="BB122" s="3"/>
      <c r="BC122" s="3"/>
      <c r="BD122" s="3"/>
      <c r="BE122" s="3"/>
      <c r="BF122" s="3"/>
      <c r="BG122" s="3"/>
      <c r="BH122" s="3"/>
      <c r="BI122" s="3"/>
      <c r="BJ122" s="3"/>
      <c r="BK122" s="3"/>
      <c r="BL122" s="3"/>
      <c r="BM122" s="3"/>
      <c r="BN122" s="3"/>
      <c r="BO122" s="3"/>
      <c r="BP122" s="3"/>
      <c r="BQ122" s="3"/>
      <c r="BR122" s="3"/>
      <c r="BS122" s="3"/>
      <c r="BU122" s="3"/>
      <c r="BV122" s="3"/>
      <c r="BW122" s="3"/>
      <c r="BX122" s="3"/>
      <c r="BZ122" s="3">
        <v>89972000</v>
      </c>
      <c r="CA122" s="3">
        <v>34354000</v>
      </c>
      <c r="CB122" s="3">
        <v>0</v>
      </c>
      <c r="CC122" s="3">
        <v>0</v>
      </c>
      <c r="CD122" s="3">
        <v>124326000</v>
      </c>
      <c r="CE122" s="3">
        <v>89972000</v>
      </c>
      <c r="CF122" s="3">
        <v>34354000</v>
      </c>
      <c r="CG122" s="3">
        <v>0</v>
      </c>
      <c r="CH122" s="3">
        <v>0</v>
      </c>
      <c r="CI122" s="3">
        <v>124326000</v>
      </c>
      <c r="CJ122" s="3"/>
      <c r="CK122" s="3"/>
      <c r="CL122" s="3"/>
      <c r="CM122" s="3"/>
      <c r="CN122" s="3"/>
      <c r="CO122" s="3"/>
      <c r="CP122" s="3"/>
      <c r="CQ122" s="3"/>
      <c r="CR122" s="3"/>
      <c r="CS122" s="3"/>
      <c r="CT122" s="3"/>
      <c r="CU122" s="3"/>
      <c r="CV122" s="3"/>
      <c r="CW122" s="3"/>
      <c r="CX122" s="3"/>
      <c r="CY122" s="3"/>
      <c r="CZ122" s="3"/>
      <c r="DA122" s="3"/>
      <c r="DB122" s="3"/>
      <c r="DD122" s="3"/>
      <c r="DE122" s="3"/>
      <c r="DF122" s="3"/>
      <c r="DG122" s="3"/>
      <c r="DI122" s="3">
        <v>87484000</v>
      </c>
      <c r="DJ122" s="3">
        <v>34980000</v>
      </c>
      <c r="DK122" s="3">
        <v>0</v>
      </c>
      <c r="DL122" s="3">
        <v>0</v>
      </c>
      <c r="DM122" s="3">
        <v>122464000</v>
      </c>
      <c r="DN122" s="3">
        <v>87484000</v>
      </c>
      <c r="DO122" s="3">
        <v>34980000</v>
      </c>
      <c r="DP122" s="3">
        <v>0</v>
      </c>
      <c r="DQ122" s="3">
        <v>0</v>
      </c>
      <c r="DR122" s="3">
        <v>122464000</v>
      </c>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R122" s="3">
        <v>89413000</v>
      </c>
      <c r="ES122" s="3">
        <v>34980000</v>
      </c>
      <c r="ET122" s="3">
        <v>0</v>
      </c>
      <c r="EU122" s="3">
        <v>0</v>
      </c>
      <c r="EV122" s="3">
        <v>124393000</v>
      </c>
      <c r="EW122" s="3">
        <v>89413000</v>
      </c>
      <c r="EX122" s="3">
        <v>34980000</v>
      </c>
      <c r="EY122" s="3">
        <v>0</v>
      </c>
      <c r="EZ122" s="3">
        <v>0</v>
      </c>
      <c r="FA122" s="3">
        <v>124393000</v>
      </c>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v>104461000</v>
      </c>
      <c r="GB122" s="3">
        <v>71543000</v>
      </c>
      <c r="GC122" s="3">
        <v>0</v>
      </c>
      <c r="GD122" s="3">
        <v>0</v>
      </c>
      <c r="GE122" s="3">
        <v>176004000</v>
      </c>
      <c r="GF122" s="3">
        <v>104461000</v>
      </c>
      <c r="GG122" s="3">
        <v>47543000</v>
      </c>
      <c r="GH122" s="3">
        <v>0</v>
      </c>
      <c r="GI122" s="3">
        <v>24000000</v>
      </c>
      <c r="GJ122" s="3">
        <v>176004000</v>
      </c>
      <c r="GK122" s="3"/>
      <c r="GL122" s="3"/>
      <c r="GM122" s="3"/>
      <c r="GN122" s="3"/>
      <c r="GO122" s="3"/>
      <c r="GP122" s="3"/>
      <c r="GQ122" s="3"/>
      <c r="GR122" s="3"/>
      <c r="GS122" s="3"/>
      <c r="GU122" s="3"/>
      <c r="GV122" s="3"/>
      <c r="GW122" s="3"/>
      <c r="GX122" s="3"/>
      <c r="GY122" s="3"/>
      <c r="GZ122" s="3"/>
      <c r="HA122" s="3"/>
      <c r="HB122" s="3"/>
      <c r="HC122" s="3"/>
      <c r="HE122" s="3"/>
      <c r="HF122" s="3"/>
      <c r="HG122" s="3"/>
      <c r="HH122" s="3"/>
      <c r="HJ122" s="3">
        <v>97205000</v>
      </c>
      <c r="HK122" s="3">
        <v>43334000</v>
      </c>
      <c r="HL122" s="3">
        <v>0</v>
      </c>
      <c r="HM122" s="3">
        <v>32629000</v>
      </c>
      <c r="HN122" s="3">
        <v>173168000</v>
      </c>
      <c r="HO122" s="3">
        <v>97205000</v>
      </c>
      <c r="HP122" s="3">
        <v>43334000</v>
      </c>
      <c r="HQ122" s="3">
        <v>0</v>
      </c>
      <c r="HR122" s="3">
        <v>32629000</v>
      </c>
      <c r="HS122" s="3">
        <v>173168000</v>
      </c>
      <c r="HT122" s="3"/>
      <c r="HU122" s="3"/>
      <c r="HV122" s="3"/>
      <c r="HW122" s="3"/>
      <c r="HX122" s="3"/>
      <c r="HY122" s="3"/>
      <c r="HZ122" s="3"/>
      <c r="IA122" s="3"/>
      <c r="IB122" s="3"/>
      <c r="ID122" s="3"/>
      <c r="IE122" s="3"/>
      <c r="IF122" s="3"/>
      <c r="IG122" s="3"/>
      <c r="IS122" s="3">
        <v>116820000</v>
      </c>
      <c r="IT122" s="3">
        <v>66831000</v>
      </c>
      <c r="IU122" s="3">
        <v>0</v>
      </c>
      <c r="IV122" s="3">
        <v>400000</v>
      </c>
      <c r="IW122" s="3">
        <v>184051000</v>
      </c>
      <c r="IX122" s="3">
        <v>116820000</v>
      </c>
      <c r="IY122" s="3">
        <v>66831000</v>
      </c>
      <c r="IZ122" s="3">
        <v>0</v>
      </c>
      <c r="JA122" s="3">
        <v>400000</v>
      </c>
      <c r="JB122" s="3">
        <v>184051000</v>
      </c>
      <c r="JC122" s="3"/>
      <c r="JD122" s="3"/>
      <c r="JE122" s="3"/>
      <c r="JF122" s="3"/>
      <c r="JG122" s="3"/>
      <c r="JH122" s="3"/>
      <c r="JI122" s="3"/>
      <c r="JJ122" s="3"/>
      <c r="JK122" s="3"/>
      <c r="JL122" s="3"/>
      <c r="JM122" s="3"/>
      <c r="JN122" s="3"/>
      <c r="JO122" s="3"/>
      <c r="JP122" s="3"/>
      <c r="JQ122" s="3"/>
      <c r="JR122" s="3"/>
      <c r="JS122" s="3"/>
      <c r="JT122" s="3"/>
      <c r="JU122" s="3"/>
      <c r="JV122" s="3"/>
      <c r="JW122" s="3"/>
      <c r="JX122" s="3"/>
      <c r="JY122" s="3"/>
      <c r="JZ122" s="3"/>
      <c r="KA122" s="3"/>
      <c r="KB122" s="3">
        <v>137133000</v>
      </c>
      <c r="KC122" s="3">
        <v>63962000</v>
      </c>
      <c r="KD122" s="3">
        <v>0</v>
      </c>
      <c r="KE122" s="3">
        <v>0</v>
      </c>
      <c r="KF122" s="3">
        <v>201095000</v>
      </c>
      <c r="KG122" s="3">
        <v>137133000</v>
      </c>
      <c r="KH122" s="3">
        <v>63962000</v>
      </c>
      <c r="KI122" s="3">
        <v>0</v>
      </c>
      <c r="KJ122" s="3">
        <v>0</v>
      </c>
      <c r="KK122" s="3">
        <v>201095000</v>
      </c>
      <c r="KL122" s="3"/>
      <c r="KM122" s="3"/>
      <c r="KN122" s="3"/>
      <c r="KO122" s="3"/>
      <c r="KP122" s="3"/>
      <c r="KQ122" s="3"/>
      <c r="KR122" s="3"/>
      <c r="KS122" s="3"/>
      <c r="KT122" s="3"/>
      <c r="KU122" s="3"/>
      <c r="KV122" s="3"/>
      <c r="KW122" s="3"/>
      <c r="KX122" s="3"/>
      <c r="KY122" s="3"/>
      <c r="KZ122" s="3"/>
      <c r="LA122" s="3"/>
      <c r="LB122" s="3"/>
      <c r="LC122" s="3"/>
      <c r="LD122" s="3"/>
      <c r="LE122" s="3"/>
      <c r="LF122" s="3"/>
      <c r="LG122" s="3"/>
      <c r="LH122" s="3"/>
      <c r="LI122" s="3"/>
      <c r="LJ122" s="3"/>
      <c r="LK122" s="3">
        <v>139507000</v>
      </c>
      <c r="LL122" s="3">
        <v>2574000</v>
      </c>
      <c r="LM122">
        <v>0</v>
      </c>
      <c r="LN122">
        <v>0</v>
      </c>
      <c r="LO122" s="3">
        <v>142081000</v>
      </c>
    </row>
    <row r="123" spans="1:327" x14ac:dyDescent="0.25">
      <c r="A123" t="s">
        <v>943</v>
      </c>
      <c r="B123" t="s">
        <v>944</v>
      </c>
      <c r="C123" t="s">
        <v>733</v>
      </c>
      <c r="D123" t="s">
        <v>989</v>
      </c>
      <c r="E123" t="s">
        <v>217</v>
      </c>
      <c r="F123" t="s">
        <v>722</v>
      </c>
      <c r="G123" t="s">
        <v>1080</v>
      </c>
      <c r="H123" s="3">
        <v>0</v>
      </c>
      <c r="I123" s="3">
        <v>29161000</v>
      </c>
      <c r="J123" s="3">
        <v>0</v>
      </c>
      <c r="K123" s="3">
        <v>0</v>
      </c>
      <c r="L123" s="3">
        <v>29161000</v>
      </c>
      <c r="M123" s="3">
        <v>0</v>
      </c>
      <c r="N123" s="3">
        <v>29161000</v>
      </c>
      <c r="O123" s="3">
        <v>0</v>
      </c>
      <c r="P123" s="3">
        <v>0</v>
      </c>
      <c r="Q123" s="3">
        <v>29161000</v>
      </c>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v>0</v>
      </c>
      <c r="AR123" s="3">
        <v>29243000</v>
      </c>
      <c r="AS123" s="3">
        <v>0</v>
      </c>
      <c r="AT123" s="3">
        <v>0</v>
      </c>
      <c r="AU123" s="3">
        <v>29243000</v>
      </c>
      <c r="AV123" s="3">
        <v>0</v>
      </c>
      <c r="AW123" s="3">
        <v>29243000</v>
      </c>
      <c r="AX123" s="3">
        <v>0</v>
      </c>
      <c r="AY123" s="3">
        <v>0</v>
      </c>
      <c r="AZ123" s="3">
        <v>29243000</v>
      </c>
      <c r="BA123" s="3"/>
      <c r="BB123" s="3"/>
      <c r="BC123" s="3"/>
      <c r="BD123" s="3"/>
      <c r="BE123" s="3"/>
      <c r="BF123" s="3"/>
      <c r="BG123" s="3"/>
      <c r="BH123" s="3"/>
      <c r="BI123" s="3"/>
      <c r="BJ123" s="3"/>
      <c r="BK123" s="3"/>
      <c r="BL123" s="3"/>
      <c r="BM123" s="3"/>
      <c r="BN123" s="3"/>
      <c r="BO123" s="3"/>
      <c r="BP123" s="3"/>
      <c r="BQ123" s="3"/>
      <c r="BR123" s="3"/>
      <c r="BS123" s="3"/>
      <c r="BU123" s="3"/>
      <c r="BV123" s="3"/>
      <c r="BW123" s="3"/>
      <c r="BX123" s="3"/>
      <c r="BZ123" s="3">
        <v>0</v>
      </c>
      <c r="CA123" s="3">
        <v>29057000</v>
      </c>
      <c r="CB123" s="3">
        <v>0</v>
      </c>
      <c r="CC123" s="3">
        <v>0</v>
      </c>
      <c r="CD123" s="3">
        <v>29057000</v>
      </c>
      <c r="CE123" s="3">
        <v>0</v>
      </c>
      <c r="CF123" s="3">
        <v>29057000</v>
      </c>
      <c r="CG123" s="3">
        <v>0</v>
      </c>
      <c r="CH123" s="3">
        <v>0</v>
      </c>
      <c r="CI123" s="3">
        <v>29057000</v>
      </c>
      <c r="CJ123" s="3"/>
      <c r="CK123" s="3"/>
      <c r="CL123" s="3"/>
      <c r="CM123" s="3"/>
      <c r="CN123" s="3"/>
      <c r="CO123" s="3"/>
      <c r="CP123" s="3"/>
      <c r="CQ123" s="3"/>
      <c r="CR123" s="3"/>
      <c r="CS123" s="3"/>
      <c r="CT123" s="3"/>
      <c r="CU123" s="3"/>
      <c r="CV123" s="3"/>
      <c r="CW123" s="3"/>
      <c r="CX123" s="3"/>
      <c r="CY123" s="3"/>
      <c r="CZ123" s="3"/>
      <c r="DA123" s="3"/>
      <c r="DB123" s="3"/>
      <c r="DD123" s="3"/>
      <c r="DE123" s="3"/>
      <c r="DF123" s="3"/>
      <c r="DG123" s="3"/>
      <c r="DI123" s="3">
        <v>0</v>
      </c>
      <c r="DJ123" s="3">
        <v>29586000</v>
      </c>
      <c r="DK123" s="3">
        <v>0</v>
      </c>
      <c r="DL123" s="3">
        <v>0</v>
      </c>
      <c r="DM123" s="3">
        <v>29586000</v>
      </c>
      <c r="DN123" s="3">
        <v>0</v>
      </c>
      <c r="DO123" s="3">
        <v>29586000</v>
      </c>
      <c r="DP123" s="3">
        <v>0</v>
      </c>
      <c r="DQ123" s="3">
        <v>0</v>
      </c>
      <c r="DR123" s="3">
        <v>29586000</v>
      </c>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R123" s="3">
        <v>0</v>
      </c>
      <c r="ES123" s="3">
        <v>29586000</v>
      </c>
      <c r="ET123" s="3">
        <v>0</v>
      </c>
      <c r="EU123" s="3">
        <v>0</v>
      </c>
      <c r="EV123" s="3">
        <v>29586000</v>
      </c>
      <c r="EW123" s="3">
        <v>0</v>
      </c>
      <c r="EX123" s="3">
        <v>29586000</v>
      </c>
      <c r="EY123" s="3">
        <v>0</v>
      </c>
      <c r="EZ123" s="3">
        <v>0</v>
      </c>
      <c r="FA123" s="3">
        <v>29586000</v>
      </c>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v>0</v>
      </c>
      <c r="GB123" s="3">
        <v>29580000</v>
      </c>
      <c r="GC123" s="3">
        <v>0</v>
      </c>
      <c r="GD123" s="3">
        <v>52050000</v>
      </c>
      <c r="GE123" s="3">
        <v>81630000</v>
      </c>
      <c r="GF123" s="3">
        <v>0</v>
      </c>
      <c r="GG123" s="3">
        <v>29580000</v>
      </c>
      <c r="GH123" s="3">
        <v>0</v>
      </c>
      <c r="GI123" s="3">
        <v>52050000</v>
      </c>
      <c r="GJ123" s="3">
        <v>81630000</v>
      </c>
      <c r="GK123" s="3"/>
      <c r="GL123" s="3"/>
      <c r="GM123" s="3"/>
      <c r="GN123" s="3"/>
      <c r="GO123" s="3"/>
      <c r="GP123" s="3"/>
      <c r="GQ123" s="3"/>
      <c r="GR123" s="3"/>
      <c r="GS123" s="3"/>
      <c r="GU123" s="3"/>
      <c r="GV123" s="3"/>
      <c r="GW123" s="3"/>
      <c r="GX123" s="3"/>
      <c r="GY123" s="3"/>
      <c r="GZ123" s="3"/>
      <c r="HA123" s="3"/>
      <c r="HB123" s="3"/>
      <c r="HC123" s="3"/>
      <c r="HE123" s="3"/>
      <c r="HF123" s="3"/>
      <c r="HG123" s="3"/>
      <c r="HH123" s="3"/>
      <c r="HJ123" s="3">
        <v>0</v>
      </c>
      <c r="HK123" s="3">
        <v>22670000</v>
      </c>
      <c r="HL123" s="3">
        <v>0</v>
      </c>
      <c r="HM123" s="3">
        <v>580000</v>
      </c>
      <c r="HN123" s="3">
        <v>23250000</v>
      </c>
      <c r="HO123" s="3">
        <v>0</v>
      </c>
      <c r="HP123" s="3">
        <v>22670000</v>
      </c>
      <c r="HQ123" s="3">
        <v>0</v>
      </c>
      <c r="HR123" s="3">
        <v>580000</v>
      </c>
      <c r="HS123" s="3">
        <v>23250000</v>
      </c>
      <c r="HT123" s="3"/>
      <c r="HU123" s="3"/>
      <c r="HV123" s="3"/>
      <c r="HW123" s="3"/>
      <c r="HX123" s="3"/>
      <c r="HY123" s="3"/>
      <c r="HZ123" s="3"/>
      <c r="IA123" s="3"/>
      <c r="IB123" s="3"/>
      <c r="ID123" s="3"/>
      <c r="IE123" s="3"/>
      <c r="IF123" s="3"/>
      <c r="IG123" s="3"/>
      <c r="IS123" s="3">
        <v>0</v>
      </c>
      <c r="IT123" s="3">
        <v>25072000</v>
      </c>
      <c r="IU123" s="3">
        <v>0</v>
      </c>
      <c r="IV123" s="3">
        <v>5300000</v>
      </c>
      <c r="IW123" s="3">
        <v>30372000</v>
      </c>
      <c r="IX123" s="3">
        <v>0</v>
      </c>
      <c r="IY123" s="3">
        <v>25072000</v>
      </c>
      <c r="IZ123" s="3">
        <v>0</v>
      </c>
      <c r="JA123" s="3">
        <v>5300000</v>
      </c>
      <c r="JB123" s="3">
        <v>30372000</v>
      </c>
      <c r="JC123" s="3"/>
      <c r="JD123" s="3"/>
      <c r="JE123" s="3"/>
      <c r="JF123" s="3"/>
      <c r="JG123" s="3"/>
      <c r="JH123" s="3"/>
      <c r="JI123" s="3"/>
      <c r="JJ123" s="3"/>
      <c r="JK123" s="3"/>
      <c r="JL123" s="3"/>
      <c r="JM123" s="3"/>
      <c r="JN123" s="3"/>
      <c r="JO123" s="3"/>
      <c r="JP123" s="3"/>
      <c r="JQ123" s="3"/>
      <c r="JR123" s="3"/>
      <c r="JS123" s="3"/>
      <c r="JT123" s="3"/>
      <c r="JU123" s="3"/>
      <c r="JV123" s="3"/>
      <c r="JW123" s="3"/>
      <c r="JX123" s="3"/>
      <c r="JY123" s="3"/>
      <c r="JZ123" s="3"/>
      <c r="KA123" s="3"/>
      <c r="KB123" s="3">
        <v>0</v>
      </c>
      <c r="KC123" s="3">
        <v>34892000</v>
      </c>
      <c r="KD123" s="3">
        <v>0</v>
      </c>
      <c r="KE123" s="3">
        <v>106315000</v>
      </c>
      <c r="KF123" s="3">
        <v>141207000</v>
      </c>
      <c r="KG123" s="3">
        <v>0</v>
      </c>
      <c r="KH123" s="3">
        <v>34892000</v>
      </c>
      <c r="KI123" s="3">
        <v>0</v>
      </c>
      <c r="KJ123" s="3">
        <v>106315000</v>
      </c>
      <c r="KK123" s="3">
        <v>141207000</v>
      </c>
      <c r="KL123" s="3"/>
      <c r="KM123" s="3"/>
      <c r="KN123" s="3"/>
      <c r="KO123" s="3"/>
      <c r="KP123" s="3"/>
      <c r="KQ123" s="3"/>
      <c r="KR123" s="3"/>
      <c r="KS123" s="3"/>
      <c r="KT123" s="3"/>
      <c r="KU123" s="3"/>
      <c r="KV123" s="3"/>
      <c r="KW123" s="3"/>
      <c r="KX123" s="3"/>
      <c r="KY123" s="3"/>
      <c r="KZ123" s="3"/>
      <c r="LA123" s="3"/>
      <c r="LB123" s="3"/>
      <c r="LC123" s="3"/>
      <c r="LD123" s="3"/>
      <c r="LE123" s="3"/>
      <c r="LF123" s="3"/>
      <c r="LG123" s="3"/>
      <c r="LH123" s="3"/>
      <c r="LI123" s="3"/>
      <c r="LJ123" s="3"/>
      <c r="LK123">
        <v>0</v>
      </c>
      <c r="LL123" s="3">
        <v>469000</v>
      </c>
      <c r="LM123">
        <v>0</v>
      </c>
      <c r="LN123">
        <v>0</v>
      </c>
      <c r="LO123" s="3">
        <v>469000</v>
      </c>
    </row>
    <row r="124" spans="1:327" x14ac:dyDescent="0.25">
      <c r="A124" t="s">
        <v>943</v>
      </c>
      <c r="B124" t="s">
        <v>944</v>
      </c>
      <c r="C124" t="s">
        <v>733</v>
      </c>
      <c r="D124" t="s">
        <v>989</v>
      </c>
      <c r="E124" t="s">
        <v>217</v>
      </c>
      <c r="F124" t="s">
        <v>725</v>
      </c>
      <c r="G124" t="s">
        <v>1081</v>
      </c>
      <c r="H124" s="3">
        <v>48712000</v>
      </c>
      <c r="I124" s="3">
        <v>30443000</v>
      </c>
      <c r="J124" s="3">
        <v>0</v>
      </c>
      <c r="K124" s="3">
        <v>0</v>
      </c>
      <c r="L124" s="3">
        <v>79155000</v>
      </c>
      <c r="M124" s="3">
        <v>48712000</v>
      </c>
      <c r="N124" s="3">
        <v>30443000</v>
      </c>
      <c r="O124" s="3">
        <v>0</v>
      </c>
      <c r="P124" s="3">
        <v>0</v>
      </c>
      <c r="Q124" s="3">
        <v>79155000</v>
      </c>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v>0</v>
      </c>
      <c r="AR124" s="3">
        <v>29798000</v>
      </c>
      <c r="AS124" s="3">
        <v>0</v>
      </c>
      <c r="AT124" s="3">
        <v>0</v>
      </c>
      <c r="AU124" s="3">
        <v>29798000</v>
      </c>
      <c r="AV124" s="3">
        <v>0</v>
      </c>
      <c r="AW124" s="3">
        <v>29798000</v>
      </c>
      <c r="AX124" s="3">
        <v>0</v>
      </c>
      <c r="AY124" s="3">
        <v>0</v>
      </c>
      <c r="AZ124" s="3">
        <v>29798000</v>
      </c>
      <c r="BA124" s="3"/>
      <c r="BB124" s="3"/>
      <c r="BC124" s="3"/>
      <c r="BD124" s="3"/>
      <c r="BE124" s="3"/>
      <c r="BF124" s="3"/>
      <c r="BG124" s="3"/>
      <c r="BH124" s="3"/>
      <c r="BI124" s="3"/>
      <c r="BJ124" s="3"/>
      <c r="BK124" s="3"/>
      <c r="BL124" s="3"/>
      <c r="BM124" s="3"/>
      <c r="BN124" s="3"/>
      <c r="BO124" s="3"/>
      <c r="BP124" s="3"/>
      <c r="BQ124" s="3"/>
      <c r="BR124" s="3"/>
      <c r="BS124" s="3"/>
      <c r="BU124" s="3"/>
      <c r="BV124" s="3"/>
      <c r="BW124" s="3"/>
      <c r="BX124" s="3"/>
      <c r="BZ124" s="3">
        <v>0</v>
      </c>
      <c r="CA124" s="3">
        <v>30334000</v>
      </c>
      <c r="CB124" s="3">
        <v>0</v>
      </c>
      <c r="CC124" s="3">
        <v>0</v>
      </c>
      <c r="CD124" s="3">
        <v>30334000</v>
      </c>
      <c r="CE124" s="3">
        <v>0</v>
      </c>
      <c r="CF124" s="3">
        <v>30334000</v>
      </c>
      <c r="CG124" s="3">
        <v>0</v>
      </c>
      <c r="CH124" s="3">
        <v>0</v>
      </c>
      <c r="CI124" s="3">
        <v>30334000</v>
      </c>
      <c r="CJ124" s="3"/>
      <c r="CK124" s="3"/>
      <c r="CL124" s="3"/>
      <c r="CM124" s="3"/>
      <c r="CN124" s="3"/>
      <c r="CO124" s="3"/>
      <c r="CP124" s="3"/>
      <c r="CQ124" s="3"/>
      <c r="CR124" s="3"/>
      <c r="CS124" s="3"/>
      <c r="CT124" s="3"/>
      <c r="CU124" s="3"/>
      <c r="CV124" s="3"/>
      <c r="CW124" s="3"/>
      <c r="CX124" s="3"/>
      <c r="CY124" s="3"/>
      <c r="CZ124" s="3"/>
      <c r="DA124" s="3"/>
      <c r="DB124" s="3"/>
      <c r="DD124" s="3"/>
      <c r="DE124" s="3"/>
      <c r="DF124" s="3"/>
      <c r="DG124" s="3"/>
      <c r="DI124" s="3">
        <v>0</v>
      </c>
      <c r="DJ124" s="3">
        <v>30887000</v>
      </c>
      <c r="DK124" s="3">
        <v>0</v>
      </c>
      <c r="DL124" s="3">
        <v>0</v>
      </c>
      <c r="DM124" s="3">
        <v>30887000</v>
      </c>
      <c r="DN124" s="3">
        <v>0</v>
      </c>
      <c r="DO124" s="3">
        <v>30887000</v>
      </c>
      <c r="DP124" s="3">
        <v>0</v>
      </c>
      <c r="DQ124" s="3">
        <v>0</v>
      </c>
      <c r="DR124" s="3">
        <v>30887000</v>
      </c>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R124" s="3">
        <v>0</v>
      </c>
      <c r="ES124" s="3">
        <v>30887000</v>
      </c>
      <c r="ET124" s="3">
        <v>0</v>
      </c>
      <c r="EU124" s="3">
        <v>0</v>
      </c>
      <c r="EV124" s="3">
        <v>30887000</v>
      </c>
      <c r="EW124" s="3">
        <v>0</v>
      </c>
      <c r="EX124" s="3">
        <v>30887000</v>
      </c>
      <c r="EY124" s="3">
        <v>0</v>
      </c>
      <c r="EZ124" s="3">
        <v>0</v>
      </c>
      <c r="FA124" s="3">
        <v>30887000</v>
      </c>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v>0</v>
      </c>
      <c r="GB124" s="3">
        <v>30546000</v>
      </c>
      <c r="GC124" s="3">
        <v>0</v>
      </c>
      <c r="GD124" s="3">
        <v>0</v>
      </c>
      <c r="GE124" s="3">
        <v>30546000</v>
      </c>
      <c r="GF124" s="3">
        <v>0</v>
      </c>
      <c r="GG124" s="3">
        <v>30546000</v>
      </c>
      <c r="GH124" s="3">
        <v>0</v>
      </c>
      <c r="GI124" s="3">
        <v>0</v>
      </c>
      <c r="GJ124" s="3">
        <v>30546000</v>
      </c>
      <c r="GK124" s="3"/>
      <c r="GL124" s="3"/>
      <c r="GM124" s="3"/>
      <c r="GN124" s="3"/>
      <c r="GO124" s="3"/>
      <c r="GP124" s="3"/>
      <c r="GQ124" s="3"/>
      <c r="GR124" s="3"/>
      <c r="GS124" s="3"/>
      <c r="GU124" s="3"/>
      <c r="GV124" s="3"/>
      <c r="GW124" s="3"/>
      <c r="GX124" s="3"/>
      <c r="GY124" s="3"/>
      <c r="GZ124" s="3"/>
      <c r="HA124" s="3"/>
      <c r="HB124" s="3"/>
      <c r="HC124" s="3"/>
      <c r="HE124" s="3"/>
      <c r="HF124" s="3"/>
      <c r="HG124" s="3"/>
      <c r="HH124" s="3"/>
      <c r="HJ124" s="3">
        <v>0</v>
      </c>
      <c r="HK124" s="3">
        <v>26939000</v>
      </c>
      <c r="HL124" s="3">
        <v>0</v>
      </c>
      <c r="HM124" s="3">
        <v>2220000</v>
      </c>
      <c r="HN124" s="3">
        <v>29159000</v>
      </c>
      <c r="HO124" s="3">
        <v>0</v>
      </c>
      <c r="HP124" s="3">
        <v>26939000</v>
      </c>
      <c r="HQ124" s="3">
        <v>0</v>
      </c>
      <c r="HR124" s="3">
        <v>2220000</v>
      </c>
      <c r="HS124" s="3">
        <v>29159000</v>
      </c>
      <c r="HT124" s="3"/>
      <c r="HU124" s="3"/>
      <c r="HV124" s="3"/>
      <c r="HW124" s="3"/>
      <c r="HX124" s="3"/>
      <c r="HY124" s="3"/>
      <c r="HZ124" s="3"/>
      <c r="IA124" s="3"/>
      <c r="IB124" s="3"/>
      <c r="ID124" s="3"/>
      <c r="IE124" s="3"/>
      <c r="IF124" s="3"/>
      <c r="IG124" s="3"/>
      <c r="IS124" s="3">
        <v>0</v>
      </c>
      <c r="IT124" s="3">
        <v>27424000</v>
      </c>
      <c r="IU124" s="3">
        <v>0</v>
      </c>
      <c r="IV124" s="3">
        <v>0</v>
      </c>
      <c r="IW124" s="3">
        <v>27424000</v>
      </c>
      <c r="IX124" s="3">
        <v>0</v>
      </c>
      <c r="IY124" s="3">
        <v>27424000</v>
      </c>
      <c r="IZ124" s="3">
        <v>0</v>
      </c>
      <c r="JA124" s="3">
        <v>0</v>
      </c>
      <c r="JB124" s="3">
        <v>27424000</v>
      </c>
      <c r="JC124" s="3"/>
      <c r="JD124" s="3"/>
      <c r="JE124" s="3"/>
      <c r="JF124" s="3"/>
      <c r="JG124" s="3"/>
      <c r="JH124" s="3"/>
      <c r="JI124" s="3"/>
      <c r="JJ124" s="3"/>
      <c r="JK124" s="3"/>
      <c r="JL124" s="3"/>
      <c r="JM124" s="3"/>
      <c r="JN124" s="3"/>
      <c r="JO124" s="3"/>
      <c r="JP124" s="3"/>
      <c r="JQ124" s="3"/>
      <c r="JR124" s="3"/>
      <c r="JS124" s="3"/>
      <c r="JT124" s="3"/>
      <c r="JU124" s="3"/>
      <c r="JV124" s="3"/>
      <c r="JW124" s="3"/>
      <c r="JX124" s="3"/>
      <c r="JY124" s="3"/>
      <c r="JZ124" s="3"/>
      <c r="KA124" s="3"/>
      <c r="KB124" s="3">
        <v>0</v>
      </c>
      <c r="KC124" s="3">
        <v>27918000</v>
      </c>
      <c r="KD124" s="3">
        <v>0</v>
      </c>
      <c r="KE124" s="3">
        <v>0</v>
      </c>
      <c r="KF124" s="3">
        <v>27918000</v>
      </c>
      <c r="KG124" s="3">
        <v>0</v>
      </c>
      <c r="KH124" s="3">
        <v>27918000</v>
      </c>
      <c r="KI124" s="3">
        <v>0</v>
      </c>
      <c r="KJ124" s="3">
        <v>0</v>
      </c>
      <c r="KK124" s="3">
        <v>27918000</v>
      </c>
      <c r="KL124" s="3"/>
      <c r="KM124" s="3"/>
      <c r="KN124" s="3"/>
      <c r="KO124" s="3"/>
      <c r="KP124" s="3"/>
      <c r="KQ124" s="3"/>
      <c r="KR124" s="3"/>
      <c r="KS124" s="3"/>
      <c r="KT124" s="3"/>
      <c r="KU124" s="3"/>
      <c r="KV124" s="3"/>
      <c r="KW124" s="3"/>
      <c r="KX124" s="3"/>
      <c r="KY124" s="3"/>
      <c r="KZ124" s="3"/>
      <c r="LA124" s="3"/>
      <c r="LB124" s="3"/>
      <c r="LC124" s="3"/>
      <c r="LD124" s="3"/>
      <c r="LE124" s="3"/>
      <c r="LF124" s="3"/>
      <c r="LG124" s="3"/>
      <c r="LH124" s="3"/>
      <c r="LI124" s="3"/>
      <c r="LJ124" s="3"/>
      <c r="LK124" s="3">
        <v>0</v>
      </c>
      <c r="LL124" s="3">
        <v>2203000</v>
      </c>
      <c r="LM124">
        <v>0</v>
      </c>
      <c r="LN124">
        <v>0</v>
      </c>
      <c r="LO124" s="3">
        <v>2203000</v>
      </c>
    </row>
    <row r="125" spans="1:327" x14ac:dyDescent="0.25">
      <c r="A125" t="s">
        <v>943</v>
      </c>
      <c r="B125" t="s">
        <v>944</v>
      </c>
      <c r="C125" t="s">
        <v>733</v>
      </c>
      <c r="D125" t="s">
        <v>989</v>
      </c>
      <c r="E125" t="s">
        <v>217</v>
      </c>
      <c r="F125" t="s">
        <v>976</v>
      </c>
      <c r="G125" t="s">
        <v>1082</v>
      </c>
      <c r="H125" s="3">
        <v>18346000</v>
      </c>
      <c r="I125" s="3">
        <v>37080000</v>
      </c>
      <c r="J125" s="3">
        <v>0</v>
      </c>
      <c r="K125" s="3">
        <v>2400000</v>
      </c>
      <c r="L125" s="3">
        <v>57826000</v>
      </c>
      <c r="M125" s="3">
        <v>18346000</v>
      </c>
      <c r="N125" s="3">
        <v>37080000</v>
      </c>
      <c r="O125" s="3">
        <v>0</v>
      </c>
      <c r="P125" s="3">
        <v>2400000</v>
      </c>
      <c r="Q125" s="3">
        <v>57826000</v>
      </c>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v>76169000</v>
      </c>
      <c r="AR125" s="3">
        <v>36294000</v>
      </c>
      <c r="AS125" s="3">
        <v>0</v>
      </c>
      <c r="AT125" s="3">
        <v>0</v>
      </c>
      <c r="AU125" s="3">
        <v>112463000</v>
      </c>
      <c r="AV125" s="3">
        <v>76169000</v>
      </c>
      <c r="AW125" s="3">
        <v>36294000</v>
      </c>
      <c r="AX125" s="3">
        <v>0</v>
      </c>
      <c r="AY125" s="3">
        <v>0</v>
      </c>
      <c r="AZ125" s="3">
        <v>112463000</v>
      </c>
      <c r="BA125" s="3"/>
      <c r="BB125" s="3"/>
      <c r="BC125" s="3"/>
      <c r="BD125" s="3"/>
      <c r="BE125" s="3"/>
      <c r="BF125" s="3"/>
      <c r="BG125" s="3"/>
      <c r="BH125" s="3"/>
      <c r="BI125" s="3"/>
      <c r="BJ125" s="3"/>
      <c r="BK125" s="3"/>
      <c r="BL125" s="3"/>
      <c r="BM125" s="3"/>
      <c r="BN125" s="3"/>
      <c r="BO125" s="3"/>
      <c r="BP125" s="3"/>
      <c r="BQ125" s="3"/>
      <c r="BR125" s="3"/>
      <c r="BS125" s="3"/>
      <c r="BU125" s="3"/>
      <c r="BV125" s="3"/>
      <c r="BW125" s="3"/>
      <c r="BX125" s="3"/>
      <c r="BZ125" s="3">
        <v>77734000</v>
      </c>
      <c r="CA125" s="3">
        <v>36647000</v>
      </c>
      <c r="CB125" s="3">
        <v>0</v>
      </c>
      <c r="CC125" s="3">
        <v>0</v>
      </c>
      <c r="CD125" s="3">
        <v>114381000</v>
      </c>
      <c r="CE125" s="3">
        <v>77734000</v>
      </c>
      <c r="CF125" s="3">
        <v>36647000</v>
      </c>
      <c r="CG125" s="3">
        <v>0</v>
      </c>
      <c r="CH125" s="3">
        <v>0</v>
      </c>
      <c r="CI125" s="3">
        <v>114381000</v>
      </c>
      <c r="CJ125" s="3"/>
      <c r="CK125" s="3"/>
      <c r="CL125" s="3"/>
      <c r="CM125" s="3"/>
      <c r="CN125" s="3"/>
      <c r="CO125" s="3"/>
      <c r="CP125" s="3"/>
      <c r="CQ125" s="3"/>
      <c r="CR125" s="3"/>
      <c r="CS125" s="3"/>
      <c r="CT125" s="3"/>
      <c r="CU125" s="3"/>
      <c r="CV125" s="3"/>
      <c r="CW125" s="3"/>
      <c r="CX125" s="3"/>
      <c r="CY125" s="3"/>
      <c r="CZ125" s="3"/>
      <c r="DA125" s="3"/>
      <c r="DB125" s="3"/>
      <c r="DD125" s="3"/>
      <c r="DE125" s="3"/>
      <c r="DF125" s="3"/>
      <c r="DG125" s="3"/>
      <c r="DI125" s="3">
        <v>79414000</v>
      </c>
      <c r="DJ125" s="3">
        <v>37314000</v>
      </c>
      <c r="DK125" s="3">
        <v>0</v>
      </c>
      <c r="DL125" s="3">
        <v>0</v>
      </c>
      <c r="DM125" s="3">
        <v>116728000</v>
      </c>
      <c r="DN125" s="3">
        <v>79414000</v>
      </c>
      <c r="DO125" s="3">
        <v>37314000</v>
      </c>
      <c r="DP125" s="3">
        <v>0</v>
      </c>
      <c r="DQ125" s="3">
        <v>0</v>
      </c>
      <c r="DR125" s="3">
        <v>116728000</v>
      </c>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R125" s="3">
        <v>85392000</v>
      </c>
      <c r="ES125" s="3">
        <v>37314000</v>
      </c>
      <c r="ET125" s="3">
        <v>0</v>
      </c>
      <c r="EU125" s="3">
        <v>0</v>
      </c>
      <c r="EV125" s="3">
        <v>122706000</v>
      </c>
      <c r="EW125" s="3">
        <v>85392000</v>
      </c>
      <c r="EX125" s="3">
        <v>37314000</v>
      </c>
      <c r="EY125" s="3">
        <v>0</v>
      </c>
      <c r="EZ125" s="3">
        <v>0</v>
      </c>
      <c r="FA125" s="3">
        <v>122706000</v>
      </c>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v>99059000</v>
      </c>
      <c r="GB125" s="3">
        <v>37482000</v>
      </c>
      <c r="GC125" s="3">
        <v>0</v>
      </c>
      <c r="GD125" s="3">
        <v>0</v>
      </c>
      <c r="GE125" s="3">
        <v>136541000</v>
      </c>
      <c r="GF125" s="3">
        <v>99059000</v>
      </c>
      <c r="GG125" s="3">
        <v>37482000</v>
      </c>
      <c r="GH125" s="3">
        <v>0</v>
      </c>
      <c r="GI125" s="3">
        <v>0</v>
      </c>
      <c r="GJ125" s="3">
        <v>136541000</v>
      </c>
      <c r="GK125" s="3"/>
      <c r="GL125" s="3"/>
      <c r="GM125" s="3"/>
      <c r="GN125" s="3"/>
      <c r="GO125" s="3"/>
      <c r="GP125" s="3"/>
      <c r="GQ125" s="3"/>
      <c r="GR125" s="3"/>
      <c r="GS125" s="3"/>
      <c r="GU125" s="3"/>
      <c r="GV125" s="3"/>
      <c r="GW125" s="3"/>
      <c r="GX125" s="3"/>
      <c r="GY125" s="3"/>
      <c r="GZ125" s="3"/>
      <c r="HA125" s="3"/>
      <c r="HB125" s="3"/>
      <c r="HC125" s="3"/>
      <c r="HE125" s="3"/>
      <c r="HF125" s="3"/>
      <c r="HG125" s="3"/>
      <c r="HH125" s="3"/>
      <c r="HJ125" s="3">
        <v>90696000</v>
      </c>
      <c r="HK125" s="3">
        <v>38157000</v>
      </c>
      <c r="HL125" s="3">
        <v>0</v>
      </c>
      <c r="HM125" s="3">
        <v>0</v>
      </c>
      <c r="HN125" s="3">
        <v>128853000</v>
      </c>
      <c r="HO125" s="3">
        <v>90696000</v>
      </c>
      <c r="HP125" s="3">
        <v>38157000</v>
      </c>
      <c r="HQ125" s="3">
        <v>0</v>
      </c>
      <c r="HR125" s="3">
        <v>0</v>
      </c>
      <c r="HS125" s="3">
        <v>128853000</v>
      </c>
      <c r="HT125" s="3"/>
      <c r="HU125" s="3"/>
      <c r="HV125" s="3"/>
      <c r="HW125" s="3"/>
      <c r="HX125" s="3"/>
      <c r="HY125" s="3"/>
      <c r="HZ125" s="3"/>
      <c r="IA125" s="3"/>
      <c r="IB125" s="3"/>
      <c r="ID125" s="3"/>
      <c r="IE125" s="3"/>
      <c r="IF125" s="3"/>
      <c r="IG125" s="3"/>
      <c r="IS125" s="3">
        <v>95988000</v>
      </c>
      <c r="IT125" s="3">
        <v>38844000</v>
      </c>
      <c r="IU125" s="3">
        <v>0</v>
      </c>
      <c r="IV125" s="3">
        <v>0</v>
      </c>
      <c r="IW125" s="3">
        <v>134832000</v>
      </c>
      <c r="IX125" s="3">
        <v>95988000</v>
      </c>
      <c r="IY125" s="3">
        <v>38844000</v>
      </c>
      <c r="IZ125" s="3">
        <v>0</v>
      </c>
      <c r="JA125" s="3">
        <v>0</v>
      </c>
      <c r="JB125" s="3">
        <v>134832000</v>
      </c>
      <c r="JC125" s="3"/>
      <c r="JD125" s="3"/>
      <c r="JE125" s="3"/>
      <c r="JF125" s="3"/>
      <c r="JG125" s="3"/>
      <c r="JH125" s="3"/>
      <c r="JI125" s="3"/>
      <c r="JJ125" s="3"/>
      <c r="JK125" s="3"/>
      <c r="JL125" s="3"/>
      <c r="JM125" s="3"/>
      <c r="JN125" s="3"/>
      <c r="JO125" s="3"/>
      <c r="JP125" s="3"/>
      <c r="JQ125" s="3"/>
      <c r="JR125" s="3"/>
      <c r="JS125" s="3"/>
      <c r="JT125" s="3"/>
      <c r="JU125" s="3"/>
      <c r="JV125" s="3"/>
      <c r="JW125" s="3"/>
      <c r="JX125" s="3"/>
      <c r="JY125" s="3"/>
      <c r="JZ125" s="3"/>
      <c r="KA125" s="3"/>
      <c r="KB125" s="3">
        <v>110731000</v>
      </c>
      <c r="KC125" s="3">
        <v>59544000</v>
      </c>
      <c r="KD125" s="3">
        <v>0</v>
      </c>
      <c r="KE125" s="3">
        <v>0</v>
      </c>
      <c r="KF125" s="3">
        <v>170275000</v>
      </c>
      <c r="KG125" s="3">
        <v>110731000</v>
      </c>
      <c r="KH125" s="3">
        <v>59544000</v>
      </c>
      <c r="KI125" s="3">
        <v>0</v>
      </c>
      <c r="KJ125" s="3">
        <v>0</v>
      </c>
      <c r="KK125" s="3">
        <v>170275000</v>
      </c>
      <c r="KL125" s="3"/>
      <c r="KM125" s="3"/>
      <c r="KN125" s="3"/>
      <c r="KO125" s="3"/>
      <c r="KP125" s="3"/>
      <c r="KQ125" s="3"/>
      <c r="KR125" s="3"/>
      <c r="KS125" s="3"/>
      <c r="KT125" s="3"/>
      <c r="KU125" s="3"/>
      <c r="KV125" s="3"/>
      <c r="KW125" s="3"/>
      <c r="KX125" s="3"/>
      <c r="KY125" s="3"/>
      <c r="KZ125" s="3"/>
      <c r="LA125" s="3"/>
      <c r="LB125" s="3"/>
      <c r="LC125" s="3"/>
      <c r="LD125" s="3"/>
      <c r="LE125" s="3"/>
      <c r="LF125" s="3"/>
      <c r="LG125" s="3"/>
      <c r="LH125" s="3"/>
      <c r="LI125" s="3"/>
      <c r="LJ125" s="3"/>
      <c r="LK125" s="3">
        <v>115510000</v>
      </c>
      <c r="LL125" s="3">
        <v>2000</v>
      </c>
      <c r="LM125">
        <v>0</v>
      </c>
      <c r="LN125" s="3">
        <v>0</v>
      </c>
      <c r="LO125" s="3">
        <v>115512000</v>
      </c>
    </row>
    <row r="126" spans="1:327" x14ac:dyDescent="0.25">
      <c r="A126" t="s">
        <v>943</v>
      </c>
      <c r="B126" t="s">
        <v>944</v>
      </c>
      <c r="C126" t="s">
        <v>733</v>
      </c>
      <c r="D126" t="s">
        <v>989</v>
      </c>
      <c r="E126" t="s">
        <v>300</v>
      </c>
      <c r="F126" t="s">
        <v>620</v>
      </c>
      <c r="G126" t="s">
        <v>1083</v>
      </c>
      <c r="H126" s="3">
        <v>0</v>
      </c>
      <c r="I126" s="3">
        <v>42045000</v>
      </c>
      <c r="J126" s="3">
        <v>0</v>
      </c>
      <c r="K126" s="3">
        <v>0</v>
      </c>
      <c r="L126" s="3">
        <v>42045000</v>
      </c>
      <c r="M126" s="3">
        <v>0</v>
      </c>
      <c r="N126" s="3">
        <v>242310000</v>
      </c>
      <c r="O126" s="3">
        <v>0</v>
      </c>
      <c r="P126" s="3">
        <v>0</v>
      </c>
      <c r="Q126" s="3">
        <v>242310000</v>
      </c>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v>0</v>
      </c>
      <c r="AR126" s="3">
        <v>59154000</v>
      </c>
      <c r="AS126" s="3">
        <v>0</v>
      </c>
      <c r="AT126" s="3">
        <v>0</v>
      </c>
      <c r="AU126" s="3">
        <v>59154000</v>
      </c>
      <c r="AV126" s="3">
        <v>0</v>
      </c>
      <c r="AW126" s="3">
        <v>59154000</v>
      </c>
      <c r="AX126" s="3">
        <v>0</v>
      </c>
      <c r="AY126" s="3">
        <v>0</v>
      </c>
      <c r="AZ126" s="3">
        <v>59154000</v>
      </c>
      <c r="BA126" s="3"/>
      <c r="BB126" s="3"/>
      <c r="BC126" s="3"/>
      <c r="BD126" s="3"/>
      <c r="BE126" s="3"/>
      <c r="BF126" s="3"/>
      <c r="BG126" s="3"/>
      <c r="BH126" s="3"/>
      <c r="BI126" s="3"/>
      <c r="BJ126" s="3"/>
      <c r="BK126" s="3"/>
      <c r="BL126" s="3"/>
      <c r="BM126" s="3"/>
      <c r="BN126" s="3"/>
      <c r="BO126" s="3"/>
      <c r="BP126" s="3"/>
      <c r="BQ126" s="3"/>
      <c r="BR126" s="3"/>
      <c r="BS126" s="3"/>
      <c r="BU126" s="3"/>
      <c r="BV126" s="3"/>
      <c r="BW126" s="3"/>
      <c r="BX126" s="3"/>
      <c r="BZ126" s="3">
        <v>0</v>
      </c>
      <c r="CA126" s="3">
        <v>52238000</v>
      </c>
      <c r="CB126" s="3">
        <v>0</v>
      </c>
      <c r="CC126" s="3">
        <v>0</v>
      </c>
      <c r="CD126" s="3">
        <v>52238000</v>
      </c>
      <c r="CE126" s="3">
        <v>0</v>
      </c>
      <c r="CF126" s="3">
        <v>52238000</v>
      </c>
      <c r="CG126" s="3">
        <v>0</v>
      </c>
      <c r="CH126" s="3">
        <v>0</v>
      </c>
      <c r="CI126" s="3">
        <v>52238000</v>
      </c>
      <c r="CJ126" s="3"/>
      <c r="CK126" s="3"/>
      <c r="CL126" s="3"/>
      <c r="CM126" s="3"/>
      <c r="CN126" s="3"/>
      <c r="CO126" s="3"/>
      <c r="CP126" s="3"/>
      <c r="CQ126" s="3"/>
      <c r="CR126" s="3"/>
      <c r="CS126" s="3"/>
      <c r="CT126" s="3"/>
      <c r="CU126" s="3"/>
      <c r="CV126" s="3"/>
      <c r="CW126" s="3"/>
      <c r="CX126" s="3"/>
      <c r="CY126" s="3"/>
      <c r="CZ126" s="3"/>
      <c r="DA126" s="3"/>
      <c r="DB126" s="3"/>
      <c r="DD126" s="3"/>
      <c r="DE126" s="3"/>
      <c r="DF126" s="3"/>
      <c r="DG126" s="3"/>
      <c r="DI126" s="3">
        <v>0</v>
      </c>
      <c r="DJ126" s="3">
        <v>53189000</v>
      </c>
      <c r="DK126" s="3">
        <v>0</v>
      </c>
      <c r="DL126" s="3">
        <v>0</v>
      </c>
      <c r="DM126" s="3">
        <v>53189000</v>
      </c>
      <c r="DN126" s="3">
        <v>0</v>
      </c>
      <c r="DO126" s="3">
        <v>53189000</v>
      </c>
      <c r="DP126" s="3">
        <v>0</v>
      </c>
      <c r="DQ126" s="3">
        <v>0</v>
      </c>
      <c r="DR126" s="3">
        <v>53189000</v>
      </c>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R126" s="3">
        <v>0</v>
      </c>
      <c r="ES126" s="3">
        <v>53189000</v>
      </c>
      <c r="ET126" s="3">
        <v>0</v>
      </c>
      <c r="EU126" s="3">
        <v>0</v>
      </c>
      <c r="EV126" s="3">
        <v>53189000</v>
      </c>
      <c r="EW126" s="3">
        <v>0</v>
      </c>
      <c r="EX126" s="3">
        <v>53189000</v>
      </c>
      <c r="EY126" s="3">
        <v>0</v>
      </c>
      <c r="EZ126" s="3">
        <v>0</v>
      </c>
      <c r="FA126" s="3">
        <v>53189000</v>
      </c>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v>0</v>
      </c>
      <c r="GB126" s="3">
        <v>44406000</v>
      </c>
      <c r="GC126" s="3">
        <v>0</v>
      </c>
      <c r="GD126" s="3">
        <v>0</v>
      </c>
      <c r="GE126" s="3">
        <v>44406000</v>
      </c>
      <c r="GF126" s="3">
        <v>0</v>
      </c>
      <c r="GG126" s="3">
        <v>44406000</v>
      </c>
      <c r="GH126" s="3">
        <v>0</v>
      </c>
      <c r="GI126" s="3">
        <v>0</v>
      </c>
      <c r="GJ126" s="3">
        <v>44406000</v>
      </c>
      <c r="GK126" s="3"/>
      <c r="GL126" s="3"/>
      <c r="GM126" s="3"/>
      <c r="GN126" s="3"/>
      <c r="GO126" s="3"/>
      <c r="GP126" s="3"/>
      <c r="GQ126" s="3"/>
      <c r="GR126" s="3"/>
      <c r="GS126" s="3"/>
      <c r="GU126" s="3"/>
      <c r="GV126" s="3"/>
      <c r="GW126" s="3"/>
      <c r="GX126" s="3"/>
      <c r="GY126" s="3"/>
      <c r="GZ126" s="3"/>
      <c r="HA126" s="3"/>
      <c r="HB126" s="3"/>
      <c r="HC126" s="3"/>
      <c r="HE126" s="3"/>
      <c r="HF126" s="3"/>
      <c r="HG126" s="3"/>
      <c r="HH126" s="3"/>
      <c r="HJ126" s="3">
        <v>0</v>
      </c>
      <c r="HK126" s="3">
        <v>37358000</v>
      </c>
      <c r="HL126" s="3">
        <v>0</v>
      </c>
      <c r="HM126" s="3">
        <v>0</v>
      </c>
      <c r="HN126" s="3">
        <v>37358000</v>
      </c>
      <c r="HO126" s="3">
        <v>0</v>
      </c>
      <c r="HP126" s="3">
        <v>37358000</v>
      </c>
      <c r="HQ126" s="3">
        <v>0</v>
      </c>
      <c r="HR126" s="3">
        <v>0</v>
      </c>
      <c r="HS126" s="3">
        <v>37358000</v>
      </c>
      <c r="HT126" s="3"/>
      <c r="HU126" s="3"/>
      <c r="HV126" s="3"/>
      <c r="HW126" s="3"/>
      <c r="HX126" s="3"/>
      <c r="HY126" s="3"/>
      <c r="HZ126" s="3"/>
      <c r="IA126" s="3"/>
      <c r="IB126" s="3"/>
      <c r="ID126" s="3"/>
      <c r="IE126" s="3"/>
      <c r="IF126" s="3"/>
      <c r="IG126" s="3"/>
      <c r="IS126" s="3">
        <v>0</v>
      </c>
      <c r="IT126" s="3">
        <v>43031000</v>
      </c>
      <c r="IU126" s="3">
        <v>0</v>
      </c>
      <c r="IV126" s="3">
        <v>0</v>
      </c>
      <c r="IW126" s="3">
        <v>43031000</v>
      </c>
      <c r="IX126" s="3">
        <v>0</v>
      </c>
      <c r="IY126" s="3">
        <v>43031000</v>
      </c>
      <c r="IZ126" s="3">
        <v>0</v>
      </c>
      <c r="JA126" s="3">
        <v>0</v>
      </c>
      <c r="JB126" s="3">
        <v>43031000</v>
      </c>
      <c r="JC126" s="3"/>
      <c r="JD126" s="3"/>
      <c r="JE126" s="3"/>
      <c r="JF126" s="3"/>
      <c r="JG126" s="3"/>
      <c r="JH126" s="3"/>
      <c r="JI126" s="3"/>
      <c r="JJ126" s="3"/>
      <c r="JK126" s="3"/>
      <c r="JL126" s="3"/>
      <c r="JM126" s="3"/>
      <c r="JN126" s="3"/>
      <c r="JO126" s="3"/>
      <c r="JP126" s="3"/>
      <c r="JQ126" s="3"/>
      <c r="JR126" s="3"/>
      <c r="JS126" s="3"/>
      <c r="JT126" s="3"/>
      <c r="JU126" s="3"/>
      <c r="JV126" s="3"/>
      <c r="JW126" s="3"/>
      <c r="JX126" s="3"/>
      <c r="JY126" s="3"/>
      <c r="JZ126" s="3"/>
      <c r="KA126" s="3"/>
      <c r="KB126" s="3">
        <v>0</v>
      </c>
      <c r="KC126" s="3">
        <v>38716000</v>
      </c>
      <c r="KD126" s="3">
        <v>0</v>
      </c>
      <c r="KE126" s="3">
        <v>0</v>
      </c>
      <c r="KF126" s="3">
        <v>38716000</v>
      </c>
      <c r="KG126" s="3">
        <v>0</v>
      </c>
      <c r="KH126" s="3">
        <v>38716000</v>
      </c>
      <c r="KI126" s="3">
        <v>0</v>
      </c>
      <c r="KJ126" s="3">
        <v>0</v>
      </c>
      <c r="KK126" s="3">
        <v>38716000</v>
      </c>
      <c r="KL126" s="3"/>
      <c r="KM126" s="3"/>
      <c r="KN126" s="3"/>
      <c r="KO126" s="3"/>
      <c r="KP126" s="3"/>
      <c r="KQ126" s="3"/>
      <c r="KR126" s="3"/>
      <c r="KS126" s="3"/>
      <c r="KT126" s="3"/>
      <c r="KU126" s="3"/>
      <c r="KV126" s="3"/>
      <c r="KW126" s="3"/>
      <c r="KX126" s="3"/>
      <c r="KY126" s="3"/>
      <c r="KZ126" s="3"/>
      <c r="LA126" s="3"/>
      <c r="LB126" s="3"/>
      <c r="LC126" s="3"/>
      <c r="LD126" s="3"/>
      <c r="LE126" s="3"/>
      <c r="LF126" s="3"/>
      <c r="LG126" s="3"/>
      <c r="LH126" s="3"/>
      <c r="LI126" s="3"/>
      <c r="LJ126" s="3"/>
    </row>
    <row r="127" spans="1:327" x14ac:dyDescent="0.25">
      <c r="A127" t="s">
        <v>943</v>
      </c>
      <c r="B127" t="s">
        <v>944</v>
      </c>
      <c r="C127" t="s">
        <v>735</v>
      </c>
      <c r="D127" t="s">
        <v>990</v>
      </c>
      <c r="E127" t="s">
        <v>201</v>
      </c>
      <c r="F127" t="s">
        <v>202</v>
      </c>
      <c r="G127" t="s">
        <v>203</v>
      </c>
      <c r="H127" s="3">
        <v>12947000</v>
      </c>
      <c r="I127" s="3">
        <v>20510000</v>
      </c>
      <c r="J127" s="3">
        <v>50000</v>
      </c>
      <c r="K127" s="3">
        <v>0</v>
      </c>
      <c r="L127" s="3">
        <v>33507000</v>
      </c>
      <c r="M127" s="3">
        <v>12947000</v>
      </c>
      <c r="N127" s="3">
        <v>20510000</v>
      </c>
      <c r="O127" s="3">
        <v>50000</v>
      </c>
      <c r="P127" s="3">
        <v>0</v>
      </c>
      <c r="Q127" s="3">
        <v>33507000</v>
      </c>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v>11834000</v>
      </c>
      <c r="AR127" s="3">
        <v>22203000</v>
      </c>
      <c r="AS127" s="3">
        <v>50000</v>
      </c>
      <c r="AT127" s="3">
        <v>0</v>
      </c>
      <c r="AU127" s="3">
        <v>34087000</v>
      </c>
      <c r="AV127" s="3">
        <v>11834000</v>
      </c>
      <c r="AW127" s="3">
        <v>22203000</v>
      </c>
      <c r="AX127" s="3">
        <v>50000</v>
      </c>
      <c r="AY127" s="3">
        <v>0</v>
      </c>
      <c r="AZ127" s="3">
        <v>34087000</v>
      </c>
      <c r="BA127" s="3"/>
      <c r="BB127" s="3"/>
      <c r="BC127" s="3"/>
      <c r="BD127" s="3"/>
      <c r="BE127" s="3"/>
      <c r="BF127" s="3"/>
      <c r="BG127" s="3"/>
      <c r="BH127" s="3"/>
      <c r="BI127" s="3"/>
      <c r="BJ127" s="3"/>
      <c r="BK127" s="3"/>
      <c r="BL127" s="3"/>
      <c r="BM127" s="3"/>
      <c r="BN127" s="3"/>
      <c r="BO127" s="3"/>
      <c r="BP127" s="3"/>
      <c r="BQ127" s="3"/>
      <c r="BR127" s="3"/>
      <c r="BS127" s="3"/>
      <c r="BU127" s="3"/>
      <c r="BV127" s="3"/>
      <c r="BW127" s="3"/>
      <c r="BX127" s="3"/>
      <c r="BZ127" s="3">
        <v>14499000</v>
      </c>
      <c r="CA127" s="3">
        <v>22548000</v>
      </c>
      <c r="CB127" s="3">
        <v>50000</v>
      </c>
      <c r="CC127" s="3">
        <v>0</v>
      </c>
      <c r="CD127" s="3">
        <v>37097000</v>
      </c>
      <c r="CE127" s="3">
        <v>14499000</v>
      </c>
      <c r="CF127" s="3">
        <v>22548000</v>
      </c>
      <c r="CG127" s="3">
        <v>50000</v>
      </c>
      <c r="CH127" s="3">
        <v>0</v>
      </c>
      <c r="CI127" s="3">
        <v>37097000</v>
      </c>
      <c r="CJ127" s="3"/>
      <c r="CK127" s="3"/>
      <c r="CL127" s="3"/>
      <c r="CM127" s="3"/>
      <c r="CN127" s="3"/>
      <c r="CO127" s="3"/>
      <c r="CP127" s="3"/>
      <c r="CQ127" s="3"/>
      <c r="CR127" s="3"/>
      <c r="CS127" s="3"/>
      <c r="CT127" s="3"/>
      <c r="CU127" s="3"/>
      <c r="CV127" s="3"/>
      <c r="CW127" s="3"/>
      <c r="CX127" s="3"/>
      <c r="CY127" s="3"/>
      <c r="CZ127" s="3"/>
      <c r="DA127" s="3"/>
      <c r="DB127" s="3"/>
      <c r="DD127" s="3"/>
      <c r="DE127" s="3"/>
      <c r="DF127" s="3"/>
      <c r="DG127" s="3"/>
      <c r="DI127" s="3">
        <v>14516000</v>
      </c>
      <c r="DJ127" s="3">
        <v>25213000</v>
      </c>
      <c r="DK127" s="3">
        <v>50000</v>
      </c>
      <c r="DL127" s="3">
        <v>0</v>
      </c>
      <c r="DM127" s="3">
        <v>39779000</v>
      </c>
      <c r="DN127" s="3">
        <v>14516000</v>
      </c>
      <c r="DO127" s="3">
        <v>25213000</v>
      </c>
      <c r="DP127" s="3">
        <v>50000</v>
      </c>
      <c r="DQ127" s="3">
        <v>0</v>
      </c>
      <c r="DR127" s="3">
        <v>39779000</v>
      </c>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R127" s="3">
        <v>25451000</v>
      </c>
      <c r="ES127" s="3">
        <v>25213000</v>
      </c>
      <c r="ET127" s="3">
        <v>50000</v>
      </c>
      <c r="EU127" s="3">
        <v>0</v>
      </c>
      <c r="EV127" s="3">
        <v>50714000</v>
      </c>
      <c r="EW127" s="3">
        <v>25451000</v>
      </c>
      <c r="EX127" s="3">
        <v>25213000</v>
      </c>
      <c r="EY127" s="3">
        <v>50000</v>
      </c>
      <c r="EZ127" s="3">
        <v>0</v>
      </c>
      <c r="FA127" s="3">
        <v>50714000</v>
      </c>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v>27019000</v>
      </c>
      <c r="GB127" s="3">
        <v>26179000</v>
      </c>
      <c r="GC127" s="3">
        <v>0</v>
      </c>
      <c r="GD127" s="3">
        <v>0</v>
      </c>
      <c r="GE127" s="3">
        <v>53198000</v>
      </c>
      <c r="GF127" s="3">
        <v>27019000</v>
      </c>
      <c r="GG127" s="3">
        <v>26179000</v>
      </c>
      <c r="GH127" s="3">
        <v>0</v>
      </c>
      <c r="GI127" s="3">
        <v>0</v>
      </c>
      <c r="GJ127" s="3">
        <v>53198000</v>
      </c>
      <c r="GK127" s="3"/>
      <c r="GL127" s="3"/>
      <c r="GM127" s="3"/>
      <c r="GN127" s="3"/>
      <c r="GO127" s="3"/>
      <c r="GP127" s="3"/>
      <c r="GQ127" s="3"/>
      <c r="GR127" s="3"/>
      <c r="GS127" s="3"/>
      <c r="GU127" s="3"/>
      <c r="GV127" s="3"/>
      <c r="GW127" s="3"/>
      <c r="GX127" s="3"/>
      <c r="GY127" s="3"/>
      <c r="GZ127" s="3"/>
      <c r="HA127" s="3"/>
      <c r="HB127" s="3"/>
      <c r="HC127" s="3"/>
      <c r="HE127" s="3"/>
      <c r="HF127" s="3"/>
      <c r="HG127" s="3"/>
      <c r="HH127" s="3"/>
      <c r="HJ127" s="3">
        <v>25661000</v>
      </c>
      <c r="HK127" s="3">
        <v>26650000</v>
      </c>
      <c r="HL127" s="3">
        <v>0</v>
      </c>
      <c r="HM127" s="3">
        <v>0</v>
      </c>
      <c r="HN127" s="3">
        <v>52311000</v>
      </c>
      <c r="HO127" s="3">
        <v>25661000</v>
      </c>
      <c r="HP127" s="3">
        <v>26650000</v>
      </c>
      <c r="HQ127" s="3">
        <v>0</v>
      </c>
      <c r="HR127" s="3">
        <v>0</v>
      </c>
      <c r="HS127" s="3">
        <v>52311000</v>
      </c>
      <c r="HT127" s="3"/>
      <c r="HU127" s="3"/>
      <c r="HV127" s="3"/>
      <c r="HW127" s="3"/>
      <c r="HX127" s="3"/>
      <c r="HY127" s="3"/>
      <c r="HZ127" s="3"/>
      <c r="IA127" s="3"/>
      <c r="IB127" s="3"/>
      <c r="ID127" s="3"/>
      <c r="IE127" s="3"/>
      <c r="IF127" s="3"/>
      <c r="IG127" s="3"/>
      <c r="IS127" s="3">
        <v>28577000</v>
      </c>
      <c r="IT127" s="3">
        <v>27130000</v>
      </c>
      <c r="IU127" s="3">
        <v>0</v>
      </c>
      <c r="IV127" s="3">
        <v>0</v>
      </c>
      <c r="IW127" s="3">
        <v>55707000</v>
      </c>
      <c r="IX127" s="3">
        <v>28577000</v>
      </c>
      <c r="IY127" s="3">
        <v>27130000</v>
      </c>
      <c r="IZ127" s="3">
        <v>0</v>
      </c>
      <c r="JA127" s="3">
        <v>0</v>
      </c>
      <c r="JB127" s="3">
        <v>55707000</v>
      </c>
      <c r="JC127" s="3"/>
      <c r="JD127" s="3"/>
      <c r="JE127" s="3"/>
      <c r="JF127" s="3"/>
      <c r="JG127" s="3"/>
      <c r="JH127" s="3"/>
      <c r="JI127" s="3"/>
      <c r="JJ127" s="3"/>
      <c r="JK127" s="3"/>
      <c r="JL127" s="3"/>
      <c r="JM127" s="3"/>
      <c r="JN127" s="3"/>
      <c r="JO127" s="3"/>
      <c r="JP127" s="3"/>
      <c r="JQ127" s="3"/>
      <c r="JR127" s="3"/>
      <c r="JS127" s="3"/>
      <c r="JT127" s="3"/>
      <c r="JU127" s="3"/>
      <c r="JV127" s="3"/>
      <c r="JW127" s="3"/>
      <c r="JX127" s="3"/>
      <c r="JY127" s="3"/>
      <c r="JZ127" s="3"/>
      <c r="KA127" s="3"/>
      <c r="KB127" s="3">
        <v>29527000</v>
      </c>
      <c r="KC127" s="3">
        <v>27619000</v>
      </c>
      <c r="KD127" s="3">
        <v>0</v>
      </c>
      <c r="KE127" s="3">
        <v>18000000</v>
      </c>
      <c r="KF127" s="3">
        <v>75146000</v>
      </c>
      <c r="KG127" s="3">
        <v>29527000</v>
      </c>
      <c r="KH127" s="3">
        <v>27619000</v>
      </c>
      <c r="KI127" s="3">
        <v>0</v>
      </c>
      <c r="KJ127" s="3">
        <v>18000000</v>
      </c>
      <c r="KK127" s="3">
        <v>75146000</v>
      </c>
      <c r="KL127" s="3"/>
      <c r="KM127" s="3"/>
      <c r="KN127" s="3"/>
      <c r="KO127" s="3"/>
      <c r="KP127" s="3"/>
      <c r="KQ127" s="3"/>
      <c r="KR127" s="3"/>
      <c r="KS127" s="3"/>
      <c r="KT127" s="3"/>
      <c r="KU127" s="3"/>
      <c r="KV127" s="3"/>
      <c r="KW127" s="3"/>
      <c r="KX127" s="3"/>
      <c r="KY127" s="3"/>
      <c r="KZ127" s="3"/>
      <c r="LA127" s="3"/>
      <c r="LB127" s="3"/>
      <c r="LC127" s="3"/>
      <c r="LD127" s="3"/>
      <c r="LE127" s="3"/>
      <c r="LF127" s="3"/>
      <c r="LG127" s="3"/>
      <c r="LH127" s="3"/>
      <c r="LI127" s="3"/>
      <c r="LJ127" s="3"/>
      <c r="LK127" s="3">
        <v>29737000</v>
      </c>
      <c r="LL127" s="3">
        <v>28971000</v>
      </c>
      <c r="LM127">
        <v>0</v>
      </c>
      <c r="LN127">
        <v>0</v>
      </c>
      <c r="LO127" s="3">
        <v>58708000</v>
      </c>
    </row>
    <row r="128" spans="1:327" x14ac:dyDescent="0.25">
      <c r="A128" t="s">
        <v>943</v>
      </c>
      <c r="B128" t="s">
        <v>944</v>
      </c>
      <c r="C128" t="s">
        <v>735</v>
      </c>
      <c r="D128" t="s">
        <v>990</v>
      </c>
      <c r="E128" t="s">
        <v>201</v>
      </c>
      <c r="F128" t="s">
        <v>204</v>
      </c>
      <c r="G128" t="s">
        <v>205</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v>205000</v>
      </c>
      <c r="AR128" s="3">
        <v>0</v>
      </c>
      <c r="AS128" s="3">
        <v>0</v>
      </c>
      <c r="AT128" s="3">
        <v>0</v>
      </c>
      <c r="AU128" s="3">
        <v>205000</v>
      </c>
      <c r="AV128" s="3">
        <v>205000</v>
      </c>
      <c r="AW128" s="3">
        <v>0</v>
      </c>
      <c r="AX128" s="3">
        <v>0</v>
      </c>
      <c r="AY128" s="3">
        <v>0</v>
      </c>
      <c r="AZ128" s="3">
        <v>205000</v>
      </c>
      <c r="BA128" s="3"/>
      <c r="BB128" s="3"/>
      <c r="BC128" s="3"/>
      <c r="BD128" s="3"/>
      <c r="BE128" s="3"/>
      <c r="BF128" s="3"/>
      <c r="BG128" s="3"/>
      <c r="BH128" s="3"/>
      <c r="BI128" s="3"/>
      <c r="BJ128" s="3"/>
      <c r="BK128" s="3"/>
      <c r="BL128" s="3"/>
      <c r="BM128" s="3"/>
      <c r="BN128" s="3"/>
      <c r="BO128" s="3"/>
      <c r="BP128" s="3"/>
      <c r="BQ128" s="3"/>
      <c r="BR128" s="3"/>
      <c r="BS128" s="3"/>
      <c r="BU128" s="3"/>
      <c r="BV128" s="3"/>
      <c r="BW128" s="3"/>
      <c r="BX128" s="3"/>
      <c r="BZ128" s="3">
        <v>857000</v>
      </c>
      <c r="CA128" s="3">
        <v>0</v>
      </c>
      <c r="CB128" s="3">
        <v>0</v>
      </c>
      <c r="CC128" s="3">
        <v>0</v>
      </c>
      <c r="CD128" s="3">
        <v>857000</v>
      </c>
      <c r="CE128" s="3">
        <v>857000</v>
      </c>
      <c r="CF128" s="3">
        <v>0</v>
      </c>
      <c r="CG128" s="3">
        <v>0</v>
      </c>
      <c r="CH128" s="3">
        <v>0</v>
      </c>
      <c r="CI128" s="3">
        <v>857000</v>
      </c>
      <c r="CJ128" s="3"/>
      <c r="CK128" s="3"/>
      <c r="CL128" s="3"/>
      <c r="CM128" s="3"/>
      <c r="CN128" s="3"/>
      <c r="CO128" s="3"/>
      <c r="CP128" s="3"/>
      <c r="CQ128" s="3"/>
      <c r="CR128" s="3"/>
      <c r="CS128" s="3"/>
      <c r="CT128" s="3"/>
      <c r="CU128" s="3"/>
      <c r="CV128" s="3"/>
      <c r="CW128" s="3"/>
      <c r="CX128" s="3"/>
      <c r="CY128" s="3"/>
      <c r="CZ128" s="3"/>
      <c r="DA128" s="3"/>
      <c r="DB128" s="3"/>
      <c r="DD128" s="3"/>
      <c r="DE128" s="3"/>
      <c r="DF128" s="3"/>
      <c r="DG128" s="3"/>
      <c r="DI128" s="3">
        <v>0</v>
      </c>
      <c r="DJ128" s="3">
        <v>0</v>
      </c>
      <c r="DK128" s="3">
        <v>0</v>
      </c>
      <c r="DL128" s="3">
        <v>0</v>
      </c>
      <c r="DM128" s="3">
        <v>0</v>
      </c>
      <c r="DN128" s="3">
        <v>0</v>
      </c>
      <c r="DO128" s="3">
        <v>0</v>
      </c>
      <c r="DP128" s="3">
        <v>0</v>
      </c>
      <c r="DQ128" s="3">
        <v>0</v>
      </c>
      <c r="DR128" s="3">
        <v>0</v>
      </c>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R128" s="3">
        <v>5309000</v>
      </c>
      <c r="ES128" s="3">
        <v>0</v>
      </c>
      <c r="ET128" s="3">
        <v>0</v>
      </c>
      <c r="EU128" s="3">
        <v>0</v>
      </c>
      <c r="EV128" s="3">
        <v>5309000</v>
      </c>
      <c r="EW128" s="3">
        <v>5309000</v>
      </c>
      <c r="EX128" s="3">
        <v>0</v>
      </c>
      <c r="EY128" s="3">
        <v>0</v>
      </c>
      <c r="EZ128" s="3">
        <v>0</v>
      </c>
      <c r="FA128" s="3">
        <v>5309000</v>
      </c>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v>0</v>
      </c>
      <c r="GB128" s="3">
        <v>0</v>
      </c>
      <c r="GC128" s="3">
        <v>0</v>
      </c>
      <c r="GD128" s="3">
        <v>0</v>
      </c>
      <c r="GE128" s="3">
        <v>0</v>
      </c>
      <c r="GF128" s="3">
        <v>0</v>
      </c>
      <c r="GG128" s="3">
        <v>0</v>
      </c>
      <c r="GH128" s="3">
        <v>0</v>
      </c>
      <c r="GI128" s="3">
        <v>0</v>
      </c>
      <c r="GJ128" s="3">
        <v>0</v>
      </c>
      <c r="GK128" s="3"/>
      <c r="GL128" s="3"/>
      <c r="GM128" s="3"/>
      <c r="GN128" s="3"/>
      <c r="GO128" s="3"/>
      <c r="GP128" s="3"/>
      <c r="GQ128" s="3"/>
      <c r="GR128" s="3"/>
      <c r="GS128" s="3"/>
      <c r="GU128" s="3"/>
      <c r="GV128" s="3"/>
      <c r="GW128" s="3"/>
      <c r="GX128" s="3"/>
      <c r="GY128" s="3"/>
      <c r="GZ128" s="3"/>
      <c r="HA128" s="3"/>
      <c r="HB128" s="3"/>
      <c r="HC128" s="3"/>
      <c r="HE128" s="3"/>
      <c r="HF128" s="3"/>
      <c r="HG128" s="3"/>
      <c r="HH128" s="3"/>
      <c r="HJ128" s="3">
        <v>2019000</v>
      </c>
      <c r="HK128" s="3">
        <v>0</v>
      </c>
      <c r="HL128" s="3">
        <v>0</v>
      </c>
      <c r="HM128" s="3">
        <v>0</v>
      </c>
      <c r="HN128" s="3">
        <v>2019000</v>
      </c>
      <c r="HO128" s="3">
        <v>2019000</v>
      </c>
      <c r="HP128" s="3">
        <v>0</v>
      </c>
      <c r="HQ128" s="3">
        <v>0</v>
      </c>
      <c r="HR128" s="3">
        <v>0</v>
      </c>
      <c r="HS128" s="3">
        <v>2019000</v>
      </c>
      <c r="HT128" s="3"/>
      <c r="HU128" s="3"/>
      <c r="HV128" s="3"/>
      <c r="HW128" s="3"/>
      <c r="HX128" s="3"/>
      <c r="HY128" s="3"/>
      <c r="HZ128" s="3"/>
      <c r="IA128" s="3"/>
      <c r="IB128" s="3"/>
      <c r="ID128" s="3"/>
      <c r="IE128" s="3"/>
      <c r="IF128" s="3"/>
      <c r="IG128" s="3"/>
      <c r="IS128" s="3">
        <v>3778000</v>
      </c>
      <c r="IT128" s="3">
        <v>0</v>
      </c>
      <c r="IU128" s="3">
        <v>0</v>
      </c>
      <c r="IV128" s="3">
        <v>0</v>
      </c>
      <c r="IW128" s="3">
        <v>3778000</v>
      </c>
      <c r="IX128" s="3">
        <v>3778000</v>
      </c>
      <c r="IY128" s="3">
        <v>0</v>
      </c>
      <c r="IZ128" s="3">
        <v>0</v>
      </c>
      <c r="JA128" s="3">
        <v>0</v>
      </c>
      <c r="JB128" s="3">
        <v>3778000</v>
      </c>
      <c r="JC128" s="3"/>
      <c r="JD128" s="3"/>
      <c r="JE128" s="3"/>
      <c r="JF128" s="3"/>
      <c r="JG128" s="3"/>
      <c r="JH128" s="3"/>
      <c r="JI128" s="3"/>
      <c r="JJ128" s="3"/>
      <c r="JK128" s="3"/>
      <c r="JL128" s="3"/>
      <c r="JM128" s="3"/>
      <c r="JN128" s="3"/>
      <c r="JO128" s="3"/>
      <c r="JP128" s="3"/>
      <c r="JQ128" s="3"/>
      <c r="JR128" s="3"/>
      <c r="JS128" s="3"/>
      <c r="JT128" s="3"/>
      <c r="JU128" s="3"/>
      <c r="JV128" s="3"/>
      <c r="JW128" s="3"/>
      <c r="JX128" s="3"/>
      <c r="JY128" s="3"/>
      <c r="JZ128" s="3"/>
      <c r="KA128" s="3"/>
      <c r="KB128" s="3">
        <v>6449000</v>
      </c>
      <c r="KC128" s="3">
        <v>0</v>
      </c>
      <c r="KD128" s="3">
        <v>0</v>
      </c>
      <c r="KE128" s="3">
        <v>0</v>
      </c>
      <c r="KF128" s="3">
        <v>6449000</v>
      </c>
      <c r="KG128" s="3">
        <v>6449000</v>
      </c>
      <c r="KH128" s="3">
        <v>0</v>
      </c>
      <c r="KI128" s="3">
        <v>0</v>
      </c>
      <c r="KJ128" s="3">
        <v>0</v>
      </c>
      <c r="KK128" s="3">
        <v>6449000</v>
      </c>
      <c r="KL128" s="3"/>
      <c r="KM128" s="3"/>
      <c r="KN128" s="3"/>
      <c r="KO128" s="3"/>
      <c r="KP128" s="3"/>
      <c r="KQ128" s="3"/>
      <c r="KR128" s="3"/>
      <c r="KS128" s="3"/>
      <c r="KT128" s="3"/>
      <c r="KU128" s="3"/>
      <c r="KV128" s="3"/>
      <c r="KW128" s="3"/>
      <c r="KX128" s="3"/>
      <c r="KY128" s="3"/>
      <c r="KZ128" s="3"/>
      <c r="LA128" s="3"/>
      <c r="LB128" s="3"/>
      <c r="LC128" s="3"/>
      <c r="LD128" s="3"/>
      <c r="LE128" s="3"/>
      <c r="LF128" s="3"/>
      <c r="LG128" s="3"/>
      <c r="LH128" s="3"/>
      <c r="LI128" s="3"/>
      <c r="LJ128" s="3"/>
      <c r="LK128" s="3">
        <v>11552000</v>
      </c>
      <c r="LL128" s="3">
        <v>0</v>
      </c>
      <c r="LM128">
        <v>0</v>
      </c>
      <c r="LN128">
        <v>0</v>
      </c>
      <c r="LO128" s="3">
        <v>11552000</v>
      </c>
    </row>
    <row r="129" spans="1:327" x14ac:dyDescent="0.25">
      <c r="A129" t="s">
        <v>943</v>
      </c>
      <c r="B129" t="s">
        <v>944</v>
      </c>
      <c r="C129" t="s">
        <v>735</v>
      </c>
      <c r="D129" t="s">
        <v>990</v>
      </c>
      <c r="E129" t="s">
        <v>217</v>
      </c>
      <c r="F129" t="s">
        <v>218</v>
      </c>
      <c r="G129" t="s">
        <v>1084</v>
      </c>
      <c r="H129" s="3">
        <v>4814000</v>
      </c>
      <c r="I129" s="3">
        <v>5717000</v>
      </c>
      <c r="J129" s="3">
        <v>0</v>
      </c>
      <c r="K129" s="3">
        <v>0</v>
      </c>
      <c r="L129" s="3">
        <v>10531000</v>
      </c>
      <c r="M129" s="3">
        <v>4814000</v>
      </c>
      <c r="N129" s="3">
        <v>5717000</v>
      </c>
      <c r="O129" s="3">
        <v>0</v>
      </c>
      <c r="P129" s="3">
        <v>0</v>
      </c>
      <c r="Q129" s="3">
        <v>10531000</v>
      </c>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v>5163000</v>
      </c>
      <c r="AR129" s="3">
        <v>15741000</v>
      </c>
      <c r="AS129" s="3">
        <v>0</v>
      </c>
      <c r="AT129" s="3">
        <v>22105000</v>
      </c>
      <c r="AU129" s="3">
        <v>43009000</v>
      </c>
      <c r="AV129" s="3">
        <v>5163000</v>
      </c>
      <c r="AW129" s="3">
        <v>15741000</v>
      </c>
      <c r="AX129" s="3">
        <v>0</v>
      </c>
      <c r="AY129" s="3">
        <v>22105000</v>
      </c>
      <c r="AZ129" s="3">
        <v>43009000</v>
      </c>
      <c r="BA129" s="3"/>
      <c r="BB129" s="3"/>
      <c r="BC129" s="3"/>
      <c r="BD129" s="3"/>
      <c r="BE129" s="3"/>
      <c r="BF129" s="3"/>
      <c r="BG129" s="3"/>
      <c r="BH129" s="3"/>
      <c r="BI129" s="3"/>
      <c r="BJ129" s="3"/>
      <c r="BK129" s="3"/>
      <c r="BL129" s="3"/>
      <c r="BM129" s="3"/>
      <c r="BN129" s="3"/>
      <c r="BO129" s="3"/>
      <c r="BP129" s="3"/>
      <c r="BQ129" s="3"/>
      <c r="BR129" s="3"/>
      <c r="BS129" s="3"/>
      <c r="BU129" s="3"/>
      <c r="BV129" s="3"/>
      <c r="BW129" s="3"/>
      <c r="BX129" s="3"/>
      <c r="BZ129" s="3">
        <v>4186000</v>
      </c>
      <c r="CA129" s="3">
        <v>14187000</v>
      </c>
      <c r="CB129" s="3">
        <v>0</v>
      </c>
      <c r="CC129" s="3">
        <v>7307000</v>
      </c>
      <c r="CD129" s="3">
        <v>25680000</v>
      </c>
      <c r="CE129" s="3">
        <v>4186000</v>
      </c>
      <c r="CF129" s="3">
        <v>14187000</v>
      </c>
      <c r="CG129" s="3">
        <v>0</v>
      </c>
      <c r="CH129" s="3">
        <v>7307000</v>
      </c>
      <c r="CI129" s="3">
        <v>25680000</v>
      </c>
      <c r="CJ129" s="3"/>
      <c r="CK129" s="3"/>
      <c r="CL129" s="3"/>
      <c r="CM129" s="3"/>
      <c r="CN129" s="3"/>
      <c r="CO129" s="3"/>
      <c r="CP129" s="3"/>
      <c r="CQ129" s="3"/>
      <c r="CR129" s="3"/>
      <c r="CS129" s="3"/>
      <c r="CT129" s="3"/>
      <c r="CU129" s="3"/>
      <c r="CV129" s="3"/>
      <c r="CW129" s="3"/>
      <c r="CX129" s="3"/>
      <c r="CY129" s="3"/>
      <c r="CZ129" s="3"/>
      <c r="DA129" s="3"/>
      <c r="DB129" s="3"/>
      <c r="DD129" s="3"/>
      <c r="DE129" s="3"/>
      <c r="DF129" s="3"/>
      <c r="DG129" s="3"/>
      <c r="DI129" s="3">
        <v>5373000</v>
      </c>
      <c r="DJ129" s="3">
        <v>19447000</v>
      </c>
      <c r="DK129" s="3">
        <v>0</v>
      </c>
      <c r="DL129" s="3">
        <v>9119000</v>
      </c>
      <c r="DM129" s="3">
        <v>33939000</v>
      </c>
      <c r="DN129" s="3">
        <v>5373000</v>
      </c>
      <c r="DO129" s="3">
        <v>19447000</v>
      </c>
      <c r="DP129" s="3">
        <v>0</v>
      </c>
      <c r="DQ129" s="3">
        <v>9119000</v>
      </c>
      <c r="DR129" s="3">
        <v>33939000</v>
      </c>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R129" s="3">
        <v>5196000</v>
      </c>
      <c r="ES129" s="3">
        <v>14773000</v>
      </c>
      <c r="ET129" s="3">
        <v>0</v>
      </c>
      <c r="EU129" s="3">
        <v>5682000</v>
      </c>
      <c r="EV129" s="3">
        <v>25651000</v>
      </c>
      <c r="EW129" s="3">
        <v>5196000</v>
      </c>
      <c r="EX129" s="3">
        <v>14773000</v>
      </c>
      <c r="EY129" s="3">
        <v>0</v>
      </c>
      <c r="EZ129" s="3">
        <v>5682000</v>
      </c>
      <c r="FA129" s="3">
        <v>25651000</v>
      </c>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v>3225000</v>
      </c>
      <c r="GB129" s="3">
        <v>8927000</v>
      </c>
      <c r="GC129" s="3">
        <v>0</v>
      </c>
      <c r="GD129" s="3">
        <v>0</v>
      </c>
      <c r="GE129" s="3">
        <v>12152000</v>
      </c>
      <c r="GF129" s="3">
        <v>3225000</v>
      </c>
      <c r="GG129" s="3">
        <v>8927000</v>
      </c>
      <c r="GH129" s="3">
        <v>0</v>
      </c>
      <c r="GI129" s="3">
        <v>0</v>
      </c>
      <c r="GJ129" s="3">
        <v>12152000</v>
      </c>
      <c r="GK129" s="3"/>
      <c r="GL129" s="3"/>
      <c r="GM129" s="3"/>
      <c r="GN129" s="3"/>
      <c r="GO129" s="3"/>
      <c r="GP129" s="3"/>
      <c r="GQ129" s="3"/>
      <c r="GR129" s="3"/>
      <c r="GS129" s="3"/>
      <c r="GU129" s="3"/>
      <c r="GV129" s="3"/>
      <c r="GW129" s="3"/>
      <c r="GX129" s="3"/>
      <c r="GY129" s="3"/>
      <c r="GZ129" s="3"/>
      <c r="HA129" s="3"/>
      <c r="HB129" s="3"/>
      <c r="HC129" s="3"/>
      <c r="HE129" s="3"/>
      <c r="HF129" s="3"/>
      <c r="HG129" s="3"/>
      <c r="HH129" s="3"/>
      <c r="HJ129" s="3">
        <v>4080000</v>
      </c>
      <c r="HK129" s="3">
        <v>18886000</v>
      </c>
      <c r="HL129" s="3">
        <v>0</v>
      </c>
      <c r="HM129" s="3">
        <v>5700000</v>
      </c>
      <c r="HN129" s="3">
        <v>28666000</v>
      </c>
      <c r="HO129" s="3">
        <v>4080000</v>
      </c>
      <c r="HP129" s="3">
        <v>18886000</v>
      </c>
      <c r="HQ129" s="3">
        <v>0</v>
      </c>
      <c r="HR129" s="3">
        <v>5700000</v>
      </c>
      <c r="HS129" s="3">
        <v>28666000</v>
      </c>
      <c r="HT129" s="3"/>
      <c r="HU129" s="3"/>
      <c r="HV129" s="3"/>
      <c r="HW129" s="3"/>
      <c r="HX129" s="3"/>
      <c r="HY129" s="3"/>
      <c r="HZ129" s="3"/>
      <c r="IA129" s="3"/>
      <c r="IB129" s="3"/>
      <c r="ID129" s="3"/>
      <c r="IE129" s="3"/>
      <c r="IF129" s="3"/>
      <c r="IG129" s="3"/>
      <c r="IS129" s="3">
        <v>5639000</v>
      </c>
      <c r="IT129" s="3">
        <v>17714000</v>
      </c>
      <c r="IU129" s="3">
        <v>0</v>
      </c>
      <c r="IV129" s="3">
        <v>8740000</v>
      </c>
      <c r="IW129" s="3">
        <v>32093000</v>
      </c>
      <c r="IX129" s="3">
        <v>5639000</v>
      </c>
      <c r="IY129" s="3">
        <v>17714000</v>
      </c>
      <c r="IZ129" s="3">
        <v>0</v>
      </c>
      <c r="JA129" s="3">
        <v>8740000</v>
      </c>
      <c r="JB129" s="3">
        <v>32093000</v>
      </c>
      <c r="JC129" s="3"/>
      <c r="JD129" s="3"/>
      <c r="JE129" s="3"/>
      <c r="JF129" s="3"/>
      <c r="JG129" s="3"/>
      <c r="JH129" s="3"/>
      <c r="JI129" s="3"/>
      <c r="JJ129" s="3"/>
      <c r="JK129" s="3"/>
      <c r="JL129" s="3"/>
      <c r="JM129" s="3"/>
      <c r="JN129" s="3"/>
      <c r="JO129" s="3"/>
      <c r="JP129" s="3"/>
      <c r="JQ129" s="3"/>
      <c r="JR129" s="3"/>
      <c r="JS129" s="3"/>
      <c r="JT129" s="3"/>
      <c r="JU129" s="3"/>
      <c r="JV129" s="3"/>
      <c r="JW129" s="3"/>
      <c r="JX129" s="3"/>
      <c r="JY129" s="3"/>
      <c r="JZ129" s="3"/>
      <c r="KA129" s="3"/>
      <c r="KB129" s="3">
        <v>5757000</v>
      </c>
      <c r="KC129" s="3">
        <v>14492000</v>
      </c>
      <c r="KD129" s="3">
        <v>0</v>
      </c>
      <c r="KE129" s="3">
        <v>12020000</v>
      </c>
      <c r="KF129" s="3">
        <v>32269000</v>
      </c>
      <c r="KG129" s="3">
        <v>5757000</v>
      </c>
      <c r="KH129" s="3">
        <v>14492000</v>
      </c>
      <c r="KI129" s="3">
        <v>0</v>
      </c>
      <c r="KJ129" s="3">
        <v>12020000</v>
      </c>
      <c r="KK129" s="3">
        <v>32269000</v>
      </c>
      <c r="KL129" s="3"/>
      <c r="KM129" s="3"/>
      <c r="KN129" s="3"/>
      <c r="KO129" s="3"/>
      <c r="KP129" s="3"/>
      <c r="KQ129" s="3"/>
      <c r="KR129" s="3"/>
      <c r="KS129" s="3"/>
      <c r="KT129" s="3"/>
      <c r="KU129" s="3"/>
      <c r="KV129" s="3"/>
      <c r="KW129" s="3"/>
      <c r="KX129" s="3"/>
      <c r="KY129" s="3"/>
      <c r="KZ129" s="3"/>
      <c r="LA129" s="3"/>
      <c r="LB129" s="3"/>
      <c r="LC129" s="3"/>
      <c r="LD129" s="3"/>
      <c r="LE129" s="3"/>
      <c r="LF129" s="3"/>
      <c r="LG129" s="3"/>
      <c r="LH129" s="3"/>
      <c r="LI129" s="3"/>
      <c r="LJ129" s="3"/>
      <c r="LK129" s="3">
        <v>8445000</v>
      </c>
      <c r="LL129" s="3">
        <v>14293000</v>
      </c>
      <c r="LM129">
        <v>0</v>
      </c>
      <c r="LN129">
        <v>0</v>
      </c>
      <c r="LO129" s="3">
        <v>22738000</v>
      </c>
    </row>
    <row r="130" spans="1:327" x14ac:dyDescent="0.25">
      <c r="A130" t="s">
        <v>943</v>
      </c>
      <c r="B130" t="s">
        <v>944</v>
      </c>
      <c r="C130" t="s">
        <v>735</v>
      </c>
      <c r="D130" t="s">
        <v>990</v>
      </c>
      <c r="E130" t="s">
        <v>217</v>
      </c>
      <c r="F130" t="s">
        <v>220</v>
      </c>
      <c r="G130" t="s">
        <v>1085</v>
      </c>
      <c r="H130" s="3">
        <v>53208000</v>
      </c>
      <c r="I130" s="3">
        <v>179471000</v>
      </c>
      <c r="J130" s="3">
        <v>0</v>
      </c>
      <c r="K130" s="3">
        <v>3330000</v>
      </c>
      <c r="L130" s="3">
        <v>236009000</v>
      </c>
      <c r="M130" s="3">
        <v>53208000</v>
      </c>
      <c r="N130" s="3">
        <v>200971000</v>
      </c>
      <c r="O130" s="3">
        <v>0</v>
      </c>
      <c r="P130" s="3">
        <v>3330000</v>
      </c>
      <c r="Q130" s="3">
        <v>257509000</v>
      </c>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v>56466000</v>
      </c>
      <c r="AR130" s="3">
        <v>174645000</v>
      </c>
      <c r="AS130" s="3">
        <v>0</v>
      </c>
      <c r="AT130" s="3">
        <v>4200000</v>
      </c>
      <c r="AU130" s="3">
        <v>235311000</v>
      </c>
      <c r="AV130" s="3">
        <v>56466000</v>
      </c>
      <c r="AW130" s="3">
        <v>174645000</v>
      </c>
      <c r="AX130" s="3">
        <v>0</v>
      </c>
      <c r="AY130" s="3">
        <v>4200000</v>
      </c>
      <c r="AZ130" s="3">
        <v>235311000</v>
      </c>
      <c r="BA130" s="3"/>
      <c r="BB130" s="3"/>
      <c r="BC130" s="3"/>
      <c r="BD130" s="3"/>
      <c r="BE130" s="3"/>
      <c r="BF130" s="3"/>
      <c r="BG130" s="3"/>
      <c r="BH130" s="3"/>
      <c r="BI130" s="3"/>
      <c r="BJ130" s="3"/>
      <c r="BK130" s="3"/>
      <c r="BL130" s="3"/>
      <c r="BM130" s="3"/>
      <c r="BN130" s="3"/>
      <c r="BO130" s="3"/>
      <c r="BP130" s="3"/>
      <c r="BQ130" s="3"/>
      <c r="BR130" s="3"/>
      <c r="BS130" s="3"/>
      <c r="BU130" s="3"/>
      <c r="BV130" s="3"/>
      <c r="BW130" s="3"/>
      <c r="BX130" s="3"/>
      <c r="BZ130" s="3">
        <v>57878000</v>
      </c>
      <c r="CA130" s="3">
        <v>177789000</v>
      </c>
      <c r="CB130" s="3">
        <v>0</v>
      </c>
      <c r="CC130" s="3">
        <v>0</v>
      </c>
      <c r="CD130" s="3">
        <v>235667000</v>
      </c>
      <c r="CE130" s="3">
        <v>57878000</v>
      </c>
      <c r="CF130" s="3">
        <v>177789000</v>
      </c>
      <c r="CG130" s="3">
        <v>0</v>
      </c>
      <c r="CH130" s="3">
        <v>0</v>
      </c>
      <c r="CI130" s="3">
        <v>235667000</v>
      </c>
      <c r="CJ130" s="3"/>
      <c r="CK130" s="3"/>
      <c r="CL130" s="3"/>
      <c r="CM130" s="3"/>
      <c r="CN130" s="3"/>
      <c r="CO130" s="3"/>
      <c r="CP130" s="3"/>
      <c r="CQ130" s="3"/>
      <c r="CR130" s="3"/>
      <c r="CS130" s="3"/>
      <c r="CT130" s="3"/>
      <c r="CU130" s="3"/>
      <c r="CV130" s="3"/>
      <c r="CW130" s="3"/>
      <c r="CX130" s="3"/>
      <c r="CY130" s="3"/>
      <c r="CZ130" s="3"/>
      <c r="DA130" s="3"/>
      <c r="DB130" s="3"/>
      <c r="DD130" s="3"/>
      <c r="DE130" s="3"/>
      <c r="DF130" s="3"/>
      <c r="DG130" s="3"/>
      <c r="DI130" s="3">
        <v>54221000</v>
      </c>
      <c r="DJ130" s="3">
        <v>198807000</v>
      </c>
      <c r="DK130" s="3">
        <v>0</v>
      </c>
      <c r="DL130" s="3">
        <v>0</v>
      </c>
      <c r="DM130" s="3">
        <v>253028000</v>
      </c>
      <c r="DN130" s="3">
        <v>54221000</v>
      </c>
      <c r="DO130" s="3">
        <v>198807000</v>
      </c>
      <c r="DP130" s="3">
        <v>0</v>
      </c>
      <c r="DQ130" s="3">
        <v>0</v>
      </c>
      <c r="DR130" s="3">
        <v>253028000</v>
      </c>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R130" s="3">
        <v>53030000</v>
      </c>
      <c r="ES130" s="3">
        <v>198807000</v>
      </c>
      <c r="ET130" s="3">
        <v>0</v>
      </c>
      <c r="EU130" s="3">
        <v>0</v>
      </c>
      <c r="EV130" s="3">
        <v>251837000</v>
      </c>
      <c r="EW130" s="3">
        <v>53030000</v>
      </c>
      <c r="EX130" s="3">
        <v>198807000</v>
      </c>
      <c r="EY130" s="3">
        <v>0</v>
      </c>
      <c r="EZ130" s="3">
        <v>0</v>
      </c>
      <c r="FA130" s="3">
        <v>251837000</v>
      </c>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v>53753000</v>
      </c>
      <c r="GB130" s="3">
        <v>206029000</v>
      </c>
      <c r="GC130" s="3">
        <v>0</v>
      </c>
      <c r="GD130" s="3">
        <v>12000000</v>
      </c>
      <c r="GE130" s="3">
        <v>271782000</v>
      </c>
      <c r="GF130" s="3">
        <v>53753000</v>
      </c>
      <c r="GG130" s="3">
        <v>206029000</v>
      </c>
      <c r="GH130" s="3">
        <v>0</v>
      </c>
      <c r="GI130" s="3">
        <v>12000000</v>
      </c>
      <c r="GJ130" s="3">
        <v>271782000</v>
      </c>
      <c r="GK130" s="3"/>
      <c r="GL130" s="3"/>
      <c r="GM130" s="3"/>
      <c r="GN130" s="3"/>
      <c r="GO130" s="3"/>
      <c r="GP130" s="3"/>
      <c r="GQ130" s="3"/>
      <c r="GR130" s="3"/>
      <c r="GS130" s="3"/>
      <c r="GU130" s="3"/>
      <c r="GV130" s="3"/>
      <c r="GW130" s="3"/>
      <c r="GX130" s="3"/>
      <c r="GY130" s="3"/>
      <c r="GZ130" s="3"/>
      <c r="HA130" s="3"/>
      <c r="HB130" s="3"/>
      <c r="HC130" s="3"/>
      <c r="HE130" s="3"/>
      <c r="HF130" s="3"/>
      <c r="HG130" s="3"/>
      <c r="HH130" s="3"/>
      <c r="HJ130" s="3">
        <v>54265000</v>
      </c>
      <c r="HK130" s="3">
        <v>209738000</v>
      </c>
      <c r="HL130" s="3">
        <v>0</v>
      </c>
      <c r="HM130" s="3">
        <v>0</v>
      </c>
      <c r="HN130" s="3">
        <v>264003000</v>
      </c>
      <c r="HO130" s="3">
        <v>54265000</v>
      </c>
      <c r="HP130" s="3">
        <v>169238000</v>
      </c>
      <c r="HQ130" s="3">
        <v>0</v>
      </c>
      <c r="HR130" s="3">
        <v>40500000</v>
      </c>
      <c r="HS130" s="3">
        <v>264003000</v>
      </c>
      <c r="HT130" s="3"/>
      <c r="HU130" s="3"/>
      <c r="HV130" s="3"/>
      <c r="HW130" s="3"/>
      <c r="HX130" s="3"/>
      <c r="HY130" s="3"/>
      <c r="HZ130" s="3"/>
      <c r="IA130" s="3"/>
      <c r="IB130" s="3"/>
      <c r="ID130" s="3"/>
      <c r="IE130" s="3"/>
      <c r="IF130" s="3"/>
      <c r="IG130" s="3"/>
      <c r="IS130" s="3">
        <v>48441000</v>
      </c>
      <c r="IT130" s="3">
        <v>271413000</v>
      </c>
      <c r="IU130" s="3">
        <v>0</v>
      </c>
      <c r="IV130" s="3">
        <v>35300000</v>
      </c>
      <c r="IW130" s="3">
        <v>355154000</v>
      </c>
      <c r="IX130" s="3">
        <v>48441000</v>
      </c>
      <c r="IY130" s="3">
        <v>271413000</v>
      </c>
      <c r="IZ130" s="3">
        <v>0</v>
      </c>
      <c r="JA130" s="3">
        <v>35300000</v>
      </c>
      <c r="JB130" s="3">
        <v>355154000</v>
      </c>
      <c r="JC130" s="3"/>
      <c r="JD130" s="3"/>
      <c r="JE130" s="3"/>
      <c r="JF130" s="3"/>
      <c r="JG130" s="3"/>
      <c r="JH130" s="3"/>
      <c r="JI130" s="3"/>
      <c r="JJ130" s="3"/>
      <c r="JK130" s="3"/>
      <c r="JL130" s="3"/>
      <c r="JM130" s="3"/>
      <c r="JN130" s="3"/>
      <c r="JO130" s="3"/>
      <c r="JP130" s="3"/>
      <c r="JQ130" s="3"/>
      <c r="JR130" s="3"/>
      <c r="JS130" s="3"/>
      <c r="JT130" s="3"/>
      <c r="JU130" s="3"/>
      <c r="JV130" s="3"/>
      <c r="JW130" s="3"/>
      <c r="JX130" s="3"/>
      <c r="JY130" s="3"/>
      <c r="JZ130" s="3"/>
      <c r="KA130" s="3"/>
      <c r="KB130" s="3">
        <v>55896000</v>
      </c>
      <c r="KC130" s="3">
        <v>332256000</v>
      </c>
      <c r="KD130" s="3">
        <v>0</v>
      </c>
      <c r="KE130" s="3">
        <v>47700000</v>
      </c>
      <c r="KF130" s="3">
        <v>435852000</v>
      </c>
      <c r="KG130" s="3">
        <v>55896000</v>
      </c>
      <c r="KH130" s="3">
        <v>332256000</v>
      </c>
      <c r="KI130" s="3">
        <v>0</v>
      </c>
      <c r="KJ130" s="3">
        <v>47700000</v>
      </c>
      <c r="KK130" s="3">
        <v>435852000</v>
      </c>
      <c r="KL130" s="3"/>
      <c r="KM130" s="3"/>
      <c r="KN130" s="3"/>
      <c r="KO130" s="3"/>
      <c r="KP130" s="3"/>
      <c r="KQ130" s="3"/>
      <c r="KR130" s="3"/>
      <c r="KS130" s="3"/>
      <c r="KT130" s="3"/>
      <c r="KU130" s="3"/>
      <c r="KV130" s="3"/>
      <c r="KW130" s="3"/>
      <c r="KX130" s="3"/>
      <c r="KY130" s="3"/>
      <c r="KZ130" s="3"/>
      <c r="LA130" s="3"/>
      <c r="LB130" s="3"/>
      <c r="LC130" s="3"/>
      <c r="LD130" s="3"/>
      <c r="LE130" s="3"/>
      <c r="LF130" s="3"/>
      <c r="LG130" s="3"/>
      <c r="LH130" s="3"/>
      <c r="LI130" s="3"/>
      <c r="LJ130" s="3"/>
      <c r="LK130" s="3">
        <v>55599000</v>
      </c>
      <c r="LL130" s="3">
        <v>357837000</v>
      </c>
      <c r="LM130">
        <v>0</v>
      </c>
      <c r="LN130" s="3">
        <v>44000000</v>
      </c>
      <c r="LO130" s="3">
        <v>457436000</v>
      </c>
    </row>
    <row r="131" spans="1:327" x14ac:dyDescent="0.25">
      <c r="A131" t="s">
        <v>943</v>
      </c>
      <c r="B131" t="s">
        <v>944</v>
      </c>
      <c r="C131" t="s">
        <v>735</v>
      </c>
      <c r="D131" t="s">
        <v>990</v>
      </c>
      <c r="E131" t="s">
        <v>217</v>
      </c>
      <c r="F131" t="s">
        <v>222</v>
      </c>
      <c r="G131" t="s">
        <v>1086</v>
      </c>
      <c r="H131" s="3">
        <v>0</v>
      </c>
      <c r="I131" s="3">
        <v>19461000</v>
      </c>
      <c r="J131" s="3">
        <v>0</v>
      </c>
      <c r="K131" s="3">
        <v>0</v>
      </c>
      <c r="L131" s="3">
        <v>19461000</v>
      </c>
      <c r="M131" s="3">
        <v>0</v>
      </c>
      <c r="N131" s="3">
        <v>22461000</v>
      </c>
      <c r="O131" s="3">
        <v>0</v>
      </c>
      <c r="P131" s="3">
        <v>10000000</v>
      </c>
      <c r="Q131" s="3">
        <v>32461000</v>
      </c>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v>0</v>
      </c>
      <c r="AR131" s="3">
        <v>17969000</v>
      </c>
      <c r="AS131" s="3">
        <v>0</v>
      </c>
      <c r="AT131" s="3">
        <v>10000000</v>
      </c>
      <c r="AU131" s="3">
        <v>27969000</v>
      </c>
      <c r="AV131" s="3">
        <v>0</v>
      </c>
      <c r="AW131" s="3">
        <v>17969000</v>
      </c>
      <c r="AX131" s="3">
        <v>0</v>
      </c>
      <c r="AY131" s="3">
        <v>10000000</v>
      </c>
      <c r="AZ131" s="3">
        <v>27969000</v>
      </c>
      <c r="BA131" s="3"/>
      <c r="BB131" s="3"/>
      <c r="BC131" s="3"/>
      <c r="BD131" s="3"/>
      <c r="BE131" s="3"/>
      <c r="BF131" s="3"/>
      <c r="BG131" s="3"/>
      <c r="BH131" s="3"/>
      <c r="BI131" s="3"/>
      <c r="BJ131" s="3"/>
      <c r="BK131" s="3"/>
      <c r="BL131" s="3"/>
      <c r="BM131" s="3"/>
      <c r="BN131" s="3"/>
      <c r="BO131" s="3"/>
      <c r="BP131" s="3"/>
      <c r="BQ131" s="3"/>
      <c r="BR131" s="3"/>
      <c r="BS131" s="3"/>
      <c r="BU131" s="3"/>
      <c r="BV131" s="3"/>
      <c r="BW131" s="3"/>
      <c r="BX131" s="3"/>
      <c r="BZ131" s="3">
        <v>0</v>
      </c>
      <c r="CA131" s="3">
        <v>18292000</v>
      </c>
      <c r="CB131" s="3">
        <v>0</v>
      </c>
      <c r="CC131" s="3">
        <v>0</v>
      </c>
      <c r="CD131" s="3">
        <v>18292000</v>
      </c>
      <c r="CE131" s="3">
        <v>0</v>
      </c>
      <c r="CF131" s="3">
        <v>18292000</v>
      </c>
      <c r="CG131" s="3">
        <v>0</v>
      </c>
      <c r="CH131" s="3">
        <v>0</v>
      </c>
      <c r="CI131" s="3">
        <v>18292000</v>
      </c>
      <c r="CJ131" s="3"/>
      <c r="CK131" s="3"/>
      <c r="CL131" s="3"/>
      <c r="CM131" s="3"/>
      <c r="CN131" s="3"/>
      <c r="CO131" s="3"/>
      <c r="CP131" s="3"/>
      <c r="CQ131" s="3"/>
      <c r="CR131" s="3"/>
      <c r="CS131" s="3"/>
      <c r="CT131" s="3"/>
      <c r="CU131" s="3"/>
      <c r="CV131" s="3"/>
      <c r="CW131" s="3"/>
      <c r="CX131" s="3"/>
      <c r="CY131" s="3"/>
      <c r="CZ131" s="3"/>
      <c r="DA131" s="3"/>
      <c r="DB131" s="3"/>
      <c r="DD131" s="3"/>
      <c r="DE131" s="3"/>
      <c r="DF131" s="3"/>
      <c r="DG131" s="3"/>
      <c r="DI131" s="3">
        <v>0</v>
      </c>
      <c r="DJ131" s="3">
        <v>20455000</v>
      </c>
      <c r="DK131" s="3">
        <v>0</v>
      </c>
      <c r="DL131" s="3">
        <v>0</v>
      </c>
      <c r="DM131" s="3">
        <v>20455000</v>
      </c>
      <c r="DN131" s="3">
        <v>0</v>
      </c>
      <c r="DO131" s="3">
        <v>20455000</v>
      </c>
      <c r="DP131" s="3">
        <v>0</v>
      </c>
      <c r="DQ131" s="3">
        <v>0</v>
      </c>
      <c r="DR131" s="3">
        <v>20455000</v>
      </c>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R131" s="3">
        <v>0</v>
      </c>
      <c r="ES131" s="3">
        <v>20455000</v>
      </c>
      <c r="ET131" s="3">
        <v>0</v>
      </c>
      <c r="EU131" s="3">
        <v>0</v>
      </c>
      <c r="EV131" s="3">
        <v>20455000</v>
      </c>
      <c r="EW131" s="3">
        <v>0</v>
      </c>
      <c r="EX131" s="3">
        <v>20455000</v>
      </c>
      <c r="EY131" s="3">
        <v>0</v>
      </c>
      <c r="EZ131" s="3">
        <v>0</v>
      </c>
      <c r="FA131" s="3">
        <v>20455000</v>
      </c>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v>0</v>
      </c>
      <c r="GB131" s="3">
        <v>21195000</v>
      </c>
      <c r="GC131" s="3">
        <v>0</v>
      </c>
      <c r="GD131" s="3">
        <v>0</v>
      </c>
      <c r="GE131" s="3">
        <v>21195000</v>
      </c>
      <c r="GF131" s="3">
        <v>0</v>
      </c>
      <c r="GG131" s="3">
        <v>21195000</v>
      </c>
      <c r="GH131" s="3">
        <v>0</v>
      </c>
      <c r="GI131" s="3">
        <v>0</v>
      </c>
      <c r="GJ131" s="3">
        <v>21195000</v>
      </c>
      <c r="GK131" s="3"/>
      <c r="GL131" s="3"/>
      <c r="GM131" s="3"/>
      <c r="GN131" s="3"/>
      <c r="GO131" s="3"/>
      <c r="GP131" s="3"/>
      <c r="GQ131" s="3"/>
      <c r="GR131" s="3"/>
      <c r="GS131" s="3"/>
      <c r="GU131" s="3"/>
      <c r="GV131" s="3"/>
      <c r="GW131" s="3"/>
      <c r="GX131" s="3"/>
      <c r="GY131" s="3"/>
      <c r="GZ131" s="3"/>
      <c r="HA131" s="3"/>
      <c r="HB131" s="3"/>
      <c r="HC131" s="3"/>
      <c r="HE131" s="3"/>
      <c r="HF131" s="3"/>
      <c r="HG131" s="3"/>
      <c r="HH131" s="3"/>
      <c r="HJ131" s="3">
        <v>0</v>
      </c>
      <c r="HK131" s="3">
        <v>21577000</v>
      </c>
      <c r="HL131" s="3">
        <v>0</v>
      </c>
      <c r="HM131" s="3">
        <v>10400000</v>
      </c>
      <c r="HN131" s="3">
        <v>31977000</v>
      </c>
      <c r="HO131" s="3">
        <v>0</v>
      </c>
      <c r="HP131" s="3">
        <v>21577000</v>
      </c>
      <c r="HQ131" s="3">
        <v>0</v>
      </c>
      <c r="HR131" s="3">
        <v>10400000</v>
      </c>
      <c r="HS131" s="3">
        <v>31977000</v>
      </c>
      <c r="HT131" s="3"/>
      <c r="HU131" s="3"/>
      <c r="HV131" s="3"/>
      <c r="HW131" s="3"/>
      <c r="HX131" s="3"/>
      <c r="HY131" s="3"/>
      <c r="HZ131" s="3"/>
      <c r="IA131" s="3"/>
      <c r="IB131" s="3"/>
      <c r="ID131" s="3"/>
      <c r="IE131" s="3"/>
      <c r="IF131" s="3"/>
      <c r="IG131" s="3"/>
      <c r="IS131" s="3">
        <v>0</v>
      </c>
      <c r="IT131" s="3">
        <v>21965000</v>
      </c>
      <c r="IU131" s="3">
        <v>0</v>
      </c>
      <c r="IV131" s="3">
        <v>0</v>
      </c>
      <c r="IW131" s="3">
        <v>21965000</v>
      </c>
      <c r="IX131" s="3">
        <v>0</v>
      </c>
      <c r="IY131" s="3">
        <v>40965000</v>
      </c>
      <c r="IZ131" s="3">
        <v>0</v>
      </c>
      <c r="JA131" s="3">
        <v>16000000</v>
      </c>
      <c r="JB131" s="3">
        <v>56965000</v>
      </c>
      <c r="JC131" s="3"/>
      <c r="JD131" s="3"/>
      <c r="JE131" s="3"/>
      <c r="JF131" s="3"/>
      <c r="JG131" s="3"/>
      <c r="JH131" s="3"/>
      <c r="JI131" s="3"/>
      <c r="JJ131" s="3"/>
      <c r="JK131" s="3"/>
      <c r="JL131" s="3"/>
      <c r="JM131" s="3"/>
      <c r="JN131" s="3"/>
      <c r="JO131" s="3"/>
      <c r="JP131" s="3"/>
      <c r="JQ131" s="3"/>
      <c r="JR131" s="3"/>
      <c r="JS131" s="3"/>
      <c r="JT131" s="3"/>
      <c r="JU131" s="3"/>
      <c r="JV131" s="3"/>
      <c r="JW131" s="3"/>
      <c r="JX131" s="3"/>
      <c r="JY131" s="3"/>
      <c r="JZ131" s="3"/>
      <c r="KA131" s="3"/>
      <c r="KB131" s="3">
        <v>0</v>
      </c>
      <c r="KC131" s="3">
        <v>22360000</v>
      </c>
      <c r="KD131" s="3">
        <v>0</v>
      </c>
      <c r="KE131" s="3">
        <v>0</v>
      </c>
      <c r="KF131" s="3">
        <v>22360000</v>
      </c>
      <c r="KG131" s="3">
        <v>0</v>
      </c>
      <c r="KH131" s="3">
        <v>22360000</v>
      </c>
      <c r="KI131" s="3">
        <v>0</v>
      </c>
      <c r="KJ131" s="3">
        <v>0</v>
      </c>
      <c r="KK131" s="3">
        <v>22360000</v>
      </c>
      <c r="KL131" s="3"/>
      <c r="KM131" s="3"/>
      <c r="KN131" s="3"/>
      <c r="KO131" s="3"/>
      <c r="KP131" s="3"/>
      <c r="KQ131" s="3"/>
      <c r="KR131" s="3"/>
      <c r="KS131" s="3"/>
      <c r="KT131" s="3"/>
      <c r="KU131" s="3"/>
      <c r="KV131" s="3"/>
      <c r="KW131" s="3"/>
      <c r="KX131" s="3"/>
      <c r="KY131" s="3"/>
      <c r="KZ131" s="3"/>
      <c r="LA131" s="3"/>
      <c r="LB131" s="3"/>
      <c r="LC131" s="3"/>
      <c r="LD131" s="3"/>
      <c r="LE131" s="3"/>
      <c r="LF131" s="3"/>
      <c r="LG131" s="3"/>
      <c r="LH131" s="3"/>
      <c r="LI131" s="3"/>
      <c r="LJ131" s="3"/>
      <c r="LK131">
        <v>0</v>
      </c>
      <c r="LL131" s="3">
        <v>21396000</v>
      </c>
      <c r="LM131">
        <v>0</v>
      </c>
      <c r="LN131">
        <v>0</v>
      </c>
      <c r="LO131" s="3">
        <v>21396000</v>
      </c>
    </row>
    <row r="132" spans="1:327" x14ac:dyDescent="0.25">
      <c r="A132" t="s">
        <v>943</v>
      </c>
      <c r="B132" t="s">
        <v>944</v>
      </c>
      <c r="C132" t="s">
        <v>735</v>
      </c>
      <c r="D132" t="s">
        <v>990</v>
      </c>
      <c r="E132" t="s">
        <v>217</v>
      </c>
      <c r="F132" t="s">
        <v>516</v>
      </c>
      <c r="G132" t="s">
        <v>1087</v>
      </c>
      <c r="H132" s="3">
        <v>4304000</v>
      </c>
      <c r="I132" s="3">
        <v>6149000</v>
      </c>
      <c r="J132" s="3">
        <v>0</v>
      </c>
      <c r="K132" s="3">
        <v>0</v>
      </c>
      <c r="L132" s="3">
        <v>10453000</v>
      </c>
      <c r="M132" s="3">
        <v>4304000</v>
      </c>
      <c r="N132" s="3">
        <v>6149000</v>
      </c>
      <c r="O132" s="3">
        <v>0</v>
      </c>
      <c r="P132" s="3">
        <v>0</v>
      </c>
      <c r="Q132" s="3">
        <v>10453000</v>
      </c>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v>4721000</v>
      </c>
      <c r="AR132" s="3">
        <v>5709000</v>
      </c>
      <c r="AS132" s="3">
        <v>0</v>
      </c>
      <c r="AT132" s="3">
        <v>0</v>
      </c>
      <c r="AU132" s="3">
        <v>10430000</v>
      </c>
      <c r="AV132" s="3">
        <v>4721000</v>
      </c>
      <c r="AW132" s="3">
        <v>5709000</v>
      </c>
      <c r="AX132" s="3">
        <v>0</v>
      </c>
      <c r="AY132" s="3">
        <v>0</v>
      </c>
      <c r="AZ132" s="3">
        <v>10430000</v>
      </c>
      <c r="BA132" s="3"/>
      <c r="BB132" s="3"/>
      <c r="BC132" s="3"/>
      <c r="BD132" s="3"/>
      <c r="BE132" s="3"/>
      <c r="BF132" s="3"/>
      <c r="BG132" s="3"/>
      <c r="BH132" s="3"/>
      <c r="BI132" s="3"/>
      <c r="BJ132" s="3"/>
      <c r="BK132" s="3"/>
      <c r="BL132" s="3"/>
      <c r="BM132" s="3"/>
      <c r="BN132" s="3"/>
      <c r="BO132" s="3"/>
      <c r="BP132" s="3"/>
      <c r="BQ132" s="3"/>
      <c r="BR132" s="3"/>
      <c r="BS132" s="3"/>
      <c r="BU132" s="3"/>
      <c r="BV132" s="3"/>
      <c r="BW132" s="3"/>
      <c r="BX132" s="3"/>
      <c r="BZ132" s="3">
        <v>4881000</v>
      </c>
      <c r="CA132" s="3">
        <v>5812000</v>
      </c>
      <c r="CB132" s="3">
        <v>0</v>
      </c>
      <c r="CC132" s="3">
        <v>0</v>
      </c>
      <c r="CD132" s="3">
        <v>10693000</v>
      </c>
      <c r="CE132" s="3">
        <v>4881000</v>
      </c>
      <c r="CF132" s="3">
        <v>5812000</v>
      </c>
      <c r="CG132" s="3">
        <v>0</v>
      </c>
      <c r="CH132" s="3">
        <v>0</v>
      </c>
      <c r="CI132" s="3">
        <v>10693000</v>
      </c>
      <c r="CJ132" s="3"/>
      <c r="CK132" s="3"/>
      <c r="CL132" s="3"/>
      <c r="CM132" s="3"/>
      <c r="CN132" s="3"/>
      <c r="CO132" s="3"/>
      <c r="CP132" s="3"/>
      <c r="CQ132" s="3"/>
      <c r="CR132" s="3"/>
      <c r="CS132" s="3"/>
      <c r="CT132" s="3"/>
      <c r="CU132" s="3"/>
      <c r="CV132" s="3"/>
      <c r="CW132" s="3"/>
      <c r="CX132" s="3"/>
      <c r="CY132" s="3"/>
      <c r="CZ132" s="3"/>
      <c r="DA132" s="3"/>
      <c r="DB132" s="3"/>
      <c r="DD132" s="3"/>
      <c r="DE132" s="3"/>
      <c r="DF132" s="3"/>
      <c r="DG132" s="3"/>
      <c r="DI132" s="3">
        <v>5186000</v>
      </c>
      <c r="DJ132" s="3">
        <v>6499000</v>
      </c>
      <c r="DK132" s="3">
        <v>0</v>
      </c>
      <c r="DL132" s="3">
        <v>0</v>
      </c>
      <c r="DM132" s="3">
        <v>11685000</v>
      </c>
      <c r="DN132" s="3">
        <v>5186000</v>
      </c>
      <c r="DO132" s="3">
        <v>6499000</v>
      </c>
      <c r="DP132" s="3">
        <v>0</v>
      </c>
      <c r="DQ132" s="3">
        <v>0</v>
      </c>
      <c r="DR132" s="3">
        <v>11685000</v>
      </c>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R132" s="3">
        <v>5109000</v>
      </c>
      <c r="ES132" s="3">
        <v>6499000</v>
      </c>
      <c r="ET132" s="3">
        <v>0</v>
      </c>
      <c r="EU132" s="3">
        <v>0</v>
      </c>
      <c r="EV132" s="3">
        <v>11608000</v>
      </c>
      <c r="EW132" s="3">
        <v>5109000</v>
      </c>
      <c r="EX132" s="3">
        <v>6499000</v>
      </c>
      <c r="EY132" s="3">
        <v>0</v>
      </c>
      <c r="EZ132" s="3">
        <v>0</v>
      </c>
      <c r="FA132" s="3">
        <v>11608000</v>
      </c>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v>5276000</v>
      </c>
      <c r="GB132" s="3">
        <v>6735000</v>
      </c>
      <c r="GC132" s="3">
        <v>0</v>
      </c>
      <c r="GD132" s="3">
        <v>0</v>
      </c>
      <c r="GE132" s="3">
        <v>12011000</v>
      </c>
      <c r="GF132" s="3">
        <v>5276000</v>
      </c>
      <c r="GG132" s="3">
        <v>6735000</v>
      </c>
      <c r="GH132" s="3">
        <v>0</v>
      </c>
      <c r="GI132" s="3">
        <v>0</v>
      </c>
      <c r="GJ132" s="3">
        <v>12011000</v>
      </c>
      <c r="GK132" s="3"/>
      <c r="GL132" s="3"/>
      <c r="GM132" s="3"/>
      <c r="GN132" s="3"/>
      <c r="GO132" s="3"/>
      <c r="GP132" s="3"/>
      <c r="GQ132" s="3"/>
      <c r="GR132" s="3"/>
      <c r="GS132" s="3"/>
      <c r="GU132" s="3"/>
      <c r="GV132" s="3"/>
      <c r="GW132" s="3"/>
      <c r="GX132" s="3"/>
      <c r="GY132" s="3"/>
      <c r="GZ132" s="3"/>
      <c r="HA132" s="3"/>
      <c r="HB132" s="3"/>
      <c r="HC132" s="3"/>
      <c r="HE132" s="3"/>
      <c r="HF132" s="3"/>
      <c r="HG132" s="3"/>
      <c r="HH132" s="3"/>
      <c r="HJ132" s="3">
        <v>5280000</v>
      </c>
      <c r="HK132" s="3">
        <v>6856000</v>
      </c>
      <c r="HL132" s="3">
        <v>0</v>
      </c>
      <c r="HM132" s="3">
        <v>0</v>
      </c>
      <c r="HN132" s="3">
        <v>12136000</v>
      </c>
      <c r="HO132" s="3">
        <v>5280000</v>
      </c>
      <c r="HP132" s="3">
        <v>6856000</v>
      </c>
      <c r="HQ132" s="3">
        <v>0</v>
      </c>
      <c r="HR132" s="3">
        <v>0</v>
      </c>
      <c r="HS132" s="3">
        <v>12136000</v>
      </c>
      <c r="HT132" s="3"/>
      <c r="HU132" s="3"/>
      <c r="HV132" s="3"/>
      <c r="HW132" s="3"/>
      <c r="HX132" s="3"/>
      <c r="HY132" s="3"/>
      <c r="HZ132" s="3"/>
      <c r="IA132" s="3"/>
      <c r="IB132" s="3"/>
      <c r="ID132" s="3"/>
      <c r="IE132" s="3"/>
      <c r="IF132" s="3"/>
      <c r="IG132" s="3"/>
      <c r="IS132" s="3">
        <v>5330000</v>
      </c>
      <c r="IT132" s="3">
        <v>16980000</v>
      </c>
      <c r="IU132" s="3">
        <v>0</v>
      </c>
      <c r="IV132" s="3">
        <v>25000000</v>
      </c>
      <c r="IW132" s="3">
        <v>47310000</v>
      </c>
      <c r="IX132" s="3">
        <v>5330000</v>
      </c>
      <c r="IY132" s="3">
        <v>6980000</v>
      </c>
      <c r="IZ132" s="3">
        <v>0</v>
      </c>
      <c r="JA132" s="3">
        <v>0</v>
      </c>
      <c r="JB132" s="3">
        <v>12310000</v>
      </c>
      <c r="JC132" s="3"/>
      <c r="JD132" s="3"/>
      <c r="JE132" s="3"/>
      <c r="JF132" s="3"/>
      <c r="JG132" s="3"/>
      <c r="JH132" s="3"/>
      <c r="JI132" s="3"/>
      <c r="JJ132" s="3"/>
      <c r="JK132" s="3"/>
      <c r="JL132" s="3"/>
      <c r="JM132" s="3"/>
      <c r="JN132" s="3"/>
      <c r="JO132" s="3"/>
      <c r="JP132" s="3"/>
      <c r="JQ132" s="3"/>
      <c r="JR132" s="3"/>
      <c r="JS132" s="3"/>
      <c r="JT132" s="3"/>
      <c r="JU132" s="3"/>
      <c r="JV132" s="3"/>
      <c r="JW132" s="3"/>
      <c r="JX132" s="3"/>
      <c r="JY132" s="3"/>
      <c r="JZ132" s="3"/>
      <c r="KA132" s="3"/>
      <c r="KB132" s="3">
        <v>4692000</v>
      </c>
      <c r="KC132" s="3">
        <v>7105000</v>
      </c>
      <c r="KD132" s="3">
        <v>0</v>
      </c>
      <c r="KE132" s="3">
        <v>0</v>
      </c>
      <c r="KF132" s="3">
        <v>11797000</v>
      </c>
      <c r="KG132" s="3">
        <v>4692000</v>
      </c>
      <c r="KH132" s="3">
        <v>7105000</v>
      </c>
      <c r="KI132" s="3">
        <v>0</v>
      </c>
      <c r="KJ132" s="3">
        <v>0</v>
      </c>
      <c r="KK132" s="3">
        <v>11797000</v>
      </c>
      <c r="KL132" s="3"/>
      <c r="KM132" s="3"/>
      <c r="KN132" s="3"/>
      <c r="KO132" s="3"/>
      <c r="KP132" s="3"/>
      <c r="KQ132" s="3"/>
      <c r="KR132" s="3"/>
      <c r="KS132" s="3"/>
      <c r="KT132" s="3"/>
      <c r="KU132" s="3"/>
      <c r="KV132" s="3"/>
      <c r="KW132" s="3"/>
      <c r="KX132" s="3"/>
      <c r="KY132" s="3"/>
      <c r="KZ132" s="3"/>
      <c r="LA132" s="3"/>
      <c r="LB132" s="3"/>
      <c r="LC132" s="3"/>
      <c r="LD132" s="3"/>
      <c r="LE132" s="3"/>
      <c r="LF132" s="3"/>
      <c r="LG132" s="3"/>
      <c r="LH132" s="3"/>
      <c r="LI132" s="3"/>
      <c r="LJ132" s="3"/>
      <c r="LK132" s="3">
        <v>5639000</v>
      </c>
      <c r="LL132" s="3">
        <v>7233000</v>
      </c>
      <c r="LM132">
        <v>0</v>
      </c>
      <c r="LN132">
        <v>0</v>
      </c>
      <c r="LO132" s="3">
        <v>12872000</v>
      </c>
    </row>
    <row r="133" spans="1:327" x14ac:dyDescent="0.25">
      <c r="A133" t="s">
        <v>943</v>
      </c>
      <c r="B133" t="s">
        <v>944</v>
      </c>
      <c r="C133" t="s">
        <v>735</v>
      </c>
      <c r="D133" t="s">
        <v>990</v>
      </c>
      <c r="E133" t="s">
        <v>217</v>
      </c>
      <c r="F133" t="s">
        <v>517</v>
      </c>
      <c r="G133" t="s">
        <v>1078</v>
      </c>
      <c r="H133" s="3">
        <v>32469000</v>
      </c>
      <c r="I133" s="3">
        <v>60832000</v>
      </c>
      <c r="J133" s="3">
        <v>0</v>
      </c>
      <c r="K133" s="3">
        <v>14770000</v>
      </c>
      <c r="L133" s="3">
        <v>108071000</v>
      </c>
      <c r="M133" s="3">
        <v>32469000</v>
      </c>
      <c r="N133" s="3">
        <v>60832000</v>
      </c>
      <c r="O133" s="3">
        <v>0</v>
      </c>
      <c r="P133" s="3">
        <v>14770000</v>
      </c>
      <c r="Q133" s="3">
        <v>108071000</v>
      </c>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v>36293000</v>
      </c>
      <c r="AR133" s="3">
        <v>48843000</v>
      </c>
      <c r="AS133" s="3">
        <v>0</v>
      </c>
      <c r="AT133" s="3">
        <v>2390000</v>
      </c>
      <c r="AU133" s="3">
        <v>87526000</v>
      </c>
      <c r="AV133" s="3">
        <v>36293000</v>
      </c>
      <c r="AW133" s="3">
        <v>48843000</v>
      </c>
      <c r="AX133" s="3">
        <v>0</v>
      </c>
      <c r="AY133" s="3">
        <v>2390000</v>
      </c>
      <c r="AZ133" s="3">
        <v>87526000</v>
      </c>
      <c r="BA133" s="3"/>
      <c r="BB133" s="3"/>
      <c r="BC133" s="3"/>
      <c r="BD133" s="3"/>
      <c r="BE133" s="3"/>
      <c r="BF133" s="3"/>
      <c r="BG133" s="3"/>
      <c r="BH133" s="3"/>
      <c r="BI133" s="3"/>
      <c r="BJ133" s="3"/>
      <c r="BK133" s="3"/>
      <c r="BL133" s="3"/>
      <c r="BM133" s="3"/>
      <c r="BN133" s="3"/>
      <c r="BO133" s="3"/>
      <c r="BP133" s="3"/>
      <c r="BQ133" s="3"/>
      <c r="BR133" s="3"/>
      <c r="BS133" s="3"/>
      <c r="BU133" s="3"/>
      <c r="BV133" s="3"/>
      <c r="BW133" s="3"/>
      <c r="BX133" s="3"/>
      <c r="BZ133" s="3">
        <v>39521000</v>
      </c>
      <c r="CA133" s="3">
        <v>49722000</v>
      </c>
      <c r="CB133" s="3">
        <v>0</v>
      </c>
      <c r="CC133" s="3">
        <v>0</v>
      </c>
      <c r="CD133" s="3">
        <v>89243000</v>
      </c>
      <c r="CE133" s="3">
        <v>39521000</v>
      </c>
      <c r="CF133" s="3">
        <v>49722000</v>
      </c>
      <c r="CG133" s="3">
        <v>0</v>
      </c>
      <c r="CH133" s="3">
        <v>0</v>
      </c>
      <c r="CI133" s="3">
        <v>89243000</v>
      </c>
      <c r="CJ133" s="3"/>
      <c r="CK133" s="3"/>
      <c r="CL133" s="3"/>
      <c r="CM133" s="3"/>
      <c r="CN133" s="3"/>
      <c r="CO133" s="3"/>
      <c r="CP133" s="3"/>
      <c r="CQ133" s="3"/>
      <c r="CR133" s="3"/>
      <c r="CS133" s="3"/>
      <c r="CT133" s="3"/>
      <c r="CU133" s="3"/>
      <c r="CV133" s="3"/>
      <c r="CW133" s="3"/>
      <c r="CX133" s="3"/>
      <c r="CY133" s="3"/>
      <c r="CZ133" s="3"/>
      <c r="DA133" s="3"/>
      <c r="DB133" s="3"/>
      <c r="DD133" s="3"/>
      <c r="DE133" s="3"/>
      <c r="DF133" s="3"/>
      <c r="DG133" s="3"/>
      <c r="DI133" s="3">
        <v>38642000</v>
      </c>
      <c r="DJ133" s="3">
        <v>55600000</v>
      </c>
      <c r="DK133" s="3">
        <v>0</v>
      </c>
      <c r="DL133" s="3">
        <v>0</v>
      </c>
      <c r="DM133" s="3">
        <v>94242000</v>
      </c>
      <c r="DN133" s="3">
        <v>38642000</v>
      </c>
      <c r="DO133" s="3">
        <v>55600000</v>
      </c>
      <c r="DP133" s="3">
        <v>0</v>
      </c>
      <c r="DQ133" s="3">
        <v>0</v>
      </c>
      <c r="DR133" s="3">
        <v>94242000</v>
      </c>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R133" s="3">
        <v>32662000</v>
      </c>
      <c r="ES133" s="3">
        <v>55600000</v>
      </c>
      <c r="ET133" s="3">
        <v>0</v>
      </c>
      <c r="EU133" s="3">
        <v>0</v>
      </c>
      <c r="EV133" s="3">
        <v>88262000</v>
      </c>
      <c r="EW133" s="3">
        <v>32662000</v>
      </c>
      <c r="EX133" s="3">
        <v>55600000</v>
      </c>
      <c r="EY133" s="3">
        <v>0</v>
      </c>
      <c r="EZ133" s="3">
        <v>0</v>
      </c>
      <c r="FA133" s="3">
        <v>88262000</v>
      </c>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v>35493000</v>
      </c>
      <c r="GB133" s="3">
        <v>57619000</v>
      </c>
      <c r="GC133" s="3">
        <v>0</v>
      </c>
      <c r="GD133" s="3">
        <v>0</v>
      </c>
      <c r="GE133" s="3">
        <v>93112000</v>
      </c>
      <c r="GF133" s="3">
        <v>0</v>
      </c>
      <c r="GG133" s="3">
        <v>0</v>
      </c>
      <c r="GH133" s="3">
        <v>0</v>
      </c>
      <c r="GI133" s="3">
        <v>0</v>
      </c>
      <c r="GJ133" s="3">
        <v>0</v>
      </c>
      <c r="GK133" s="3"/>
      <c r="GL133" s="3"/>
      <c r="GM133" s="3"/>
      <c r="GN133" s="3"/>
      <c r="GO133" s="3"/>
      <c r="GP133" s="3"/>
      <c r="GQ133" s="3"/>
      <c r="GR133" s="3"/>
      <c r="GS133" s="3"/>
      <c r="GU133" s="3"/>
      <c r="GV133" s="3"/>
      <c r="GW133" s="3"/>
      <c r="GX133" s="3"/>
      <c r="GY133" s="3"/>
      <c r="GZ133" s="3"/>
      <c r="HA133" s="3"/>
      <c r="HB133" s="3"/>
      <c r="HC133" s="3"/>
      <c r="HE133" s="3"/>
      <c r="HF133" s="3"/>
      <c r="HG133" s="3"/>
      <c r="HH133" s="3"/>
      <c r="HJ133" s="3">
        <v>34240000</v>
      </c>
      <c r="HK133" s="3">
        <v>54714000</v>
      </c>
      <c r="HL133" s="3">
        <v>0</v>
      </c>
      <c r="HM133" s="3">
        <v>0</v>
      </c>
      <c r="HN133" s="3">
        <v>88954000</v>
      </c>
      <c r="HO133" s="3">
        <v>34240000</v>
      </c>
      <c r="HP133" s="3">
        <v>54714000</v>
      </c>
      <c r="HQ133" s="3">
        <v>0</v>
      </c>
      <c r="HR133" s="3">
        <v>0</v>
      </c>
      <c r="HS133" s="3">
        <v>88954000</v>
      </c>
      <c r="HT133" s="3"/>
      <c r="HU133" s="3"/>
      <c r="HV133" s="3"/>
      <c r="HW133" s="3"/>
      <c r="HX133" s="3"/>
      <c r="HY133" s="3"/>
      <c r="HZ133" s="3"/>
      <c r="IA133" s="3"/>
      <c r="IB133" s="3"/>
      <c r="ID133" s="3"/>
      <c r="IE133" s="3"/>
      <c r="IF133" s="3"/>
      <c r="IG133" s="3"/>
      <c r="IS133" s="3">
        <v>35599000</v>
      </c>
      <c r="IT133" s="3">
        <v>55699000</v>
      </c>
      <c r="IU133" s="3">
        <v>0</v>
      </c>
      <c r="IV133" s="3">
        <v>0</v>
      </c>
      <c r="IW133" s="3">
        <v>91298000</v>
      </c>
      <c r="IX133" s="3">
        <v>35599000</v>
      </c>
      <c r="IY133" s="3">
        <v>55699000</v>
      </c>
      <c r="IZ133" s="3">
        <v>0</v>
      </c>
      <c r="JA133" s="3">
        <v>0</v>
      </c>
      <c r="JB133" s="3">
        <v>91298000</v>
      </c>
      <c r="JC133" s="3"/>
      <c r="JD133" s="3"/>
      <c r="JE133" s="3"/>
      <c r="JF133" s="3"/>
      <c r="JG133" s="3"/>
      <c r="JH133" s="3"/>
      <c r="JI133" s="3"/>
      <c r="JJ133" s="3"/>
      <c r="JK133" s="3"/>
      <c r="JL133" s="3"/>
      <c r="JM133" s="3"/>
      <c r="JN133" s="3"/>
      <c r="JO133" s="3"/>
      <c r="JP133" s="3"/>
      <c r="JQ133" s="3"/>
      <c r="JR133" s="3"/>
      <c r="JS133" s="3"/>
      <c r="JT133" s="3"/>
      <c r="JU133" s="3"/>
      <c r="JV133" s="3"/>
      <c r="JW133" s="3"/>
      <c r="JX133" s="3"/>
      <c r="JY133" s="3"/>
      <c r="JZ133" s="3"/>
      <c r="KA133" s="3"/>
      <c r="KB133" s="3">
        <v>37153000</v>
      </c>
      <c r="KC133" s="3">
        <v>61702000</v>
      </c>
      <c r="KD133" s="3">
        <v>0</v>
      </c>
      <c r="KE133" s="3">
        <v>0</v>
      </c>
      <c r="KF133" s="3">
        <v>98855000</v>
      </c>
      <c r="KG133" s="3">
        <v>37153000</v>
      </c>
      <c r="KH133" s="3">
        <v>61702000</v>
      </c>
      <c r="KI133" s="3">
        <v>0</v>
      </c>
      <c r="KJ133" s="3">
        <v>0</v>
      </c>
      <c r="KK133" s="3">
        <v>98855000</v>
      </c>
      <c r="KL133" s="3"/>
      <c r="KM133" s="3"/>
      <c r="KN133" s="3"/>
      <c r="KO133" s="3"/>
      <c r="KP133" s="3"/>
      <c r="KQ133" s="3"/>
      <c r="KR133" s="3"/>
      <c r="KS133" s="3"/>
      <c r="KT133" s="3"/>
      <c r="KU133" s="3"/>
      <c r="KV133" s="3"/>
      <c r="KW133" s="3"/>
      <c r="KX133" s="3"/>
      <c r="KY133" s="3"/>
      <c r="KZ133" s="3"/>
      <c r="LA133" s="3"/>
      <c r="LB133" s="3"/>
      <c r="LC133" s="3"/>
      <c r="LD133" s="3"/>
      <c r="LE133" s="3"/>
      <c r="LF133" s="3"/>
      <c r="LG133" s="3"/>
      <c r="LH133" s="3"/>
      <c r="LI133" s="3"/>
      <c r="LJ133" s="3"/>
      <c r="LK133" s="3">
        <v>33489000</v>
      </c>
      <c r="LL133" s="3">
        <v>62813000</v>
      </c>
      <c r="LM133">
        <v>0</v>
      </c>
      <c r="LN133">
        <v>0</v>
      </c>
      <c r="LO133" s="3">
        <v>96302000</v>
      </c>
    </row>
    <row r="134" spans="1:327" x14ac:dyDescent="0.25">
      <c r="A134" t="s">
        <v>943</v>
      </c>
      <c r="B134" t="s">
        <v>944</v>
      </c>
      <c r="C134" t="s">
        <v>735</v>
      </c>
      <c r="D134" t="s">
        <v>990</v>
      </c>
      <c r="E134" t="s">
        <v>217</v>
      </c>
      <c r="F134" t="s">
        <v>518</v>
      </c>
      <c r="G134" t="s">
        <v>1088</v>
      </c>
      <c r="H134" s="3">
        <v>0</v>
      </c>
      <c r="I134" s="3">
        <v>34198000</v>
      </c>
      <c r="J134" s="3">
        <v>0</v>
      </c>
      <c r="K134" s="3">
        <v>2800000</v>
      </c>
      <c r="L134" s="3">
        <v>36998000</v>
      </c>
      <c r="M134" s="3">
        <v>0</v>
      </c>
      <c r="N134" s="3">
        <v>34198000</v>
      </c>
      <c r="O134" s="3">
        <v>0</v>
      </c>
      <c r="P134" s="3">
        <v>2800000</v>
      </c>
      <c r="Q134" s="3">
        <v>36998000</v>
      </c>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v>0</v>
      </c>
      <c r="AR134" s="3">
        <v>28444000</v>
      </c>
      <c r="AS134" s="3">
        <v>0</v>
      </c>
      <c r="AT134" s="3">
        <v>0</v>
      </c>
      <c r="AU134" s="3">
        <v>28444000</v>
      </c>
      <c r="AV134" s="3">
        <v>0</v>
      </c>
      <c r="AW134" s="3">
        <v>28444000</v>
      </c>
      <c r="AX134" s="3">
        <v>0</v>
      </c>
      <c r="AY134" s="3">
        <v>0</v>
      </c>
      <c r="AZ134" s="3">
        <v>28444000</v>
      </c>
      <c r="BA134" s="3"/>
      <c r="BB134" s="3"/>
      <c r="BC134" s="3"/>
      <c r="BD134" s="3"/>
      <c r="BE134" s="3"/>
      <c r="BF134" s="3"/>
      <c r="BG134" s="3"/>
      <c r="BH134" s="3"/>
      <c r="BI134" s="3"/>
      <c r="BJ134" s="3"/>
      <c r="BK134" s="3"/>
      <c r="BL134" s="3"/>
      <c r="BM134" s="3"/>
      <c r="BN134" s="3"/>
      <c r="BO134" s="3"/>
      <c r="BP134" s="3"/>
      <c r="BQ134" s="3"/>
      <c r="BR134" s="3"/>
      <c r="BS134" s="3"/>
      <c r="BU134" s="3"/>
      <c r="BV134" s="3"/>
      <c r="BW134" s="3"/>
      <c r="BX134" s="3"/>
      <c r="BZ134" s="3">
        <v>620000</v>
      </c>
      <c r="CA134" s="3">
        <v>28956000</v>
      </c>
      <c r="CB134" s="3">
        <v>0</v>
      </c>
      <c r="CC134" s="3">
        <v>0</v>
      </c>
      <c r="CD134" s="3">
        <v>29576000</v>
      </c>
      <c r="CE134" s="3">
        <v>620000</v>
      </c>
      <c r="CF134" s="3">
        <v>28956000</v>
      </c>
      <c r="CG134" s="3">
        <v>0</v>
      </c>
      <c r="CH134" s="3">
        <v>0</v>
      </c>
      <c r="CI134" s="3">
        <v>29576000</v>
      </c>
      <c r="CJ134" s="3"/>
      <c r="CK134" s="3"/>
      <c r="CL134" s="3"/>
      <c r="CM134" s="3"/>
      <c r="CN134" s="3"/>
      <c r="CO134" s="3"/>
      <c r="CP134" s="3"/>
      <c r="CQ134" s="3"/>
      <c r="CR134" s="3"/>
      <c r="CS134" s="3"/>
      <c r="CT134" s="3"/>
      <c r="CU134" s="3"/>
      <c r="CV134" s="3"/>
      <c r="CW134" s="3"/>
      <c r="CX134" s="3"/>
      <c r="CY134" s="3"/>
      <c r="CZ134" s="3"/>
      <c r="DA134" s="3"/>
      <c r="DB134" s="3"/>
      <c r="DD134" s="3"/>
      <c r="DE134" s="3"/>
      <c r="DF134" s="3"/>
      <c r="DG134" s="3"/>
      <c r="DI134" s="3">
        <v>662000</v>
      </c>
      <c r="DJ134" s="3">
        <v>31913000</v>
      </c>
      <c r="DK134" s="3">
        <v>0</v>
      </c>
      <c r="DL134" s="3">
        <v>0</v>
      </c>
      <c r="DM134" s="3">
        <v>32575000</v>
      </c>
      <c r="DN134" s="3">
        <v>662000</v>
      </c>
      <c r="DO134" s="3">
        <v>31913000</v>
      </c>
      <c r="DP134" s="3">
        <v>0</v>
      </c>
      <c r="DQ134" s="3">
        <v>0</v>
      </c>
      <c r="DR134" s="3">
        <v>32575000</v>
      </c>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R134" s="3">
        <v>684000</v>
      </c>
      <c r="ES134" s="3">
        <v>31913000</v>
      </c>
      <c r="ET134" s="3">
        <v>0</v>
      </c>
      <c r="EU134" s="3">
        <v>0</v>
      </c>
      <c r="EV134" s="3">
        <v>32597000</v>
      </c>
      <c r="EW134" s="3">
        <v>684000</v>
      </c>
      <c r="EX134" s="3">
        <v>31913000</v>
      </c>
      <c r="EY134" s="3">
        <v>0</v>
      </c>
      <c r="EZ134" s="3">
        <v>0</v>
      </c>
      <c r="FA134" s="3">
        <v>32597000</v>
      </c>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v>711000</v>
      </c>
      <c r="GB134" s="3">
        <v>33072000</v>
      </c>
      <c r="GC134" s="3">
        <v>0</v>
      </c>
      <c r="GD134" s="3">
        <v>0</v>
      </c>
      <c r="GE134" s="3">
        <v>33783000</v>
      </c>
      <c r="GF134" s="3">
        <v>711000</v>
      </c>
      <c r="GG134" s="3">
        <v>33072000</v>
      </c>
      <c r="GH134" s="3">
        <v>0</v>
      </c>
      <c r="GI134" s="3">
        <v>0</v>
      </c>
      <c r="GJ134" s="3">
        <v>33783000</v>
      </c>
      <c r="GK134" s="3"/>
      <c r="GL134" s="3"/>
      <c r="GM134" s="3"/>
      <c r="GN134" s="3"/>
      <c r="GO134" s="3"/>
      <c r="GP134" s="3"/>
      <c r="GQ134" s="3"/>
      <c r="GR134" s="3"/>
      <c r="GS134" s="3"/>
      <c r="GU134" s="3"/>
      <c r="GV134" s="3"/>
      <c r="GW134" s="3"/>
      <c r="GX134" s="3"/>
      <c r="GY134" s="3"/>
      <c r="GZ134" s="3"/>
      <c r="HA134" s="3"/>
      <c r="HB134" s="3"/>
      <c r="HC134" s="3"/>
      <c r="HE134" s="3"/>
      <c r="HF134" s="3"/>
      <c r="HG134" s="3"/>
      <c r="HH134" s="3"/>
      <c r="HJ134" s="3">
        <v>0</v>
      </c>
      <c r="HK134" s="3">
        <v>33667000</v>
      </c>
      <c r="HL134" s="3">
        <v>0</v>
      </c>
      <c r="HM134" s="3">
        <v>0</v>
      </c>
      <c r="HN134" s="3">
        <v>33667000</v>
      </c>
      <c r="HO134" s="3">
        <v>0</v>
      </c>
      <c r="HP134" s="3">
        <v>33667000</v>
      </c>
      <c r="HQ134" s="3">
        <v>0</v>
      </c>
      <c r="HR134" s="3">
        <v>0</v>
      </c>
      <c r="HS134" s="3">
        <v>33667000</v>
      </c>
      <c r="HT134" s="3"/>
      <c r="HU134" s="3"/>
      <c r="HV134" s="3"/>
      <c r="HW134" s="3"/>
      <c r="HX134" s="3"/>
      <c r="HY134" s="3"/>
      <c r="HZ134" s="3"/>
      <c r="IA134" s="3"/>
      <c r="IB134" s="3"/>
      <c r="ID134" s="3"/>
      <c r="IE134" s="3"/>
      <c r="IF134" s="3"/>
      <c r="IG134" s="3"/>
      <c r="IS134" s="3">
        <v>0</v>
      </c>
      <c r="IT134" s="3">
        <v>34273000</v>
      </c>
      <c r="IU134" s="3">
        <v>0</v>
      </c>
      <c r="IV134" s="3">
        <v>0</v>
      </c>
      <c r="IW134" s="3">
        <v>34273000</v>
      </c>
      <c r="IX134" s="3">
        <v>0</v>
      </c>
      <c r="IY134" s="3">
        <v>34273000</v>
      </c>
      <c r="IZ134" s="3">
        <v>0</v>
      </c>
      <c r="JA134" s="3">
        <v>0</v>
      </c>
      <c r="JB134" s="3">
        <v>34273000</v>
      </c>
      <c r="JC134" s="3"/>
      <c r="JD134" s="3"/>
      <c r="JE134" s="3"/>
      <c r="JF134" s="3"/>
      <c r="JG134" s="3"/>
      <c r="JH134" s="3"/>
      <c r="JI134" s="3"/>
      <c r="JJ134" s="3"/>
      <c r="JK134" s="3"/>
      <c r="JL134" s="3"/>
      <c r="JM134" s="3"/>
      <c r="JN134" s="3"/>
      <c r="JO134" s="3"/>
      <c r="JP134" s="3"/>
      <c r="JQ134" s="3"/>
      <c r="JR134" s="3"/>
      <c r="JS134" s="3"/>
      <c r="JT134" s="3"/>
      <c r="JU134" s="3"/>
      <c r="JV134" s="3"/>
      <c r="JW134" s="3"/>
      <c r="JX134" s="3"/>
      <c r="JY134" s="3"/>
      <c r="JZ134" s="3"/>
      <c r="KA134" s="3"/>
      <c r="KB134" s="3">
        <v>816000</v>
      </c>
      <c r="KC134" s="3">
        <v>41390000</v>
      </c>
      <c r="KD134" s="3">
        <v>0</v>
      </c>
      <c r="KE134" s="3">
        <v>5500000</v>
      </c>
      <c r="KF134" s="3">
        <v>47706000</v>
      </c>
      <c r="KG134" s="3">
        <v>816000</v>
      </c>
      <c r="KH134" s="3">
        <v>41390000</v>
      </c>
      <c r="KI134" s="3">
        <v>0</v>
      </c>
      <c r="KJ134" s="3">
        <v>5500000</v>
      </c>
      <c r="KK134" s="3">
        <v>47706000</v>
      </c>
      <c r="KL134" s="3"/>
      <c r="KM134" s="3"/>
      <c r="KN134" s="3"/>
      <c r="KO134" s="3"/>
      <c r="KP134" s="3"/>
      <c r="KQ134" s="3"/>
      <c r="KR134" s="3"/>
      <c r="KS134" s="3"/>
      <c r="KT134" s="3"/>
      <c r="KU134" s="3"/>
      <c r="KV134" s="3"/>
      <c r="KW134" s="3"/>
      <c r="KX134" s="3"/>
      <c r="KY134" s="3"/>
      <c r="KZ134" s="3"/>
      <c r="LA134" s="3"/>
      <c r="LB134" s="3"/>
      <c r="LC134" s="3"/>
      <c r="LD134" s="3"/>
      <c r="LE134" s="3"/>
      <c r="LF134" s="3"/>
      <c r="LG134" s="3"/>
      <c r="LH134" s="3"/>
      <c r="LI134" s="3"/>
      <c r="LJ134" s="3"/>
      <c r="LK134" s="3">
        <v>858000</v>
      </c>
      <c r="LL134" s="3">
        <v>42135000</v>
      </c>
      <c r="LM134">
        <v>0</v>
      </c>
      <c r="LN134">
        <v>0</v>
      </c>
      <c r="LO134" s="3">
        <v>42993000</v>
      </c>
    </row>
    <row r="135" spans="1:327" x14ac:dyDescent="0.25">
      <c r="A135" t="s">
        <v>943</v>
      </c>
      <c r="B135" t="s">
        <v>944</v>
      </c>
      <c r="C135" t="s">
        <v>735</v>
      </c>
      <c r="D135" t="s">
        <v>990</v>
      </c>
      <c r="E135" t="s">
        <v>217</v>
      </c>
      <c r="F135" t="s">
        <v>991</v>
      </c>
      <c r="G135" t="s">
        <v>1078</v>
      </c>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U135" s="3"/>
      <c r="BV135" s="3"/>
      <c r="BW135" s="3"/>
      <c r="BX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D135" s="3"/>
      <c r="DE135" s="3"/>
      <c r="DF135" s="3"/>
      <c r="DG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v>0</v>
      </c>
      <c r="GB135" s="3">
        <v>0</v>
      </c>
      <c r="GC135" s="3">
        <v>0</v>
      </c>
      <c r="GD135" s="3">
        <v>0</v>
      </c>
      <c r="GE135" s="3">
        <v>0</v>
      </c>
      <c r="GF135" s="3">
        <v>35493000</v>
      </c>
      <c r="GG135" s="3">
        <v>57619000</v>
      </c>
      <c r="GH135" s="3">
        <v>0</v>
      </c>
      <c r="GI135" s="3">
        <v>0</v>
      </c>
      <c r="GJ135" s="3">
        <v>93112000</v>
      </c>
      <c r="GK135" s="3"/>
      <c r="GL135" s="3"/>
      <c r="GM135" s="3"/>
      <c r="GN135" s="3"/>
      <c r="GO135" s="3"/>
      <c r="GP135" s="3"/>
      <c r="GQ135" s="3"/>
      <c r="GR135" s="3"/>
      <c r="GS135" s="3"/>
      <c r="GU135" s="3"/>
      <c r="GV135" s="3"/>
      <c r="GW135" s="3"/>
      <c r="GX135" s="3"/>
      <c r="GY135" s="3"/>
      <c r="GZ135" s="3"/>
      <c r="HA135" s="3"/>
      <c r="HB135" s="3"/>
      <c r="HC135" s="3"/>
      <c r="HE135" s="3"/>
      <c r="HF135" s="3"/>
      <c r="HG135" s="3"/>
      <c r="HH135" s="3"/>
      <c r="HJ135" s="3"/>
      <c r="HK135" s="3"/>
      <c r="HL135" s="3"/>
      <c r="HM135" s="3"/>
      <c r="HN135" s="3"/>
      <c r="HO135" s="3"/>
      <c r="HP135" s="3"/>
      <c r="HQ135" s="3"/>
      <c r="HR135" s="3"/>
      <c r="HS135" s="3"/>
      <c r="HT135" s="3"/>
      <c r="HU135" s="3"/>
      <c r="HV135" s="3"/>
      <c r="HW135" s="3"/>
      <c r="HX135" s="3"/>
      <c r="HY135" s="3"/>
      <c r="HZ135" s="3"/>
      <c r="IA135" s="3"/>
      <c r="IB135" s="3"/>
      <c r="ID135" s="3"/>
      <c r="IE135" s="3"/>
      <c r="IF135" s="3"/>
      <c r="IG135" s="3"/>
      <c r="IS135" s="3"/>
      <c r="IT135" s="3"/>
      <c r="IU135" s="3"/>
      <c r="IV135" s="3"/>
      <c r="IW135" s="3"/>
      <c r="IX135" s="3"/>
      <c r="IY135" s="3"/>
      <c r="IZ135" s="3"/>
      <c r="JA135" s="3"/>
      <c r="JB135" s="3"/>
      <c r="JC135" s="3"/>
      <c r="JD135" s="3"/>
      <c r="JE135" s="3"/>
      <c r="JF135" s="3"/>
      <c r="JG135" s="3"/>
      <c r="JH135" s="3"/>
      <c r="JI135" s="3"/>
      <c r="JJ135" s="3"/>
      <c r="JK135" s="3"/>
      <c r="JL135" s="3"/>
      <c r="JM135" s="3"/>
      <c r="JN135" s="3"/>
      <c r="JO135" s="3"/>
      <c r="JP135" s="3"/>
      <c r="JQ135" s="3"/>
      <c r="JR135" s="3"/>
      <c r="JS135" s="3"/>
      <c r="JT135" s="3"/>
      <c r="JU135" s="3"/>
      <c r="JV135" s="3"/>
      <c r="JW135" s="3"/>
      <c r="JX135" s="3"/>
      <c r="JY135" s="3"/>
      <c r="JZ135" s="3"/>
      <c r="KA135" s="3"/>
      <c r="KB135" s="3"/>
      <c r="KC135" s="3"/>
      <c r="KD135" s="3"/>
      <c r="KE135" s="3"/>
      <c r="KF135" s="3"/>
      <c r="KG135" s="3"/>
      <c r="KH135" s="3"/>
      <c r="KI135" s="3"/>
      <c r="KJ135" s="3"/>
      <c r="KK135" s="3"/>
      <c r="KL135" s="3"/>
      <c r="KM135" s="3"/>
      <c r="KN135" s="3"/>
      <c r="KO135" s="3"/>
      <c r="KP135" s="3"/>
      <c r="KQ135" s="3"/>
      <c r="KR135" s="3"/>
      <c r="KS135" s="3"/>
      <c r="KT135" s="3"/>
      <c r="KU135" s="3"/>
      <c r="KV135" s="3"/>
      <c r="KW135" s="3"/>
      <c r="KX135" s="3"/>
      <c r="KY135" s="3"/>
      <c r="KZ135" s="3"/>
      <c r="LA135" s="3"/>
      <c r="LB135" s="3"/>
      <c r="LC135" s="3"/>
      <c r="LD135" s="3"/>
      <c r="LE135" s="3"/>
      <c r="LF135" s="3"/>
      <c r="LG135" s="3"/>
      <c r="LH135" s="3"/>
      <c r="LI135" s="3"/>
      <c r="LJ135" s="3"/>
    </row>
    <row r="136" spans="1:327" x14ac:dyDescent="0.25">
      <c r="A136" t="s">
        <v>943</v>
      </c>
      <c r="B136" t="s">
        <v>944</v>
      </c>
      <c r="C136" t="s">
        <v>735</v>
      </c>
      <c r="D136" t="s">
        <v>990</v>
      </c>
      <c r="E136" t="s">
        <v>217</v>
      </c>
      <c r="F136" t="s">
        <v>618</v>
      </c>
      <c r="G136" t="s">
        <v>1132</v>
      </c>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v>0</v>
      </c>
      <c r="AR136" s="3">
        <v>0</v>
      </c>
      <c r="AS136" s="3">
        <v>0</v>
      </c>
      <c r="AT136" s="3">
        <v>0</v>
      </c>
      <c r="AU136" s="3">
        <v>0</v>
      </c>
      <c r="AV136" s="3">
        <v>0</v>
      </c>
      <c r="AW136" s="3">
        <v>66300000</v>
      </c>
      <c r="AX136" s="3">
        <v>0</v>
      </c>
      <c r="AY136" s="3">
        <v>93700000</v>
      </c>
      <c r="AZ136" s="3">
        <v>160000000</v>
      </c>
      <c r="BA136" s="3"/>
      <c r="BB136" s="3"/>
      <c r="BC136" s="3"/>
      <c r="BD136" s="3"/>
      <c r="BE136" s="3"/>
      <c r="BF136" s="3"/>
      <c r="BG136" s="3"/>
      <c r="BH136" s="3"/>
      <c r="BI136" s="3"/>
      <c r="BJ136" s="3"/>
      <c r="BK136" s="3"/>
      <c r="BL136" s="3"/>
      <c r="BM136" s="3"/>
      <c r="BN136" s="3"/>
      <c r="BO136" s="3"/>
      <c r="BP136" s="3"/>
      <c r="BQ136" s="3"/>
      <c r="BR136" s="3"/>
      <c r="BS136" s="3"/>
      <c r="BU136" s="3"/>
      <c r="BV136" s="3"/>
      <c r="BW136" s="3"/>
      <c r="BX136" s="3"/>
      <c r="BZ136" s="3">
        <v>0</v>
      </c>
      <c r="CA136" s="3">
        <v>0</v>
      </c>
      <c r="CB136" s="3">
        <v>0</v>
      </c>
      <c r="CC136" s="3">
        <v>0</v>
      </c>
      <c r="CD136" s="3">
        <v>0</v>
      </c>
      <c r="CE136" s="3">
        <v>0</v>
      </c>
      <c r="CF136" s="3">
        <v>34100000</v>
      </c>
      <c r="CG136" s="3">
        <v>0</v>
      </c>
      <c r="CH136" s="3">
        <v>75900000</v>
      </c>
      <c r="CI136" s="3">
        <v>110000000</v>
      </c>
      <c r="CJ136" s="3"/>
      <c r="CK136" s="3"/>
      <c r="CL136" s="3"/>
      <c r="CM136" s="3"/>
      <c r="CN136" s="3"/>
      <c r="CO136" s="3"/>
      <c r="CP136" s="3"/>
      <c r="CQ136" s="3"/>
      <c r="CR136" s="3"/>
      <c r="CS136" s="3"/>
      <c r="CT136" s="3"/>
      <c r="CU136" s="3"/>
      <c r="CV136" s="3"/>
      <c r="CW136" s="3"/>
      <c r="CX136" s="3"/>
      <c r="CY136" s="3"/>
      <c r="CZ136" s="3"/>
      <c r="DA136" s="3"/>
      <c r="DB136" s="3"/>
      <c r="DD136" s="3"/>
      <c r="DE136" s="3"/>
      <c r="DF136" s="3"/>
      <c r="DG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U136" s="3"/>
      <c r="GV136" s="3"/>
      <c r="GW136" s="3"/>
      <c r="GX136" s="3"/>
      <c r="GY136" s="3"/>
      <c r="GZ136" s="3"/>
      <c r="HA136" s="3"/>
      <c r="HB136" s="3"/>
      <c r="HC136" s="3"/>
      <c r="HE136" s="3"/>
      <c r="HF136" s="3"/>
      <c r="HG136" s="3"/>
      <c r="HH136" s="3"/>
      <c r="HJ136" s="3"/>
      <c r="HK136" s="3"/>
      <c r="HL136" s="3"/>
      <c r="HM136" s="3"/>
      <c r="HN136" s="3"/>
      <c r="HO136" s="3"/>
      <c r="HP136" s="3"/>
      <c r="HQ136" s="3"/>
      <c r="HR136" s="3"/>
      <c r="HS136" s="3"/>
      <c r="HT136" s="3"/>
      <c r="HU136" s="3"/>
      <c r="HV136" s="3"/>
      <c r="HW136" s="3"/>
      <c r="HX136" s="3"/>
      <c r="HY136" s="3"/>
      <c r="HZ136" s="3"/>
      <c r="IA136" s="3"/>
      <c r="IB136" s="3"/>
      <c r="ID136" s="3"/>
      <c r="IE136" s="3"/>
      <c r="IF136" s="3"/>
      <c r="IG136" s="3"/>
      <c r="IS136" s="3"/>
      <c r="IT136" s="3"/>
      <c r="IU136" s="3"/>
      <c r="IV136" s="3"/>
      <c r="IW136" s="3"/>
      <c r="IX136" s="3"/>
      <c r="IY136" s="3"/>
      <c r="IZ136" s="3"/>
      <c r="JA136" s="3"/>
      <c r="JB136" s="3"/>
      <c r="JC136" s="3"/>
      <c r="JD136" s="3"/>
      <c r="JE136" s="3"/>
      <c r="JF136" s="3"/>
      <c r="JG136" s="3"/>
      <c r="JH136" s="3"/>
      <c r="JI136" s="3"/>
      <c r="JJ136" s="3"/>
      <c r="JK136" s="3"/>
      <c r="JL136" s="3"/>
      <c r="JM136" s="3"/>
      <c r="JN136" s="3"/>
      <c r="JO136" s="3"/>
      <c r="JP136" s="3"/>
      <c r="JQ136" s="3"/>
      <c r="JR136" s="3"/>
      <c r="JS136" s="3"/>
      <c r="JT136" s="3"/>
      <c r="JU136" s="3"/>
      <c r="JV136" s="3"/>
      <c r="JW136" s="3"/>
      <c r="JX136" s="3"/>
      <c r="JY136" s="3"/>
      <c r="JZ136" s="3"/>
      <c r="KA136" s="3"/>
      <c r="KB136" s="3"/>
      <c r="KC136" s="3"/>
      <c r="KD136" s="3"/>
      <c r="KE136" s="3"/>
      <c r="KF136" s="3"/>
      <c r="KG136" s="3"/>
      <c r="KH136" s="3"/>
      <c r="KI136" s="3"/>
      <c r="KJ136" s="3"/>
      <c r="KK136" s="3"/>
      <c r="KL136" s="3"/>
      <c r="KM136" s="3"/>
      <c r="KN136" s="3"/>
      <c r="KO136" s="3"/>
      <c r="KP136" s="3"/>
      <c r="KQ136" s="3"/>
      <c r="KR136" s="3"/>
      <c r="KS136" s="3"/>
      <c r="KT136" s="3"/>
      <c r="KU136" s="3"/>
      <c r="KV136" s="3"/>
      <c r="KW136" s="3"/>
      <c r="KX136" s="3"/>
      <c r="KY136" s="3"/>
      <c r="KZ136" s="3"/>
      <c r="LA136" s="3"/>
      <c r="LB136" s="3"/>
      <c r="LC136" s="3"/>
      <c r="LD136" s="3"/>
      <c r="LE136" s="3"/>
      <c r="LF136" s="3"/>
      <c r="LG136" s="3"/>
      <c r="LH136" s="3"/>
      <c r="LI136" s="3"/>
      <c r="LJ136" s="3"/>
    </row>
    <row r="137" spans="1:327" x14ac:dyDescent="0.25">
      <c r="A137" t="s">
        <v>943</v>
      </c>
      <c r="B137" t="s">
        <v>944</v>
      </c>
      <c r="C137" t="s">
        <v>735</v>
      </c>
      <c r="D137" t="s">
        <v>990</v>
      </c>
      <c r="E137" t="s">
        <v>217</v>
      </c>
      <c r="F137" s="4" t="s">
        <v>642</v>
      </c>
      <c r="G137" t="s">
        <v>1133</v>
      </c>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v>0</v>
      </c>
      <c r="AR137" s="3">
        <v>0</v>
      </c>
      <c r="AS137" s="3">
        <v>0</v>
      </c>
      <c r="AT137" s="3">
        <v>0</v>
      </c>
      <c r="AU137" s="3">
        <v>0</v>
      </c>
      <c r="AV137" s="3">
        <v>0</v>
      </c>
      <c r="AW137" s="3">
        <v>1465000</v>
      </c>
      <c r="AX137" s="3">
        <v>0</v>
      </c>
      <c r="AY137" s="3">
        <v>23535000</v>
      </c>
      <c r="AZ137" s="3">
        <v>25000000</v>
      </c>
      <c r="BA137" s="3"/>
      <c r="BB137" s="3"/>
      <c r="BC137" s="3"/>
      <c r="BD137" s="3"/>
      <c r="BE137" s="3"/>
      <c r="BF137" s="3"/>
      <c r="BG137" s="3"/>
      <c r="BH137" s="3"/>
      <c r="BI137" s="3"/>
      <c r="BJ137" s="3"/>
      <c r="BK137" s="3"/>
      <c r="BL137" s="3"/>
      <c r="BM137" s="3"/>
      <c r="BN137" s="3"/>
      <c r="BO137" s="3"/>
      <c r="BP137" s="3"/>
      <c r="BQ137" s="3"/>
      <c r="BR137" s="3"/>
      <c r="BS137" s="3"/>
      <c r="BU137" s="3"/>
      <c r="BV137" s="3"/>
      <c r="BW137" s="3"/>
      <c r="BX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D137" s="3"/>
      <c r="DE137" s="3"/>
      <c r="DF137" s="3"/>
      <c r="DG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U137" s="3"/>
      <c r="GV137" s="3"/>
      <c r="GW137" s="3"/>
      <c r="GX137" s="3"/>
      <c r="GY137" s="3"/>
      <c r="GZ137" s="3"/>
      <c r="HA137" s="3"/>
      <c r="HB137" s="3"/>
      <c r="HC137" s="3"/>
      <c r="HE137" s="3"/>
      <c r="HF137" s="3"/>
      <c r="HG137" s="3"/>
      <c r="HH137" s="3"/>
      <c r="HJ137" s="3"/>
      <c r="HK137" s="3"/>
      <c r="HL137" s="3"/>
      <c r="HM137" s="3"/>
      <c r="HN137" s="3"/>
      <c r="HO137" s="3"/>
      <c r="HP137" s="3"/>
      <c r="HQ137" s="3"/>
      <c r="HR137" s="3"/>
      <c r="HS137" s="3"/>
      <c r="HT137" s="3"/>
      <c r="HU137" s="3"/>
      <c r="HV137" s="3"/>
      <c r="HW137" s="3"/>
      <c r="HX137" s="3"/>
      <c r="HY137" s="3"/>
      <c r="HZ137" s="3"/>
      <c r="IA137" s="3"/>
      <c r="IB137" s="3"/>
      <c r="ID137" s="3"/>
      <c r="IE137" s="3"/>
      <c r="IF137" s="3"/>
      <c r="IG137" s="3"/>
      <c r="IS137" s="3"/>
      <c r="IT137" s="3"/>
      <c r="IU137" s="3"/>
      <c r="IV137" s="3"/>
      <c r="IW137" s="3"/>
      <c r="IX137" s="3"/>
      <c r="IY137" s="3"/>
      <c r="IZ137" s="3"/>
      <c r="JA137" s="3"/>
      <c r="JB137" s="3"/>
      <c r="JC137" s="3"/>
      <c r="JD137" s="3"/>
      <c r="JE137" s="3"/>
      <c r="JF137" s="3"/>
      <c r="JG137" s="3"/>
      <c r="JH137" s="3"/>
      <c r="JI137" s="3"/>
      <c r="JJ137" s="3"/>
      <c r="JK137" s="3"/>
      <c r="JL137" s="3"/>
      <c r="JM137" s="3"/>
      <c r="JN137" s="3"/>
      <c r="JO137" s="3"/>
      <c r="JP137" s="3"/>
      <c r="JQ137" s="3"/>
      <c r="JR137" s="3"/>
      <c r="JS137" s="3"/>
      <c r="JT137" s="3"/>
      <c r="JU137" s="3"/>
      <c r="JV137" s="3"/>
      <c r="JW137" s="3"/>
      <c r="JX137" s="3"/>
      <c r="JY137" s="3"/>
      <c r="JZ137" s="3"/>
      <c r="KA137" s="3"/>
      <c r="KB137" s="3"/>
      <c r="KC137" s="3"/>
      <c r="KD137" s="3"/>
      <c r="KE137" s="3"/>
      <c r="KF137" s="3"/>
      <c r="KG137" s="3"/>
      <c r="KH137" s="3"/>
      <c r="KI137" s="3"/>
      <c r="KJ137" s="3"/>
      <c r="KK137" s="3"/>
      <c r="KL137" s="3"/>
      <c r="KM137" s="3"/>
      <c r="KN137" s="3"/>
      <c r="KO137" s="3"/>
      <c r="KP137" s="3"/>
      <c r="KQ137" s="3"/>
      <c r="KR137" s="3"/>
      <c r="KS137" s="3"/>
      <c r="KT137" s="3"/>
      <c r="KU137" s="3"/>
      <c r="KV137" s="3"/>
      <c r="KW137" s="3"/>
      <c r="KX137" s="3"/>
      <c r="KY137" s="3"/>
      <c r="KZ137" s="3"/>
      <c r="LA137" s="3"/>
      <c r="LB137" s="3"/>
      <c r="LC137" s="3"/>
      <c r="LD137" s="3"/>
      <c r="LE137" s="3"/>
      <c r="LF137" s="3"/>
      <c r="LG137" s="3"/>
      <c r="LH137" s="3"/>
      <c r="LI137" s="3"/>
      <c r="LJ137" s="3"/>
    </row>
    <row r="138" spans="1:327" x14ac:dyDescent="0.25">
      <c r="A138" t="s">
        <v>943</v>
      </c>
      <c r="B138" t="s">
        <v>944</v>
      </c>
      <c r="C138" t="s">
        <v>735</v>
      </c>
      <c r="D138" t="s">
        <v>990</v>
      </c>
      <c r="E138" t="s">
        <v>217</v>
      </c>
      <c r="F138" t="s">
        <v>640</v>
      </c>
      <c r="G138" t="s">
        <v>1147</v>
      </c>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U138" s="3"/>
      <c r="BV138" s="3"/>
      <c r="BW138" s="3"/>
      <c r="BX138" s="3"/>
      <c r="BZ138" s="3">
        <v>0</v>
      </c>
      <c r="CA138" s="3">
        <v>0</v>
      </c>
      <c r="CB138" s="3">
        <v>0</v>
      </c>
      <c r="CC138" s="3">
        <v>0</v>
      </c>
      <c r="CD138" s="3">
        <v>0</v>
      </c>
      <c r="CE138" s="3">
        <v>0</v>
      </c>
      <c r="CF138" s="3">
        <v>9300000</v>
      </c>
      <c r="CG138" s="3">
        <v>0</v>
      </c>
      <c r="CH138" s="3">
        <v>20700000</v>
      </c>
      <c r="CI138" s="3">
        <v>30000000</v>
      </c>
      <c r="CJ138" s="3"/>
      <c r="CK138" s="3"/>
      <c r="CL138" s="3"/>
      <c r="CM138" s="3"/>
      <c r="CN138" s="3"/>
      <c r="CO138" s="3"/>
      <c r="CP138" s="3"/>
      <c r="CQ138" s="3"/>
      <c r="CR138" s="3"/>
      <c r="CS138" s="3"/>
      <c r="CT138" s="3"/>
      <c r="CU138" s="3"/>
      <c r="CV138" s="3"/>
      <c r="CW138" s="3"/>
      <c r="CX138" s="3"/>
      <c r="CY138" s="3"/>
      <c r="CZ138" s="3"/>
      <c r="DA138" s="3"/>
      <c r="DB138" s="3"/>
      <c r="DD138" s="3"/>
      <c r="DE138" s="3"/>
      <c r="DF138" s="3"/>
      <c r="DG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U138" s="3"/>
      <c r="GV138" s="3"/>
      <c r="GW138" s="3"/>
      <c r="GX138" s="3"/>
      <c r="GY138" s="3"/>
      <c r="GZ138" s="3"/>
      <c r="HA138" s="3"/>
      <c r="HB138" s="3"/>
      <c r="HC138" s="3"/>
      <c r="HE138" s="3"/>
      <c r="HF138" s="3"/>
      <c r="HG138" s="3"/>
      <c r="HH138" s="3"/>
      <c r="HJ138" s="3"/>
      <c r="HK138" s="3"/>
      <c r="HL138" s="3"/>
      <c r="HM138" s="3"/>
      <c r="HN138" s="3"/>
      <c r="HO138" s="3"/>
      <c r="HP138" s="3"/>
      <c r="HQ138" s="3"/>
      <c r="HR138" s="3"/>
      <c r="HS138" s="3"/>
      <c r="HT138" s="3"/>
      <c r="HU138" s="3"/>
      <c r="HV138" s="3"/>
      <c r="HW138" s="3"/>
      <c r="HX138" s="3"/>
      <c r="HY138" s="3"/>
      <c r="HZ138" s="3"/>
      <c r="IA138" s="3"/>
      <c r="IB138" s="3"/>
      <c r="ID138" s="3"/>
      <c r="IE138" s="3"/>
      <c r="IF138" s="3"/>
      <c r="IG138" s="3"/>
      <c r="IS138" s="3"/>
      <c r="IT138" s="3"/>
      <c r="IU138" s="3"/>
      <c r="IV138" s="3"/>
      <c r="IW138" s="3"/>
      <c r="IX138" s="3"/>
      <c r="IY138" s="3"/>
      <c r="IZ138" s="3"/>
      <c r="JA138" s="3"/>
      <c r="JB138" s="3"/>
      <c r="JC138" s="3"/>
      <c r="JD138" s="3"/>
      <c r="JE138" s="3"/>
      <c r="JF138" s="3"/>
      <c r="JG138" s="3"/>
      <c r="JH138" s="3"/>
      <c r="JI138" s="3"/>
      <c r="JJ138" s="3"/>
      <c r="JK138" s="3"/>
      <c r="JL138" s="3"/>
      <c r="JM138" s="3"/>
      <c r="JN138" s="3"/>
      <c r="JO138" s="3"/>
      <c r="JP138" s="3"/>
      <c r="JQ138" s="3"/>
      <c r="JR138" s="3"/>
      <c r="JS138" s="3"/>
      <c r="JT138" s="3"/>
      <c r="JU138" s="3"/>
      <c r="JV138" s="3"/>
      <c r="JW138" s="3"/>
      <c r="JX138" s="3"/>
      <c r="JY138" s="3"/>
      <c r="JZ138" s="3"/>
      <c r="KA138" s="3"/>
      <c r="KB138" s="3"/>
      <c r="KC138" s="3"/>
      <c r="KD138" s="3"/>
      <c r="KE138" s="3"/>
      <c r="KF138" s="3"/>
      <c r="KG138" s="3"/>
      <c r="KH138" s="3"/>
      <c r="KI138" s="3"/>
      <c r="KJ138" s="3"/>
      <c r="KK138" s="3"/>
      <c r="KL138" s="3"/>
      <c r="KM138" s="3"/>
      <c r="KN138" s="3"/>
      <c r="KO138" s="3"/>
      <c r="KP138" s="3"/>
      <c r="KQ138" s="3"/>
      <c r="KR138" s="3"/>
      <c r="KS138" s="3"/>
      <c r="KT138" s="3"/>
      <c r="KU138" s="3"/>
      <c r="KV138" s="3"/>
      <c r="KW138" s="3"/>
      <c r="KX138" s="3"/>
      <c r="KY138" s="3"/>
      <c r="KZ138" s="3"/>
      <c r="LA138" s="3"/>
      <c r="LB138" s="3"/>
      <c r="LC138" s="3"/>
      <c r="LD138" s="3"/>
      <c r="LE138" s="3"/>
      <c r="LF138" s="3"/>
      <c r="LG138" s="3"/>
      <c r="LH138" s="3"/>
      <c r="LI138" s="3"/>
      <c r="LJ138" s="3"/>
    </row>
    <row r="139" spans="1:327" x14ac:dyDescent="0.25">
      <c r="A139" t="s">
        <v>943</v>
      </c>
      <c r="B139" t="s">
        <v>944</v>
      </c>
      <c r="C139" t="s">
        <v>735</v>
      </c>
      <c r="D139" t="s">
        <v>990</v>
      </c>
      <c r="E139" t="s">
        <v>217</v>
      </c>
      <c r="F139" t="s">
        <v>639</v>
      </c>
      <c r="G139" t="s">
        <v>1146</v>
      </c>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U139" s="3"/>
      <c r="BV139" s="3"/>
      <c r="BW139" s="3"/>
      <c r="BX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D139" s="3"/>
      <c r="DE139" s="3"/>
      <c r="DF139" s="3"/>
      <c r="DG139" s="3"/>
      <c r="DI139" s="3">
        <v>0</v>
      </c>
      <c r="DJ139" s="3">
        <v>0</v>
      </c>
      <c r="DK139" s="3">
        <v>0</v>
      </c>
      <c r="DL139" s="3">
        <v>0</v>
      </c>
      <c r="DM139" s="3">
        <v>0</v>
      </c>
      <c r="DN139" s="3">
        <v>0</v>
      </c>
      <c r="DO139" s="3">
        <v>34100000</v>
      </c>
      <c r="DP139" s="3">
        <v>0</v>
      </c>
      <c r="DQ139" s="3">
        <v>75900000</v>
      </c>
      <c r="DR139" s="3">
        <v>110000000</v>
      </c>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U139" s="3"/>
      <c r="GV139" s="3"/>
      <c r="GW139" s="3"/>
      <c r="GX139" s="3"/>
      <c r="GY139" s="3"/>
      <c r="GZ139" s="3"/>
      <c r="HA139" s="3"/>
      <c r="HB139" s="3"/>
      <c r="HC139" s="3"/>
      <c r="HE139" s="3"/>
      <c r="HF139" s="3"/>
      <c r="HG139" s="3"/>
      <c r="HH139" s="3"/>
      <c r="HJ139" s="3"/>
      <c r="HK139" s="3"/>
      <c r="HL139" s="3"/>
      <c r="HM139" s="3"/>
      <c r="HN139" s="3"/>
      <c r="HO139" s="3"/>
      <c r="HP139" s="3"/>
      <c r="HQ139" s="3"/>
      <c r="HR139" s="3"/>
      <c r="HS139" s="3"/>
      <c r="HT139" s="3"/>
      <c r="HU139" s="3"/>
      <c r="HV139" s="3"/>
      <c r="HW139" s="3"/>
      <c r="HX139" s="3"/>
      <c r="HY139" s="3"/>
      <c r="HZ139" s="3"/>
      <c r="IA139" s="3"/>
      <c r="IB139" s="3"/>
      <c r="ID139" s="3"/>
      <c r="IE139" s="3"/>
      <c r="IF139" s="3"/>
      <c r="IG139" s="3"/>
      <c r="IS139" s="3"/>
      <c r="IT139" s="3"/>
      <c r="IU139" s="3"/>
      <c r="IV139" s="3"/>
      <c r="IW139" s="3"/>
      <c r="IX139" s="3"/>
      <c r="IY139" s="3"/>
      <c r="IZ139" s="3"/>
      <c r="JA139" s="3"/>
      <c r="JB139" s="3"/>
      <c r="JC139" s="3"/>
      <c r="JD139" s="3"/>
      <c r="JE139" s="3"/>
      <c r="JF139" s="3"/>
      <c r="JG139" s="3"/>
      <c r="JH139" s="3"/>
      <c r="JI139" s="3"/>
      <c r="JJ139" s="3"/>
      <c r="JK139" s="3"/>
      <c r="JL139" s="3"/>
      <c r="JM139" s="3"/>
      <c r="JN139" s="3"/>
      <c r="JO139" s="3"/>
      <c r="JP139" s="3"/>
      <c r="JQ139" s="3"/>
      <c r="JR139" s="3"/>
      <c r="JS139" s="3"/>
      <c r="JT139" s="3"/>
      <c r="JU139" s="3"/>
      <c r="JV139" s="3"/>
      <c r="JW139" s="3"/>
      <c r="JX139" s="3"/>
      <c r="JY139" s="3"/>
      <c r="JZ139" s="3"/>
      <c r="KA139" s="3"/>
      <c r="KB139" s="3"/>
      <c r="KC139" s="3"/>
      <c r="KD139" s="3"/>
      <c r="KE139" s="3"/>
      <c r="KF139" s="3"/>
      <c r="KG139" s="3"/>
      <c r="KH139" s="3"/>
      <c r="KI139" s="3"/>
      <c r="KJ139" s="3"/>
      <c r="KK139" s="3"/>
      <c r="KL139" s="3"/>
      <c r="KM139" s="3"/>
      <c r="KN139" s="3"/>
      <c r="KO139" s="3"/>
      <c r="KP139" s="3"/>
      <c r="KQ139" s="3"/>
      <c r="KR139" s="3"/>
      <c r="KS139" s="3"/>
      <c r="KT139" s="3"/>
      <c r="KU139" s="3"/>
      <c r="KV139" s="3"/>
      <c r="KW139" s="3"/>
      <c r="KX139" s="3"/>
      <c r="KY139" s="3"/>
      <c r="KZ139" s="3"/>
      <c r="LA139" s="3"/>
      <c r="LB139" s="3"/>
      <c r="LC139" s="3"/>
      <c r="LD139" s="3"/>
      <c r="LE139" s="3"/>
      <c r="LF139" s="3"/>
      <c r="LG139" s="3"/>
      <c r="LH139" s="3"/>
      <c r="LI139" s="3"/>
      <c r="LJ139" s="3"/>
    </row>
    <row r="140" spans="1:327" x14ac:dyDescent="0.25">
      <c r="A140" t="s">
        <v>943</v>
      </c>
      <c r="B140" t="s">
        <v>944</v>
      </c>
      <c r="C140" t="s">
        <v>735</v>
      </c>
      <c r="D140" t="s">
        <v>990</v>
      </c>
      <c r="E140" t="s">
        <v>217</v>
      </c>
      <c r="F140" t="s">
        <v>638</v>
      </c>
      <c r="G140" t="s">
        <v>1150</v>
      </c>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U140" s="3"/>
      <c r="BV140" s="3"/>
      <c r="BW140" s="3"/>
      <c r="BX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D140" s="3"/>
      <c r="DE140" s="3"/>
      <c r="DF140" s="3"/>
      <c r="DG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R140" s="3">
        <v>0</v>
      </c>
      <c r="ES140" s="3">
        <v>0</v>
      </c>
      <c r="ET140" s="3">
        <v>0</v>
      </c>
      <c r="EU140" s="3">
        <v>0</v>
      </c>
      <c r="EV140" s="3">
        <v>0</v>
      </c>
      <c r="EW140" s="3">
        <v>0</v>
      </c>
      <c r="EX140" s="3">
        <v>25680000</v>
      </c>
      <c r="EY140" s="3">
        <v>0</v>
      </c>
      <c r="EZ140" s="3">
        <v>224320000</v>
      </c>
      <c r="FA140" s="3">
        <v>250000000</v>
      </c>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U140" s="3"/>
      <c r="GV140" s="3"/>
      <c r="GW140" s="3"/>
      <c r="GX140" s="3"/>
      <c r="GY140" s="3"/>
      <c r="GZ140" s="3"/>
      <c r="HA140" s="3"/>
      <c r="HB140" s="3"/>
      <c r="HC140" s="3"/>
      <c r="HE140" s="3"/>
      <c r="HF140" s="3"/>
      <c r="HG140" s="3"/>
      <c r="HH140" s="3"/>
      <c r="HJ140" s="3"/>
      <c r="HK140" s="3"/>
      <c r="HL140" s="3"/>
      <c r="HM140" s="3"/>
      <c r="HN140" s="3"/>
      <c r="HO140" s="3"/>
      <c r="HP140" s="3"/>
      <c r="HQ140" s="3"/>
      <c r="HR140" s="3"/>
      <c r="HS140" s="3"/>
      <c r="HT140" s="3"/>
      <c r="HU140" s="3"/>
      <c r="HV140" s="3"/>
      <c r="HW140" s="3"/>
      <c r="HX140" s="3"/>
      <c r="HY140" s="3"/>
      <c r="HZ140" s="3"/>
      <c r="IA140" s="3"/>
      <c r="IB140" s="3"/>
      <c r="ID140" s="3"/>
      <c r="IE140" s="3"/>
      <c r="IF140" s="3"/>
      <c r="IG140" s="3"/>
      <c r="IS140" s="3"/>
      <c r="IT140" s="3"/>
      <c r="IU140" s="3"/>
      <c r="IV140" s="3"/>
      <c r="IW140" s="3"/>
      <c r="IX140" s="3"/>
      <c r="IY140" s="3"/>
      <c r="IZ140" s="3"/>
      <c r="JA140" s="3"/>
      <c r="JB140" s="3"/>
      <c r="JC140" s="3"/>
      <c r="JD140" s="3"/>
      <c r="JE140" s="3"/>
      <c r="JF140" s="3"/>
      <c r="JG140" s="3"/>
      <c r="JH140" s="3"/>
      <c r="JI140" s="3"/>
      <c r="JJ140" s="3"/>
      <c r="JK140" s="3"/>
      <c r="JL140" s="3"/>
      <c r="JM140" s="3"/>
      <c r="JN140" s="3"/>
      <c r="JO140" s="3"/>
      <c r="JP140" s="3"/>
      <c r="JQ140" s="3"/>
      <c r="JR140" s="3"/>
      <c r="JS140" s="3"/>
      <c r="JT140" s="3"/>
      <c r="JU140" s="3"/>
      <c r="JV140" s="3"/>
      <c r="JW140" s="3"/>
      <c r="JX140" s="3"/>
      <c r="JY140" s="3"/>
      <c r="JZ140" s="3"/>
      <c r="KA140" s="3"/>
      <c r="KB140" s="3"/>
      <c r="KC140" s="3"/>
      <c r="KD140" s="3"/>
      <c r="KE140" s="3"/>
      <c r="KF140" s="3"/>
      <c r="KG140" s="3"/>
      <c r="KH140" s="3"/>
      <c r="KI140" s="3"/>
      <c r="KJ140" s="3"/>
      <c r="KK140" s="3"/>
      <c r="KL140" s="3"/>
      <c r="KM140" s="3"/>
      <c r="KN140" s="3"/>
      <c r="KO140" s="3"/>
      <c r="KP140" s="3"/>
      <c r="KQ140" s="3"/>
      <c r="KR140" s="3"/>
      <c r="KS140" s="3"/>
      <c r="KT140" s="3"/>
      <c r="KU140" s="3"/>
      <c r="KV140" s="3"/>
      <c r="KW140" s="3"/>
      <c r="KX140" s="3"/>
      <c r="KY140" s="3"/>
      <c r="KZ140" s="3"/>
      <c r="LA140" s="3"/>
      <c r="LB140" s="3"/>
      <c r="LC140" s="3"/>
      <c r="LD140" s="3"/>
      <c r="LE140" s="3"/>
      <c r="LF140" s="3"/>
      <c r="LG140" s="3"/>
      <c r="LH140" s="3"/>
      <c r="LI140" s="3"/>
      <c r="LJ140" s="3"/>
    </row>
    <row r="141" spans="1:327" x14ac:dyDescent="0.25">
      <c r="A141" t="s">
        <v>943</v>
      </c>
      <c r="B141" t="s">
        <v>944</v>
      </c>
      <c r="C141" t="s">
        <v>735</v>
      </c>
      <c r="D141" t="s">
        <v>990</v>
      </c>
      <c r="E141" t="s">
        <v>217</v>
      </c>
      <c r="F141" t="s">
        <v>632</v>
      </c>
      <c r="G141" t="s">
        <v>1089</v>
      </c>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U141" s="3"/>
      <c r="BV141" s="3"/>
      <c r="BW141" s="3"/>
      <c r="BX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D141" s="3"/>
      <c r="DE141" s="3"/>
      <c r="DF141" s="3"/>
      <c r="DG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v>0</v>
      </c>
      <c r="GB141" s="3">
        <v>0</v>
      </c>
      <c r="GC141" s="3">
        <v>0</v>
      </c>
      <c r="GD141" s="3">
        <v>0</v>
      </c>
      <c r="GE141" s="3">
        <v>0</v>
      </c>
      <c r="GF141" s="3">
        <v>0</v>
      </c>
      <c r="GG141" s="3">
        <v>185997000</v>
      </c>
      <c r="GH141" s="3">
        <v>0</v>
      </c>
      <c r="GI141" s="3">
        <v>512882000</v>
      </c>
      <c r="GJ141" s="3">
        <v>698879000</v>
      </c>
      <c r="GK141" s="3"/>
      <c r="GL141" s="3"/>
      <c r="GM141" s="3"/>
      <c r="GN141" s="3"/>
      <c r="GO141" s="3"/>
      <c r="GP141" s="3"/>
      <c r="GQ141" s="3"/>
      <c r="GR141" s="3"/>
      <c r="GS141" s="3"/>
      <c r="GU141" s="3"/>
      <c r="GV141" s="3"/>
      <c r="GW141" s="3"/>
      <c r="GX141" s="3"/>
      <c r="GY141" s="3"/>
      <c r="GZ141" s="3"/>
      <c r="HA141" s="3"/>
      <c r="HB141" s="3"/>
      <c r="HC141" s="3"/>
      <c r="HE141" s="3"/>
      <c r="HF141" s="3"/>
      <c r="HG141" s="3"/>
      <c r="HH141" s="3"/>
      <c r="HJ141" s="3">
        <v>0</v>
      </c>
      <c r="HK141" s="3">
        <v>0</v>
      </c>
      <c r="HL141" s="3">
        <v>0</v>
      </c>
      <c r="HM141" s="3">
        <v>0</v>
      </c>
      <c r="HN141" s="3">
        <v>0</v>
      </c>
      <c r="HO141" s="3">
        <v>0</v>
      </c>
      <c r="HP141" s="3">
        <v>95360000</v>
      </c>
      <c r="HQ141" s="3">
        <v>0</v>
      </c>
      <c r="HR141" s="3">
        <v>178850000</v>
      </c>
      <c r="HS141" s="3">
        <v>274210000</v>
      </c>
      <c r="HT141" s="3"/>
      <c r="HU141" s="3"/>
      <c r="HV141" s="3"/>
      <c r="HW141" s="3"/>
      <c r="HX141" s="3"/>
      <c r="HY141" s="3"/>
      <c r="HZ141" s="3"/>
      <c r="IA141" s="3"/>
      <c r="IB141" s="3"/>
      <c r="ID141" s="3"/>
      <c r="IE141" s="3"/>
      <c r="IF141" s="3"/>
      <c r="IG141" s="3"/>
      <c r="IS141" s="3">
        <v>0</v>
      </c>
      <c r="IT141" s="3">
        <v>81360000</v>
      </c>
      <c r="IU141" s="3">
        <v>0</v>
      </c>
      <c r="IV141" s="3">
        <v>122850000</v>
      </c>
      <c r="IW141" s="3">
        <v>204210000</v>
      </c>
      <c r="IX141" s="3">
        <v>0</v>
      </c>
      <c r="IY141" s="3">
        <v>81360000</v>
      </c>
      <c r="IZ141" s="3">
        <v>0</v>
      </c>
      <c r="JA141" s="3">
        <v>122850000</v>
      </c>
      <c r="JB141" s="3">
        <v>204210000</v>
      </c>
      <c r="JC141" s="3"/>
      <c r="JD141" s="3"/>
      <c r="JE141" s="3"/>
      <c r="JF141" s="3"/>
      <c r="JG141" s="3"/>
      <c r="JH141" s="3"/>
      <c r="JI141" s="3"/>
      <c r="JJ141" s="3"/>
      <c r="JK141" s="3"/>
      <c r="JL141" s="3"/>
      <c r="JM141" s="3"/>
      <c r="JN141" s="3"/>
      <c r="JO141" s="3"/>
      <c r="JP141" s="3"/>
      <c r="JQ141" s="3"/>
      <c r="JR141" s="3"/>
      <c r="JS141" s="3"/>
      <c r="JT141" s="3"/>
      <c r="JU141" s="3"/>
      <c r="JV141" s="3"/>
      <c r="JW141" s="3"/>
      <c r="JX141" s="3"/>
      <c r="JY141" s="3"/>
      <c r="JZ141" s="3"/>
      <c r="KA141" s="3"/>
      <c r="KB141" s="3">
        <v>0</v>
      </c>
      <c r="KC141" s="3">
        <v>143303000</v>
      </c>
      <c r="KD141" s="3">
        <v>0</v>
      </c>
      <c r="KE141" s="3">
        <v>85600000</v>
      </c>
      <c r="KF141" s="3">
        <v>228903000</v>
      </c>
      <c r="KG141" s="3">
        <v>0</v>
      </c>
      <c r="KH141" s="3">
        <v>143303000</v>
      </c>
      <c r="KI141" s="3">
        <v>0</v>
      </c>
      <c r="KJ141" s="3">
        <v>85600000</v>
      </c>
      <c r="KK141" s="3">
        <v>228903000</v>
      </c>
      <c r="KL141" s="3"/>
      <c r="KM141" s="3"/>
      <c r="KN141" s="3"/>
      <c r="KO141" s="3"/>
      <c r="KP141" s="3"/>
      <c r="KQ141" s="3"/>
      <c r="KR141" s="3"/>
      <c r="KS141" s="3"/>
      <c r="KT141" s="3"/>
      <c r="KU141" s="3"/>
      <c r="KV141" s="3"/>
      <c r="KW141" s="3"/>
      <c r="KX141" s="3"/>
      <c r="KY141" s="3"/>
      <c r="KZ141" s="3"/>
      <c r="LA141" s="3"/>
      <c r="LB141" s="3"/>
      <c r="LC141" s="3"/>
      <c r="LD141" s="3"/>
      <c r="LE141" s="3"/>
      <c r="LF141" s="3"/>
      <c r="LG141" s="3"/>
      <c r="LH141" s="3"/>
      <c r="LI141" s="3"/>
      <c r="LJ141" s="3"/>
    </row>
    <row r="142" spans="1:327" x14ac:dyDescent="0.25">
      <c r="A142" t="s">
        <v>943</v>
      </c>
      <c r="B142" t="s">
        <v>944</v>
      </c>
      <c r="C142" t="s">
        <v>735</v>
      </c>
      <c r="D142" t="s">
        <v>990</v>
      </c>
      <c r="E142" t="s">
        <v>217</v>
      </c>
      <c r="F142" t="s">
        <v>992</v>
      </c>
      <c r="G142" t="s">
        <v>1152</v>
      </c>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U142" s="3"/>
      <c r="BV142" s="3"/>
      <c r="BW142" s="3"/>
      <c r="BX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D142" s="3"/>
      <c r="DE142" s="3"/>
      <c r="DF142" s="3"/>
      <c r="DG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U142" s="3"/>
      <c r="GV142" s="3"/>
      <c r="GW142" s="3"/>
      <c r="GX142" s="3"/>
      <c r="GY142" s="3"/>
      <c r="GZ142" s="3"/>
      <c r="HA142" s="3"/>
      <c r="HB142" s="3"/>
      <c r="HC142" s="3"/>
      <c r="HE142" s="3"/>
      <c r="HF142" s="3"/>
      <c r="HG142" s="3"/>
      <c r="HH142" s="3"/>
      <c r="HJ142" s="3"/>
      <c r="HK142" s="3"/>
      <c r="HL142" s="3"/>
      <c r="HM142" s="3"/>
      <c r="HN142" s="3"/>
      <c r="HO142" s="3"/>
      <c r="HP142" s="3"/>
      <c r="HQ142" s="3"/>
      <c r="HR142" s="3"/>
      <c r="HS142" s="3"/>
      <c r="HT142" s="3"/>
      <c r="HU142" s="3"/>
      <c r="HV142" s="3"/>
      <c r="HW142" s="3"/>
      <c r="HX142" s="3"/>
      <c r="HY142" s="3"/>
      <c r="HZ142" s="3"/>
      <c r="IA142" s="3"/>
      <c r="IB142" s="3"/>
      <c r="ID142" s="3"/>
      <c r="IE142" s="3"/>
      <c r="IF142" s="3"/>
      <c r="IG142" s="3"/>
      <c r="IS142" s="3"/>
      <c r="IT142" s="3"/>
      <c r="IU142" s="3"/>
      <c r="IV142" s="3"/>
      <c r="IW142" s="3"/>
      <c r="IX142" s="3"/>
      <c r="IY142" s="3"/>
      <c r="IZ142" s="3"/>
      <c r="JA142" s="3"/>
      <c r="JB142" s="3"/>
      <c r="JC142" s="3"/>
      <c r="JD142" s="3"/>
      <c r="JE142" s="3"/>
      <c r="JF142" s="3"/>
      <c r="JG142" s="3"/>
      <c r="JH142" s="3"/>
      <c r="JI142" s="3"/>
      <c r="JJ142" s="3"/>
      <c r="JK142" s="3"/>
      <c r="JL142" s="3"/>
      <c r="JM142" s="3"/>
      <c r="JN142" s="3"/>
      <c r="JO142" s="3"/>
      <c r="JP142" s="3"/>
      <c r="JQ142" s="3"/>
      <c r="JR142" s="3"/>
      <c r="JS142" s="3"/>
      <c r="JT142" s="3"/>
      <c r="JU142" s="3"/>
      <c r="JV142" s="3"/>
      <c r="JW142" s="3"/>
      <c r="JX142" s="3"/>
      <c r="JY142" s="3"/>
      <c r="JZ142" s="3"/>
      <c r="KA142" s="3"/>
      <c r="KB142" s="3">
        <v>0</v>
      </c>
      <c r="KC142" s="3">
        <v>0</v>
      </c>
      <c r="KD142" s="3">
        <v>0</v>
      </c>
      <c r="KE142" s="3">
        <v>0</v>
      </c>
      <c r="KF142" s="3">
        <v>0</v>
      </c>
      <c r="KG142" s="3">
        <v>0</v>
      </c>
      <c r="KH142" s="3">
        <v>1117771000</v>
      </c>
      <c r="KI142" s="3">
        <v>0</v>
      </c>
      <c r="KJ142" s="3">
        <v>3370000</v>
      </c>
      <c r="KK142" s="3">
        <v>1121141000</v>
      </c>
      <c r="KL142" s="3"/>
      <c r="KM142" s="3"/>
      <c r="KN142" s="3"/>
      <c r="KO142" s="3"/>
      <c r="KP142" s="3"/>
      <c r="KQ142" s="3"/>
      <c r="KR142" s="3"/>
      <c r="KS142" s="3"/>
      <c r="KT142" s="3"/>
      <c r="KU142" s="3"/>
      <c r="KV142" s="3"/>
      <c r="KW142" s="3"/>
      <c r="KX142" s="3"/>
      <c r="KY142" s="3"/>
      <c r="KZ142" s="3"/>
      <c r="LA142" s="3"/>
      <c r="LB142" s="3"/>
      <c r="LC142" s="3"/>
      <c r="LD142" s="3"/>
      <c r="LE142" s="3"/>
      <c r="LF142" s="3"/>
      <c r="LG142" s="3"/>
      <c r="LH142" s="3"/>
      <c r="LI142" s="3"/>
      <c r="LJ142" s="3"/>
      <c r="LK142">
        <v>0</v>
      </c>
      <c r="LL142" s="3">
        <v>649575000</v>
      </c>
      <c r="LM142">
        <v>0</v>
      </c>
      <c r="LN142" s="3">
        <v>0</v>
      </c>
      <c r="LO142" s="3">
        <v>649575000</v>
      </c>
    </row>
    <row r="143" spans="1:327" x14ac:dyDescent="0.25">
      <c r="A143" t="s">
        <v>943</v>
      </c>
      <c r="B143" t="s">
        <v>944</v>
      </c>
      <c r="C143" t="s">
        <v>735</v>
      </c>
      <c r="D143" t="s">
        <v>990</v>
      </c>
      <c r="E143" t="s">
        <v>217</v>
      </c>
      <c r="F143" t="s">
        <v>688</v>
      </c>
      <c r="G143" t="s">
        <v>1149</v>
      </c>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U143" s="3"/>
      <c r="BV143" s="3"/>
      <c r="BW143" s="3"/>
      <c r="BX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D143" s="3"/>
      <c r="DE143" s="3"/>
      <c r="DF143" s="3"/>
      <c r="DG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v>0</v>
      </c>
      <c r="GB143" s="3">
        <v>58415000</v>
      </c>
      <c r="GC143" s="3">
        <v>0</v>
      </c>
      <c r="GD143" s="3">
        <v>0</v>
      </c>
      <c r="GE143" s="3">
        <v>58415000</v>
      </c>
      <c r="GF143" s="3">
        <v>0</v>
      </c>
      <c r="GG143" s="3">
        <v>0</v>
      </c>
      <c r="GH143" s="3">
        <v>0</v>
      </c>
      <c r="GI143" s="3">
        <v>0</v>
      </c>
      <c r="GJ143" s="3">
        <v>0</v>
      </c>
      <c r="GK143" s="3"/>
      <c r="GL143" s="3"/>
      <c r="GM143" s="3"/>
      <c r="GN143" s="3"/>
      <c r="GO143" s="3"/>
      <c r="GP143" s="3"/>
      <c r="GQ143" s="3"/>
      <c r="GR143" s="3"/>
      <c r="GS143" s="3"/>
      <c r="GU143" s="3"/>
      <c r="GV143" s="3"/>
      <c r="GW143" s="3"/>
      <c r="GX143" s="3"/>
      <c r="GY143" s="3"/>
      <c r="GZ143" s="3"/>
      <c r="HA143" s="3"/>
      <c r="HB143" s="3"/>
      <c r="HC143" s="3"/>
      <c r="HE143" s="3"/>
      <c r="HF143" s="3"/>
      <c r="HG143" s="3"/>
      <c r="HH143" s="3"/>
      <c r="HJ143" s="3">
        <v>0</v>
      </c>
      <c r="HK143" s="3">
        <v>187040000</v>
      </c>
      <c r="HL143" s="3">
        <v>0</v>
      </c>
      <c r="HM143" s="3">
        <v>0</v>
      </c>
      <c r="HN143" s="3">
        <v>187040000</v>
      </c>
      <c r="HO143" s="3">
        <v>0</v>
      </c>
      <c r="HP143" s="3">
        <v>0</v>
      </c>
      <c r="HQ143" s="3">
        <v>0</v>
      </c>
      <c r="HR143" s="3">
        <v>0</v>
      </c>
      <c r="HS143" s="3">
        <v>0</v>
      </c>
      <c r="HT143" s="3"/>
      <c r="HU143" s="3"/>
      <c r="HV143" s="3"/>
      <c r="HW143" s="3"/>
      <c r="HX143" s="3"/>
      <c r="HY143" s="3"/>
      <c r="HZ143" s="3"/>
      <c r="IA143" s="3"/>
      <c r="IB143" s="3"/>
      <c r="ID143" s="3"/>
      <c r="IE143" s="3"/>
      <c r="IF143" s="3"/>
      <c r="IG143" s="3"/>
      <c r="IS143" s="3"/>
      <c r="IT143" s="3"/>
      <c r="IU143" s="3"/>
      <c r="IV143" s="3"/>
      <c r="IW143" s="3"/>
      <c r="IX143" s="3"/>
      <c r="IY143" s="3"/>
      <c r="IZ143" s="3"/>
      <c r="JA143" s="3"/>
      <c r="JB143" s="3"/>
      <c r="JC143" s="3"/>
      <c r="JD143" s="3"/>
      <c r="JE143" s="3"/>
      <c r="JF143" s="3"/>
      <c r="JG143" s="3"/>
      <c r="JH143" s="3"/>
      <c r="JI143" s="3"/>
      <c r="JJ143" s="3"/>
      <c r="JK143" s="3"/>
      <c r="JL143" s="3"/>
      <c r="JM143" s="3"/>
      <c r="JN143" s="3"/>
      <c r="JO143" s="3"/>
      <c r="JP143" s="3"/>
      <c r="JQ143" s="3"/>
      <c r="JR143" s="3"/>
      <c r="JS143" s="3"/>
      <c r="JT143" s="3"/>
      <c r="JU143" s="3"/>
      <c r="JV143" s="3"/>
      <c r="JW143" s="3"/>
      <c r="JX143" s="3"/>
      <c r="JY143" s="3"/>
      <c r="JZ143" s="3"/>
      <c r="KA143" s="3"/>
      <c r="KB143" s="3"/>
      <c r="KC143" s="3"/>
      <c r="KD143" s="3"/>
      <c r="KE143" s="3"/>
      <c r="KF143" s="3"/>
      <c r="KG143" s="3"/>
      <c r="KH143" s="3"/>
      <c r="KI143" s="3"/>
      <c r="KJ143" s="3"/>
      <c r="KK143" s="3"/>
      <c r="KL143" s="3"/>
      <c r="KM143" s="3"/>
      <c r="KN143" s="3"/>
      <c r="KO143" s="3"/>
      <c r="KP143" s="3"/>
      <c r="KQ143" s="3"/>
      <c r="KR143" s="3"/>
      <c r="KS143" s="3"/>
      <c r="KT143" s="3"/>
      <c r="KU143" s="3"/>
      <c r="KV143" s="3"/>
      <c r="KW143" s="3"/>
      <c r="KX143" s="3"/>
      <c r="KY143" s="3"/>
      <c r="KZ143" s="3"/>
      <c r="LA143" s="3"/>
      <c r="LB143" s="3"/>
      <c r="LC143" s="3"/>
      <c r="LD143" s="3"/>
      <c r="LE143" s="3"/>
      <c r="LF143" s="3"/>
      <c r="LG143" s="3"/>
      <c r="LH143" s="3"/>
      <c r="LI143" s="3"/>
      <c r="LJ143" s="3"/>
    </row>
    <row r="144" spans="1:327" x14ac:dyDescent="0.25">
      <c r="A144" t="s">
        <v>943</v>
      </c>
      <c r="B144" t="s">
        <v>944</v>
      </c>
      <c r="C144" t="s">
        <v>735</v>
      </c>
      <c r="D144" t="s">
        <v>990</v>
      </c>
      <c r="E144" t="s">
        <v>217</v>
      </c>
      <c r="F144" t="s">
        <v>993</v>
      </c>
      <c r="G144" t="s">
        <v>1149</v>
      </c>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U144" s="3"/>
      <c r="BV144" s="3"/>
      <c r="BW144" s="3"/>
      <c r="BX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D144" s="3"/>
      <c r="DE144" s="3"/>
      <c r="DF144" s="3"/>
      <c r="DG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R144" s="3">
        <v>0</v>
      </c>
      <c r="ES144" s="3">
        <v>197880000</v>
      </c>
      <c r="ET144" s="3">
        <v>0</v>
      </c>
      <c r="EU144" s="3">
        <v>256650000</v>
      </c>
      <c r="EV144" s="3">
        <v>454530000</v>
      </c>
      <c r="EW144" s="3">
        <v>0</v>
      </c>
      <c r="EX144" s="3">
        <v>0</v>
      </c>
      <c r="EY144" s="3">
        <v>0</v>
      </c>
      <c r="EZ144" s="3">
        <v>0</v>
      </c>
      <c r="FA144" s="3">
        <v>0</v>
      </c>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U144" s="3"/>
      <c r="GV144" s="3"/>
      <c r="GW144" s="3"/>
      <c r="GX144" s="3"/>
      <c r="GY144" s="3"/>
      <c r="GZ144" s="3"/>
      <c r="HA144" s="3"/>
      <c r="HB144" s="3"/>
      <c r="HC144" s="3"/>
      <c r="HE144" s="3"/>
      <c r="HF144" s="3"/>
      <c r="HG144" s="3"/>
      <c r="HH144" s="3"/>
      <c r="HJ144" s="3">
        <v>0</v>
      </c>
      <c r="HK144" s="3">
        <v>0</v>
      </c>
      <c r="HL144" s="3">
        <v>0</v>
      </c>
      <c r="HM144" s="3">
        <v>0</v>
      </c>
      <c r="HN144" s="3">
        <v>0</v>
      </c>
      <c r="HO144" s="3">
        <v>0</v>
      </c>
      <c r="HP144" s="3">
        <v>0</v>
      </c>
      <c r="HQ144" s="3">
        <v>0</v>
      </c>
      <c r="HR144" s="3">
        <v>0</v>
      </c>
      <c r="HS144" s="3">
        <v>0</v>
      </c>
      <c r="HT144" s="3"/>
      <c r="HU144" s="3"/>
      <c r="HV144" s="3"/>
      <c r="HW144" s="3"/>
      <c r="HX144" s="3"/>
      <c r="HY144" s="3"/>
      <c r="HZ144" s="3"/>
      <c r="IA144" s="3"/>
      <c r="IB144" s="3"/>
      <c r="ID144" s="3"/>
      <c r="IE144" s="3"/>
      <c r="IF144" s="3"/>
      <c r="IG144" s="3"/>
      <c r="IS144" s="3"/>
      <c r="IT144" s="3"/>
      <c r="IU144" s="3"/>
      <c r="IV144" s="3"/>
      <c r="IW144" s="3"/>
      <c r="IX144" s="3"/>
      <c r="IY144" s="3"/>
      <c r="IZ144" s="3"/>
      <c r="JA144" s="3"/>
      <c r="JB144" s="3"/>
      <c r="JC144" s="3"/>
      <c r="JD144" s="3"/>
      <c r="JE144" s="3"/>
      <c r="JF144" s="3"/>
      <c r="JG144" s="3"/>
      <c r="JH144" s="3"/>
      <c r="JI144" s="3"/>
      <c r="JJ144" s="3"/>
      <c r="JK144" s="3"/>
      <c r="JL144" s="3"/>
      <c r="JM144" s="3"/>
      <c r="JN144" s="3"/>
      <c r="JO144" s="3"/>
      <c r="JP144" s="3"/>
      <c r="JQ144" s="3"/>
      <c r="JR144" s="3"/>
      <c r="JS144" s="3"/>
      <c r="JT144" s="3"/>
      <c r="JU144" s="3"/>
      <c r="JV144" s="3"/>
      <c r="JW144" s="3"/>
      <c r="JX144" s="3"/>
      <c r="JY144" s="3"/>
      <c r="JZ144" s="3"/>
      <c r="KA144" s="3"/>
      <c r="KB144" s="3"/>
      <c r="KC144" s="3"/>
      <c r="KD144" s="3"/>
      <c r="KE144" s="3"/>
      <c r="KF144" s="3"/>
      <c r="KG144" s="3"/>
      <c r="KH144" s="3"/>
      <c r="KI144" s="3"/>
      <c r="KJ144" s="3"/>
      <c r="KK144" s="3"/>
      <c r="KL144" s="3"/>
      <c r="KM144" s="3"/>
      <c r="KN144" s="3"/>
      <c r="KO144" s="3"/>
      <c r="KP144" s="3"/>
      <c r="KQ144" s="3"/>
      <c r="KR144" s="3"/>
      <c r="KS144" s="3"/>
      <c r="KT144" s="3"/>
      <c r="KU144" s="3"/>
      <c r="KV144" s="3"/>
      <c r="KW144" s="3"/>
      <c r="KX144" s="3"/>
      <c r="KY144" s="3"/>
      <c r="KZ144" s="3"/>
      <c r="LA144" s="3"/>
      <c r="LB144" s="3"/>
      <c r="LC144" s="3"/>
      <c r="LD144" s="3"/>
      <c r="LE144" s="3"/>
      <c r="LF144" s="3"/>
      <c r="LG144" s="3"/>
      <c r="LH144" s="3"/>
      <c r="LI144" s="3"/>
      <c r="LJ144" s="3"/>
    </row>
    <row r="145" spans="1:327" x14ac:dyDescent="0.25">
      <c r="A145" t="s">
        <v>943</v>
      </c>
      <c r="B145" t="s">
        <v>944</v>
      </c>
      <c r="C145" t="s">
        <v>737</v>
      </c>
      <c r="D145" t="s">
        <v>994</v>
      </c>
      <c r="E145" t="s">
        <v>201</v>
      </c>
      <c r="F145" t="s">
        <v>202</v>
      </c>
      <c r="G145" t="s">
        <v>203</v>
      </c>
      <c r="H145" s="3">
        <v>17852000</v>
      </c>
      <c r="I145" s="3">
        <v>33242000</v>
      </c>
      <c r="J145" s="3">
        <v>20000</v>
      </c>
      <c r="K145" s="3">
        <v>20866000</v>
      </c>
      <c r="L145" s="3">
        <v>71980000</v>
      </c>
      <c r="M145" s="3">
        <v>17852000</v>
      </c>
      <c r="N145" s="3">
        <v>33242000</v>
      </c>
      <c r="O145" s="3">
        <v>20000</v>
      </c>
      <c r="P145" s="3">
        <v>20866000</v>
      </c>
      <c r="Q145" s="3">
        <v>71980000</v>
      </c>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v>23196000</v>
      </c>
      <c r="AR145" s="3">
        <v>41300000</v>
      </c>
      <c r="AS145" s="3">
        <v>20000</v>
      </c>
      <c r="AT145" s="3">
        <v>22246000</v>
      </c>
      <c r="AU145" s="3">
        <v>86762000</v>
      </c>
      <c r="AV145" s="3">
        <v>23196000</v>
      </c>
      <c r="AW145" s="3">
        <v>41300000</v>
      </c>
      <c r="AX145" s="3">
        <v>20000</v>
      </c>
      <c r="AY145" s="3">
        <v>22246000</v>
      </c>
      <c r="AZ145" s="3">
        <v>86762000</v>
      </c>
      <c r="BA145" s="3"/>
      <c r="BB145" s="3"/>
      <c r="BC145" s="3"/>
      <c r="BD145" s="3"/>
      <c r="BE145" s="3"/>
      <c r="BF145" s="3"/>
      <c r="BG145" s="3"/>
      <c r="BH145" s="3"/>
      <c r="BI145" s="3"/>
      <c r="BJ145" s="3"/>
      <c r="BK145" s="3"/>
      <c r="BL145" s="3"/>
      <c r="BM145" s="3"/>
      <c r="BN145" s="3"/>
      <c r="BO145" s="3"/>
      <c r="BP145" s="3"/>
      <c r="BQ145" s="3"/>
      <c r="BR145" s="3"/>
      <c r="BS145" s="3"/>
      <c r="BU145" s="3"/>
      <c r="BV145" s="3"/>
      <c r="BW145" s="3"/>
      <c r="BX145" s="3"/>
      <c r="BZ145" s="3">
        <v>23263000</v>
      </c>
      <c r="CA145" s="3">
        <v>49861000</v>
      </c>
      <c r="CB145" s="3">
        <v>20000</v>
      </c>
      <c r="CC145" s="3">
        <v>1520000</v>
      </c>
      <c r="CD145" s="3">
        <v>74664000</v>
      </c>
      <c r="CE145" s="3">
        <v>23263000</v>
      </c>
      <c r="CF145" s="3">
        <v>49861000</v>
      </c>
      <c r="CG145" s="3">
        <v>20000</v>
      </c>
      <c r="CH145" s="3">
        <v>1520000</v>
      </c>
      <c r="CI145" s="3">
        <v>74664000</v>
      </c>
      <c r="CJ145" s="3"/>
      <c r="CK145" s="3"/>
      <c r="CL145" s="3"/>
      <c r="CM145" s="3"/>
      <c r="CN145" s="3"/>
      <c r="CO145" s="3"/>
      <c r="CP145" s="3"/>
      <c r="CQ145" s="3"/>
      <c r="CR145" s="3"/>
      <c r="CS145" s="3"/>
      <c r="CT145" s="3"/>
      <c r="CU145" s="3"/>
      <c r="CV145" s="3"/>
      <c r="CW145" s="3"/>
      <c r="CX145" s="3"/>
      <c r="CY145" s="3"/>
      <c r="CZ145" s="3"/>
      <c r="DA145" s="3"/>
      <c r="DB145" s="3"/>
      <c r="DD145" s="3"/>
      <c r="DE145" s="3"/>
      <c r="DF145" s="3"/>
      <c r="DG145" s="3"/>
      <c r="DI145" s="3">
        <v>26579000</v>
      </c>
      <c r="DJ145" s="3">
        <v>48526000</v>
      </c>
      <c r="DK145" s="3">
        <v>20000</v>
      </c>
      <c r="DL145" s="3">
        <v>7015000</v>
      </c>
      <c r="DM145" s="3">
        <v>82140000</v>
      </c>
      <c r="DN145" s="3">
        <v>26579000</v>
      </c>
      <c r="DO145" s="3">
        <v>48526000</v>
      </c>
      <c r="DP145" s="3">
        <v>20000</v>
      </c>
      <c r="DQ145" s="3">
        <v>7015000</v>
      </c>
      <c r="DR145" s="3">
        <v>82140000</v>
      </c>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R145" s="3">
        <v>25537000</v>
      </c>
      <c r="ES145" s="3">
        <v>36326000</v>
      </c>
      <c r="ET145" s="3">
        <v>20000</v>
      </c>
      <c r="EU145" s="3">
        <v>0</v>
      </c>
      <c r="EV145" s="3">
        <v>61883000</v>
      </c>
      <c r="EW145" s="3">
        <v>25537000</v>
      </c>
      <c r="EX145" s="3">
        <v>36326000</v>
      </c>
      <c r="EY145" s="3">
        <v>20000</v>
      </c>
      <c r="EZ145" s="3">
        <v>0</v>
      </c>
      <c r="FA145" s="3">
        <v>61883000</v>
      </c>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v>26727000</v>
      </c>
      <c r="GB145" s="3">
        <v>34242000</v>
      </c>
      <c r="GC145" s="3">
        <v>0</v>
      </c>
      <c r="GD145" s="3">
        <v>0</v>
      </c>
      <c r="GE145" s="3">
        <v>60969000</v>
      </c>
      <c r="GF145" s="3">
        <v>26727000</v>
      </c>
      <c r="GG145" s="3">
        <v>34242000</v>
      </c>
      <c r="GH145" s="3">
        <v>0</v>
      </c>
      <c r="GI145" s="3">
        <v>0</v>
      </c>
      <c r="GJ145" s="3">
        <v>60969000</v>
      </c>
      <c r="GK145" s="3"/>
      <c r="GL145" s="3"/>
      <c r="GM145" s="3"/>
      <c r="GN145" s="3"/>
      <c r="GO145" s="3"/>
      <c r="GP145" s="3"/>
      <c r="GQ145" s="3"/>
      <c r="GR145" s="3"/>
      <c r="GS145" s="3"/>
      <c r="GU145" s="3"/>
      <c r="GV145" s="3"/>
      <c r="GW145" s="3"/>
      <c r="GX145" s="3"/>
      <c r="GY145" s="3"/>
      <c r="GZ145" s="3"/>
      <c r="HA145" s="3"/>
      <c r="HB145" s="3"/>
      <c r="HC145" s="3"/>
      <c r="HE145" s="3"/>
      <c r="HF145" s="3"/>
      <c r="HG145" s="3"/>
      <c r="HH145" s="3"/>
      <c r="HJ145" s="3">
        <v>25504000</v>
      </c>
      <c r="HK145" s="3">
        <v>34858000</v>
      </c>
      <c r="HL145" s="3">
        <v>0</v>
      </c>
      <c r="HM145" s="3">
        <v>8400000</v>
      </c>
      <c r="HN145" s="3">
        <v>68762000</v>
      </c>
      <c r="HO145" s="3">
        <v>25504000</v>
      </c>
      <c r="HP145" s="3">
        <v>34858000</v>
      </c>
      <c r="HQ145" s="3">
        <v>0</v>
      </c>
      <c r="HR145" s="3">
        <v>8400000</v>
      </c>
      <c r="HS145" s="3">
        <v>68762000</v>
      </c>
      <c r="HT145" s="3"/>
      <c r="HU145" s="3"/>
      <c r="HV145" s="3"/>
      <c r="HW145" s="3"/>
      <c r="HX145" s="3"/>
      <c r="HY145" s="3"/>
      <c r="HZ145" s="3"/>
      <c r="IA145" s="3"/>
      <c r="IB145" s="3"/>
      <c r="ID145" s="3"/>
      <c r="IE145" s="3"/>
      <c r="IF145" s="3"/>
      <c r="IG145" s="3"/>
      <c r="IS145" s="3">
        <v>42443000</v>
      </c>
      <c r="IT145" s="3">
        <v>35485000</v>
      </c>
      <c r="IU145" s="3">
        <v>0</v>
      </c>
      <c r="IV145" s="3">
        <v>8400000</v>
      </c>
      <c r="IW145" s="3">
        <v>86328000</v>
      </c>
      <c r="IX145" s="3">
        <v>42443000</v>
      </c>
      <c r="IY145" s="3">
        <v>35485000</v>
      </c>
      <c r="IZ145" s="3">
        <v>0</v>
      </c>
      <c r="JA145" s="3">
        <v>8400000</v>
      </c>
      <c r="JB145" s="3">
        <v>86328000</v>
      </c>
      <c r="JC145" s="3"/>
      <c r="JD145" s="3"/>
      <c r="JE145" s="3"/>
      <c r="JF145" s="3"/>
      <c r="JG145" s="3"/>
      <c r="JH145" s="3"/>
      <c r="JI145" s="3"/>
      <c r="JJ145" s="3"/>
      <c r="JK145" s="3"/>
      <c r="JL145" s="3"/>
      <c r="JM145" s="3"/>
      <c r="JN145" s="3"/>
      <c r="JO145" s="3"/>
      <c r="JP145" s="3"/>
      <c r="JQ145" s="3"/>
      <c r="JR145" s="3"/>
      <c r="JS145" s="3"/>
      <c r="JT145" s="3"/>
      <c r="JU145" s="3"/>
      <c r="JV145" s="3"/>
      <c r="JW145" s="3"/>
      <c r="JX145" s="3"/>
      <c r="JY145" s="3"/>
      <c r="JZ145" s="3"/>
      <c r="KA145" s="3"/>
      <c r="KB145" s="3">
        <v>48656000</v>
      </c>
      <c r="KC145" s="3">
        <v>36124000</v>
      </c>
      <c r="KD145" s="3">
        <v>0</v>
      </c>
      <c r="KE145" s="3">
        <v>11100000</v>
      </c>
      <c r="KF145" s="3">
        <v>95880000</v>
      </c>
      <c r="KG145" s="3">
        <v>48656000</v>
      </c>
      <c r="KH145" s="3">
        <v>36124000</v>
      </c>
      <c r="KI145" s="3">
        <v>0</v>
      </c>
      <c r="KJ145" s="3">
        <v>11100000</v>
      </c>
      <c r="KK145" s="3">
        <v>95880000</v>
      </c>
      <c r="KL145" s="3"/>
      <c r="KM145" s="3"/>
      <c r="KN145" s="3"/>
      <c r="KO145" s="3"/>
      <c r="KP145" s="3"/>
      <c r="KQ145" s="3"/>
      <c r="KR145" s="3"/>
      <c r="KS145" s="3"/>
      <c r="KT145" s="3"/>
      <c r="KU145" s="3"/>
      <c r="KV145" s="3"/>
      <c r="KW145" s="3"/>
      <c r="KX145" s="3"/>
      <c r="KY145" s="3"/>
      <c r="KZ145" s="3"/>
      <c r="LA145" s="3"/>
      <c r="LB145" s="3"/>
      <c r="LC145" s="3"/>
      <c r="LD145" s="3"/>
      <c r="LE145" s="3"/>
      <c r="LF145" s="3"/>
      <c r="LG145" s="3"/>
      <c r="LH145" s="3"/>
      <c r="LI145" s="3"/>
      <c r="LJ145" s="3"/>
      <c r="LK145" s="3">
        <v>58734000</v>
      </c>
      <c r="LL145" s="3">
        <v>32691000</v>
      </c>
      <c r="LM145">
        <v>0</v>
      </c>
      <c r="LN145">
        <v>0</v>
      </c>
      <c r="LO145" s="3">
        <v>91425000</v>
      </c>
    </row>
    <row r="146" spans="1:327" x14ac:dyDescent="0.25">
      <c r="A146" t="s">
        <v>943</v>
      </c>
      <c r="B146" t="s">
        <v>944</v>
      </c>
      <c r="C146" t="s">
        <v>737</v>
      </c>
      <c r="D146" t="s">
        <v>994</v>
      </c>
      <c r="E146" t="s">
        <v>201</v>
      </c>
      <c r="F146" t="s">
        <v>204</v>
      </c>
      <c r="G146" t="s">
        <v>205</v>
      </c>
      <c r="H146" s="3">
        <v>1363000</v>
      </c>
      <c r="I146" s="3">
        <v>0</v>
      </c>
      <c r="J146" s="3">
        <v>0</v>
      </c>
      <c r="K146" s="3">
        <v>0</v>
      </c>
      <c r="L146" s="3">
        <v>1363000</v>
      </c>
      <c r="M146" s="3">
        <v>1363000</v>
      </c>
      <c r="N146" s="3">
        <v>0</v>
      </c>
      <c r="O146" s="3">
        <v>0</v>
      </c>
      <c r="P146" s="3">
        <v>0</v>
      </c>
      <c r="Q146" s="3">
        <v>1363000</v>
      </c>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U146" s="3"/>
      <c r="BV146" s="3"/>
      <c r="BW146" s="3"/>
      <c r="BX146" s="3"/>
      <c r="BZ146" s="3">
        <v>0</v>
      </c>
      <c r="CA146" s="3">
        <v>0</v>
      </c>
      <c r="CB146" s="3">
        <v>0</v>
      </c>
      <c r="CC146" s="3">
        <v>0</v>
      </c>
      <c r="CD146" s="3">
        <v>0</v>
      </c>
      <c r="CE146" s="3">
        <v>0</v>
      </c>
      <c r="CF146" s="3">
        <v>0</v>
      </c>
      <c r="CG146" s="3">
        <v>0</v>
      </c>
      <c r="CH146" s="3">
        <v>0</v>
      </c>
      <c r="CI146" s="3">
        <v>0</v>
      </c>
      <c r="CJ146" s="3"/>
      <c r="CK146" s="3"/>
      <c r="CL146" s="3"/>
      <c r="CM146" s="3"/>
      <c r="CN146" s="3"/>
      <c r="CO146" s="3"/>
      <c r="CP146" s="3"/>
      <c r="CQ146" s="3"/>
      <c r="CR146" s="3"/>
      <c r="CS146" s="3"/>
      <c r="CT146" s="3"/>
      <c r="CU146" s="3"/>
      <c r="CV146" s="3"/>
      <c r="CW146" s="3"/>
      <c r="CX146" s="3"/>
      <c r="CY146" s="3"/>
      <c r="CZ146" s="3"/>
      <c r="DA146" s="3"/>
      <c r="DB146" s="3"/>
      <c r="DD146" s="3"/>
      <c r="DE146" s="3"/>
      <c r="DF146" s="3"/>
      <c r="DG146" s="3"/>
      <c r="DI146" s="3">
        <v>2358000</v>
      </c>
      <c r="DJ146" s="3">
        <v>0</v>
      </c>
      <c r="DK146" s="3">
        <v>0</v>
      </c>
      <c r="DL146" s="3">
        <v>0</v>
      </c>
      <c r="DM146" s="3">
        <v>2358000</v>
      </c>
      <c r="DN146" s="3">
        <v>2358000</v>
      </c>
      <c r="DO146" s="3">
        <v>0</v>
      </c>
      <c r="DP146" s="3">
        <v>0</v>
      </c>
      <c r="DQ146" s="3">
        <v>0</v>
      </c>
      <c r="DR146" s="3">
        <v>2358000</v>
      </c>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v>1194000</v>
      </c>
      <c r="GB146" s="3">
        <v>0</v>
      </c>
      <c r="GC146" s="3">
        <v>0</v>
      </c>
      <c r="GD146" s="3">
        <v>0</v>
      </c>
      <c r="GE146" s="3">
        <v>1194000</v>
      </c>
      <c r="GF146" s="3">
        <v>1194000</v>
      </c>
      <c r="GG146" s="3">
        <v>0</v>
      </c>
      <c r="GH146" s="3">
        <v>0</v>
      </c>
      <c r="GI146" s="3">
        <v>0</v>
      </c>
      <c r="GJ146" s="3">
        <v>1194000</v>
      </c>
      <c r="GK146" s="3"/>
      <c r="GL146" s="3"/>
      <c r="GM146" s="3"/>
      <c r="GN146" s="3"/>
      <c r="GO146" s="3"/>
      <c r="GP146" s="3"/>
      <c r="GQ146" s="3"/>
      <c r="GR146" s="3"/>
      <c r="GS146" s="3"/>
      <c r="GU146" s="3"/>
      <c r="GV146" s="3"/>
      <c r="GW146" s="3"/>
      <c r="GX146" s="3"/>
      <c r="GY146" s="3"/>
      <c r="GZ146" s="3"/>
      <c r="HA146" s="3"/>
      <c r="HB146" s="3"/>
      <c r="HC146" s="3"/>
      <c r="HE146" s="3"/>
      <c r="HF146" s="3"/>
      <c r="HG146" s="3"/>
      <c r="HH146" s="3"/>
      <c r="HJ146" s="3">
        <v>2069000</v>
      </c>
      <c r="HK146" s="3">
        <v>0</v>
      </c>
      <c r="HL146" s="3">
        <v>0</v>
      </c>
      <c r="HM146" s="3">
        <v>0</v>
      </c>
      <c r="HN146" s="3">
        <v>2069000</v>
      </c>
      <c r="HO146" s="3">
        <v>2069000</v>
      </c>
      <c r="HP146" s="3">
        <v>0</v>
      </c>
      <c r="HQ146" s="3">
        <v>0</v>
      </c>
      <c r="HR146" s="3">
        <v>0</v>
      </c>
      <c r="HS146" s="3">
        <v>2069000</v>
      </c>
      <c r="HT146" s="3"/>
      <c r="HU146" s="3"/>
      <c r="HV146" s="3"/>
      <c r="HW146" s="3"/>
      <c r="HX146" s="3"/>
      <c r="HY146" s="3"/>
      <c r="HZ146" s="3"/>
      <c r="IA146" s="3"/>
      <c r="IB146" s="3"/>
      <c r="ID146" s="3"/>
      <c r="IE146" s="3"/>
      <c r="IF146" s="3"/>
      <c r="IG146" s="3"/>
      <c r="IS146" s="3">
        <v>2117000</v>
      </c>
      <c r="IT146" s="3">
        <v>0</v>
      </c>
      <c r="IU146" s="3">
        <v>0</v>
      </c>
      <c r="IV146" s="3">
        <v>0</v>
      </c>
      <c r="IW146" s="3">
        <v>2117000</v>
      </c>
      <c r="IX146" s="3">
        <v>2117000</v>
      </c>
      <c r="IY146" s="3">
        <v>0</v>
      </c>
      <c r="IZ146" s="3">
        <v>0</v>
      </c>
      <c r="JA146" s="3">
        <v>0</v>
      </c>
      <c r="JB146" s="3">
        <v>2117000</v>
      </c>
      <c r="JC146" s="3"/>
      <c r="JD146" s="3"/>
      <c r="JE146" s="3"/>
      <c r="JF146" s="3"/>
      <c r="JG146" s="3"/>
      <c r="JH146" s="3"/>
      <c r="JI146" s="3"/>
      <c r="JJ146" s="3"/>
      <c r="JK146" s="3"/>
      <c r="JL146" s="3"/>
      <c r="JM146" s="3"/>
      <c r="JN146" s="3"/>
      <c r="JO146" s="3"/>
      <c r="JP146" s="3"/>
      <c r="JQ146" s="3"/>
      <c r="JR146" s="3"/>
      <c r="JS146" s="3"/>
      <c r="JT146" s="3"/>
      <c r="JU146" s="3"/>
      <c r="JV146" s="3"/>
      <c r="JW146" s="3"/>
      <c r="JX146" s="3"/>
      <c r="JY146" s="3"/>
      <c r="JZ146" s="3"/>
      <c r="KA146" s="3"/>
      <c r="KB146" s="3">
        <v>1935000</v>
      </c>
      <c r="KC146" s="3">
        <v>0</v>
      </c>
      <c r="KD146" s="3">
        <v>0</v>
      </c>
      <c r="KE146" s="3">
        <v>0</v>
      </c>
      <c r="KF146" s="3">
        <v>1935000</v>
      </c>
      <c r="KG146" s="3">
        <v>1935000</v>
      </c>
      <c r="KH146" s="3">
        <v>0</v>
      </c>
      <c r="KI146" s="3">
        <v>0</v>
      </c>
      <c r="KJ146" s="3">
        <v>0</v>
      </c>
      <c r="KK146" s="3">
        <v>1935000</v>
      </c>
      <c r="KL146" s="3"/>
      <c r="KM146" s="3"/>
      <c r="KN146" s="3"/>
      <c r="KO146" s="3"/>
      <c r="KP146" s="3"/>
      <c r="KQ146" s="3"/>
      <c r="KR146" s="3"/>
      <c r="KS146" s="3"/>
      <c r="KT146" s="3"/>
      <c r="KU146" s="3"/>
      <c r="KV146" s="3"/>
      <c r="KW146" s="3"/>
      <c r="KX146" s="3"/>
      <c r="KY146" s="3"/>
      <c r="KZ146" s="3"/>
      <c r="LA146" s="3"/>
      <c r="LB146" s="3"/>
      <c r="LC146" s="3"/>
      <c r="LD146" s="3"/>
      <c r="LE146" s="3"/>
      <c r="LF146" s="3"/>
      <c r="LG146" s="3"/>
      <c r="LH146" s="3"/>
      <c r="LI146" s="3"/>
      <c r="LJ146" s="3"/>
      <c r="LK146" s="3">
        <v>4354000</v>
      </c>
      <c r="LL146">
        <v>0</v>
      </c>
      <c r="LM146">
        <v>0</v>
      </c>
      <c r="LN146">
        <v>0</v>
      </c>
      <c r="LO146" s="3">
        <v>4354000</v>
      </c>
    </row>
    <row r="147" spans="1:327" x14ac:dyDescent="0.25">
      <c r="A147" t="s">
        <v>943</v>
      </c>
      <c r="B147" t="s">
        <v>944</v>
      </c>
      <c r="C147" t="s">
        <v>737</v>
      </c>
      <c r="D147" t="s">
        <v>994</v>
      </c>
      <c r="E147" t="s">
        <v>217</v>
      </c>
      <c r="F147" t="s">
        <v>218</v>
      </c>
      <c r="G147" t="s">
        <v>1069</v>
      </c>
      <c r="H147" s="3">
        <v>6957000</v>
      </c>
      <c r="I147" s="3">
        <v>848000</v>
      </c>
      <c r="J147" s="3">
        <v>0</v>
      </c>
      <c r="K147" s="3">
        <v>0</v>
      </c>
      <c r="L147" s="3">
        <v>7805000</v>
      </c>
      <c r="M147" s="3">
        <v>6957000</v>
      </c>
      <c r="N147" s="3">
        <v>848000</v>
      </c>
      <c r="O147" s="3">
        <v>0</v>
      </c>
      <c r="P147" s="3">
        <v>0</v>
      </c>
      <c r="Q147" s="3">
        <v>7805000</v>
      </c>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v>8453000</v>
      </c>
      <c r="AR147" s="3">
        <v>863000</v>
      </c>
      <c r="AS147" s="3">
        <v>0</v>
      </c>
      <c r="AT147" s="3">
        <v>0</v>
      </c>
      <c r="AU147" s="3">
        <v>9316000</v>
      </c>
      <c r="AV147" s="3">
        <v>8453000</v>
      </c>
      <c r="AW147" s="3">
        <v>863000</v>
      </c>
      <c r="AX147" s="3">
        <v>0</v>
      </c>
      <c r="AY147" s="3">
        <v>0</v>
      </c>
      <c r="AZ147" s="3">
        <v>9316000</v>
      </c>
      <c r="BA147" s="3"/>
      <c r="BB147" s="3"/>
      <c r="BC147" s="3"/>
      <c r="BD147" s="3"/>
      <c r="BE147" s="3"/>
      <c r="BF147" s="3"/>
      <c r="BG147" s="3"/>
      <c r="BH147" s="3"/>
      <c r="BI147" s="3"/>
      <c r="BJ147" s="3"/>
      <c r="BK147" s="3"/>
      <c r="BL147" s="3"/>
      <c r="BM147" s="3"/>
      <c r="BN147" s="3"/>
      <c r="BO147" s="3"/>
      <c r="BP147" s="3"/>
      <c r="BQ147" s="3"/>
      <c r="BR147" s="3"/>
      <c r="BS147" s="3"/>
      <c r="BU147" s="3"/>
      <c r="BV147" s="3"/>
      <c r="BW147" s="3"/>
      <c r="BX147" s="3"/>
      <c r="BZ147" s="3">
        <v>7607000</v>
      </c>
      <c r="CA147" s="3">
        <v>16463000</v>
      </c>
      <c r="CB147" s="3">
        <v>0</v>
      </c>
      <c r="CC147" s="3">
        <v>0</v>
      </c>
      <c r="CD147" s="3">
        <v>24070000</v>
      </c>
      <c r="CE147" s="3">
        <v>7607000</v>
      </c>
      <c r="CF147" s="3">
        <v>16463000</v>
      </c>
      <c r="CG147" s="3">
        <v>0</v>
      </c>
      <c r="CH147" s="3">
        <v>0</v>
      </c>
      <c r="CI147" s="3">
        <v>24070000</v>
      </c>
      <c r="CJ147" s="3"/>
      <c r="CK147" s="3"/>
      <c r="CL147" s="3"/>
      <c r="CM147" s="3"/>
      <c r="CN147" s="3"/>
      <c r="CO147" s="3"/>
      <c r="CP147" s="3"/>
      <c r="CQ147" s="3"/>
      <c r="CR147" s="3"/>
      <c r="CS147" s="3"/>
      <c r="CT147" s="3"/>
      <c r="CU147" s="3"/>
      <c r="CV147" s="3"/>
      <c r="CW147" s="3"/>
      <c r="CX147" s="3"/>
      <c r="CY147" s="3"/>
      <c r="CZ147" s="3"/>
      <c r="DA147" s="3"/>
      <c r="DB147" s="3"/>
      <c r="DD147" s="3"/>
      <c r="DE147" s="3"/>
      <c r="DF147" s="3"/>
      <c r="DG147" s="3"/>
      <c r="DI147" s="3">
        <v>8536000</v>
      </c>
      <c r="DJ147" s="3">
        <v>16479000</v>
      </c>
      <c r="DK147" s="3">
        <v>0</v>
      </c>
      <c r="DL147" s="3">
        <v>0</v>
      </c>
      <c r="DM147" s="3">
        <v>25015000</v>
      </c>
      <c r="DN147" s="3">
        <v>8536000</v>
      </c>
      <c r="DO147" s="3">
        <v>16479000</v>
      </c>
      <c r="DP147" s="3">
        <v>0</v>
      </c>
      <c r="DQ147" s="3">
        <v>0</v>
      </c>
      <c r="DR147" s="3">
        <v>25015000</v>
      </c>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R147" s="3">
        <v>8772000</v>
      </c>
      <c r="ES147" s="3">
        <v>8430000</v>
      </c>
      <c r="ET147" s="3">
        <v>0</v>
      </c>
      <c r="EU147" s="3">
        <v>23665000</v>
      </c>
      <c r="EV147" s="3">
        <v>40867000</v>
      </c>
      <c r="EW147" s="3">
        <v>8772000</v>
      </c>
      <c r="EX147" s="3">
        <v>8430000</v>
      </c>
      <c r="EY147" s="3">
        <v>0</v>
      </c>
      <c r="EZ147" s="3">
        <v>23665000</v>
      </c>
      <c r="FA147" s="3">
        <v>40867000</v>
      </c>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v>9482000</v>
      </c>
      <c r="GB147" s="3">
        <v>6981000</v>
      </c>
      <c r="GC147" s="3">
        <v>0</v>
      </c>
      <c r="GD147" s="3">
        <v>0</v>
      </c>
      <c r="GE147" s="3">
        <v>16463000</v>
      </c>
      <c r="GF147" s="3">
        <v>9482000</v>
      </c>
      <c r="GG147" s="3">
        <v>6981000</v>
      </c>
      <c r="GH147" s="3">
        <v>0</v>
      </c>
      <c r="GI147" s="3">
        <v>0</v>
      </c>
      <c r="GJ147" s="3">
        <v>16463000</v>
      </c>
      <c r="GK147" s="3"/>
      <c r="GL147" s="3"/>
      <c r="GM147" s="3"/>
      <c r="GN147" s="3"/>
      <c r="GO147" s="3"/>
      <c r="GP147" s="3"/>
      <c r="GQ147" s="3"/>
      <c r="GR147" s="3"/>
      <c r="GS147" s="3"/>
      <c r="GU147" s="3"/>
      <c r="GV147" s="3"/>
      <c r="GW147" s="3"/>
      <c r="GX147" s="3"/>
      <c r="GY147" s="3"/>
      <c r="GZ147" s="3"/>
      <c r="HA147" s="3"/>
      <c r="HB147" s="3"/>
      <c r="HC147" s="3"/>
      <c r="HE147" s="3"/>
      <c r="HF147" s="3"/>
      <c r="HG147" s="3"/>
      <c r="HH147" s="3"/>
      <c r="HJ147" s="3">
        <v>9657000</v>
      </c>
      <c r="HK147" s="3">
        <v>7107000</v>
      </c>
      <c r="HL147" s="3">
        <v>0</v>
      </c>
      <c r="HM147" s="3">
        <v>0</v>
      </c>
      <c r="HN147" s="3">
        <v>16764000</v>
      </c>
      <c r="HO147" s="3">
        <v>9657000</v>
      </c>
      <c r="HP147" s="3">
        <v>7107000</v>
      </c>
      <c r="HQ147" s="3">
        <v>0</v>
      </c>
      <c r="HR147" s="3">
        <v>0</v>
      </c>
      <c r="HS147" s="3">
        <v>16764000</v>
      </c>
      <c r="HT147" s="3"/>
      <c r="HU147" s="3"/>
      <c r="HV147" s="3"/>
      <c r="HW147" s="3"/>
      <c r="HX147" s="3"/>
      <c r="HY147" s="3"/>
      <c r="HZ147" s="3"/>
      <c r="IA147" s="3"/>
      <c r="IB147" s="3"/>
      <c r="ID147" s="3"/>
      <c r="IE147" s="3"/>
      <c r="IF147" s="3"/>
      <c r="IG147" s="3"/>
      <c r="IS147" s="3">
        <v>9041000</v>
      </c>
      <c r="IT147" s="3">
        <v>7235000</v>
      </c>
      <c r="IU147" s="3">
        <v>0</v>
      </c>
      <c r="IV147" s="3">
        <v>0</v>
      </c>
      <c r="IW147" s="3">
        <v>16276000</v>
      </c>
      <c r="IX147" s="3">
        <v>9041000</v>
      </c>
      <c r="IY147" s="3">
        <v>7235000</v>
      </c>
      <c r="IZ147" s="3">
        <v>0</v>
      </c>
      <c r="JA147" s="3">
        <v>0</v>
      </c>
      <c r="JB147" s="3">
        <v>16276000</v>
      </c>
      <c r="JC147" s="3"/>
      <c r="JD147" s="3"/>
      <c r="JE147" s="3"/>
      <c r="JF147" s="3"/>
      <c r="JG147" s="3"/>
      <c r="JH147" s="3"/>
      <c r="JI147" s="3"/>
      <c r="JJ147" s="3"/>
      <c r="JK147" s="3"/>
      <c r="JL147" s="3"/>
      <c r="JM147" s="3"/>
      <c r="JN147" s="3"/>
      <c r="JO147" s="3"/>
      <c r="JP147" s="3"/>
      <c r="JQ147" s="3"/>
      <c r="JR147" s="3"/>
      <c r="JS147" s="3"/>
      <c r="JT147" s="3"/>
      <c r="JU147" s="3"/>
      <c r="JV147" s="3"/>
      <c r="JW147" s="3"/>
      <c r="JX147" s="3"/>
      <c r="JY147" s="3"/>
      <c r="JZ147" s="3"/>
      <c r="KA147" s="3"/>
      <c r="KB147" s="3">
        <v>10758000</v>
      </c>
      <c r="KC147" s="3">
        <v>7365000</v>
      </c>
      <c r="KD147" s="3">
        <v>0</v>
      </c>
      <c r="KE147" s="3">
        <v>0</v>
      </c>
      <c r="KF147" s="3">
        <v>18123000</v>
      </c>
      <c r="KG147" s="3">
        <v>10758000</v>
      </c>
      <c r="KH147" s="3">
        <v>7365000</v>
      </c>
      <c r="KI147" s="3">
        <v>0</v>
      </c>
      <c r="KJ147" s="3">
        <v>0</v>
      </c>
      <c r="KK147" s="3">
        <v>18123000</v>
      </c>
      <c r="KL147" s="3"/>
      <c r="KM147" s="3"/>
      <c r="KN147" s="3"/>
      <c r="KO147" s="3"/>
      <c r="KP147" s="3"/>
      <c r="KQ147" s="3"/>
      <c r="KR147" s="3"/>
      <c r="KS147" s="3"/>
      <c r="KT147" s="3"/>
      <c r="KU147" s="3"/>
      <c r="KV147" s="3"/>
      <c r="KW147" s="3"/>
      <c r="KX147" s="3"/>
      <c r="KY147" s="3"/>
      <c r="KZ147" s="3"/>
      <c r="LA147" s="3"/>
      <c r="LB147" s="3"/>
      <c r="LC147" s="3"/>
      <c r="LD147" s="3"/>
      <c r="LE147" s="3"/>
      <c r="LF147" s="3"/>
      <c r="LG147" s="3"/>
      <c r="LH147" s="3"/>
      <c r="LI147" s="3"/>
      <c r="LJ147" s="3"/>
      <c r="LK147" s="3">
        <v>12127000</v>
      </c>
      <c r="LL147" s="3">
        <v>7498000</v>
      </c>
      <c r="LM147">
        <v>0</v>
      </c>
      <c r="LN147">
        <v>0</v>
      </c>
      <c r="LO147" s="3">
        <v>19625000</v>
      </c>
    </row>
    <row r="148" spans="1:327" x14ac:dyDescent="0.25">
      <c r="A148" t="s">
        <v>943</v>
      </c>
      <c r="B148" t="s">
        <v>944</v>
      </c>
      <c r="C148" t="s">
        <v>737</v>
      </c>
      <c r="D148" t="s">
        <v>994</v>
      </c>
      <c r="E148" t="s">
        <v>217</v>
      </c>
      <c r="F148" t="s">
        <v>220</v>
      </c>
      <c r="G148" t="s">
        <v>1090</v>
      </c>
      <c r="H148" s="3">
        <v>18492000</v>
      </c>
      <c r="I148" s="3">
        <v>80830000</v>
      </c>
      <c r="J148" s="3">
        <v>0</v>
      </c>
      <c r="K148" s="3">
        <v>9085000</v>
      </c>
      <c r="L148" s="3">
        <v>108407000</v>
      </c>
      <c r="M148" s="3">
        <v>18492000</v>
      </c>
      <c r="N148" s="3">
        <v>57830000</v>
      </c>
      <c r="O148" s="3">
        <v>0</v>
      </c>
      <c r="P148" s="3">
        <v>27085000</v>
      </c>
      <c r="Q148" s="3">
        <v>103407000</v>
      </c>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v>25145000</v>
      </c>
      <c r="AR148" s="3">
        <v>60074000</v>
      </c>
      <c r="AS148" s="3">
        <v>0</v>
      </c>
      <c r="AT148" s="3">
        <v>28532000</v>
      </c>
      <c r="AU148" s="3">
        <v>113751000</v>
      </c>
      <c r="AV148" s="3">
        <v>25145000</v>
      </c>
      <c r="AW148" s="3">
        <v>60074000</v>
      </c>
      <c r="AX148" s="3">
        <v>0</v>
      </c>
      <c r="AY148" s="3">
        <v>28532000</v>
      </c>
      <c r="AZ148" s="3">
        <v>113751000</v>
      </c>
      <c r="BA148" s="3"/>
      <c r="BB148" s="3"/>
      <c r="BC148" s="3"/>
      <c r="BD148" s="3"/>
      <c r="BE148" s="3"/>
      <c r="BF148" s="3"/>
      <c r="BG148" s="3"/>
      <c r="BH148" s="3"/>
      <c r="BI148" s="3"/>
      <c r="BJ148" s="3"/>
      <c r="BK148" s="3"/>
      <c r="BL148" s="3"/>
      <c r="BM148" s="3"/>
      <c r="BN148" s="3"/>
      <c r="BO148" s="3"/>
      <c r="BP148" s="3"/>
      <c r="BQ148" s="3"/>
      <c r="BR148" s="3"/>
      <c r="BS148" s="3"/>
      <c r="BU148" s="3"/>
      <c r="BV148" s="3"/>
      <c r="BW148" s="3"/>
      <c r="BX148" s="3"/>
      <c r="BZ148" s="3">
        <v>25876000</v>
      </c>
      <c r="CA148" s="3">
        <v>79447000</v>
      </c>
      <c r="CB148" s="3">
        <v>0</v>
      </c>
      <c r="CC148" s="3">
        <v>35343000</v>
      </c>
      <c r="CD148" s="3">
        <v>140666000</v>
      </c>
      <c r="CE148" s="3">
        <v>25876000</v>
      </c>
      <c r="CF148" s="3">
        <v>79447000</v>
      </c>
      <c r="CG148" s="3">
        <v>0</v>
      </c>
      <c r="CH148" s="3">
        <v>35343000</v>
      </c>
      <c r="CI148" s="3">
        <v>140666000</v>
      </c>
      <c r="CJ148" s="3"/>
      <c r="CK148" s="3"/>
      <c r="CL148" s="3"/>
      <c r="CM148" s="3"/>
      <c r="CN148" s="3"/>
      <c r="CO148" s="3"/>
      <c r="CP148" s="3"/>
      <c r="CQ148" s="3"/>
      <c r="CR148" s="3"/>
      <c r="CS148" s="3"/>
      <c r="CT148" s="3"/>
      <c r="CU148" s="3"/>
      <c r="CV148" s="3"/>
      <c r="CW148" s="3"/>
      <c r="CX148" s="3"/>
      <c r="CY148" s="3"/>
      <c r="CZ148" s="3"/>
      <c r="DA148" s="3"/>
      <c r="DB148" s="3"/>
      <c r="DD148" s="3"/>
      <c r="DE148" s="3"/>
      <c r="DF148" s="3"/>
      <c r="DG148" s="3"/>
      <c r="DI148" s="3">
        <v>49977000</v>
      </c>
      <c r="DJ148" s="3">
        <v>80558000</v>
      </c>
      <c r="DK148" s="3">
        <v>0</v>
      </c>
      <c r="DL148" s="3">
        <v>1214000</v>
      </c>
      <c r="DM148" s="3">
        <v>131749000</v>
      </c>
      <c r="DN148" s="3">
        <v>49977000</v>
      </c>
      <c r="DO148" s="3">
        <v>80558000</v>
      </c>
      <c r="DP148" s="3">
        <v>0</v>
      </c>
      <c r="DQ148" s="3">
        <v>1214000</v>
      </c>
      <c r="DR148" s="3">
        <v>131749000</v>
      </c>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R148" s="3">
        <v>50278000</v>
      </c>
      <c r="ES148" s="3">
        <v>125122000</v>
      </c>
      <c r="ET148" s="3">
        <v>0</v>
      </c>
      <c r="EU148" s="3">
        <v>13800000</v>
      </c>
      <c r="EV148" s="3">
        <v>189200000</v>
      </c>
      <c r="EW148" s="3">
        <v>50278000</v>
      </c>
      <c r="EX148" s="3">
        <v>125122000</v>
      </c>
      <c r="EY148" s="3">
        <v>0</v>
      </c>
      <c r="EZ148" s="3">
        <v>13800000</v>
      </c>
      <c r="FA148" s="3">
        <v>189200000</v>
      </c>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v>57881000</v>
      </c>
      <c r="GB148" s="3">
        <v>104220000</v>
      </c>
      <c r="GC148" s="3">
        <v>0</v>
      </c>
      <c r="GD148" s="3">
        <v>10000000</v>
      </c>
      <c r="GE148" s="3">
        <v>172101000</v>
      </c>
      <c r="GF148" s="3">
        <v>57881000</v>
      </c>
      <c r="GG148" s="3">
        <v>104220000</v>
      </c>
      <c r="GH148" s="3">
        <v>0</v>
      </c>
      <c r="GI148" s="3">
        <v>10000000</v>
      </c>
      <c r="GJ148" s="3">
        <v>172101000</v>
      </c>
      <c r="GK148" s="3"/>
      <c r="GL148" s="3"/>
      <c r="GM148" s="3"/>
      <c r="GN148" s="3"/>
      <c r="GO148" s="3"/>
      <c r="GP148" s="3"/>
      <c r="GQ148" s="3"/>
      <c r="GR148" s="3"/>
      <c r="GS148" s="3"/>
      <c r="GU148" s="3"/>
      <c r="GV148" s="3"/>
      <c r="GW148" s="3"/>
      <c r="GX148" s="3"/>
      <c r="GY148" s="3"/>
      <c r="GZ148" s="3"/>
      <c r="HA148" s="3"/>
      <c r="HB148" s="3"/>
      <c r="HC148" s="3"/>
      <c r="HE148" s="3"/>
      <c r="HF148" s="3"/>
      <c r="HG148" s="3"/>
      <c r="HH148" s="3"/>
      <c r="HJ148" s="3">
        <v>58046000</v>
      </c>
      <c r="HK148" s="3">
        <v>98813000</v>
      </c>
      <c r="HL148" s="3">
        <v>0</v>
      </c>
      <c r="HM148" s="3">
        <v>0</v>
      </c>
      <c r="HN148" s="3">
        <v>156859000</v>
      </c>
      <c r="HO148" s="3">
        <v>58046000</v>
      </c>
      <c r="HP148" s="3">
        <v>98813000</v>
      </c>
      <c r="HQ148" s="3">
        <v>0</v>
      </c>
      <c r="HR148" s="3">
        <v>0</v>
      </c>
      <c r="HS148" s="3">
        <v>156859000</v>
      </c>
      <c r="HT148" s="3"/>
      <c r="HU148" s="3"/>
      <c r="HV148" s="3"/>
      <c r="HW148" s="3"/>
      <c r="HX148" s="3"/>
      <c r="HY148" s="3"/>
      <c r="HZ148" s="3"/>
      <c r="IA148" s="3"/>
      <c r="IB148" s="3"/>
      <c r="ID148" s="3"/>
      <c r="IE148" s="3"/>
      <c r="IF148" s="3"/>
      <c r="IG148" s="3"/>
      <c r="IS148" s="3">
        <v>49995000</v>
      </c>
      <c r="IT148" s="3">
        <v>112868000</v>
      </c>
      <c r="IU148" s="3">
        <v>0</v>
      </c>
      <c r="IV148" s="3">
        <v>16205000</v>
      </c>
      <c r="IW148" s="3">
        <v>179068000</v>
      </c>
      <c r="IX148" s="3">
        <v>49995000</v>
      </c>
      <c r="IY148" s="3">
        <v>112868000</v>
      </c>
      <c r="IZ148" s="3">
        <v>0</v>
      </c>
      <c r="JA148" s="3">
        <v>16205000</v>
      </c>
      <c r="JB148" s="3">
        <v>179068000</v>
      </c>
      <c r="JC148" s="3"/>
      <c r="JD148" s="3"/>
      <c r="JE148" s="3"/>
      <c r="JF148" s="3"/>
      <c r="JG148" s="3"/>
      <c r="JH148" s="3"/>
      <c r="JI148" s="3"/>
      <c r="JJ148" s="3"/>
      <c r="JK148" s="3"/>
      <c r="JL148" s="3"/>
      <c r="JM148" s="3"/>
      <c r="JN148" s="3"/>
      <c r="JO148" s="3"/>
      <c r="JP148" s="3"/>
      <c r="JQ148" s="3"/>
      <c r="JR148" s="3"/>
      <c r="JS148" s="3"/>
      <c r="JT148" s="3"/>
      <c r="JU148" s="3"/>
      <c r="JV148" s="3"/>
      <c r="JW148" s="3"/>
      <c r="JX148" s="3"/>
      <c r="JY148" s="3"/>
      <c r="JZ148" s="3"/>
      <c r="KA148" s="3"/>
      <c r="KB148" s="3">
        <v>56779000</v>
      </c>
      <c r="KC148" s="3">
        <v>126948000</v>
      </c>
      <c r="KD148" s="3">
        <v>0</v>
      </c>
      <c r="KE148" s="3">
        <v>100000</v>
      </c>
      <c r="KF148" s="3">
        <v>183827000</v>
      </c>
      <c r="KG148" s="3">
        <v>56779000</v>
      </c>
      <c r="KH148" s="3">
        <v>126948000</v>
      </c>
      <c r="KI148" s="3">
        <v>0</v>
      </c>
      <c r="KJ148" s="3">
        <v>100000</v>
      </c>
      <c r="KK148" s="3">
        <v>183827000</v>
      </c>
      <c r="KL148" s="3"/>
      <c r="KM148" s="3"/>
      <c r="KN148" s="3"/>
      <c r="KO148" s="3"/>
      <c r="KP148" s="3"/>
      <c r="KQ148" s="3"/>
      <c r="KR148" s="3"/>
      <c r="KS148" s="3"/>
      <c r="KT148" s="3"/>
      <c r="KU148" s="3"/>
      <c r="KV148" s="3"/>
      <c r="KW148" s="3"/>
      <c r="KX148" s="3"/>
      <c r="KY148" s="3"/>
      <c r="KZ148" s="3"/>
      <c r="LA148" s="3"/>
      <c r="LB148" s="3"/>
      <c r="LC148" s="3"/>
      <c r="LD148" s="3"/>
      <c r="LE148" s="3"/>
      <c r="LF148" s="3"/>
      <c r="LG148" s="3"/>
      <c r="LH148" s="3"/>
      <c r="LI148" s="3"/>
      <c r="LJ148" s="3"/>
      <c r="LK148" s="3">
        <v>71169000</v>
      </c>
      <c r="LL148" s="3">
        <v>149136000</v>
      </c>
      <c r="LM148">
        <v>0</v>
      </c>
      <c r="LN148">
        <v>0</v>
      </c>
      <c r="LO148" s="3">
        <v>220305000</v>
      </c>
    </row>
    <row r="149" spans="1:327" x14ac:dyDescent="0.25">
      <c r="A149" t="s">
        <v>943</v>
      </c>
      <c r="B149" t="s">
        <v>944</v>
      </c>
      <c r="C149" t="s">
        <v>737</v>
      </c>
      <c r="D149" t="s">
        <v>994</v>
      </c>
      <c r="E149" t="s">
        <v>217</v>
      </c>
      <c r="F149" t="s">
        <v>222</v>
      </c>
      <c r="G149" t="s">
        <v>1078</v>
      </c>
      <c r="H149" s="3">
        <v>38120000</v>
      </c>
      <c r="I149" s="3">
        <v>28923000</v>
      </c>
      <c r="J149" s="3">
        <v>0</v>
      </c>
      <c r="K149" s="3">
        <v>87372000</v>
      </c>
      <c r="L149" s="3">
        <v>154415000</v>
      </c>
      <c r="M149" s="3">
        <v>38120000</v>
      </c>
      <c r="N149" s="3">
        <v>43923000</v>
      </c>
      <c r="O149" s="3">
        <v>0</v>
      </c>
      <c r="P149" s="3">
        <v>77372000</v>
      </c>
      <c r="Q149" s="3">
        <v>159415000</v>
      </c>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v>39683000</v>
      </c>
      <c r="AR149" s="3">
        <v>49254000</v>
      </c>
      <c r="AS149" s="3">
        <v>0</v>
      </c>
      <c r="AT149" s="3">
        <v>11360000</v>
      </c>
      <c r="AU149" s="3">
        <v>100297000</v>
      </c>
      <c r="AV149" s="3">
        <v>39683000</v>
      </c>
      <c r="AW149" s="3">
        <v>49254000</v>
      </c>
      <c r="AX149" s="3">
        <v>0</v>
      </c>
      <c r="AY149" s="3">
        <v>11360000</v>
      </c>
      <c r="AZ149" s="3">
        <v>100297000</v>
      </c>
      <c r="BA149" s="3"/>
      <c r="BB149" s="3"/>
      <c r="BC149" s="3"/>
      <c r="BD149" s="3"/>
      <c r="BE149" s="3"/>
      <c r="BF149" s="3"/>
      <c r="BG149" s="3"/>
      <c r="BH149" s="3"/>
      <c r="BI149" s="3"/>
      <c r="BJ149" s="3"/>
      <c r="BK149" s="3"/>
      <c r="BL149" s="3"/>
      <c r="BM149" s="3"/>
      <c r="BN149" s="3"/>
      <c r="BO149" s="3"/>
      <c r="BP149" s="3"/>
      <c r="BQ149" s="3"/>
      <c r="BR149" s="3"/>
      <c r="BS149" s="3"/>
      <c r="BU149" s="3"/>
      <c r="BV149" s="3"/>
      <c r="BW149" s="3"/>
      <c r="BX149" s="3"/>
      <c r="BZ149" s="3">
        <v>39512000</v>
      </c>
      <c r="CA149" s="3">
        <v>59815000</v>
      </c>
      <c r="CB149" s="3">
        <v>0</v>
      </c>
      <c r="CC149" s="3">
        <v>0</v>
      </c>
      <c r="CD149" s="3">
        <v>99327000</v>
      </c>
      <c r="CE149" s="3">
        <v>39512000</v>
      </c>
      <c r="CF149" s="3">
        <v>59815000</v>
      </c>
      <c r="CG149" s="3">
        <v>0</v>
      </c>
      <c r="CH149" s="3">
        <v>0</v>
      </c>
      <c r="CI149" s="3">
        <v>99327000</v>
      </c>
      <c r="CJ149" s="3"/>
      <c r="CK149" s="3"/>
      <c r="CL149" s="3"/>
      <c r="CM149" s="3"/>
      <c r="CN149" s="3"/>
      <c r="CO149" s="3"/>
      <c r="CP149" s="3"/>
      <c r="CQ149" s="3"/>
      <c r="CR149" s="3"/>
      <c r="CS149" s="3"/>
      <c r="CT149" s="3"/>
      <c r="CU149" s="3"/>
      <c r="CV149" s="3"/>
      <c r="CW149" s="3"/>
      <c r="CX149" s="3"/>
      <c r="CY149" s="3"/>
      <c r="CZ149" s="3"/>
      <c r="DA149" s="3"/>
      <c r="DB149" s="3"/>
      <c r="DD149" s="3"/>
      <c r="DE149" s="3"/>
      <c r="DF149" s="3"/>
      <c r="DG149" s="3"/>
      <c r="DI149" s="3">
        <v>43418000</v>
      </c>
      <c r="DJ149" s="3">
        <v>60686000</v>
      </c>
      <c r="DK149" s="3">
        <v>0</v>
      </c>
      <c r="DL149" s="3">
        <v>0</v>
      </c>
      <c r="DM149" s="3">
        <v>104104000</v>
      </c>
      <c r="DN149" s="3">
        <v>43418000</v>
      </c>
      <c r="DO149" s="3">
        <v>60686000</v>
      </c>
      <c r="DP149" s="3">
        <v>0</v>
      </c>
      <c r="DQ149" s="3">
        <v>0</v>
      </c>
      <c r="DR149" s="3">
        <v>104104000</v>
      </c>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R149" s="3">
        <v>45232000</v>
      </c>
      <c r="ES149" s="3">
        <v>48706000</v>
      </c>
      <c r="ET149" s="3">
        <v>0</v>
      </c>
      <c r="EU149" s="3">
        <v>0</v>
      </c>
      <c r="EV149" s="3">
        <v>93938000</v>
      </c>
      <c r="EW149" s="3">
        <v>45232000</v>
      </c>
      <c r="EX149" s="3">
        <v>48706000</v>
      </c>
      <c r="EY149" s="3">
        <v>0</v>
      </c>
      <c r="EZ149" s="3">
        <v>0</v>
      </c>
      <c r="FA149" s="3">
        <v>93938000</v>
      </c>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v>46530000</v>
      </c>
      <c r="GB149" s="3">
        <v>72003000</v>
      </c>
      <c r="GC149" s="3">
        <v>0</v>
      </c>
      <c r="GD149" s="3">
        <v>0</v>
      </c>
      <c r="GE149" s="3">
        <v>118533000</v>
      </c>
      <c r="GF149" s="3">
        <v>46530000</v>
      </c>
      <c r="GG149" s="3">
        <v>72003000</v>
      </c>
      <c r="GH149" s="3">
        <v>0</v>
      </c>
      <c r="GI149" s="3">
        <v>0</v>
      </c>
      <c r="GJ149" s="3">
        <v>118533000</v>
      </c>
      <c r="GK149" s="3"/>
      <c r="GL149" s="3"/>
      <c r="GM149" s="3"/>
      <c r="GN149" s="3"/>
      <c r="GO149" s="3"/>
      <c r="GP149" s="3"/>
      <c r="GQ149" s="3"/>
      <c r="GR149" s="3"/>
      <c r="GS149" s="3"/>
      <c r="GU149" s="3"/>
      <c r="GV149" s="3"/>
      <c r="GW149" s="3"/>
      <c r="GX149" s="3"/>
      <c r="GY149" s="3"/>
      <c r="GZ149" s="3"/>
      <c r="HA149" s="3"/>
      <c r="HB149" s="3"/>
      <c r="HC149" s="3"/>
      <c r="HE149" s="3"/>
      <c r="HF149" s="3"/>
      <c r="HG149" s="3"/>
      <c r="HH149" s="3"/>
      <c r="HJ149" s="3">
        <v>42382000</v>
      </c>
      <c r="HK149" s="3">
        <v>125923000</v>
      </c>
      <c r="HL149" s="3">
        <v>0</v>
      </c>
      <c r="HM149" s="3">
        <v>0</v>
      </c>
      <c r="HN149" s="3">
        <v>168305000</v>
      </c>
      <c r="HO149" s="3">
        <v>42382000</v>
      </c>
      <c r="HP149" s="3">
        <v>125923000</v>
      </c>
      <c r="HQ149" s="3">
        <v>0</v>
      </c>
      <c r="HR149" s="3">
        <v>0</v>
      </c>
      <c r="HS149" s="3">
        <v>168305000</v>
      </c>
      <c r="HT149" s="3"/>
      <c r="HU149" s="3"/>
      <c r="HV149" s="3"/>
      <c r="HW149" s="3"/>
      <c r="HX149" s="3"/>
      <c r="HY149" s="3"/>
      <c r="HZ149" s="3"/>
      <c r="IA149" s="3"/>
      <c r="IB149" s="3"/>
      <c r="ID149" s="3"/>
      <c r="IE149" s="3"/>
      <c r="IF149" s="3"/>
      <c r="IG149" s="3"/>
      <c r="IS149" s="3">
        <v>32520000</v>
      </c>
      <c r="IT149" s="3">
        <v>111810000</v>
      </c>
      <c r="IU149" s="3">
        <v>0</v>
      </c>
      <c r="IV149" s="3">
        <v>11630000</v>
      </c>
      <c r="IW149" s="3">
        <v>155960000</v>
      </c>
      <c r="IX149" s="3">
        <v>32520000</v>
      </c>
      <c r="IY149" s="3">
        <v>111810000</v>
      </c>
      <c r="IZ149" s="3">
        <v>0</v>
      </c>
      <c r="JA149" s="3">
        <v>11630000</v>
      </c>
      <c r="JB149" s="3">
        <v>155960000</v>
      </c>
      <c r="JC149" s="3"/>
      <c r="JD149" s="3"/>
      <c r="JE149" s="3"/>
      <c r="JF149" s="3"/>
      <c r="JG149" s="3"/>
      <c r="JH149" s="3"/>
      <c r="JI149" s="3"/>
      <c r="JJ149" s="3"/>
      <c r="JK149" s="3"/>
      <c r="JL149" s="3"/>
      <c r="JM149" s="3"/>
      <c r="JN149" s="3"/>
      <c r="JO149" s="3"/>
      <c r="JP149" s="3"/>
      <c r="JQ149" s="3"/>
      <c r="JR149" s="3"/>
      <c r="JS149" s="3"/>
      <c r="JT149" s="3"/>
      <c r="JU149" s="3"/>
      <c r="JV149" s="3"/>
      <c r="JW149" s="3"/>
      <c r="JX149" s="3"/>
      <c r="JY149" s="3"/>
      <c r="JZ149" s="3"/>
      <c r="KA149" s="3"/>
      <c r="KB149" s="3">
        <v>38159000</v>
      </c>
      <c r="KC149" s="3">
        <v>141968000</v>
      </c>
      <c r="KD149" s="3">
        <v>0</v>
      </c>
      <c r="KE149" s="3">
        <v>0</v>
      </c>
      <c r="KF149" s="3">
        <v>180127000</v>
      </c>
      <c r="KG149" s="3">
        <v>38159000</v>
      </c>
      <c r="KH149" s="3">
        <v>141968000</v>
      </c>
      <c r="KI149" s="3">
        <v>0</v>
      </c>
      <c r="KJ149" s="3">
        <v>0</v>
      </c>
      <c r="KK149" s="3">
        <v>180127000</v>
      </c>
      <c r="KL149" s="3"/>
      <c r="KM149" s="3"/>
      <c r="KN149" s="3"/>
      <c r="KO149" s="3"/>
      <c r="KP149" s="3"/>
      <c r="KQ149" s="3"/>
      <c r="KR149" s="3"/>
      <c r="KS149" s="3"/>
      <c r="KT149" s="3"/>
      <c r="KU149" s="3"/>
      <c r="KV149" s="3"/>
      <c r="KW149" s="3"/>
      <c r="KX149" s="3"/>
      <c r="KY149" s="3"/>
      <c r="KZ149" s="3"/>
      <c r="LA149" s="3"/>
      <c r="LB149" s="3"/>
      <c r="LC149" s="3"/>
      <c r="LD149" s="3"/>
      <c r="LE149" s="3"/>
      <c r="LF149" s="3"/>
      <c r="LG149" s="3"/>
      <c r="LH149" s="3"/>
      <c r="LI149" s="3"/>
      <c r="LJ149" s="3"/>
      <c r="LK149" s="3">
        <v>47298000</v>
      </c>
      <c r="LL149" s="3">
        <v>136634000</v>
      </c>
      <c r="LM149">
        <v>0</v>
      </c>
      <c r="LN149">
        <v>0</v>
      </c>
      <c r="LO149" s="3">
        <v>183932000</v>
      </c>
    </row>
    <row r="150" spans="1:327" x14ac:dyDescent="0.25">
      <c r="A150" t="s">
        <v>943</v>
      </c>
      <c r="B150" t="s">
        <v>944</v>
      </c>
      <c r="C150" t="s">
        <v>995</v>
      </c>
      <c r="D150" t="s">
        <v>996</v>
      </c>
      <c r="E150" t="s">
        <v>201</v>
      </c>
      <c r="F150" t="s">
        <v>202</v>
      </c>
      <c r="G150" t="s">
        <v>203</v>
      </c>
      <c r="H150" s="3">
        <v>45974000</v>
      </c>
      <c r="I150" s="3">
        <v>38905000</v>
      </c>
      <c r="J150" s="3">
        <v>50000</v>
      </c>
      <c r="K150" s="3">
        <v>29190000</v>
      </c>
      <c r="L150" s="3">
        <v>114119000</v>
      </c>
      <c r="M150" s="3">
        <v>45974000</v>
      </c>
      <c r="N150" s="3">
        <v>38905000</v>
      </c>
      <c r="O150" s="3">
        <v>50000</v>
      </c>
      <c r="P150" s="3">
        <v>17750000</v>
      </c>
      <c r="Q150" s="3">
        <v>102679000</v>
      </c>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v>50629000</v>
      </c>
      <c r="AR150" s="3">
        <v>30643000</v>
      </c>
      <c r="AS150" s="3">
        <v>50000</v>
      </c>
      <c r="AT150" s="3">
        <v>0</v>
      </c>
      <c r="AU150" s="3">
        <v>81322000</v>
      </c>
      <c r="AV150" s="3">
        <v>50629000</v>
      </c>
      <c r="AW150" s="3">
        <v>30643000</v>
      </c>
      <c r="AX150" s="3">
        <v>50000</v>
      </c>
      <c r="AY150" s="3">
        <v>0</v>
      </c>
      <c r="AZ150" s="3">
        <v>81322000</v>
      </c>
      <c r="BA150" s="3"/>
      <c r="BB150" s="3"/>
      <c r="BC150" s="3"/>
      <c r="BD150" s="3"/>
      <c r="BE150" s="3"/>
      <c r="BF150" s="3"/>
      <c r="BG150" s="3"/>
      <c r="BH150" s="3"/>
      <c r="BI150" s="3"/>
      <c r="BJ150" s="3"/>
      <c r="BK150" s="3"/>
      <c r="BL150" s="3"/>
      <c r="BM150" s="3"/>
      <c r="BN150" s="3"/>
      <c r="BO150" s="3"/>
      <c r="BP150" s="3"/>
      <c r="BQ150" s="3"/>
      <c r="BR150" s="3"/>
      <c r="BS150" s="3"/>
      <c r="BU150" s="3"/>
      <c r="BV150" s="3"/>
      <c r="BW150" s="3"/>
      <c r="BX150" s="3"/>
      <c r="BZ150" s="3">
        <v>51241000</v>
      </c>
      <c r="CA150" s="3">
        <v>29415000</v>
      </c>
      <c r="CB150" s="3">
        <v>50000</v>
      </c>
      <c r="CC150" s="3">
        <v>0</v>
      </c>
      <c r="CD150" s="3">
        <v>80706000</v>
      </c>
      <c r="CE150" s="3">
        <v>51241000</v>
      </c>
      <c r="CF150" s="3">
        <v>29415000</v>
      </c>
      <c r="CG150" s="3">
        <v>50000</v>
      </c>
      <c r="CH150" s="3">
        <v>0</v>
      </c>
      <c r="CI150" s="3">
        <v>80706000</v>
      </c>
      <c r="CJ150" s="3"/>
      <c r="CK150" s="3"/>
      <c r="CL150" s="3"/>
      <c r="CM150" s="3"/>
      <c r="CN150" s="3"/>
      <c r="CO150" s="3"/>
      <c r="CP150" s="3"/>
      <c r="CQ150" s="3"/>
      <c r="CR150" s="3"/>
      <c r="CS150" s="3"/>
      <c r="CT150" s="3"/>
      <c r="CU150" s="3"/>
      <c r="CV150" s="3"/>
      <c r="CW150" s="3"/>
      <c r="CX150" s="3"/>
      <c r="CY150" s="3"/>
      <c r="CZ150" s="3"/>
      <c r="DA150" s="3"/>
      <c r="DB150" s="3"/>
      <c r="DD150" s="3"/>
      <c r="DE150" s="3"/>
      <c r="DF150" s="3"/>
      <c r="DG150" s="3"/>
      <c r="DI150" s="3">
        <v>51777000</v>
      </c>
      <c r="DJ150" s="3">
        <v>29951000</v>
      </c>
      <c r="DK150" s="3">
        <v>50000</v>
      </c>
      <c r="DL150" s="3">
        <v>0</v>
      </c>
      <c r="DM150" s="3">
        <v>81778000</v>
      </c>
      <c r="DN150" s="3">
        <v>51777000</v>
      </c>
      <c r="DO150" s="3">
        <v>29951000</v>
      </c>
      <c r="DP150" s="3">
        <v>50000</v>
      </c>
      <c r="DQ150" s="3">
        <v>0</v>
      </c>
      <c r="DR150" s="3">
        <v>81778000</v>
      </c>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R150" s="3">
        <v>48692000</v>
      </c>
      <c r="ES150" s="3">
        <v>29951000</v>
      </c>
      <c r="ET150" s="3">
        <v>50000</v>
      </c>
      <c r="EU150" s="3">
        <v>0</v>
      </c>
      <c r="EV150" s="3">
        <v>78693000</v>
      </c>
      <c r="EW150" s="3">
        <v>48692000</v>
      </c>
      <c r="EX150" s="3">
        <v>29551000</v>
      </c>
      <c r="EY150" s="3">
        <v>50000</v>
      </c>
      <c r="EZ150" s="3">
        <v>0</v>
      </c>
      <c r="FA150" s="3">
        <v>78293000</v>
      </c>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v>48695000</v>
      </c>
      <c r="GB150" s="3">
        <v>33227000</v>
      </c>
      <c r="GC150" s="3">
        <v>0</v>
      </c>
      <c r="GD150" s="3">
        <v>0</v>
      </c>
      <c r="GE150" s="3">
        <v>81922000</v>
      </c>
      <c r="GF150" s="3">
        <v>48695000</v>
      </c>
      <c r="GG150" s="3">
        <v>28927000</v>
      </c>
      <c r="GH150" s="3">
        <v>0</v>
      </c>
      <c r="GI150" s="3">
        <v>0</v>
      </c>
      <c r="GJ150" s="3">
        <v>77622000</v>
      </c>
      <c r="GK150" s="3"/>
      <c r="GL150" s="3"/>
      <c r="GM150" s="3"/>
      <c r="GN150" s="3"/>
      <c r="GO150" s="3"/>
      <c r="GP150" s="3"/>
      <c r="GQ150" s="3"/>
      <c r="GR150" s="3"/>
      <c r="GS150" s="3"/>
      <c r="GU150" s="3"/>
      <c r="GV150" s="3"/>
      <c r="GW150" s="3"/>
      <c r="GX150" s="3"/>
      <c r="GY150" s="3"/>
      <c r="GZ150" s="3"/>
      <c r="HA150" s="3"/>
      <c r="HB150" s="3"/>
      <c r="HC150" s="3"/>
      <c r="HE150" s="3"/>
      <c r="HF150" s="3"/>
      <c r="HG150" s="3"/>
      <c r="HH150" s="3"/>
      <c r="HJ150" s="3">
        <v>38943000</v>
      </c>
      <c r="HK150" s="3">
        <v>34825000</v>
      </c>
      <c r="HL150" s="3">
        <v>0</v>
      </c>
      <c r="HM150" s="3">
        <v>0</v>
      </c>
      <c r="HN150" s="3">
        <v>73768000</v>
      </c>
      <c r="HO150" s="3">
        <v>38943000</v>
      </c>
      <c r="HP150" s="3">
        <v>34825000</v>
      </c>
      <c r="HQ150" s="3">
        <v>0</v>
      </c>
      <c r="HR150" s="3">
        <v>0</v>
      </c>
      <c r="HS150" s="3">
        <v>73768000</v>
      </c>
      <c r="HT150" s="3"/>
      <c r="HU150" s="3"/>
      <c r="HV150" s="3"/>
      <c r="HW150" s="3"/>
      <c r="HX150" s="3"/>
      <c r="HY150" s="3"/>
      <c r="HZ150" s="3"/>
      <c r="IA150" s="3"/>
      <c r="IB150" s="3"/>
      <c r="ID150" s="3"/>
      <c r="IE150" s="3"/>
      <c r="IF150" s="3"/>
      <c r="IG150" s="3"/>
      <c r="IS150" s="3">
        <v>33364000</v>
      </c>
      <c r="IT150" s="3">
        <v>43757000</v>
      </c>
      <c r="IU150" s="3">
        <v>0</v>
      </c>
      <c r="IV150" s="3">
        <v>1520000</v>
      </c>
      <c r="IW150" s="3">
        <v>78641000</v>
      </c>
      <c r="IX150" s="3">
        <v>33364000</v>
      </c>
      <c r="IY150" s="3">
        <v>43757000</v>
      </c>
      <c r="IZ150" s="3">
        <v>0</v>
      </c>
      <c r="JA150" s="3">
        <v>1520000</v>
      </c>
      <c r="JB150" s="3">
        <v>78641000</v>
      </c>
      <c r="JC150" s="3"/>
      <c r="JD150" s="3"/>
      <c r="JE150" s="3"/>
      <c r="JF150" s="3"/>
      <c r="JG150" s="3"/>
      <c r="JH150" s="3"/>
      <c r="JI150" s="3"/>
      <c r="JJ150" s="3"/>
      <c r="JK150" s="3"/>
      <c r="JL150" s="3"/>
      <c r="JM150" s="3"/>
      <c r="JN150" s="3"/>
      <c r="JO150" s="3"/>
      <c r="JP150" s="3"/>
      <c r="JQ150" s="3"/>
      <c r="JR150" s="3"/>
      <c r="JS150" s="3"/>
      <c r="JT150" s="3"/>
      <c r="JU150" s="3"/>
      <c r="JV150" s="3"/>
      <c r="JW150" s="3"/>
      <c r="JX150" s="3"/>
      <c r="JY150" s="3"/>
      <c r="JZ150" s="3"/>
      <c r="KA150" s="3"/>
      <c r="KB150" s="3">
        <v>52189000</v>
      </c>
      <c r="KC150" s="3">
        <v>104284000</v>
      </c>
      <c r="KD150" s="3">
        <v>0</v>
      </c>
      <c r="KE150" s="3">
        <v>42050000</v>
      </c>
      <c r="KF150" s="3">
        <v>198523000</v>
      </c>
      <c r="KG150" s="3">
        <v>52189000</v>
      </c>
      <c r="KH150" s="3">
        <v>104284000</v>
      </c>
      <c r="KI150" s="3">
        <v>0</v>
      </c>
      <c r="KJ150" s="3">
        <v>42050000</v>
      </c>
      <c r="KK150" s="3">
        <v>198523000</v>
      </c>
      <c r="KL150" s="3"/>
      <c r="KM150" s="3"/>
      <c r="KN150" s="3"/>
      <c r="KO150" s="3"/>
      <c r="KP150" s="3"/>
      <c r="KQ150" s="3"/>
      <c r="KR150" s="3"/>
      <c r="KS150" s="3"/>
      <c r="KT150" s="3"/>
      <c r="KU150" s="3"/>
      <c r="KV150" s="3"/>
      <c r="KW150" s="3"/>
      <c r="KX150" s="3"/>
      <c r="KY150" s="3"/>
      <c r="KZ150" s="3"/>
      <c r="LA150" s="3"/>
      <c r="LB150" s="3"/>
      <c r="LC150" s="3"/>
      <c r="LD150" s="3"/>
      <c r="LE150" s="3"/>
      <c r="LF150" s="3"/>
      <c r="LG150" s="3"/>
      <c r="LH150" s="3"/>
      <c r="LI150" s="3"/>
      <c r="LJ150" s="3"/>
      <c r="LK150" s="3">
        <v>51804000</v>
      </c>
      <c r="LL150" s="3">
        <v>49501000</v>
      </c>
      <c r="LM150">
        <v>0</v>
      </c>
      <c r="LN150">
        <v>0</v>
      </c>
      <c r="LO150" s="3">
        <v>101305000</v>
      </c>
    </row>
    <row r="151" spans="1:327" x14ac:dyDescent="0.25">
      <c r="A151" t="s">
        <v>943</v>
      </c>
      <c r="B151" t="s">
        <v>944</v>
      </c>
      <c r="C151" t="s">
        <v>995</v>
      </c>
      <c r="D151" t="s">
        <v>996</v>
      </c>
      <c r="E151" t="s">
        <v>201</v>
      </c>
      <c r="F151" t="s">
        <v>204</v>
      </c>
      <c r="G151" t="s">
        <v>205</v>
      </c>
      <c r="H151" s="3">
        <v>2189000</v>
      </c>
      <c r="I151" s="3">
        <v>0</v>
      </c>
      <c r="J151" s="3">
        <v>0</v>
      </c>
      <c r="K151" s="3">
        <v>0</v>
      </c>
      <c r="L151" s="3">
        <v>2189000</v>
      </c>
      <c r="M151" s="3">
        <v>2189000</v>
      </c>
      <c r="N151" s="3">
        <v>0</v>
      </c>
      <c r="O151" s="3">
        <v>0</v>
      </c>
      <c r="P151" s="3">
        <v>0</v>
      </c>
      <c r="Q151" s="3">
        <v>2189000</v>
      </c>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v>1188000</v>
      </c>
      <c r="AR151" s="3">
        <v>0</v>
      </c>
      <c r="AS151" s="3">
        <v>0</v>
      </c>
      <c r="AT151" s="3">
        <v>0</v>
      </c>
      <c r="AU151" s="3">
        <v>1188000</v>
      </c>
      <c r="AV151" s="3">
        <v>1188000</v>
      </c>
      <c r="AW151" s="3">
        <v>0</v>
      </c>
      <c r="AX151" s="3">
        <v>0</v>
      </c>
      <c r="AY151" s="3">
        <v>0</v>
      </c>
      <c r="AZ151" s="3">
        <v>1188000</v>
      </c>
      <c r="BA151" s="3"/>
      <c r="BB151" s="3"/>
      <c r="BC151" s="3"/>
      <c r="BD151" s="3"/>
      <c r="BE151" s="3"/>
      <c r="BF151" s="3"/>
      <c r="BG151" s="3"/>
      <c r="BH151" s="3"/>
      <c r="BI151" s="3"/>
      <c r="BJ151" s="3"/>
      <c r="BK151" s="3"/>
      <c r="BL151" s="3"/>
      <c r="BM151" s="3"/>
      <c r="BN151" s="3"/>
      <c r="BO151" s="3"/>
      <c r="BP151" s="3"/>
      <c r="BQ151" s="3"/>
      <c r="BR151" s="3"/>
      <c r="BS151" s="3"/>
      <c r="BU151" s="3"/>
      <c r="BV151" s="3"/>
      <c r="BW151" s="3"/>
      <c r="BX151" s="3"/>
      <c r="BZ151" s="3">
        <v>5378000</v>
      </c>
      <c r="CA151" s="3">
        <v>0</v>
      </c>
      <c r="CB151" s="3">
        <v>0</v>
      </c>
      <c r="CC151" s="3">
        <v>0</v>
      </c>
      <c r="CD151" s="3">
        <v>5378000</v>
      </c>
      <c r="CE151" s="3">
        <v>5378000</v>
      </c>
      <c r="CF151" s="3">
        <v>0</v>
      </c>
      <c r="CG151" s="3">
        <v>0</v>
      </c>
      <c r="CH151" s="3">
        <v>0</v>
      </c>
      <c r="CI151" s="3">
        <v>5378000</v>
      </c>
      <c r="CJ151" s="3"/>
      <c r="CK151" s="3"/>
      <c r="CL151" s="3"/>
      <c r="CM151" s="3"/>
      <c r="CN151" s="3"/>
      <c r="CO151" s="3"/>
      <c r="CP151" s="3"/>
      <c r="CQ151" s="3"/>
      <c r="CR151" s="3"/>
      <c r="CS151" s="3"/>
      <c r="CT151" s="3"/>
      <c r="CU151" s="3"/>
      <c r="CV151" s="3"/>
      <c r="CW151" s="3"/>
      <c r="CX151" s="3"/>
      <c r="CY151" s="3"/>
      <c r="CZ151" s="3"/>
      <c r="DA151" s="3"/>
      <c r="DB151" s="3"/>
      <c r="DD151" s="3"/>
      <c r="DE151" s="3"/>
      <c r="DF151" s="3"/>
      <c r="DG151" s="3"/>
      <c r="DI151" s="3">
        <v>5541000</v>
      </c>
      <c r="DJ151" s="3">
        <v>0</v>
      </c>
      <c r="DK151" s="3">
        <v>0</v>
      </c>
      <c r="DL151" s="3">
        <v>0</v>
      </c>
      <c r="DM151" s="3">
        <v>5541000</v>
      </c>
      <c r="DN151" s="3">
        <v>5541000</v>
      </c>
      <c r="DO151" s="3">
        <v>0</v>
      </c>
      <c r="DP151" s="3">
        <v>0</v>
      </c>
      <c r="DQ151" s="3">
        <v>0</v>
      </c>
      <c r="DR151" s="3">
        <v>5541000</v>
      </c>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v>8331000</v>
      </c>
      <c r="GB151" s="3">
        <v>0</v>
      </c>
      <c r="GC151" s="3">
        <v>0</v>
      </c>
      <c r="GD151" s="3">
        <v>0</v>
      </c>
      <c r="GE151" s="3">
        <v>8331000</v>
      </c>
      <c r="GF151" s="3">
        <v>8331000</v>
      </c>
      <c r="GG151" s="3">
        <v>0</v>
      </c>
      <c r="GH151" s="3">
        <v>0</v>
      </c>
      <c r="GI151" s="3">
        <v>0</v>
      </c>
      <c r="GJ151" s="3">
        <v>8331000</v>
      </c>
      <c r="GK151" s="3"/>
      <c r="GL151" s="3"/>
      <c r="GM151" s="3"/>
      <c r="GN151" s="3"/>
      <c r="GO151" s="3"/>
      <c r="GP151" s="3"/>
      <c r="GQ151" s="3"/>
      <c r="GR151" s="3"/>
      <c r="GS151" s="3"/>
      <c r="GU151" s="3"/>
      <c r="GV151" s="3"/>
      <c r="GW151" s="3"/>
      <c r="GX151" s="3"/>
      <c r="GY151" s="3"/>
      <c r="GZ151" s="3"/>
      <c r="HA151" s="3"/>
      <c r="HB151" s="3"/>
      <c r="HC151" s="3"/>
      <c r="HE151" s="3"/>
      <c r="HF151" s="3"/>
      <c r="HG151" s="3"/>
      <c r="HH151" s="3"/>
      <c r="HJ151" s="3">
        <v>5860000</v>
      </c>
      <c r="HK151" s="3">
        <v>0</v>
      </c>
      <c r="HL151" s="3">
        <v>0</v>
      </c>
      <c r="HM151" s="3">
        <v>0</v>
      </c>
      <c r="HN151" s="3">
        <v>5860000</v>
      </c>
      <c r="HO151" s="3">
        <v>5860000</v>
      </c>
      <c r="HP151" s="3">
        <v>0</v>
      </c>
      <c r="HQ151" s="3">
        <v>0</v>
      </c>
      <c r="HR151" s="3">
        <v>0</v>
      </c>
      <c r="HS151" s="3">
        <v>5860000</v>
      </c>
      <c r="HT151" s="3"/>
      <c r="HU151" s="3"/>
      <c r="HV151" s="3"/>
      <c r="HW151" s="3"/>
      <c r="HX151" s="3"/>
      <c r="HY151" s="3"/>
      <c r="HZ151" s="3"/>
      <c r="IA151" s="3"/>
      <c r="IB151" s="3"/>
      <c r="ID151" s="3"/>
      <c r="IE151" s="3"/>
      <c r="IF151" s="3"/>
      <c r="IG151" s="3"/>
      <c r="IS151" s="3">
        <v>5254000</v>
      </c>
      <c r="IT151" s="3">
        <v>0</v>
      </c>
      <c r="IU151" s="3">
        <v>0</v>
      </c>
      <c r="IV151" s="3">
        <v>0</v>
      </c>
      <c r="IW151" s="3">
        <v>5254000</v>
      </c>
      <c r="IX151" s="3">
        <v>5254000</v>
      </c>
      <c r="IY151" s="3">
        <v>0</v>
      </c>
      <c r="IZ151" s="3">
        <v>0</v>
      </c>
      <c r="JA151" s="3">
        <v>0</v>
      </c>
      <c r="JB151" s="3">
        <v>5254000</v>
      </c>
      <c r="JC151" s="3"/>
      <c r="JD151" s="3"/>
      <c r="JE151" s="3"/>
      <c r="JF151" s="3"/>
      <c r="JG151" s="3"/>
      <c r="JH151" s="3"/>
      <c r="JI151" s="3"/>
      <c r="JJ151" s="3"/>
      <c r="JK151" s="3"/>
      <c r="JL151" s="3"/>
      <c r="JM151" s="3"/>
      <c r="JN151" s="3"/>
      <c r="JO151" s="3"/>
      <c r="JP151" s="3"/>
      <c r="JQ151" s="3"/>
      <c r="JR151" s="3"/>
      <c r="JS151" s="3"/>
      <c r="JT151" s="3"/>
      <c r="JU151" s="3"/>
      <c r="JV151" s="3"/>
      <c r="JW151" s="3"/>
      <c r="JX151" s="3"/>
      <c r="JY151" s="3"/>
      <c r="JZ151" s="3"/>
      <c r="KA151" s="3"/>
      <c r="KB151" s="3">
        <v>9586000</v>
      </c>
      <c r="KC151" s="3">
        <v>0</v>
      </c>
      <c r="KD151" s="3">
        <v>0</v>
      </c>
      <c r="KE151" s="3">
        <v>0</v>
      </c>
      <c r="KF151" s="3">
        <v>9586000</v>
      </c>
      <c r="KG151" s="3">
        <v>9586000</v>
      </c>
      <c r="KH151" s="3">
        <v>0</v>
      </c>
      <c r="KI151" s="3">
        <v>0</v>
      </c>
      <c r="KJ151" s="3">
        <v>0</v>
      </c>
      <c r="KK151" s="3">
        <v>9586000</v>
      </c>
      <c r="KL151" s="3"/>
      <c r="KM151" s="3"/>
      <c r="KN151" s="3"/>
      <c r="KO151" s="3"/>
      <c r="KP151" s="3"/>
      <c r="KQ151" s="3"/>
      <c r="KR151" s="3"/>
      <c r="KS151" s="3"/>
      <c r="KT151" s="3"/>
      <c r="KU151" s="3"/>
      <c r="KV151" s="3"/>
      <c r="KW151" s="3"/>
      <c r="KX151" s="3"/>
      <c r="KY151" s="3"/>
      <c r="KZ151" s="3"/>
      <c r="LA151" s="3"/>
      <c r="LB151" s="3"/>
      <c r="LC151" s="3"/>
      <c r="LD151" s="3"/>
      <c r="LE151" s="3"/>
      <c r="LF151" s="3"/>
      <c r="LG151" s="3"/>
      <c r="LH151" s="3"/>
      <c r="LI151" s="3"/>
      <c r="LJ151" s="3"/>
      <c r="LK151" s="3">
        <v>11081000</v>
      </c>
      <c r="LL151">
        <v>0</v>
      </c>
      <c r="LM151">
        <v>0</v>
      </c>
      <c r="LN151">
        <v>0</v>
      </c>
      <c r="LO151" s="3">
        <v>11081000</v>
      </c>
    </row>
    <row r="152" spans="1:327" x14ac:dyDescent="0.25">
      <c r="A152" t="s">
        <v>943</v>
      </c>
      <c r="B152" t="s">
        <v>944</v>
      </c>
      <c r="C152" t="s">
        <v>995</v>
      </c>
      <c r="D152" t="s">
        <v>996</v>
      </c>
      <c r="E152" t="s">
        <v>208</v>
      </c>
      <c r="F152" t="s">
        <v>209</v>
      </c>
      <c r="G152" t="s">
        <v>1095</v>
      </c>
      <c r="H152" s="3">
        <v>10359000</v>
      </c>
      <c r="I152" s="3">
        <v>10434000</v>
      </c>
      <c r="J152" s="3">
        <v>0</v>
      </c>
      <c r="K152" s="3">
        <v>0</v>
      </c>
      <c r="L152" s="3">
        <v>20793000</v>
      </c>
      <c r="M152" s="3">
        <v>10359000</v>
      </c>
      <c r="N152" s="3">
        <v>10434000</v>
      </c>
      <c r="O152" s="3">
        <v>0</v>
      </c>
      <c r="P152" s="3">
        <v>0</v>
      </c>
      <c r="Q152" s="3">
        <v>20793000</v>
      </c>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v>11273000</v>
      </c>
      <c r="AR152" s="3">
        <v>5450000</v>
      </c>
      <c r="AS152" s="3">
        <v>0</v>
      </c>
      <c r="AT152" s="3">
        <v>0</v>
      </c>
      <c r="AU152" s="3">
        <v>16723000</v>
      </c>
      <c r="AV152" s="3">
        <v>11273000</v>
      </c>
      <c r="AW152" s="3">
        <v>5450000</v>
      </c>
      <c r="AX152" s="3">
        <v>0</v>
      </c>
      <c r="AY152" s="3">
        <v>0</v>
      </c>
      <c r="AZ152" s="3">
        <v>16723000</v>
      </c>
      <c r="BA152" s="3"/>
      <c r="BB152" s="3"/>
      <c r="BC152" s="3"/>
      <c r="BD152" s="3"/>
      <c r="BE152" s="3"/>
      <c r="BF152" s="3"/>
      <c r="BG152" s="3"/>
      <c r="BH152" s="3"/>
      <c r="BI152" s="3"/>
      <c r="BJ152" s="3"/>
      <c r="BK152" s="3"/>
      <c r="BL152" s="3"/>
      <c r="BM152" s="3"/>
      <c r="BN152" s="3"/>
      <c r="BO152" s="3"/>
      <c r="BP152" s="3"/>
      <c r="BQ152" s="3"/>
      <c r="BR152" s="3"/>
      <c r="BS152" s="3"/>
      <c r="BU152" s="3"/>
      <c r="BV152" s="3"/>
      <c r="BW152" s="3"/>
      <c r="BX152" s="3"/>
      <c r="BZ152" s="3">
        <v>11838000</v>
      </c>
      <c r="CA152" s="3">
        <v>5420000</v>
      </c>
      <c r="CB152" s="3">
        <v>0</v>
      </c>
      <c r="CC152" s="3">
        <v>0</v>
      </c>
      <c r="CD152" s="3">
        <v>17258000</v>
      </c>
      <c r="CE152" s="3">
        <v>11838000</v>
      </c>
      <c r="CF152" s="3">
        <v>5420000</v>
      </c>
      <c r="CG152" s="3">
        <v>0</v>
      </c>
      <c r="CH152" s="3">
        <v>0</v>
      </c>
      <c r="CI152" s="3">
        <v>17258000</v>
      </c>
      <c r="CJ152" s="3"/>
      <c r="CK152" s="3"/>
      <c r="CL152" s="3"/>
      <c r="CM152" s="3"/>
      <c r="CN152" s="3"/>
      <c r="CO152" s="3"/>
      <c r="CP152" s="3"/>
      <c r="CQ152" s="3"/>
      <c r="CR152" s="3"/>
      <c r="CS152" s="3"/>
      <c r="CT152" s="3"/>
      <c r="CU152" s="3"/>
      <c r="CV152" s="3"/>
      <c r="CW152" s="3"/>
      <c r="CX152" s="3"/>
      <c r="CY152" s="3"/>
      <c r="CZ152" s="3"/>
      <c r="DA152" s="3"/>
      <c r="DB152" s="3"/>
      <c r="DD152" s="3"/>
      <c r="DE152" s="3"/>
      <c r="DF152" s="3"/>
      <c r="DG152" s="3"/>
      <c r="DI152" s="3">
        <v>10844000</v>
      </c>
      <c r="DJ152" s="3">
        <v>5519000</v>
      </c>
      <c r="DK152" s="3">
        <v>0</v>
      </c>
      <c r="DL152" s="3">
        <v>0</v>
      </c>
      <c r="DM152" s="3">
        <v>16363000</v>
      </c>
      <c r="DN152" s="3">
        <v>10844000</v>
      </c>
      <c r="DO152" s="3">
        <v>5519000</v>
      </c>
      <c r="DP152" s="3">
        <v>0</v>
      </c>
      <c r="DQ152" s="3">
        <v>0</v>
      </c>
      <c r="DR152" s="3">
        <v>16363000</v>
      </c>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R152" s="3">
        <v>9734000</v>
      </c>
      <c r="ES152" s="3">
        <v>5519000</v>
      </c>
      <c r="ET152" s="3">
        <v>0</v>
      </c>
      <c r="EU152" s="3">
        <v>0</v>
      </c>
      <c r="EV152" s="3">
        <v>15253000</v>
      </c>
      <c r="EW152" s="3">
        <v>9734000</v>
      </c>
      <c r="EX152" s="3">
        <v>4519000</v>
      </c>
      <c r="EY152" s="3">
        <v>0</v>
      </c>
      <c r="EZ152" s="3">
        <v>0</v>
      </c>
      <c r="FA152" s="3">
        <v>14253000</v>
      </c>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v>10741000</v>
      </c>
      <c r="GB152" s="3">
        <v>3545000</v>
      </c>
      <c r="GC152" s="3">
        <v>0</v>
      </c>
      <c r="GD152" s="3">
        <v>0</v>
      </c>
      <c r="GE152" s="3">
        <v>14286000</v>
      </c>
      <c r="GF152" s="3">
        <v>10741000</v>
      </c>
      <c r="GG152" s="3">
        <v>3295000</v>
      </c>
      <c r="GH152" s="3">
        <v>0</v>
      </c>
      <c r="GI152" s="3">
        <v>0</v>
      </c>
      <c r="GJ152" s="3">
        <v>14036000</v>
      </c>
      <c r="GK152" s="3"/>
      <c r="GL152" s="3"/>
      <c r="GM152" s="3"/>
      <c r="GN152" s="3"/>
      <c r="GO152" s="3"/>
      <c r="GP152" s="3"/>
      <c r="GQ152" s="3"/>
      <c r="GR152" s="3"/>
      <c r="GS152" s="3"/>
      <c r="GU152" s="3"/>
      <c r="GV152" s="3"/>
      <c r="GW152" s="3"/>
      <c r="GX152" s="3"/>
      <c r="GY152" s="3"/>
      <c r="GZ152" s="3"/>
      <c r="HA152" s="3"/>
      <c r="HB152" s="3"/>
      <c r="HC152" s="3"/>
      <c r="HE152" s="3"/>
      <c r="HF152" s="3"/>
      <c r="HG152" s="3"/>
      <c r="HH152" s="3"/>
      <c r="HJ152" s="3">
        <v>8397000</v>
      </c>
      <c r="HK152" s="3">
        <v>3609000</v>
      </c>
      <c r="HL152" s="3">
        <v>0</v>
      </c>
      <c r="HM152" s="3">
        <v>0</v>
      </c>
      <c r="HN152" s="3">
        <v>12006000</v>
      </c>
      <c r="HO152" s="3">
        <v>8397000</v>
      </c>
      <c r="HP152" s="3">
        <v>3609000</v>
      </c>
      <c r="HQ152" s="3">
        <v>0</v>
      </c>
      <c r="HR152" s="3">
        <v>0</v>
      </c>
      <c r="HS152" s="3">
        <v>12006000</v>
      </c>
      <c r="HT152" s="3"/>
      <c r="HU152" s="3"/>
      <c r="HV152" s="3"/>
      <c r="HW152" s="3"/>
      <c r="HX152" s="3"/>
      <c r="HY152" s="3"/>
      <c r="HZ152" s="3"/>
      <c r="IA152" s="3"/>
      <c r="IB152" s="3"/>
      <c r="ID152" s="3"/>
      <c r="IE152" s="3"/>
      <c r="IF152" s="3"/>
      <c r="IG152" s="3"/>
      <c r="IS152" s="3">
        <v>7441000</v>
      </c>
      <c r="IT152" s="3">
        <v>3674000</v>
      </c>
      <c r="IU152" s="3">
        <v>0</v>
      </c>
      <c r="IV152" s="3">
        <v>0</v>
      </c>
      <c r="IW152" s="3">
        <v>11115000</v>
      </c>
      <c r="IX152" s="3">
        <v>7441000</v>
      </c>
      <c r="IY152" s="3">
        <v>3674000</v>
      </c>
      <c r="IZ152" s="3">
        <v>0</v>
      </c>
      <c r="JA152" s="3">
        <v>0</v>
      </c>
      <c r="JB152" s="3">
        <v>11115000</v>
      </c>
      <c r="JC152" s="3"/>
      <c r="JD152" s="3"/>
      <c r="JE152" s="3"/>
      <c r="JF152" s="3"/>
      <c r="JG152" s="3"/>
      <c r="JH152" s="3"/>
      <c r="JI152" s="3"/>
      <c r="JJ152" s="3"/>
      <c r="JK152" s="3"/>
      <c r="JL152" s="3"/>
      <c r="JM152" s="3"/>
      <c r="JN152" s="3"/>
      <c r="JO152" s="3"/>
      <c r="JP152" s="3"/>
      <c r="JQ152" s="3"/>
      <c r="JR152" s="3"/>
      <c r="JS152" s="3"/>
      <c r="JT152" s="3"/>
      <c r="JU152" s="3"/>
      <c r="JV152" s="3"/>
      <c r="JW152" s="3"/>
      <c r="JX152" s="3"/>
      <c r="JY152" s="3"/>
      <c r="JZ152" s="3"/>
      <c r="KA152" s="3"/>
      <c r="KB152" s="3">
        <v>11449000</v>
      </c>
      <c r="KC152" s="3">
        <v>3740000</v>
      </c>
      <c r="KD152" s="3">
        <v>0</v>
      </c>
      <c r="KE152" s="3">
        <v>0</v>
      </c>
      <c r="KF152" s="3">
        <v>15189000</v>
      </c>
      <c r="KG152" s="3">
        <v>11449000</v>
      </c>
      <c r="KH152" s="3">
        <v>3740000</v>
      </c>
      <c r="KI152" s="3">
        <v>0</v>
      </c>
      <c r="KJ152" s="3">
        <v>0</v>
      </c>
      <c r="KK152" s="3">
        <v>15189000</v>
      </c>
      <c r="KL152" s="3"/>
      <c r="KM152" s="3"/>
      <c r="KN152" s="3"/>
      <c r="KO152" s="3"/>
      <c r="KP152" s="3"/>
      <c r="KQ152" s="3"/>
      <c r="KR152" s="3"/>
      <c r="KS152" s="3"/>
      <c r="KT152" s="3"/>
      <c r="KU152" s="3"/>
      <c r="KV152" s="3"/>
      <c r="KW152" s="3"/>
      <c r="KX152" s="3"/>
      <c r="KY152" s="3"/>
      <c r="KZ152" s="3"/>
      <c r="LA152" s="3"/>
      <c r="LB152" s="3"/>
      <c r="LC152" s="3"/>
      <c r="LD152" s="3"/>
      <c r="LE152" s="3"/>
      <c r="LF152" s="3"/>
      <c r="LG152" s="3"/>
      <c r="LH152" s="3"/>
      <c r="LI152" s="3"/>
      <c r="LJ152" s="3"/>
      <c r="LK152" s="3">
        <v>11439000</v>
      </c>
      <c r="LL152" s="3">
        <v>3807000</v>
      </c>
      <c r="LM152">
        <v>0</v>
      </c>
      <c r="LN152">
        <v>0</v>
      </c>
      <c r="LO152" s="3">
        <v>15246000</v>
      </c>
    </row>
    <row r="153" spans="1:327" x14ac:dyDescent="0.25">
      <c r="A153" t="s">
        <v>943</v>
      </c>
      <c r="B153" t="s">
        <v>944</v>
      </c>
      <c r="C153" t="s">
        <v>995</v>
      </c>
      <c r="D153" t="s">
        <v>996</v>
      </c>
      <c r="E153" t="s">
        <v>217</v>
      </c>
      <c r="F153" t="s">
        <v>218</v>
      </c>
      <c r="G153" t="s">
        <v>1096</v>
      </c>
      <c r="H153" s="3">
        <v>0</v>
      </c>
      <c r="I153" s="3">
        <v>35149000</v>
      </c>
      <c r="J153" s="3">
        <v>0</v>
      </c>
      <c r="K153" s="3">
        <v>58700000</v>
      </c>
      <c r="L153" s="3">
        <v>93849000</v>
      </c>
      <c r="M153" s="3">
        <v>0</v>
      </c>
      <c r="N153" s="3">
        <v>53470000</v>
      </c>
      <c r="O153" s="3">
        <v>0</v>
      </c>
      <c r="P153" s="3">
        <v>71800000</v>
      </c>
      <c r="Q153" s="3">
        <v>125270000</v>
      </c>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v>0</v>
      </c>
      <c r="AR153" s="3">
        <v>111441000</v>
      </c>
      <c r="AS153" s="3">
        <v>0</v>
      </c>
      <c r="AT153" s="3">
        <v>4091000</v>
      </c>
      <c r="AU153" s="3">
        <v>115532000</v>
      </c>
      <c r="AV153" s="3">
        <v>0</v>
      </c>
      <c r="AW153" s="3">
        <v>114741000</v>
      </c>
      <c r="AX153" s="3">
        <v>0</v>
      </c>
      <c r="AY153" s="3">
        <v>4091000</v>
      </c>
      <c r="AZ153" s="3">
        <v>118832000</v>
      </c>
      <c r="BA153" s="3"/>
      <c r="BB153" s="3"/>
      <c r="BC153" s="3"/>
      <c r="BD153" s="3"/>
      <c r="BE153" s="3"/>
      <c r="BF153" s="3"/>
      <c r="BG153" s="3"/>
      <c r="BH153" s="3"/>
      <c r="BI153" s="3"/>
      <c r="BJ153" s="3"/>
      <c r="BK153" s="3"/>
      <c r="BL153" s="3"/>
      <c r="BM153" s="3"/>
      <c r="BN153" s="3"/>
      <c r="BO153" s="3"/>
      <c r="BP153" s="3"/>
      <c r="BQ153" s="3"/>
      <c r="BR153" s="3"/>
      <c r="BS153" s="3"/>
      <c r="BU153" s="3"/>
      <c r="BV153" s="3"/>
      <c r="BW153" s="3"/>
      <c r="BX153" s="3"/>
      <c r="BZ153" s="3">
        <v>0</v>
      </c>
      <c r="CA153" s="3">
        <v>93710000</v>
      </c>
      <c r="CB153" s="3">
        <v>0</v>
      </c>
      <c r="CC153" s="3">
        <v>0</v>
      </c>
      <c r="CD153" s="3">
        <v>93710000</v>
      </c>
      <c r="CE153" s="3">
        <v>0</v>
      </c>
      <c r="CF153" s="3">
        <v>96710000</v>
      </c>
      <c r="CG153" s="3">
        <v>0</v>
      </c>
      <c r="CH153" s="3">
        <v>15000000</v>
      </c>
      <c r="CI153" s="3">
        <v>111710000</v>
      </c>
      <c r="CJ153" s="3"/>
      <c r="CK153" s="3"/>
      <c r="CL153" s="3"/>
      <c r="CM153" s="3"/>
      <c r="CN153" s="3"/>
      <c r="CO153" s="3"/>
      <c r="CP153" s="3"/>
      <c r="CQ153" s="3"/>
      <c r="CR153" s="3"/>
      <c r="CS153" s="3"/>
      <c r="CT153" s="3"/>
      <c r="CU153" s="3"/>
      <c r="CV153" s="3"/>
      <c r="CW153" s="3"/>
      <c r="CX153" s="3"/>
      <c r="CY153" s="3"/>
      <c r="CZ153" s="3"/>
      <c r="DA153" s="3"/>
      <c r="DB153" s="3"/>
      <c r="DD153" s="3"/>
      <c r="DE153" s="3"/>
      <c r="DF153" s="3"/>
      <c r="DG153" s="3"/>
      <c r="DI153" s="3">
        <v>0</v>
      </c>
      <c r="DJ153" s="3">
        <v>85030000</v>
      </c>
      <c r="DK153" s="3">
        <v>0</v>
      </c>
      <c r="DL153" s="3">
        <v>0</v>
      </c>
      <c r="DM153" s="3">
        <v>85030000</v>
      </c>
      <c r="DN153" s="3">
        <v>0</v>
      </c>
      <c r="DO153" s="3">
        <v>122830000</v>
      </c>
      <c r="DP153" s="3">
        <v>0</v>
      </c>
      <c r="DQ153" s="3">
        <v>12200000</v>
      </c>
      <c r="DR153" s="3">
        <v>135030000</v>
      </c>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R153" s="3">
        <v>0</v>
      </c>
      <c r="ES153" s="3">
        <v>85030000</v>
      </c>
      <c r="ET153" s="3">
        <v>0</v>
      </c>
      <c r="EU153" s="3">
        <v>0</v>
      </c>
      <c r="EV153" s="3">
        <v>85030000</v>
      </c>
      <c r="EW153" s="3">
        <v>0</v>
      </c>
      <c r="EX153" s="3">
        <v>55930000</v>
      </c>
      <c r="EY153" s="3">
        <v>0</v>
      </c>
      <c r="EZ153" s="3">
        <v>33000000</v>
      </c>
      <c r="FA153" s="3">
        <v>88930000</v>
      </c>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v>0</v>
      </c>
      <c r="GB153" s="3">
        <v>128511000</v>
      </c>
      <c r="GC153" s="3">
        <v>0</v>
      </c>
      <c r="GD153" s="3">
        <v>0</v>
      </c>
      <c r="GE153" s="3">
        <v>128511000</v>
      </c>
      <c r="GF153" s="3">
        <v>0</v>
      </c>
      <c r="GG153" s="3">
        <v>122276000</v>
      </c>
      <c r="GH153" s="3">
        <v>0</v>
      </c>
      <c r="GI153" s="3">
        <v>8000000</v>
      </c>
      <c r="GJ153" s="3">
        <v>130276000</v>
      </c>
      <c r="GK153" s="3"/>
      <c r="GL153" s="3"/>
      <c r="GM153" s="3"/>
      <c r="GN153" s="3"/>
      <c r="GO153" s="3"/>
      <c r="GP153" s="3"/>
      <c r="GQ153" s="3"/>
      <c r="GR153" s="3"/>
      <c r="GS153" s="3"/>
      <c r="GU153" s="3"/>
      <c r="GV153" s="3"/>
      <c r="GW153" s="3"/>
      <c r="GX153" s="3"/>
      <c r="GY153" s="3"/>
      <c r="GZ153" s="3"/>
      <c r="HA153" s="3"/>
      <c r="HB153" s="3"/>
      <c r="HC153" s="3"/>
      <c r="HE153" s="3"/>
      <c r="HF153" s="3"/>
      <c r="HG153" s="3"/>
      <c r="HH153" s="3"/>
      <c r="HJ153" s="3">
        <v>0</v>
      </c>
      <c r="HK153" s="3">
        <v>77430000</v>
      </c>
      <c r="HL153" s="3">
        <v>0</v>
      </c>
      <c r="HM153" s="3">
        <v>115000000</v>
      </c>
      <c r="HN153" s="3">
        <v>192430000</v>
      </c>
      <c r="HO153" s="3">
        <v>0</v>
      </c>
      <c r="HP153" s="3">
        <v>151030000</v>
      </c>
      <c r="HQ153" s="3">
        <v>0</v>
      </c>
      <c r="HR153" s="3">
        <v>64600000</v>
      </c>
      <c r="HS153" s="3">
        <v>215630000</v>
      </c>
      <c r="HT153" s="3"/>
      <c r="HU153" s="3"/>
      <c r="HV153" s="3"/>
      <c r="HW153" s="3"/>
      <c r="HX153" s="3"/>
      <c r="HY153" s="3"/>
      <c r="HZ153" s="3"/>
      <c r="IA153" s="3"/>
      <c r="IB153" s="3"/>
      <c r="ID153" s="3"/>
      <c r="IE153" s="3"/>
      <c r="IF153" s="3"/>
      <c r="IG153" s="3"/>
      <c r="IS153" s="3">
        <v>0</v>
      </c>
      <c r="IT153" s="3">
        <v>151204000</v>
      </c>
      <c r="IU153" s="3">
        <v>0</v>
      </c>
      <c r="IV153" s="3">
        <v>76770000</v>
      </c>
      <c r="IW153" s="3">
        <v>227974000</v>
      </c>
      <c r="IX153" s="3">
        <v>0</v>
      </c>
      <c r="IY153" s="3">
        <v>151204000</v>
      </c>
      <c r="IZ153" s="3">
        <v>0</v>
      </c>
      <c r="JA153" s="3">
        <v>76770000</v>
      </c>
      <c r="JB153" s="3">
        <v>227974000</v>
      </c>
      <c r="JC153" s="3"/>
      <c r="JD153" s="3"/>
      <c r="JE153" s="3"/>
      <c r="JF153" s="3"/>
      <c r="JG153" s="3"/>
      <c r="JH153" s="3"/>
      <c r="JI153" s="3"/>
      <c r="JJ153" s="3"/>
      <c r="JK153" s="3"/>
      <c r="JL153" s="3"/>
      <c r="JM153" s="3"/>
      <c r="JN153" s="3"/>
      <c r="JO153" s="3"/>
      <c r="JP153" s="3"/>
      <c r="JQ153" s="3"/>
      <c r="JR153" s="3"/>
      <c r="JS153" s="3"/>
      <c r="JT153" s="3"/>
      <c r="JU153" s="3"/>
      <c r="JV153" s="3"/>
      <c r="JW153" s="3"/>
      <c r="JX153" s="3"/>
      <c r="JY153" s="3"/>
      <c r="JZ153" s="3"/>
      <c r="KA153" s="3"/>
      <c r="KB153" s="3">
        <v>0</v>
      </c>
      <c r="KC153" s="3">
        <v>159761000</v>
      </c>
      <c r="KD153" s="3">
        <v>0</v>
      </c>
      <c r="KE153" s="3">
        <v>86662000</v>
      </c>
      <c r="KF153" s="3">
        <v>246423000</v>
      </c>
      <c r="KG153" s="3">
        <v>0</v>
      </c>
      <c r="KH153" s="3">
        <v>159761000</v>
      </c>
      <c r="KI153" s="3">
        <v>0</v>
      </c>
      <c r="KJ153" s="3">
        <v>86662000</v>
      </c>
      <c r="KK153" s="3">
        <v>246423000</v>
      </c>
      <c r="KL153" s="3"/>
      <c r="KM153" s="3"/>
      <c r="KN153" s="3"/>
      <c r="KO153" s="3"/>
      <c r="KP153" s="3"/>
      <c r="KQ153" s="3"/>
      <c r="KR153" s="3"/>
      <c r="KS153" s="3"/>
      <c r="KT153" s="3"/>
      <c r="KU153" s="3"/>
      <c r="KV153" s="3"/>
      <c r="KW153" s="3"/>
      <c r="KX153" s="3"/>
      <c r="KY153" s="3"/>
      <c r="KZ153" s="3"/>
      <c r="LA153" s="3"/>
      <c r="LB153" s="3"/>
      <c r="LC153" s="3"/>
      <c r="LD153" s="3"/>
      <c r="LE153" s="3"/>
      <c r="LF153" s="3"/>
      <c r="LG153" s="3"/>
      <c r="LH153" s="3"/>
      <c r="LI153" s="3"/>
      <c r="LJ153" s="3"/>
      <c r="LK153" s="3">
        <v>0</v>
      </c>
      <c r="LL153" s="3">
        <v>217991000</v>
      </c>
      <c r="LM153" s="3">
        <v>0</v>
      </c>
      <c r="LN153" s="3">
        <v>100240000</v>
      </c>
      <c r="LO153" s="3">
        <v>318231000</v>
      </c>
    </row>
    <row r="154" spans="1:327" x14ac:dyDescent="0.25">
      <c r="A154" t="s">
        <v>943</v>
      </c>
      <c r="B154" t="s">
        <v>944</v>
      </c>
      <c r="C154" t="s">
        <v>995</v>
      </c>
      <c r="D154" t="s">
        <v>996</v>
      </c>
      <c r="E154" t="s">
        <v>217</v>
      </c>
      <c r="F154" t="s">
        <v>220</v>
      </c>
      <c r="G154" t="s">
        <v>1090</v>
      </c>
      <c r="H154" s="3">
        <v>41149000</v>
      </c>
      <c r="I154" s="3">
        <v>10284000</v>
      </c>
      <c r="J154" s="3">
        <v>0</v>
      </c>
      <c r="K154" s="3">
        <v>0</v>
      </c>
      <c r="L154" s="3">
        <v>51433000</v>
      </c>
      <c r="M154" s="3">
        <v>41149000</v>
      </c>
      <c r="N154" s="3">
        <v>10284000</v>
      </c>
      <c r="O154" s="3">
        <v>0</v>
      </c>
      <c r="P154" s="3">
        <v>0</v>
      </c>
      <c r="Q154" s="3">
        <v>51433000</v>
      </c>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v>46595000</v>
      </c>
      <c r="AR154" s="3">
        <v>23033000</v>
      </c>
      <c r="AS154" s="3">
        <v>0</v>
      </c>
      <c r="AT154" s="3">
        <v>17485000</v>
      </c>
      <c r="AU154" s="3">
        <v>87113000</v>
      </c>
      <c r="AV154" s="3">
        <v>46595000</v>
      </c>
      <c r="AW154" s="3">
        <v>23033000</v>
      </c>
      <c r="AX154" s="3">
        <v>0</v>
      </c>
      <c r="AY154" s="3">
        <v>17485000</v>
      </c>
      <c r="AZ154" s="3">
        <v>87113000</v>
      </c>
      <c r="BA154" s="3"/>
      <c r="BB154" s="3"/>
      <c r="BC154" s="3"/>
      <c r="BD154" s="3"/>
      <c r="BE154" s="3"/>
      <c r="BF154" s="3"/>
      <c r="BG154" s="3"/>
      <c r="BH154" s="3"/>
      <c r="BI154" s="3"/>
      <c r="BJ154" s="3"/>
      <c r="BK154" s="3"/>
      <c r="BL154" s="3"/>
      <c r="BM154" s="3"/>
      <c r="BN154" s="3"/>
      <c r="BO154" s="3"/>
      <c r="BP154" s="3"/>
      <c r="BQ154" s="3"/>
      <c r="BR154" s="3"/>
      <c r="BS154" s="3"/>
      <c r="BU154" s="3"/>
      <c r="BV154" s="3"/>
      <c r="BW154" s="3"/>
      <c r="BX154" s="3"/>
      <c r="BZ154" s="3">
        <v>44812000</v>
      </c>
      <c r="CA154" s="3">
        <v>31938000</v>
      </c>
      <c r="CB154" s="3">
        <v>0</v>
      </c>
      <c r="CC154" s="3">
        <v>26925000</v>
      </c>
      <c r="CD154" s="3">
        <v>103675000</v>
      </c>
      <c r="CE154" s="3">
        <v>44812000</v>
      </c>
      <c r="CF154" s="3">
        <v>28938000</v>
      </c>
      <c r="CG154" s="3">
        <v>0</v>
      </c>
      <c r="CH154" s="3">
        <v>11925000</v>
      </c>
      <c r="CI154" s="3">
        <v>85675000</v>
      </c>
      <c r="CJ154" s="3"/>
      <c r="CK154" s="3"/>
      <c r="CL154" s="3"/>
      <c r="CM154" s="3"/>
      <c r="CN154" s="3"/>
      <c r="CO154" s="3"/>
      <c r="CP154" s="3"/>
      <c r="CQ154" s="3"/>
      <c r="CR154" s="3"/>
      <c r="CS154" s="3"/>
      <c r="CT154" s="3"/>
      <c r="CU154" s="3"/>
      <c r="CV154" s="3"/>
      <c r="CW154" s="3"/>
      <c r="CX154" s="3"/>
      <c r="CY154" s="3"/>
      <c r="CZ154" s="3"/>
      <c r="DA154" s="3"/>
      <c r="DB154" s="3"/>
      <c r="DD154" s="3"/>
      <c r="DE154" s="3"/>
      <c r="DF154" s="3"/>
      <c r="DG154" s="3"/>
      <c r="DI154" s="3">
        <v>50767000</v>
      </c>
      <c r="DJ154" s="3">
        <v>12891000</v>
      </c>
      <c r="DK154" s="3">
        <v>0</v>
      </c>
      <c r="DL154" s="3">
        <v>0</v>
      </c>
      <c r="DM154" s="3">
        <v>63658000</v>
      </c>
      <c r="DN154" s="3">
        <v>50767000</v>
      </c>
      <c r="DO154" s="3">
        <v>12891000</v>
      </c>
      <c r="DP154" s="3">
        <v>0</v>
      </c>
      <c r="DQ154" s="3">
        <v>0</v>
      </c>
      <c r="DR154" s="3">
        <v>63658000</v>
      </c>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R154" s="3">
        <v>47673000</v>
      </c>
      <c r="ES154" s="3">
        <v>12891000</v>
      </c>
      <c r="ET154" s="3">
        <v>0</v>
      </c>
      <c r="EU154" s="3">
        <v>0</v>
      </c>
      <c r="EV154" s="3">
        <v>60564000</v>
      </c>
      <c r="EW154" s="3">
        <v>47673000</v>
      </c>
      <c r="EX154" s="3">
        <v>12891000</v>
      </c>
      <c r="EY154" s="3">
        <v>0</v>
      </c>
      <c r="EZ154" s="3">
        <v>0</v>
      </c>
      <c r="FA154" s="3">
        <v>60564000</v>
      </c>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v>50257000</v>
      </c>
      <c r="GB154" s="3">
        <v>11765000</v>
      </c>
      <c r="GC154" s="3">
        <v>0</v>
      </c>
      <c r="GD154" s="3">
        <v>0</v>
      </c>
      <c r="GE154" s="3">
        <v>62022000</v>
      </c>
      <c r="GF154" s="3">
        <v>50257000</v>
      </c>
      <c r="GG154" s="3">
        <v>13765000</v>
      </c>
      <c r="GH154" s="3">
        <v>0</v>
      </c>
      <c r="GI154" s="3">
        <v>1235000</v>
      </c>
      <c r="GJ154" s="3">
        <v>65257000</v>
      </c>
      <c r="GK154" s="3"/>
      <c r="GL154" s="3"/>
      <c r="GM154" s="3"/>
      <c r="GN154" s="3"/>
      <c r="GO154" s="3"/>
      <c r="GP154" s="3"/>
      <c r="GQ154" s="3"/>
      <c r="GR154" s="3"/>
      <c r="GS154" s="3"/>
      <c r="GU154" s="3"/>
      <c r="GV154" s="3"/>
      <c r="GW154" s="3"/>
      <c r="GX154" s="3"/>
      <c r="GY154" s="3"/>
      <c r="GZ154" s="3"/>
      <c r="HA154" s="3"/>
      <c r="HB154" s="3"/>
      <c r="HC154" s="3"/>
      <c r="HE154" s="3"/>
      <c r="HF154" s="3"/>
      <c r="HG154" s="3"/>
      <c r="HH154" s="3"/>
      <c r="HJ154" s="3">
        <v>50937000</v>
      </c>
      <c r="HK154" s="3">
        <v>11977000</v>
      </c>
      <c r="HL154" s="3">
        <v>0</v>
      </c>
      <c r="HM154" s="3">
        <v>0</v>
      </c>
      <c r="HN154" s="3">
        <v>62914000</v>
      </c>
      <c r="HO154" s="3">
        <v>50937000</v>
      </c>
      <c r="HP154" s="3">
        <v>15777000</v>
      </c>
      <c r="HQ154" s="3">
        <v>0</v>
      </c>
      <c r="HR154" s="3">
        <v>4000000</v>
      </c>
      <c r="HS154" s="3">
        <v>70714000</v>
      </c>
      <c r="HT154" s="3"/>
      <c r="HU154" s="3"/>
      <c r="HV154" s="3"/>
      <c r="HW154" s="3"/>
      <c r="HX154" s="3"/>
      <c r="HY154" s="3"/>
      <c r="HZ154" s="3"/>
      <c r="IA154" s="3"/>
      <c r="IB154" s="3"/>
      <c r="ID154" s="3"/>
      <c r="IE154" s="3"/>
      <c r="IF154" s="3"/>
      <c r="IG154" s="3"/>
      <c r="IS154" s="3">
        <v>49110000</v>
      </c>
      <c r="IT154" s="3">
        <v>12193000</v>
      </c>
      <c r="IU154" s="3">
        <v>0</v>
      </c>
      <c r="IV154" s="3">
        <v>0</v>
      </c>
      <c r="IW154" s="3">
        <v>61303000</v>
      </c>
      <c r="IX154" s="3">
        <v>49110000</v>
      </c>
      <c r="IY154" s="3">
        <v>12193000</v>
      </c>
      <c r="IZ154" s="3">
        <v>0</v>
      </c>
      <c r="JA154" s="3">
        <v>0</v>
      </c>
      <c r="JB154" s="3">
        <v>61303000</v>
      </c>
      <c r="JC154" s="3"/>
      <c r="JD154" s="3"/>
      <c r="JE154" s="3"/>
      <c r="JF154" s="3"/>
      <c r="JG154" s="3"/>
      <c r="JH154" s="3"/>
      <c r="JI154" s="3"/>
      <c r="JJ154" s="3"/>
      <c r="JK154" s="3"/>
      <c r="JL154" s="3"/>
      <c r="JM154" s="3"/>
      <c r="JN154" s="3"/>
      <c r="JO154" s="3"/>
      <c r="JP154" s="3"/>
      <c r="JQ154" s="3"/>
      <c r="JR154" s="3"/>
      <c r="JS154" s="3"/>
      <c r="JT154" s="3"/>
      <c r="JU154" s="3"/>
      <c r="JV154" s="3"/>
      <c r="JW154" s="3"/>
      <c r="JX154" s="3"/>
      <c r="JY154" s="3"/>
      <c r="JZ154" s="3"/>
      <c r="KA154" s="3"/>
      <c r="KB154" s="3">
        <v>59540000</v>
      </c>
      <c r="KC154" s="3">
        <v>12412000</v>
      </c>
      <c r="KD154" s="3">
        <v>0</v>
      </c>
      <c r="KE154" s="3">
        <v>0</v>
      </c>
      <c r="KF154" s="3">
        <v>71952000</v>
      </c>
      <c r="KG154" s="3">
        <v>59540000</v>
      </c>
      <c r="KH154" s="3">
        <v>12412000</v>
      </c>
      <c r="KI154" s="3">
        <v>0</v>
      </c>
      <c r="KJ154" s="3">
        <v>0</v>
      </c>
      <c r="KK154" s="3">
        <v>71952000</v>
      </c>
      <c r="KL154" s="3"/>
      <c r="KM154" s="3"/>
      <c r="KN154" s="3"/>
      <c r="KO154" s="3"/>
      <c r="KP154" s="3"/>
      <c r="KQ154" s="3"/>
      <c r="KR154" s="3"/>
      <c r="KS154" s="3"/>
      <c r="KT154" s="3"/>
      <c r="KU154" s="3"/>
      <c r="KV154" s="3"/>
      <c r="KW154" s="3"/>
      <c r="KX154" s="3"/>
      <c r="KY154" s="3"/>
      <c r="KZ154" s="3"/>
      <c r="LA154" s="3"/>
      <c r="LB154" s="3"/>
      <c r="LC154" s="3"/>
      <c r="LD154" s="3"/>
      <c r="LE154" s="3"/>
      <c r="LF154" s="3"/>
      <c r="LG154" s="3"/>
      <c r="LH154" s="3"/>
      <c r="LI154" s="3"/>
      <c r="LJ154" s="3"/>
      <c r="LK154" s="3">
        <v>62177000</v>
      </c>
      <c r="LL154" s="3">
        <v>12635000</v>
      </c>
      <c r="LM154">
        <v>0</v>
      </c>
      <c r="LN154" s="3">
        <v>0</v>
      </c>
      <c r="LO154" s="3">
        <v>74812000</v>
      </c>
    </row>
    <row r="155" spans="1:327" x14ac:dyDescent="0.25">
      <c r="A155" t="s">
        <v>943</v>
      </c>
      <c r="B155" t="s">
        <v>944</v>
      </c>
      <c r="C155" t="s">
        <v>995</v>
      </c>
      <c r="D155" t="s">
        <v>996</v>
      </c>
      <c r="E155" t="s">
        <v>217</v>
      </c>
      <c r="F155" t="s">
        <v>222</v>
      </c>
      <c r="G155" t="s">
        <v>1078</v>
      </c>
      <c r="H155" s="3">
        <v>25407000</v>
      </c>
      <c r="I155" s="3">
        <v>17674000</v>
      </c>
      <c r="J155" s="3">
        <v>0</v>
      </c>
      <c r="K155" s="3">
        <v>56849000</v>
      </c>
      <c r="L155" s="3">
        <v>99930000</v>
      </c>
      <c r="M155" s="3">
        <v>25407000</v>
      </c>
      <c r="N155" s="3">
        <v>17674000</v>
      </c>
      <c r="O155" s="3">
        <v>0</v>
      </c>
      <c r="P155" s="3">
        <v>38989000</v>
      </c>
      <c r="Q155" s="3">
        <v>82070000</v>
      </c>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v>29125000</v>
      </c>
      <c r="AR155" s="3">
        <v>18104000</v>
      </c>
      <c r="AS155" s="3">
        <v>0</v>
      </c>
      <c r="AT155" s="3">
        <v>2512000</v>
      </c>
      <c r="AU155" s="3">
        <v>49741000</v>
      </c>
      <c r="AV155" s="3">
        <v>29125000</v>
      </c>
      <c r="AW155" s="3">
        <v>18104000</v>
      </c>
      <c r="AX155" s="3">
        <v>0</v>
      </c>
      <c r="AY155" s="3">
        <v>2512000</v>
      </c>
      <c r="AZ155" s="3">
        <v>49741000</v>
      </c>
      <c r="BA155" s="3"/>
      <c r="BB155" s="3"/>
      <c r="BC155" s="3"/>
      <c r="BD155" s="3"/>
      <c r="BE155" s="3"/>
      <c r="BF155" s="3"/>
      <c r="BG155" s="3"/>
      <c r="BH155" s="3"/>
      <c r="BI155" s="3"/>
      <c r="BJ155" s="3"/>
      <c r="BK155" s="3"/>
      <c r="BL155" s="3"/>
      <c r="BM155" s="3"/>
      <c r="BN155" s="3"/>
      <c r="BO155" s="3"/>
      <c r="BP155" s="3"/>
      <c r="BQ155" s="3"/>
      <c r="BR155" s="3"/>
      <c r="BS155" s="3"/>
      <c r="BU155" s="3"/>
      <c r="BV155" s="3"/>
      <c r="BW155" s="3"/>
      <c r="BX155" s="3"/>
      <c r="BZ155" s="3">
        <v>27564000</v>
      </c>
      <c r="CA155" s="3">
        <v>16961000</v>
      </c>
      <c r="CB155" s="3">
        <v>0</v>
      </c>
      <c r="CC155" s="3">
        <v>0</v>
      </c>
      <c r="CD155" s="3">
        <v>44525000</v>
      </c>
      <c r="CE155" s="3">
        <v>27564000</v>
      </c>
      <c r="CF155" s="3">
        <v>16961000</v>
      </c>
      <c r="CG155" s="3">
        <v>0</v>
      </c>
      <c r="CH155" s="3">
        <v>0</v>
      </c>
      <c r="CI155" s="3">
        <v>44525000</v>
      </c>
      <c r="CJ155" s="3"/>
      <c r="CK155" s="3"/>
      <c r="CL155" s="3"/>
      <c r="CM155" s="3"/>
      <c r="CN155" s="3"/>
      <c r="CO155" s="3"/>
      <c r="CP155" s="3"/>
      <c r="CQ155" s="3"/>
      <c r="CR155" s="3"/>
      <c r="CS155" s="3"/>
      <c r="CT155" s="3"/>
      <c r="CU155" s="3"/>
      <c r="CV155" s="3"/>
      <c r="CW155" s="3"/>
      <c r="CX155" s="3"/>
      <c r="CY155" s="3"/>
      <c r="CZ155" s="3"/>
      <c r="DA155" s="3"/>
      <c r="DB155" s="3"/>
      <c r="DD155" s="3"/>
      <c r="DE155" s="3"/>
      <c r="DF155" s="3"/>
      <c r="DG155" s="3"/>
      <c r="DI155" s="3">
        <v>29517000</v>
      </c>
      <c r="DJ155" s="3">
        <v>17270000</v>
      </c>
      <c r="DK155" s="3">
        <v>0</v>
      </c>
      <c r="DL155" s="3">
        <v>0</v>
      </c>
      <c r="DM155" s="3">
        <v>46787000</v>
      </c>
      <c r="DN155" s="3">
        <v>29517000</v>
      </c>
      <c r="DO155" s="3">
        <v>17270000</v>
      </c>
      <c r="DP155" s="3">
        <v>0</v>
      </c>
      <c r="DQ155" s="3">
        <v>0</v>
      </c>
      <c r="DR155" s="3">
        <v>46787000</v>
      </c>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R155" s="3">
        <v>31718000</v>
      </c>
      <c r="ES155" s="3">
        <v>17270000</v>
      </c>
      <c r="ET155" s="3">
        <v>0</v>
      </c>
      <c r="EU155" s="3">
        <v>10000000</v>
      </c>
      <c r="EV155" s="3">
        <v>58988000</v>
      </c>
      <c r="EW155" s="3">
        <v>31718000</v>
      </c>
      <c r="EX155" s="3">
        <v>15770000</v>
      </c>
      <c r="EY155" s="3">
        <v>0</v>
      </c>
      <c r="EZ155" s="3">
        <v>10000000</v>
      </c>
      <c r="FA155" s="3">
        <v>57488000</v>
      </c>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v>25992000</v>
      </c>
      <c r="GB155" s="3">
        <v>19709000</v>
      </c>
      <c r="GC155" s="3">
        <v>0</v>
      </c>
      <c r="GD155" s="3">
        <v>0</v>
      </c>
      <c r="GE155" s="3">
        <v>45701000</v>
      </c>
      <c r="GF155" s="3">
        <v>25992000</v>
      </c>
      <c r="GG155" s="3">
        <v>19459000</v>
      </c>
      <c r="GH155" s="3">
        <v>0</v>
      </c>
      <c r="GI155" s="3">
        <v>0</v>
      </c>
      <c r="GJ155" s="3">
        <v>45451000</v>
      </c>
      <c r="GK155" s="3"/>
      <c r="GL155" s="3"/>
      <c r="GM155" s="3"/>
      <c r="GN155" s="3"/>
      <c r="GO155" s="3"/>
      <c r="GP155" s="3"/>
      <c r="GQ155" s="3"/>
      <c r="GR155" s="3"/>
      <c r="GS155" s="3"/>
      <c r="GU155" s="3"/>
      <c r="GV155" s="3"/>
      <c r="GW155" s="3"/>
      <c r="GX155" s="3"/>
      <c r="GY155" s="3"/>
      <c r="GZ155" s="3"/>
      <c r="HA155" s="3"/>
      <c r="HB155" s="3"/>
      <c r="HC155" s="3"/>
      <c r="HE155" s="3"/>
      <c r="HF155" s="3"/>
      <c r="HG155" s="3"/>
      <c r="HH155" s="3"/>
      <c r="HJ155" s="3">
        <v>27490000</v>
      </c>
      <c r="HK155" s="3">
        <v>20064000</v>
      </c>
      <c r="HL155" s="3">
        <v>0</v>
      </c>
      <c r="HM155" s="3">
        <v>0</v>
      </c>
      <c r="HN155" s="3">
        <v>47554000</v>
      </c>
      <c r="HO155" s="3">
        <v>27490000</v>
      </c>
      <c r="HP155" s="3">
        <v>20064000</v>
      </c>
      <c r="HQ155" s="3">
        <v>0</v>
      </c>
      <c r="HR155" s="3">
        <v>0</v>
      </c>
      <c r="HS155" s="3">
        <v>47554000</v>
      </c>
      <c r="HT155" s="3"/>
      <c r="HU155" s="3"/>
      <c r="HV155" s="3"/>
      <c r="HW155" s="3"/>
      <c r="HX155" s="3"/>
      <c r="HY155" s="3"/>
      <c r="HZ155" s="3"/>
      <c r="IA155" s="3"/>
      <c r="IB155" s="3"/>
      <c r="ID155" s="3"/>
      <c r="IE155" s="3"/>
      <c r="IF155" s="3"/>
      <c r="IG155" s="3"/>
      <c r="IS155" s="3">
        <v>27063000</v>
      </c>
      <c r="IT155" s="3">
        <v>45382000</v>
      </c>
      <c r="IU155" s="3">
        <v>0</v>
      </c>
      <c r="IV155" s="3">
        <v>62620000</v>
      </c>
      <c r="IW155" s="3">
        <v>135065000</v>
      </c>
      <c r="IX155" s="3">
        <v>27063000</v>
      </c>
      <c r="IY155" s="3">
        <v>45382000</v>
      </c>
      <c r="IZ155" s="3">
        <v>0</v>
      </c>
      <c r="JA155" s="3">
        <v>62620000</v>
      </c>
      <c r="JB155" s="3">
        <v>135065000</v>
      </c>
      <c r="JC155" s="3"/>
      <c r="JD155" s="3"/>
      <c r="JE155" s="3"/>
      <c r="JF155" s="3"/>
      <c r="JG155" s="3"/>
      <c r="JH155" s="3"/>
      <c r="JI155" s="3"/>
      <c r="JJ155" s="3"/>
      <c r="JK155" s="3"/>
      <c r="JL155" s="3"/>
      <c r="JM155" s="3"/>
      <c r="JN155" s="3"/>
      <c r="JO155" s="3"/>
      <c r="JP155" s="3"/>
      <c r="JQ155" s="3"/>
      <c r="JR155" s="3"/>
      <c r="JS155" s="3"/>
      <c r="JT155" s="3"/>
      <c r="JU155" s="3"/>
      <c r="JV155" s="3"/>
      <c r="JW155" s="3"/>
      <c r="JX155" s="3"/>
      <c r="JY155" s="3"/>
      <c r="JZ155" s="3"/>
      <c r="KA155" s="3"/>
      <c r="KB155" s="3">
        <v>33937000</v>
      </c>
      <c r="KC155" s="3">
        <v>44570000</v>
      </c>
      <c r="KD155" s="3">
        <v>0</v>
      </c>
      <c r="KE155" s="3">
        <v>0</v>
      </c>
      <c r="KF155" s="3">
        <v>78507000</v>
      </c>
      <c r="KG155" s="3">
        <v>33937000</v>
      </c>
      <c r="KH155" s="3">
        <v>44570000</v>
      </c>
      <c r="KI155" s="3">
        <v>0</v>
      </c>
      <c r="KJ155" s="3">
        <v>0</v>
      </c>
      <c r="KK155" s="3">
        <v>78507000</v>
      </c>
      <c r="KL155" s="3"/>
      <c r="KM155" s="3"/>
      <c r="KN155" s="3"/>
      <c r="KO155" s="3"/>
      <c r="KP155" s="3"/>
      <c r="KQ155" s="3"/>
      <c r="KR155" s="3"/>
      <c r="KS155" s="3"/>
      <c r="KT155" s="3"/>
      <c r="KU155" s="3"/>
      <c r="KV155" s="3"/>
      <c r="KW155" s="3"/>
      <c r="KX155" s="3"/>
      <c r="KY155" s="3"/>
      <c r="KZ155" s="3"/>
      <c r="LA155" s="3"/>
      <c r="LB155" s="3"/>
      <c r="LC155" s="3"/>
      <c r="LD155" s="3"/>
      <c r="LE155" s="3"/>
      <c r="LF155" s="3"/>
      <c r="LG155" s="3"/>
      <c r="LH155" s="3"/>
      <c r="LI155" s="3"/>
      <c r="LJ155" s="3"/>
      <c r="LK155" s="3">
        <v>35844000</v>
      </c>
      <c r="LL155" s="3">
        <v>40922000</v>
      </c>
      <c r="LM155">
        <v>0</v>
      </c>
      <c r="LN155" s="3">
        <v>0</v>
      </c>
      <c r="LO155" s="3">
        <v>76766000</v>
      </c>
    </row>
    <row r="156" spans="1:327" x14ac:dyDescent="0.25">
      <c r="A156" t="s">
        <v>943</v>
      </c>
      <c r="B156" t="s">
        <v>944</v>
      </c>
      <c r="C156" t="s">
        <v>995</v>
      </c>
      <c r="D156" t="s">
        <v>996</v>
      </c>
      <c r="E156" t="s">
        <v>217</v>
      </c>
      <c r="F156" s="4" t="s">
        <v>618</v>
      </c>
      <c r="G156" t="s">
        <v>1125</v>
      </c>
      <c r="H156" s="3">
        <v>0</v>
      </c>
      <c r="I156" s="3">
        <v>0</v>
      </c>
      <c r="J156" s="3">
        <v>0</v>
      </c>
      <c r="K156" s="3">
        <v>0</v>
      </c>
      <c r="L156" s="3">
        <v>0</v>
      </c>
      <c r="M156" s="3">
        <v>0</v>
      </c>
      <c r="N156" s="3">
        <v>50000000</v>
      </c>
      <c r="O156" s="3">
        <v>0</v>
      </c>
      <c r="P156" s="3">
        <v>0</v>
      </c>
      <c r="Q156" s="3">
        <v>50000000</v>
      </c>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U156" s="3"/>
      <c r="BV156" s="3"/>
      <c r="BW156" s="3"/>
      <c r="BX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D156" s="3"/>
      <c r="DE156" s="3"/>
      <c r="DF156" s="3"/>
      <c r="DG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U156" s="3"/>
      <c r="GV156" s="3"/>
      <c r="GW156" s="3"/>
      <c r="GX156" s="3"/>
      <c r="GY156" s="3"/>
      <c r="GZ156" s="3"/>
      <c r="HA156" s="3"/>
      <c r="HB156" s="3"/>
      <c r="HC156" s="3"/>
      <c r="HE156" s="3"/>
      <c r="HF156" s="3"/>
      <c r="HG156" s="3"/>
      <c r="HH156" s="3"/>
      <c r="HJ156" s="3"/>
      <c r="HK156" s="3"/>
      <c r="HL156" s="3"/>
      <c r="HM156" s="3"/>
      <c r="HN156" s="3"/>
      <c r="HO156" s="3"/>
      <c r="HP156" s="3"/>
      <c r="HQ156" s="3"/>
      <c r="HR156" s="3"/>
      <c r="HS156" s="3"/>
      <c r="HT156" s="3"/>
      <c r="HU156" s="3"/>
      <c r="HV156" s="3"/>
      <c r="HW156" s="3"/>
      <c r="HX156" s="3"/>
      <c r="HY156" s="3"/>
      <c r="HZ156" s="3"/>
      <c r="IA156" s="3"/>
      <c r="IB156" s="3"/>
      <c r="ID156" s="3"/>
      <c r="IE156" s="3"/>
      <c r="IF156" s="3"/>
      <c r="IG156" s="3"/>
      <c r="IS156" s="3"/>
      <c r="IT156" s="3"/>
      <c r="IU156" s="3"/>
      <c r="IV156" s="3"/>
      <c r="IW156" s="3"/>
      <c r="IX156" s="3"/>
      <c r="IY156" s="3"/>
      <c r="IZ156" s="3"/>
      <c r="JA156" s="3"/>
      <c r="JB156" s="3"/>
      <c r="JC156" s="3"/>
      <c r="JD156" s="3"/>
      <c r="JE156" s="3"/>
      <c r="JF156" s="3"/>
      <c r="JG156" s="3"/>
      <c r="JH156" s="3"/>
      <c r="JI156" s="3"/>
      <c r="JJ156" s="3"/>
      <c r="JK156" s="3"/>
      <c r="JL156" s="3"/>
      <c r="JM156" s="3"/>
      <c r="JN156" s="3"/>
      <c r="JO156" s="3"/>
      <c r="JP156" s="3"/>
      <c r="JQ156" s="3"/>
      <c r="JR156" s="3"/>
      <c r="JS156" s="3"/>
      <c r="JT156" s="3"/>
      <c r="JU156" s="3"/>
      <c r="JV156" s="3"/>
      <c r="JW156" s="3"/>
      <c r="JX156" s="3"/>
      <c r="JY156" s="3"/>
      <c r="JZ156" s="3"/>
      <c r="KA156" s="3"/>
      <c r="KB156" s="3"/>
      <c r="KC156" s="3"/>
      <c r="KD156" s="3"/>
      <c r="KE156" s="3"/>
      <c r="KF156" s="3"/>
      <c r="KG156" s="3"/>
      <c r="KH156" s="3"/>
      <c r="KI156" s="3"/>
      <c r="KJ156" s="3"/>
      <c r="KK156" s="3"/>
      <c r="KL156" s="3"/>
      <c r="KM156" s="3"/>
      <c r="KN156" s="3"/>
      <c r="KO156" s="3"/>
      <c r="KP156" s="3"/>
      <c r="KQ156" s="3"/>
      <c r="KR156" s="3"/>
      <c r="KS156" s="3"/>
      <c r="KT156" s="3"/>
      <c r="KU156" s="3"/>
      <c r="KV156" s="3"/>
      <c r="KW156" s="3"/>
      <c r="KX156" s="3"/>
      <c r="KY156" s="3"/>
      <c r="KZ156" s="3"/>
      <c r="LA156" s="3"/>
      <c r="LB156" s="3"/>
      <c r="LC156" s="3"/>
      <c r="LD156" s="3"/>
      <c r="LE156" s="3"/>
      <c r="LF156" s="3"/>
      <c r="LG156" s="3"/>
      <c r="LH156" s="3"/>
      <c r="LI156" s="3"/>
      <c r="LJ156" s="3"/>
    </row>
    <row r="157" spans="1:327" x14ac:dyDescent="0.25">
      <c r="A157" t="s">
        <v>943</v>
      </c>
      <c r="B157" t="s">
        <v>944</v>
      </c>
      <c r="C157" t="s">
        <v>995</v>
      </c>
      <c r="D157" t="s">
        <v>996</v>
      </c>
      <c r="E157" t="s">
        <v>217</v>
      </c>
      <c r="F157" s="4" t="s">
        <v>642</v>
      </c>
      <c r="G157" t="s">
        <v>1126</v>
      </c>
      <c r="H157" s="3">
        <v>0</v>
      </c>
      <c r="I157" s="3">
        <v>0</v>
      </c>
      <c r="J157" s="3">
        <v>0</v>
      </c>
      <c r="K157" s="3">
        <v>0</v>
      </c>
      <c r="L157" s="3">
        <v>0</v>
      </c>
      <c r="M157" s="3">
        <v>0</v>
      </c>
      <c r="N157" s="3">
        <v>4372000</v>
      </c>
      <c r="O157" s="3">
        <v>0</v>
      </c>
      <c r="P157" s="3">
        <v>12650000</v>
      </c>
      <c r="Q157" s="3">
        <v>17022000</v>
      </c>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U157" s="3"/>
      <c r="BV157" s="3"/>
      <c r="BW157" s="3"/>
      <c r="BX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D157" s="3"/>
      <c r="DE157" s="3"/>
      <c r="DF157" s="3"/>
      <c r="DG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U157" s="3"/>
      <c r="GV157" s="3"/>
      <c r="GW157" s="3"/>
      <c r="GX157" s="3"/>
      <c r="GY157" s="3"/>
      <c r="GZ157" s="3"/>
      <c r="HA157" s="3"/>
      <c r="HB157" s="3"/>
      <c r="HC157" s="3"/>
      <c r="HE157" s="3"/>
      <c r="HF157" s="3"/>
      <c r="HG157" s="3"/>
      <c r="HH157" s="3"/>
      <c r="HJ157" s="3"/>
      <c r="HK157" s="3"/>
      <c r="HL157" s="3"/>
      <c r="HM157" s="3"/>
      <c r="HN157" s="3"/>
      <c r="HO157" s="3"/>
      <c r="HP157" s="3"/>
      <c r="HQ157" s="3"/>
      <c r="HR157" s="3"/>
      <c r="HS157" s="3"/>
      <c r="HT157" s="3"/>
      <c r="HU157" s="3"/>
      <c r="HV157" s="3"/>
      <c r="HW157" s="3"/>
      <c r="HX157" s="3"/>
      <c r="HY157" s="3"/>
      <c r="HZ157" s="3"/>
      <c r="IA157" s="3"/>
      <c r="IB157" s="3"/>
      <c r="ID157" s="3"/>
      <c r="IE157" s="3"/>
      <c r="IF157" s="3"/>
      <c r="IG157" s="3"/>
      <c r="IS157" s="3"/>
      <c r="IT157" s="3"/>
      <c r="IU157" s="3"/>
      <c r="IV157" s="3"/>
      <c r="IW157" s="3"/>
      <c r="IX157" s="3"/>
      <c r="IY157" s="3"/>
      <c r="IZ157" s="3"/>
      <c r="JA157" s="3"/>
      <c r="JB157" s="3"/>
      <c r="JC157" s="3"/>
      <c r="JD157" s="3"/>
      <c r="JE157" s="3"/>
      <c r="JF157" s="3"/>
      <c r="JG157" s="3"/>
      <c r="JH157" s="3"/>
      <c r="JI157" s="3"/>
      <c r="JJ157" s="3"/>
      <c r="JK157" s="3"/>
      <c r="JL157" s="3"/>
      <c r="JM157" s="3"/>
      <c r="JN157" s="3"/>
      <c r="JO157" s="3"/>
      <c r="JP157" s="3"/>
      <c r="JQ157" s="3"/>
      <c r="JR157" s="3"/>
      <c r="JS157" s="3"/>
      <c r="JT157" s="3"/>
      <c r="JU157" s="3"/>
      <c r="JV157" s="3"/>
      <c r="JW157" s="3"/>
      <c r="JX157" s="3"/>
      <c r="JY157" s="3"/>
      <c r="JZ157" s="3"/>
      <c r="KA157" s="3"/>
      <c r="KB157" s="3"/>
      <c r="KC157" s="3"/>
      <c r="KD157" s="3"/>
      <c r="KE157" s="3"/>
      <c r="KF157" s="3"/>
      <c r="KG157" s="3"/>
      <c r="KH157" s="3"/>
      <c r="KI157" s="3"/>
      <c r="KJ157" s="3"/>
      <c r="KK157" s="3"/>
      <c r="KL157" s="3"/>
      <c r="KM157" s="3"/>
      <c r="KN157" s="3"/>
      <c r="KO157" s="3"/>
      <c r="KP157" s="3"/>
      <c r="KQ157" s="3"/>
      <c r="KR157" s="3"/>
      <c r="KS157" s="3"/>
      <c r="KT157" s="3"/>
      <c r="KU157" s="3"/>
      <c r="KV157" s="3"/>
      <c r="KW157" s="3"/>
      <c r="KX157" s="3"/>
      <c r="KY157" s="3"/>
      <c r="KZ157" s="3"/>
      <c r="LA157" s="3"/>
      <c r="LB157" s="3"/>
      <c r="LC157" s="3"/>
      <c r="LD157" s="3"/>
      <c r="LE157" s="3"/>
      <c r="LF157" s="3"/>
      <c r="LG157" s="3"/>
      <c r="LH157" s="3"/>
      <c r="LI157" s="3"/>
      <c r="LJ157" s="3"/>
    </row>
    <row r="158" spans="1:327" x14ac:dyDescent="0.25">
      <c r="A158" t="s">
        <v>943</v>
      </c>
      <c r="B158" t="s">
        <v>944</v>
      </c>
      <c r="C158" t="s">
        <v>995</v>
      </c>
      <c r="D158" t="s">
        <v>996</v>
      </c>
      <c r="E158" t="s">
        <v>217</v>
      </c>
      <c r="F158" s="4" t="s">
        <v>641</v>
      </c>
      <c r="G158" t="s">
        <v>1127</v>
      </c>
      <c r="H158" s="3">
        <v>0</v>
      </c>
      <c r="I158" s="3">
        <v>0</v>
      </c>
      <c r="J158" s="3">
        <v>0</v>
      </c>
      <c r="K158" s="3">
        <v>0</v>
      </c>
      <c r="L158" s="3">
        <v>0</v>
      </c>
      <c r="M158" s="3">
        <v>0</v>
      </c>
      <c r="N158" s="3">
        <v>300000</v>
      </c>
      <c r="O158" s="3">
        <v>0</v>
      </c>
      <c r="P158" s="3">
        <v>39700000</v>
      </c>
      <c r="Q158" s="3">
        <v>40000000</v>
      </c>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U158" s="3"/>
      <c r="BV158" s="3"/>
      <c r="BW158" s="3"/>
      <c r="BX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D158" s="3"/>
      <c r="DE158" s="3"/>
      <c r="DF158" s="3"/>
      <c r="DG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U158" s="3"/>
      <c r="GV158" s="3"/>
      <c r="GW158" s="3"/>
      <c r="GX158" s="3"/>
      <c r="GY158" s="3"/>
      <c r="GZ158" s="3"/>
      <c r="HA158" s="3"/>
      <c r="HB158" s="3"/>
      <c r="HC158" s="3"/>
      <c r="HE158" s="3"/>
      <c r="HF158" s="3"/>
      <c r="HG158" s="3"/>
      <c r="HH158" s="3"/>
      <c r="HJ158" s="3"/>
      <c r="HK158" s="3"/>
      <c r="HL158" s="3"/>
      <c r="HM158" s="3"/>
      <c r="HN158" s="3"/>
      <c r="HO158" s="3"/>
      <c r="HP158" s="3"/>
      <c r="HQ158" s="3"/>
      <c r="HR158" s="3"/>
      <c r="HS158" s="3"/>
      <c r="HT158" s="3"/>
      <c r="HU158" s="3"/>
      <c r="HV158" s="3"/>
      <c r="HW158" s="3"/>
      <c r="HX158" s="3"/>
      <c r="HY158" s="3"/>
      <c r="HZ158" s="3"/>
      <c r="IA158" s="3"/>
      <c r="IB158" s="3"/>
      <c r="ID158" s="3"/>
      <c r="IE158" s="3"/>
      <c r="IF158" s="3"/>
      <c r="IG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row>
    <row r="159" spans="1:327" x14ac:dyDescent="0.25">
      <c r="A159" t="s">
        <v>943</v>
      </c>
      <c r="B159" t="s">
        <v>944</v>
      </c>
      <c r="C159" t="s">
        <v>995</v>
      </c>
      <c r="D159" t="s">
        <v>996</v>
      </c>
      <c r="E159" t="s">
        <v>217</v>
      </c>
      <c r="F159" s="4" t="s">
        <v>640</v>
      </c>
      <c r="G159" t="s">
        <v>1128</v>
      </c>
      <c r="H159" s="3">
        <v>0</v>
      </c>
      <c r="I159" s="3">
        <v>0</v>
      </c>
      <c r="J159" s="3">
        <v>0</v>
      </c>
      <c r="K159" s="3">
        <v>0</v>
      </c>
      <c r="L159" s="3">
        <v>0</v>
      </c>
      <c r="M159" s="3">
        <v>0</v>
      </c>
      <c r="N159" s="3">
        <v>14400000</v>
      </c>
      <c r="O159" s="3">
        <v>0</v>
      </c>
      <c r="P159" s="3">
        <v>5600000</v>
      </c>
      <c r="Q159" s="3">
        <v>20000000</v>
      </c>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U159" s="3"/>
      <c r="BV159" s="3"/>
      <c r="BW159" s="3"/>
      <c r="BX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D159" s="3"/>
      <c r="DE159" s="3"/>
      <c r="DF159" s="3"/>
      <c r="DG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U159" s="3"/>
      <c r="GV159" s="3"/>
      <c r="GW159" s="3"/>
      <c r="GX159" s="3"/>
      <c r="GY159" s="3"/>
      <c r="GZ159" s="3"/>
      <c r="HA159" s="3"/>
      <c r="HB159" s="3"/>
      <c r="HC159" s="3"/>
      <c r="HE159" s="3"/>
      <c r="HF159" s="3"/>
      <c r="HG159" s="3"/>
      <c r="HH159" s="3"/>
      <c r="HJ159" s="3"/>
      <c r="HK159" s="3"/>
      <c r="HL159" s="3"/>
      <c r="HM159" s="3"/>
      <c r="HN159" s="3"/>
      <c r="HO159" s="3"/>
      <c r="HP159" s="3"/>
      <c r="HQ159" s="3"/>
      <c r="HR159" s="3"/>
      <c r="HS159" s="3"/>
      <c r="HT159" s="3"/>
      <c r="HU159" s="3"/>
      <c r="HV159" s="3"/>
      <c r="HW159" s="3"/>
      <c r="HX159" s="3"/>
      <c r="HY159" s="3"/>
      <c r="HZ159" s="3"/>
      <c r="IA159" s="3"/>
      <c r="IB159" s="3"/>
      <c r="ID159" s="3"/>
      <c r="IE159" s="3"/>
      <c r="IF159" s="3"/>
      <c r="IG159" s="3"/>
      <c r="IS159" s="3"/>
      <c r="IT159" s="3"/>
      <c r="IU159" s="3"/>
      <c r="IV159" s="3"/>
      <c r="IW159" s="3"/>
      <c r="IX159" s="3"/>
      <c r="IY159" s="3"/>
      <c r="IZ159" s="3"/>
      <c r="JA159" s="3"/>
      <c r="JB159" s="3"/>
      <c r="JC159" s="3"/>
      <c r="JD159" s="3"/>
      <c r="JE159" s="3"/>
      <c r="JF159" s="3"/>
      <c r="JG159" s="3"/>
      <c r="JH159" s="3"/>
      <c r="JI159" s="3"/>
      <c r="JJ159" s="3"/>
      <c r="JK159" s="3"/>
      <c r="JL159" s="3"/>
      <c r="JM159" s="3"/>
      <c r="JN159" s="3"/>
      <c r="JO159" s="3"/>
      <c r="JP159" s="3"/>
      <c r="JQ159" s="3"/>
      <c r="JR159" s="3"/>
      <c r="JS159" s="3"/>
      <c r="JT159" s="3"/>
      <c r="JU159" s="3"/>
      <c r="JV159" s="3"/>
      <c r="JW159" s="3"/>
      <c r="JX159" s="3"/>
      <c r="JY159" s="3"/>
      <c r="JZ159" s="3"/>
      <c r="KA159" s="3"/>
      <c r="KB159" s="3"/>
      <c r="KC159" s="3"/>
      <c r="KD159" s="3"/>
      <c r="KE159" s="3"/>
      <c r="KF159" s="3"/>
      <c r="KG159" s="3"/>
      <c r="KH159" s="3"/>
      <c r="KI159" s="3"/>
      <c r="KJ159" s="3"/>
      <c r="KK159" s="3"/>
      <c r="KL159" s="3"/>
      <c r="KM159" s="3"/>
      <c r="KN159" s="3"/>
      <c r="KO159" s="3"/>
      <c r="KP159" s="3"/>
      <c r="KQ159" s="3"/>
      <c r="KR159" s="3"/>
      <c r="KS159" s="3"/>
      <c r="KT159" s="3"/>
      <c r="KU159" s="3"/>
      <c r="KV159" s="3"/>
      <c r="KW159" s="3"/>
      <c r="KX159" s="3"/>
      <c r="KY159" s="3"/>
      <c r="KZ159" s="3"/>
      <c r="LA159" s="3"/>
      <c r="LB159" s="3"/>
      <c r="LC159" s="3"/>
      <c r="LD159" s="3"/>
      <c r="LE159" s="3"/>
      <c r="LF159" s="3"/>
      <c r="LG159" s="3"/>
      <c r="LH159" s="3"/>
      <c r="LI159" s="3"/>
      <c r="LJ159" s="3"/>
    </row>
    <row r="160" spans="1:327" x14ac:dyDescent="0.25">
      <c r="A160" t="s">
        <v>943</v>
      </c>
      <c r="B160" t="s">
        <v>944</v>
      </c>
      <c r="C160" t="s">
        <v>995</v>
      </c>
      <c r="D160" t="s">
        <v>996</v>
      </c>
      <c r="E160" t="s">
        <v>217</v>
      </c>
      <c r="F160" s="4" t="s">
        <v>639</v>
      </c>
      <c r="G160" t="s">
        <v>1129</v>
      </c>
      <c r="H160" s="3">
        <v>0</v>
      </c>
      <c r="I160" s="3">
        <v>0</v>
      </c>
      <c r="J160" s="3">
        <v>0</v>
      </c>
      <c r="K160" s="3">
        <v>0</v>
      </c>
      <c r="L160" s="3">
        <v>0</v>
      </c>
      <c r="M160" s="3">
        <v>0</v>
      </c>
      <c r="N160" s="3">
        <v>1178000</v>
      </c>
      <c r="O160" s="3">
        <v>0</v>
      </c>
      <c r="P160" s="3">
        <v>0</v>
      </c>
      <c r="Q160" s="3">
        <v>1178000</v>
      </c>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U160" s="3"/>
      <c r="BV160" s="3"/>
      <c r="BW160" s="3"/>
      <c r="BX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D160" s="3"/>
      <c r="DE160" s="3"/>
      <c r="DF160" s="3"/>
      <c r="DG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U160" s="3"/>
      <c r="GV160" s="3"/>
      <c r="GW160" s="3"/>
      <c r="GX160" s="3"/>
      <c r="GY160" s="3"/>
      <c r="GZ160" s="3"/>
      <c r="HA160" s="3"/>
      <c r="HB160" s="3"/>
      <c r="HC160" s="3"/>
      <c r="HE160" s="3"/>
      <c r="HF160" s="3"/>
      <c r="HG160" s="3"/>
      <c r="HH160" s="3"/>
      <c r="HJ160" s="3"/>
      <c r="HK160" s="3"/>
      <c r="HL160" s="3"/>
      <c r="HM160" s="3"/>
      <c r="HN160" s="3"/>
      <c r="HO160" s="3"/>
      <c r="HP160" s="3"/>
      <c r="HQ160" s="3"/>
      <c r="HR160" s="3"/>
      <c r="HS160" s="3"/>
      <c r="HT160" s="3"/>
      <c r="HU160" s="3"/>
      <c r="HV160" s="3"/>
      <c r="HW160" s="3"/>
      <c r="HX160" s="3"/>
      <c r="HY160" s="3"/>
      <c r="HZ160" s="3"/>
      <c r="IA160" s="3"/>
      <c r="IB160" s="3"/>
      <c r="ID160" s="3"/>
      <c r="IE160" s="3"/>
      <c r="IF160" s="3"/>
      <c r="IG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row>
    <row r="161" spans="1:327" x14ac:dyDescent="0.25">
      <c r="A161" t="s">
        <v>943</v>
      </c>
      <c r="B161" t="s">
        <v>944</v>
      </c>
      <c r="C161" t="s">
        <v>995</v>
      </c>
      <c r="D161" t="s">
        <v>996</v>
      </c>
      <c r="E161" t="s">
        <v>217</v>
      </c>
      <c r="F161" t="s">
        <v>997</v>
      </c>
      <c r="G161" t="s">
        <v>1143</v>
      </c>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U161" s="3"/>
      <c r="BV161" s="3"/>
      <c r="BW161" s="3"/>
      <c r="BX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D161" s="3"/>
      <c r="DE161" s="3"/>
      <c r="DF161" s="3"/>
      <c r="DG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v>0</v>
      </c>
      <c r="GB161" s="3">
        <v>0</v>
      </c>
      <c r="GC161" s="3">
        <v>0</v>
      </c>
      <c r="GD161" s="3">
        <v>0</v>
      </c>
      <c r="GE161" s="3">
        <v>0</v>
      </c>
      <c r="GF161" s="3">
        <v>0</v>
      </c>
      <c r="GG161" s="3">
        <v>12000000</v>
      </c>
      <c r="GH161" s="3">
        <v>0</v>
      </c>
      <c r="GI161" s="3">
        <v>8000000</v>
      </c>
      <c r="GJ161" s="3">
        <v>20000000</v>
      </c>
      <c r="GK161" s="3"/>
      <c r="GL161" s="3"/>
      <c r="GM161" s="3"/>
      <c r="GN161" s="3"/>
      <c r="GO161" s="3"/>
      <c r="GP161" s="3"/>
      <c r="GQ161" s="3"/>
      <c r="GR161" s="3"/>
      <c r="GS161" s="3"/>
      <c r="GU161" s="3"/>
      <c r="GV161" s="3"/>
      <c r="GW161" s="3"/>
      <c r="GX161" s="3"/>
      <c r="GY161" s="3"/>
      <c r="GZ161" s="3"/>
      <c r="HA161" s="3"/>
      <c r="HB161" s="3"/>
      <c r="HC161" s="3"/>
      <c r="HE161" s="3"/>
      <c r="HF161" s="3"/>
      <c r="HG161" s="3"/>
      <c r="HH161" s="3"/>
      <c r="HJ161" s="3">
        <v>0</v>
      </c>
      <c r="HK161" s="3">
        <v>13000000</v>
      </c>
      <c r="HL161" s="3">
        <v>0</v>
      </c>
      <c r="HM161" s="3">
        <v>18000000</v>
      </c>
      <c r="HN161" s="3">
        <v>31000000</v>
      </c>
      <c r="HO161" s="3">
        <v>0</v>
      </c>
      <c r="HP161" s="3">
        <v>0</v>
      </c>
      <c r="HQ161" s="3">
        <v>0</v>
      </c>
      <c r="HR161" s="3">
        <v>2000000</v>
      </c>
      <c r="HS161" s="3">
        <v>2000000</v>
      </c>
      <c r="HT161" s="3"/>
      <c r="HU161" s="3"/>
      <c r="HV161" s="3"/>
      <c r="HW161" s="3"/>
      <c r="HX161" s="3"/>
      <c r="HY161" s="3"/>
      <c r="HZ161" s="3"/>
      <c r="IA161" s="3"/>
      <c r="IB161" s="3"/>
      <c r="ID161" s="3"/>
      <c r="IE161" s="3"/>
      <c r="IF161" s="3"/>
      <c r="IG161" s="3"/>
      <c r="IS161" s="3"/>
      <c r="IT161" s="3"/>
      <c r="IU161" s="3"/>
      <c r="IV161" s="3"/>
      <c r="IW161" s="3"/>
      <c r="IX161" s="3"/>
      <c r="IY161" s="3"/>
      <c r="IZ161" s="3"/>
      <c r="JA161" s="3"/>
      <c r="JB161" s="3"/>
      <c r="JC161" s="3"/>
      <c r="JD161" s="3"/>
      <c r="JE161" s="3"/>
      <c r="JF161" s="3"/>
      <c r="JG161" s="3"/>
      <c r="JH161" s="3"/>
      <c r="JI161" s="3"/>
      <c r="JJ161" s="3"/>
      <c r="JK161" s="3"/>
      <c r="JL161" s="3"/>
      <c r="JM161" s="3"/>
      <c r="JN161" s="3"/>
      <c r="JO161" s="3"/>
      <c r="JP161" s="3"/>
      <c r="JQ161" s="3"/>
      <c r="JR161" s="3"/>
      <c r="JS161" s="3"/>
      <c r="JT161" s="3"/>
      <c r="JU161" s="3"/>
      <c r="JV161" s="3"/>
      <c r="JW161" s="3"/>
      <c r="JX161" s="3"/>
      <c r="JY161" s="3"/>
      <c r="JZ161" s="3"/>
      <c r="KA161" s="3"/>
      <c r="KB161" s="3"/>
      <c r="KC161" s="3"/>
      <c r="KD161" s="3"/>
      <c r="KE161" s="3"/>
      <c r="KF161" s="3"/>
      <c r="KG161" s="3"/>
      <c r="KH161" s="3"/>
      <c r="KI161" s="3"/>
      <c r="KJ161" s="3"/>
      <c r="KK161" s="3"/>
      <c r="KL161" s="3"/>
      <c r="KM161" s="3"/>
      <c r="KN161" s="3"/>
      <c r="KO161" s="3"/>
      <c r="KP161" s="3"/>
      <c r="KQ161" s="3"/>
      <c r="KR161" s="3"/>
      <c r="KS161" s="3"/>
      <c r="KT161" s="3"/>
      <c r="KU161" s="3"/>
      <c r="KV161" s="3"/>
      <c r="KW161" s="3"/>
      <c r="KX161" s="3"/>
      <c r="KY161" s="3"/>
      <c r="KZ161" s="3"/>
      <c r="LA161" s="3"/>
      <c r="LB161" s="3"/>
      <c r="LC161" s="3"/>
      <c r="LD161" s="3"/>
      <c r="LE161" s="3"/>
      <c r="LF161" s="3"/>
      <c r="LG161" s="3"/>
      <c r="LH161" s="3"/>
      <c r="LI161" s="3"/>
      <c r="LJ161" s="3"/>
    </row>
    <row r="162" spans="1:327" x14ac:dyDescent="0.25">
      <c r="A162" t="s">
        <v>943</v>
      </c>
      <c r="B162" t="s">
        <v>944</v>
      </c>
      <c r="C162" t="s">
        <v>995</v>
      </c>
      <c r="D162" t="s">
        <v>996</v>
      </c>
      <c r="E162" t="s">
        <v>217</v>
      </c>
      <c r="F162" t="s">
        <v>558</v>
      </c>
      <c r="G162" t="s">
        <v>1144</v>
      </c>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U162" s="3"/>
      <c r="BV162" s="3"/>
      <c r="BW162" s="3"/>
      <c r="BX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D162" s="3"/>
      <c r="DE162" s="3"/>
      <c r="DF162" s="3"/>
      <c r="DG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U162" s="3"/>
      <c r="GV162" s="3"/>
      <c r="GW162" s="3"/>
      <c r="GX162" s="3"/>
      <c r="GY162" s="3"/>
      <c r="GZ162" s="3"/>
      <c r="HA162" s="3"/>
      <c r="HB162" s="3"/>
      <c r="HC162" s="3"/>
      <c r="HE162" s="3"/>
      <c r="HF162" s="3"/>
      <c r="HG162" s="3"/>
      <c r="HH162" s="3"/>
      <c r="HJ162" s="3">
        <v>0</v>
      </c>
      <c r="HK162" s="3">
        <v>0</v>
      </c>
      <c r="HL162" s="3">
        <v>0</v>
      </c>
      <c r="HM162" s="3">
        <v>0</v>
      </c>
      <c r="HN162" s="3">
        <v>0</v>
      </c>
      <c r="HO162" s="3">
        <v>0</v>
      </c>
      <c r="HP162" s="3">
        <v>88259000</v>
      </c>
      <c r="HQ162" s="3">
        <v>0</v>
      </c>
      <c r="HR162" s="3">
        <v>0</v>
      </c>
      <c r="HS162" s="3">
        <v>88259000</v>
      </c>
      <c r="HT162" s="3"/>
      <c r="HU162" s="3"/>
      <c r="HV162" s="3"/>
      <c r="HW162" s="3"/>
      <c r="HX162" s="3"/>
      <c r="HY162" s="3"/>
      <c r="HZ162" s="3"/>
      <c r="IA162" s="3"/>
      <c r="IB162" s="3"/>
      <c r="ID162" s="3"/>
      <c r="IE162" s="3"/>
      <c r="IF162" s="3"/>
      <c r="IG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row>
    <row r="163" spans="1:327" x14ac:dyDescent="0.25">
      <c r="A163" t="s">
        <v>943</v>
      </c>
      <c r="B163" t="s">
        <v>944</v>
      </c>
      <c r="C163" t="s">
        <v>995</v>
      </c>
      <c r="D163" t="s">
        <v>996</v>
      </c>
      <c r="E163" t="s">
        <v>224</v>
      </c>
      <c r="F163" t="s">
        <v>520</v>
      </c>
      <c r="G163" t="s">
        <v>1052</v>
      </c>
      <c r="H163" s="3">
        <v>27609000</v>
      </c>
      <c r="I163" s="3">
        <v>8241000</v>
      </c>
      <c r="J163" s="3">
        <v>0</v>
      </c>
      <c r="K163" s="3">
        <v>0</v>
      </c>
      <c r="L163" s="3">
        <v>35850000</v>
      </c>
      <c r="M163" s="3">
        <v>27609000</v>
      </c>
      <c r="N163" s="3">
        <v>8241000</v>
      </c>
      <c r="O163" s="3">
        <v>0</v>
      </c>
      <c r="P163" s="3">
        <v>0</v>
      </c>
      <c r="Q163" s="3">
        <v>35850000</v>
      </c>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v>31442000</v>
      </c>
      <c r="AR163" s="3">
        <v>8389000</v>
      </c>
      <c r="AS163" s="3">
        <v>0</v>
      </c>
      <c r="AT163" s="3">
        <v>0</v>
      </c>
      <c r="AU163" s="3">
        <v>39831000</v>
      </c>
      <c r="AV163" s="3">
        <v>31442000</v>
      </c>
      <c r="AW163" s="3">
        <v>8389000</v>
      </c>
      <c r="AX163" s="3">
        <v>0</v>
      </c>
      <c r="AY163" s="3">
        <v>0</v>
      </c>
      <c r="AZ163" s="3">
        <v>39831000</v>
      </c>
      <c r="BA163" s="3"/>
      <c r="BB163" s="3"/>
      <c r="BC163" s="3"/>
      <c r="BD163" s="3"/>
      <c r="BE163" s="3"/>
      <c r="BF163" s="3"/>
      <c r="BG163" s="3"/>
      <c r="BH163" s="3"/>
      <c r="BI163" s="3"/>
      <c r="BJ163" s="3"/>
      <c r="BK163" s="3"/>
      <c r="BL163" s="3"/>
      <c r="BM163" s="3"/>
      <c r="BN163" s="3"/>
      <c r="BO163" s="3"/>
      <c r="BP163" s="3"/>
      <c r="BQ163" s="3"/>
      <c r="BR163" s="3"/>
      <c r="BS163" s="3"/>
      <c r="BU163" s="3"/>
      <c r="BV163" s="3"/>
      <c r="BW163" s="3"/>
      <c r="BX163" s="3"/>
      <c r="BZ163" s="3">
        <v>30148000</v>
      </c>
      <c r="CA163" s="3">
        <v>8302000</v>
      </c>
      <c r="CB163" s="3">
        <v>0</v>
      </c>
      <c r="CC163" s="3">
        <v>0</v>
      </c>
      <c r="CD163" s="3">
        <v>38450000</v>
      </c>
      <c r="CE163" s="3">
        <v>30148000</v>
      </c>
      <c r="CF163" s="3">
        <v>8302000</v>
      </c>
      <c r="CG163" s="3">
        <v>0</v>
      </c>
      <c r="CH163" s="3">
        <v>0</v>
      </c>
      <c r="CI163" s="3">
        <v>38450000</v>
      </c>
      <c r="CJ163" s="3"/>
      <c r="CK163" s="3"/>
      <c r="CL163" s="3"/>
      <c r="CM163" s="3"/>
      <c r="CN163" s="3"/>
      <c r="CO163" s="3"/>
      <c r="CP163" s="3"/>
      <c r="CQ163" s="3"/>
      <c r="CR163" s="3"/>
      <c r="CS163" s="3"/>
      <c r="CT163" s="3"/>
      <c r="CU163" s="3"/>
      <c r="CV163" s="3"/>
      <c r="CW163" s="3"/>
      <c r="CX163" s="3"/>
      <c r="CY163" s="3"/>
      <c r="CZ163" s="3"/>
      <c r="DA163" s="3"/>
      <c r="DB163" s="3"/>
      <c r="DD163" s="3"/>
      <c r="DE163" s="3"/>
      <c r="DF163" s="3"/>
      <c r="DG163" s="3"/>
      <c r="DI163" s="3">
        <v>29431000</v>
      </c>
      <c r="DJ163" s="3">
        <v>8453000</v>
      </c>
      <c r="DK163" s="3">
        <v>0</v>
      </c>
      <c r="DL163" s="3">
        <v>0</v>
      </c>
      <c r="DM163" s="3">
        <v>37884000</v>
      </c>
      <c r="DN163" s="3">
        <v>29431000</v>
      </c>
      <c r="DO163" s="3">
        <v>8453000</v>
      </c>
      <c r="DP163" s="3">
        <v>0</v>
      </c>
      <c r="DQ163" s="3">
        <v>0</v>
      </c>
      <c r="DR163" s="3">
        <v>37884000</v>
      </c>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R163" s="3">
        <v>33528000</v>
      </c>
      <c r="ES163" s="3">
        <v>8453000</v>
      </c>
      <c r="ET163" s="3">
        <v>0</v>
      </c>
      <c r="EU163" s="3">
        <v>0</v>
      </c>
      <c r="EV163" s="3">
        <v>41981000</v>
      </c>
      <c r="EW163" s="3">
        <v>33528000</v>
      </c>
      <c r="EX163" s="3">
        <v>7603000</v>
      </c>
      <c r="EY163" s="3">
        <v>0</v>
      </c>
      <c r="EZ163" s="3">
        <v>0</v>
      </c>
      <c r="FA163" s="3">
        <v>41131000</v>
      </c>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v>33487000</v>
      </c>
      <c r="GB163" s="3">
        <v>8159000</v>
      </c>
      <c r="GC163" s="3">
        <v>0</v>
      </c>
      <c r="GD163" s="3">
        <v>0</v>
      </c>
      <c r="GE163" s="3">
        <v>41646000</v>
      </c>
      <c r="GF163" s="3">
        <v>33487000</v>
      </c>
      <c r="GG163" s="3">
        <v>7959000</v>
      </c>
      <c r="GH163" s="3">
        <v>0</v>
      </c>
      <c r="GI163" s="3">
        <v>0</v>
      </c>
      <c r="GJ163" s="3">
        <v>41446000</v>
      </c>
      <c r="GK163" s="3"/>
      <c r="GL163" s="3"/>
      <c r="GM163" s="3"/>
      <c r="GN163" s="3"/>
      <c r="GO163" s="3"/>
      <c r="GP163" s="3"/>
      <c r="GQ163" s="3"/>
      <c r="GR163" s="3"/>
      <c r="GS163" s="3"/>
      <c r="GU163" s="3"/>
      <c r="GV163" s="3"/>
      <c r="GW163" s="3"/>
      <c r="GX163" s="3"/>
      <c r="GY163" s="3"/>
      <c r="GZ163" s="3"/>
      <c r="HA163" s="3"/>
      <c r="HB163" s="3"/>
      <c r="HC163" s="3"/>
      <c r="HE163" s="3"/>
      <c r="HF163" s="3"/>
      <c r="HG163" s="3"/>
      <c r="HH163" s="3"/>
      <c r="HJ163" s="3">
        <v>29347000</v>
      </c>
      <c r="HK163" s="3">
        <v>8306000</v>
      </c>
      <c r="HL163" s="3">
        <v>0</v>
      </c>
      <c r="HM163" s="3">
        <v>0</v>
      </c>
      <c r="HN163" s="3">
        <v>37653000</v>
      </c>
      <c r="HO163" s="3">
        <v>29347000</v>
      </c>
      <c r="HP163" s="3">
        <v>8306000</v>
      </c>
      <c r="HQ163" s="3">
        <v>0</v>
      </c>
      <c r="HR163" s="3">
        <v>0</v>
      </c>
      <c r="HS163" s="3">
        <v>37653000</v>
      </c>
      <c r="HT163" s="3"/>
      <c r="HU163" s="3"/>
      <c r="HV163" s="3"/>
      <c r="HW163" s="3"/>
      <c r="HX163" s="3"/>
      <c r="HY163" s="3"/>
      <c r="HZ163" s="3"/>
      <c r="IA163" s="3"/>
      <c r="IB163" s="3"/>
      <c r="ID163" s="3"/>
      <c r="IE163" s="3"/>
      <c r="IF163" s="3"/>
      <c r="IG163" s="3"/>
      <c r="IS163" s="3">
        <v>28535000</v>
      </c>
      <c r="IT163" s="3">
        <v>8457000</v>
      </c>
      <c r="IU163" s="3">
        <v>0</v>
      </c>
      <c r="IV163" s="3">
        <v>0</v>
      </c>
      <c r="IW163" s="3">
        <v>36992000</v>
      </c>
      <c r="IX163" s="3">
        <v>28535000</v>
      </c>
      <c r="IY163" s="3">
        <v>8457000</v>
      </c>
      <c r="IZ163" s="3">
        <v>0</v>
      </c>
      <c r="JA163" s="3">
        <v>0</v>
      </c>
      <c r="JB163" s="3">
        <v>36992000</v>
      </c>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v>33317000</v>
      </c>
      <c r="KC163" s="3">
        <v>8609000</v>
      </c>
      <c r="KD163" s="3">
        <v>0</v>
      </c>
      <c r="KE163" s="3">
        <v>0</v>
      </c>
      <c r="KF163" s="3">
        <v>41926000</v>
      </c>
      <c r="KG163" s="3">
        <v>33317000</v>
      </c>
      <c r="KH163" s="3">
        <v>8609000</v>
      </c>
      <c r="KI163" s="3">
        <v>0</v>
      </c>
      <c r="KJ163" s="3">
        <v>0</v>
      </c>
      <c r="KK163" s="3">
        <v>41926000</v>
      </c>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v>35864000</v>
      </c>
      <c r="LL163" s="3">
        <v>8764000</v>
      </c>
      <c r="LM163">
        <v>0</v>
      </c>
      <c r="LN163" s="3">
        <v>0</v>
      </c>
      <c r="LO163" s="3">
        <v>44628000</v>
      </c>
    </row>
    <row r="164" spans="1:327" x14ac:dyDescent="0.25">
      <c r="A164" t="s">
        <v>943</v>
      </c>
      <c r="B164" t="s">
        <v>944</v>
      </c>
      <c r="C164" t="s">
        <v>995</v>
      </c>
      <c r="D164" t="s">
        <v>996</v>
      </c>
      <c r="E164" t="s">
        <v>224</v>
      </c>
      <c r="F164" t="s">
        <v>521</v>
      </c>
      <c r="G164" t="s">
        <v>1055</v>
      </c>
      <c r="H164" s="3">
        <v>11153000</v>
      </c>
      <c r="I164" s="3">
        <v>2174000</v>
      </c>
      <c r="J164" s="3">
        <v>0</v>
      </c>
      <c r="K164" s="3">
        <v>0</v>
      </c>
      <c r="L164" s="3">
        <v>13327000</v>
      </c>
      <c r="M164" s="3">
        <v>11153000</v>
      </c>
      <c r="N164" s="3">
        <v>2174000</v>
      </c>
      <c r="O164" s="3">
        <v>0</v>
      </c>
      <c r="P164" s="3">
        <v>0</v>
      </c>
      <c r="Q164" s="3">
        <v>13327000</v>
      </c>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v>13488000</v>
      </c>
      <c r="AR164" s="3">
        <v>2213000</v>
      </c>
      <c r="AS164" s="3">
        <v>0</v>
      </c>
      <c r="AT164" s="3">
        <v>0</v>
      </c>
      <c r="AU164" s="3">
        <v>15701000</v>
      </c>
      <c r="AV164" s="3">
        <v>13488000</v>
      </c>
      <c r="AW164" s="3">
        <v>2213000</v>
      </c>
      <c r="AX164" s="3">
        <v>0</v>
      </c>
      <c r="AY164" s="3">
        <v>0</v>
      </c>
      <c r="AZ164" s="3">
        <v>15701000</v>
      </c>
      <c r="BA164" s="3"/>
      <c r="BB164" s="3"/>
      <c r="BC164" s="3"/>
      <c r="BD164" s="3"/>
      <c r="BE164" s="3"/>
      <c r="BF164" s="3"/>
      <c r="BG164" s="3"/>
      <c r="BH164" s="3"/>
      <c r="BI164" s="3"/>
      <c r="BJ164" s="3"/>
      <c r="BK164" s="3"/>
      <c r="BL164" s="3"/>
      <c r="BM164" s="3"/>
      <c r="BN164" s="3"/>
      <c r="BO164" s="3"/>
      <c r="BP164" s="3"/>
      <c r="BQ164" s="3"/>
      <c r="BR164" s="3"/>
      <c r="BS164" s="3"/>
      <c r="BU164" s="3"/>
      <c r="BV164" s="3"/>
      <c r="BW164" s="3"/>
      <c r="BX164" s="3"/>
      <c r="BZ164" s="3">
        <v>12681000</v>
      </c>
      <c r="CA164" s="3">
        <v>2125000</v>
      </c>
      <c r="CB164" s="3">
        <v>0</v>
      </c>
      <c r="CC164" s="3">
        <v>0</v>
      </c>
      <c r="CD164" s="3">
        <v>14806000</v>
      </c>
      <c r="CE164" s="3">
        <v>12681000</v>
      </c>
      <c r="CF164" s="3">
        <v>2125000</v>
      </c>
      <c r="CG164" s="3">
        <v>0</v>
      </c>
      <c r="CH164" s="3">
        <v>0</v>
      </c>
      <c r="CI164" s="3">
        <v>14806000</v>
      </c>
      <c r="CJ164" s="3"/>
      <c r="CK164" s="3"/>
      <c r="CL164" s="3"/>
      <c r="CM164" s="3"/>
      <c r="CN164" s="3"/>
      <c r="CO164" s="3"/>
      <c r="CP164" s="3"/>
      <c r="CQ164" s="3"/>
      <c r="CR164" s="3"/>
      <c r="CS164" s="3"/>
      <c r="CT164" s="3"/>
      <c r="CU164" s="3"/>
      <c r="CV164" s="3"/>
      <c r="CW164" s="3"/>
      <c r="CX164" s="3"/>
      <c r="CY164" s="3"/>
      <c r="CZ164" s="3"/>
      <c r="DA164" s="3"/>
      <c r="DB164" s="3"/>
      <c r="DD164" s="3"/>
      <c r="DE164" s="3"/>
      <c r="DF164" s="3"/>
      <c r="DG164" s="3"/>
      <c r="DI164" s="3">
        <v>13891000</v>
      </c>
      <c r="DJ164" s="3">
        <v>2163000</v>
      </c>
      <c r="DK164" s="3">
        <v>0</v>
      </c>
      <c r="DL164" s="3">
        <v>0</v>
      </c>
      <c r="DM164" s="3">
        <v>16054000</v>
      </c>
      <c r="DN164" s="3">
        <v>13891000</v>
      </c>
      <c r="DO164" s="3">
        <v>2163000</v>
      </c>
      <c r="DP164" s="3">
        <v>0</v>
      </c>
      <c r="DQ164" s="3">
        <v>0</v>
      </c>
      <c r="DR164" s="3">
        <v>16054000</v>
      </c>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R164" s="3">
        <v>10708000</v>
      </c>
      <c r="ES164" s="3">
        <v>2163000</v>
      </c>
      <c r="ET164" s="3">
        <v>0</v>
      </c>
      <c r="EU164" s="3">
        <v>0</v>
      </c>
      <c r="EV164" s="3">
        <v>12871000</v>
      </c>
      <c r="EW164" s="3">
        <v>10708000</v>
      </c>
      <c r="EX164" s="3">
        <v>2013000</v>
      </c>
      <c r="EY164" s="3">
        <v>0</v>
      </c>
      <c r="EZ164" s="3">
        <v>0</v>
      </c>
      <c r="FA164" s="3">
        <v>12721000</v>
      </c>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v>11068000</v>
      </c>
      <c r="GB164" s="3">
        <v>1985000</v>
      </c>
      <c r="GC164" s="3">
        <v>0</v>
      </c>
      <c r="GD164" s="3">
        <v>0</v>
      </c>
      <c r="GE164" s="3">
        <v>13053000</v>
      </c>
      <c r="GF164" s="3">
        <v>11068000</v>
      </c>
      <c r="GG164" s="3">
        <v>1985000</v>
      </c>
      <c r="GH164" s="3">
        <v>0</v>
      </c>
      <c r="GI164" s="3">
        <v>0</v>
      </c>
      <c r="GJ164" s="3">
        <v>13053000</v>
      </c>
      <c r="GK164" s="3"/>
      <c r="GL164" s="3"/>
      <c r="GM164" s="3"/>
      <c r="GN164" s="3"/>
      <c r="GO164" s="3"/>
      <c r="GP164" s="3"/>
      <c r="GQ164" s="3"/>
      <c r="GR164" s="3"/>
      <c r="GS164" s="3"/>
      <c r="GU164" s="3"/>
      <c r="GV164" s="3"/>
      <c r="GW164" s="3"/>
      <c r="GX164" s="3"/>
      <c r="GY164" s="3"/>
      <c r="GZ164" s="3"/>
      <c r="HA164" s="3"/>
      <c r="HB164" s="3"/>
      <c r="HC164" s="3"/>
      <c r="HE164" s="3"/>
      <c r="HF164" s="3"/>
      <c r="HG164" s="3"/>
      <c r="HH164" s="3"/>
      <c r="HJ164" s="3">
        <v>9586000</v>
      </c>
      <c r="HK164" s="3">
        <v>2021000</v>
      </c>
      <c r="HL164" s="3">
        <v>0</v>
      </c>
      <c r="HM164" s="3">
        <v>0</v>
      </c>
      <c r="HN164" s="3">
        <v>11607000</v>
      </c>
      <c r="HO164" s="3">
        <v>9586000</v>
      </c>
      <c r="HP164" s="3">
        <v>2021000</v>
      </c>
      <c r="HQ164" s="3">
        <v>0</v>
      </c>
      <c r="HR164" s="3">
        <v>0</v>
      </c>
      <c r="HS164" s="3">
        <v>11607000</v>
      </c>
      <c r="HT164" s="3"/>
      <c r="HU164" s="3"/>
      <c r="HV164" s="3"/>
      <c r="HW164" s="3"/>
      <c r="HX164" s="3"/>
      <c r="HY164" s="3"/>
      <c r="HZ164" s="3"/>
      <c r="IA164" s="3"/>
      <c r="IB164" s="3"/>
      <c r="ID164" s="3"/>
      <c r="IE164" s="3"/>
      <c r="IF164" s="3"/>
      <c r="IG164" s="3"/>
      <c r="IS164" s="3">
        <v>9750000</v>
      </c>
      <c r="IT164" s="3">
        <v>2057000</v>
      </c>
      <c r="IU164" s="3">
        <v>0</v>
      </c>
      <c r="IV164" s="3">
        <v>0</v>
      </c>
      <c r="IW164" s="3">
        <v>11807000</v>
      </c>
      <c r="IX164" s="3">
        <v>9750000</v>
      </c>
      <c r="IY164" s="3">
        <v>2057000</v>
      </c>
      <c r="IZ164" s="3">
        <v>0</v>
      </c>
      <c r="JA164" s="3">
        <v>0</v>
      </c>
      <c r="JB164" s="3">
        <v>11807000</v>
      </c>
      <c r="JC164" s="3"/>
      <c r="JD164" s="3"/>
      <c r="JE164" s="3"/>
      <c r="JF164" s="3"/>
      <c r="JG164" s="3"/>
      <c r="JH164" s="3"/>
      <c r="JI164" s="3"/>
      <c r="JJ164" s="3"/>
      <c r="JK164" s="3"/>
      <c r="JL164" s="3"/>
      <c r="JM164" s="3"/>
      <c r="JN164" s="3"/>
      <c r="JO164" s="3"/>
      <c r="JP164" s="3"/>
      <c r="JQ164" s="3"/>
      <c r="JR164" s="3"/>
      <c r="JS164" s="3"/>
      <c r="JT164" s="3"/>
      <c r="JU164" s="3"/>
      <c r="JV164" s="3"/>
      <c r="JW164" s="3"/>
      <c r="JX164" s="3"/>
      <c r="JY164" s="3"/>
      <c r="JZ164" s="3"/>
      <c r="KA164" s="3"/>
      <c r="KB164" s="3">
        <v>12948000</v>
      </c>
      <c r="KC164" s="3">
        <v>2094000</v>
      </c>
      <c r="KD164" s="3">
        <v>0</v>
      </c>
      <c r="KE164" s="3">
        <v>0</v>
      </c>
      <c r="KF164" s="3">
        <v>15042000</v>
      </c>
      <c r="KG164" s="3">
        <v>12948000</v>
      </c>
      <c r="KH164" s="3">
        <v>2094000</v>
      </c>
      <c r="KI164" s="3">
        <v>0</v>
      </c>
      <c r="KJ164" s="3">
        <v>0</v>
      </c>
      <c r="KK164" s="3">
        <v>15042000</v>
      </c>
      <c r="KL164" s="3"/>
      <c r="KM164" s="3"/>
      <c r="KN164" s="3"/>
      <c r="KO164" s="3"/>
      <c r="KP164" s="3"/>
      <c r="KQ164" s="3"/>
      <c r="KR164" s="3"/>
      <c r="KS164" s="3"/>
      <c r="KT164" s="3"/>
      <c r="KU164" s="3"/>
      <c r="KV164" s="3"/>
      <c r="KW164" s="3"/>
      <c r="KX164" s="3"/>
      <c r="KY164" s="3"/>
      <c r="KZ164" s="3"/>
      <c r="LA164" s="3"/>
      <c r="LB164" s="3"/>
      <c r="LC164" s="3"/>
      <c r="LD164" s="3"/>
      <c r="LE164" s="3"/>
      <c r="LF164" s="3"/>
      <c r="LG164" s="3"/>
      <c r="LH164" s="3"/>
      <c r="LI164" s="3"/>
      <c r="LJ164" s="3"/>
      <c r="LK164" s="3">
        <v>16637000</v>
      </c>
      <c r="LL164" s="3">
        <v>2132000</v>
      </c>
      <c r="LM164">
        <v>0</v>
      </c>
      <c r="LN164" s="3">
        <v>0</v>
      </c>
      <c r="LO164" s="3">
        <v>18769000</v>
      </c>
    </row>
    <row r="165" spans="1:327" x14ac:dyDescent="0.25">
      <c r="A165" t="s">
        <v>943</v>
      </c>
      <c r="B165" t="s">
        <v>944</v>
      </c>
      <c r="C165" t="s">
        <v>998</v>
      </c>
      <c r="D165" t="s">
        <v>999</v>
      </c>
      <c r="E165" t="s">
        <v>201</v>
      </c>
      <c r="F165" t="s">
        <v>202</v>
      </c>
      <c r="G165" t="s">
        <v>203</v>
      </c>
      <c r="H165" s="3">
        <v>12172000</v>
      </c>
      <c r="I165" s="3">
        <v>14230000</v>
      </c>
      <c r="J165" s="3">
        <v>15000</v>
      </c>
      <c r="K165" s="3">
        <v>0</v>
      </c>
      <c r="L165" s="3">
        <v>26417000</v>
      </c>
      <c r="M165" s="3">
        <v>12172000</v>
      </c>
      <c r="N165" s="3">
        <v>14230000</v>
      </c>
      <c r="O165" s="3">
        <v>15000</v>
      </c>
      <c r="P165" s="3">
        <v>0</v>
      </c>
      <c r="Q165" s="3">
        <v>26417000</v>
      </c>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v>15392000</v>
      </c>
      <c r="AR165" s="3">
        <v>13514000</v>
      </c>
      <c r="AS165" s="3">
        <v>15000</v>
      </c>
      <c r="AT165" s="3">
        <v>8500000</v>
      </c>
      <c r="AU165" s="3">
        <v>37421000</v>
      </c>
      <c r="AV165" s="3">
        <v>15392000</v>
      </c>
      <c r="AW165" s="3">
        <v>13514000</v>
      </c>
      <c r="AX165" s="3">
        <v>15000</v>
      </c>
      <c r="AY165" s="3">
        <v>8500000</v>
      </c>
      <c r="AZ165" s="3">
        <v>37421000</v>
      </c>
      <c r="BA165" s="3"/>
      <c r="BB165" s="3"/>
      <c r="BC165" s="3"/>
      <c r="BD165" s="3"/>
      <c r="BE165" s="3"/>
      <c r="BF165" s="3"/>
      <c r="BG165" s="3"/>
      <c r="BH165" s="3"/>
      <c r="BI165" s="3"/>
      <c r="BJ165" s="3"/>
      <c r="BK165" s="3"/>
      <c r="BL165" s="3"/>
      <c r="BM165" s="3"/>
      <c r="BN165" s="3"/>
      <c r="BO165" s="3"/>
      <c r="BP165" s="3"/>
      <c r="BQ165" s="3"/>
      <c r="BR165" s="3"/>
      <c r="BS165" s="3"/>
      <c r="BU165" s="3"/>
      <c r="BV165" s="3"/>
      <c r="BW165" s="3"/>
      <c r="BX165" s="3"/>
      <c r="BZ165" s="3">
        <v>16827000</v>
      </c>
      <c r="CA165" s="3">
        <v>17316000</v>
      </c>
      <c r="CB165" s="3">
        <v>15000</v>
      </c>
      <c r="CC165" s="3">
        <v>21592000</v>
      </c>
      <c r="CD165" s="3">
        <v>55750000</v>
      </c>
      <c r="CE165" s="3">
        <v>16827000</v>
      </c>
      <c r="CF165" s="3">
        <v>14074000</v>
      </c>
      <c r="CG165" s="3">
        <v>0</v>
      </c>
      <c r="CH165" s="3">
        <v>0</v>
      </c>
      <c r="CI165" s="3">
        <v>30901000</v>
      </c>
      <c r="CJ165" s="3"/>
      <c r="CK165" s="3"/>
      <c r="CL165" s="3"/>
      <c r="CM165" s="3"/>
      <c r="CN165" s="3"/>
      <c r="CO165" s="3"/>
      <c r="CP165" s="3"/>
      <c r="CQ165" s="3"/>
      <c r="CR165" s="3"/>
      <c r="CS165" s="3"/>
      <c r="CT165" s="3"/>
      <c r="CU165" s="3"/>
      <c r="CV165" s="3"/>
      <c r="CW165" s="3"/>
      <c r="CX165" s="3"/>
      <c r="CY165" s="3"/>
      <c r="CZ165" s="3"/>
      <c r="DA165" s="3"/>
      <c r="DB165" s="3"/>
      <c r="DD165" s="3"/>
      <c r="DE165" s="3"/>
      <c r="DF165" s="3"/>
      <c r="DG165" s="3"/>
      <c r="DI165" s="3">
        <v>13858000</v>
      </c>
      <c r="DJ165" s="3">
        <v>13994000</v>
      </c>
      <c r="DK165" s="3">
        <v>15000</v>
      </c>
      <c r="DL165" s="3">
        <v>0</v>
      </c>
      <c r="DM165" s="3">
        <v>27867000</v>
      </c>
      <c r="DN165" s="3">
        <v>13858000</v>
      </c>
      <c r="DO165" s="3">
        <v>13994000</v>
      </c>
      <c r="DP165" s="3">
        <v>15000</v>
      </c>
      <c r="DQ165" s="3">
        <v>0</v>
      </c>
      <c r="DR165" s="3">
        <v>27867000</v>
      </c>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R165" s="3">
        <v>15668000</v>
      </c>
      <c r="ES165" s="3">
        <v>16730000</v>
      </c>
      <c r="ET165" s="3">
        <v>15000</v>
      </c>
      <c r="EU165" s="3">
        <v>4800000</v>
      </c>
      <c r="EV165" s="3">
        <v>37213000</v>
      </c>
      <c r="EW165" s="3">
        <v>15668000</v>
      </c>
      <c r="EX165" s="3">
        <v>16730000</v>
      </c>
      <c r="EY165" s="3">
        <v>15000</v>
      </c>
      <c r="EZ165" s="3">
        <v>4800000</v>
      </c>
      <c r="FA165" s="3">
        <v>37213000</v>
      </c>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v>14461000</v>
      </c>
      <c r="GB165" s="3">
        <v>15793000</v>
      </c>
      <c r="GC165" s="3">
        <v>0</v>
      </c>
      <c r="GD165" s="3">
        <v>0</v>
      </c>
      <c r="GE165" s="3">
        <v>30254000</v>
      </c>
      <c r="GF165" s="3">
        <v>14461000</v>
      </c>
      <c r="GG165" s="3">
        <v>15793000</v>
      </c>
      <c r="GH165" s="3">
        <v>0</v>
      </c>
      <c r="GI165" s="3">
        <v>0</v>
      </c>
      <c r="GJ165" s="3">
        <v>30254000</v>
      </c>
      <c r="GK165" s="3"/>
      <c r="GL165" s="3"/>
      <c r="GM165" s="3"/>
      <c r="GN165" s="3"/>
      <c r="GO165" s="3"/>
      <c r="GP165" s="3"/>
      <c r="GQ165" s="3"/>
      <c r="GR165" s="3"/>
      <c r="GS165" s="3"/>
      <c r="GU165" s="3"/>
      <c r="GV165" s="3"/>
      <c r="GW165" s="3"/>
      <c r="GX165" s="3"/>
      <c r="GY165" s="3"/>
      <c r="GZ165" s="3"/>
      <c r="HA165" s="3"/>
      <c r="HB165" s="3"/>
      <c r="HC165" s="3"/>
      <c r="HE165" s="3"/>
      <c r="HF165" s="3"/>
      <c r="HG165" s="3"/>
      <c r="HH165" s="3"/>
      <c r="HJ165" s="3">
        <v>16555000</v>
      </c>
      <c r="HK165" s="3">
        <v>15154000</v>
      </c>
      <c r="HL165" s="3">
        <v>0</v>
      </c>
      <c r="HM165" s="3">
        <v>0</v>
      </c>
      <c r="HN165" s="3">
        <v>31709000</v>
      </c>
      <c r="HO165" s="3">
        <v>16555000</v>
      </c>
      <c r="HP165" s="3">
        <v>15154000</v>
      </c>
      <c r="HQ165" s="3">
        <v>0</v>
      </c>
      <c r="HR165" s="3">
        <v>0</v>
      </c>
      <c r="HS165" s="3">
        <v>31709000</v>
      </c>
      <c r="HT165" s="3"/>
      <c r="HU165" s="3"/>
      <c r="HV165" s="3"/>
      <c r="HW165" s="3"/>
      <c r="HX165" s="3"/>
      <c r="HY165" s="3"/>
      <c r="HZ165" s="3"/>
      <c r="IA165" s="3"/>
      <c r="IB165" s="3"/>
      <c r="ID165" s="3"/>
      <c r="IE165" s="3"/>
      <c r="IF165" s="3"/>
      <c r="IG165" s="3"/>
      <c r="IS165" s="3">
        <v>14820000</v>
      </c>
      <c r="IT165" s="3">
        <v>15427000</v>
      </c>
      <c r="IU165" s="3">
        <v>0</v>
      </c>
      <c r="IV165" s="3">
        <v>8448000</v>
      </c>
      <c r="IW165" s="3">
        <v>38695000</v>
      </c>
      <c r="IX165" s="3">
        <v>14820000</v>
      </c>
      <c r="IY165" s="3">
        <v>15427000</v>
      </c>
      <c r="IZ165" s="3">
        <v>0</v>
      </c>
      <c r="JA165" s="3">
        <v>8448000</v>
      </c>
      <c r="JB165" s="3">
        <v>38695000</v>
      </c>
      <c r="JC165" s="3"/>
      <c r="JD165" s="3"/>
      <c r="JE165" s="3"/>
      <c r="JF165" s="3"/>
      <c r="JG165" s="3"/>
      <c r="JH165" s="3"/>
      <c r="JI165" s="3"/>
      <c r="JJ165" s="3"/>
      <c r="JK165" s="3"/>
      <c r="JL165" s="3"/>
      <c r="JM165" s="3"/>
      <c r="JN165" s="3"/>
      <c r="JO165" s="3"/>
      <c r="JP165" s="3"/>
      <c r="JQ165" s="3"/>
      <c r="JR165" s="3"/>
      <c r="JS165" s="3"/>
      <c r="JT165" s="3"/>
      <c r="JU165" s="3"/>
      <c r="JV165" s="3"/>
      <c r="JW165" s="3"/>
      <c r="JX165" s="3"/>
      <c r="JY165" s="3"/>
      <c r="JZ165" s="3"/>
      <c r="KA165" s="3"/>
      <c r="KB165" s="3">
        <v>20982000</v>
      </c>
      <c r="KC165" s="3">
        <v>15705000</v>
      </c>
      <c r="KD165" s="3">
        <v>0</v>
      </c>
      <c r="KE165" s="3">
        <v>9800000</v>
      </c>
      <c r="KF165" s="3">
        <v>46487000</v>
      </c>
      <c r="KG165" s="3">
        <v>20982000</v>
      </c>
      <c r="KH165" s="3">
        <v>15705000</v>
      </c>
      <c r="KI165" s="3">
        <v>0</v>
      </c>
      <c r="KJ165" s="3">
        <v>9800000</v>
      </c>
      <c r="KK165" s="3">
        <v>46487000</v>
      </c>
      <c r="KL165" s="3"/>
      <c r="KM165" s="3"/>
      <c r="KN165" s="3"/>
      <c r="KO165" s="3"/>
      <c r="KP165" s="3"/>
      <c r="KQ165" s="3"/>
      <c r="KR165" s="3"/>
      <c r="KS165" s="3"/>
      <c r="KT165" s="3"/>
      <c r="KU165" s="3"/>
      <c r="KV165" s="3"/>
      <c r="KW165" s="3"/>
      <c r="KX165" s="3"/>
      <c r="KY165" s="3"/>
      <c r="KZ165" s="3"/>
      <c r="LA165" s="3"/>
      <c r="LB165" s="3"/>
      <c r="LC165" s="3"/>
      <c r="LD165" s="3"/>
      <c r="LE165" s="3"/>
      <c r="LF165" s="3"/>
      <c r="LG165" s="3"/>
      <c r="LH165" s="3"/>
      <c r="LI165" s="3"/>
      <c r="LJ165" s="3"/>
      <c r="LK165" s="3">
        <v>18938000</v>
      </c>
      <c r="LL165" s="3">
        <v>27222000</v>
      </c>
      <c r="LM165">
        <v>0</v>
      </c>
      <c r="LN165">
        <v>0</v>
      </c>
      <c r="LO165" s="3">
        <v>46160000</v>
      </c>
    </row>
    <row r="166" spans="1:327" x14ac:dyDescent="0.25">
      <c r="A166" t="s">
        <v>943</v>
      </c>
      <c r="B166" t="s">
        <v>944</v>
      </c>
      <c r="C166" t="s">
        <v>998</v>
      </c>
      <c r="D166" t="s">
        <v>999</v>
      </c>
      <c r="E166" t="s">
        <v>201</v>
      </c>
      <c r="F166" t="s">
        <v>204</v>
      </c>
      <c r="G166" t="s">
        <v>205</v>
      </c>
      <c r="H166" s="3">
        <v>619000</v>
      </c>
      <c r="I166" s="3">
        <v>0</v>
      </c>
      <c r="J166" s="3">
        <v>0</v>
      </c>
      <c r="K166" s="3">
        <v>0</v>
      </c>
      <c r="L166" s="3">
        <v>619000</v>
      </c>
      <c r="M166" s="3">
        <v>619000</v>
      </c>
      <c r="N166" s="3">
        <v>0</v>
      </c>
      <c r="O166" s="3">
        <v>0</v>
      </c>
      <c r="P166" s="3">
        <v>0</v>
      </c>
      <c r="Q166" s="3">
        <v>619000</v>
      </c>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v>35000</v>
      </c>
      <c r="AR166" s="3">
        <v>0</v>
      </c>
      <c r="AS166" s="3">
        <v>0</v>
      </c>
      <c r="AT166" s="3">
        <v>0</v>
      </c>
      <c r="AU166" s="3">
        <v>35000</v>
      </c>
      <c r="AV166" s="3">
        <v>35000</v>
      </c>
      <c r="AW166" s="3">
        <v>0</v>
      </c>
      <c r="AX166" s="3">
        <v>0</v>
      </c>
      <c r="AY166" s="3">
        <v>0</v>
      </c>
      <c r="AZ166" s="3">
        <v>35000</v>
      </c>
      <c r="BA166" s="3"/>
      <c r="BB166" s="3"/>
      <c r="BC166" s="3"/>
      <c r="BD166" s="3"/>
      <c r="BE166" s="3"/>
      <c r="BF166" s="3"/>
      <c r="BG166" s="3"/>
      <c r="BH166" s="3"/>
      <c r="BI166" s="3"/>
      <c r="BJ166" s="3"/>
      <c r="BK166" s="3"/>
      <c r="BL166" s="3"/>
      <c r="BM166" s="3"/>
      <c r="BN166" s="3"/>
      <c r="BO166" s="3"/>
      <c r="BP166" s="3"/>
      <c r="BQ166" s="3"/>
      <c r="BR166" s="3"/>
      <c r="BS166" s="3"/>
      <c r="BU166" s="3"/>
      <c r="BV166" s="3"/>
      <c r="BW166" s="3"/>
      <c r="BX166" s="3"/>
      <c r="BZ166" s="3">
        <v>1992000</v>
      </c>
      <c r="CA166" s="3">
        <v>0</v>
      </c>
      <c r="CB166" s="3">
        <v>0</v>
      </c>
      <c r="CC166" s="3">
        <v>0</v>
      </c>
      <c r="CD166" s="3">
        <v>1992000</v>
      </c>
      <c r="CE166" s="3">
        <v>1992000</v>
      </c>
      <c r="CF166" s="3">
        <v>0</v>
      </c>
      <c r="CG166" s="3">
        <v>0</v>
      </c>
      <c r="CH166" s="3">
        <v>0</v>
      </c>
      <c r="CI166" s="3">
        <v>1992000</v>
      </c>
      <c r="CJ166" s="3"/>
      <c r="CK166" s="3"/>
      <c r="CL166" s="3"/>
      <c r="CM166" s="3"/>
      <c r="CN166" s="3"/>
      <c r="CO166" s="3"/>
      <c r="CP166" s="3"/>
      <c r="CQ166" s="3"/>
      <c r="CR166" s="3"/>
      <c r="CS166" s="3"/>
      <c r="CT166" s="3"/>
      <c r="CU166" s="3"/>
      <c r="CV166" s="3"/>
      <c r="CW166" s="3"/>
      <c r="CX166" s="3"/>
      <c r="CY166" s="3"/>
      <c r="CZ166" s="3"/>
      <c r="DA166" s="3"/>
      <c r="DB166" s="3"/>
      <c r="DD166" s="3"/>
      <c r="DE166" s="3"/>
      <c r="DF166" s="3"/>
      <c r="DG166" s="3"/>
      <c r="DI166" s="3">
        <v>2348000</v>
      </c>
      <c r="DJ166" s="3">
        <v>0</v>
      </c>
      <c r="DK166" s="3">
        <v>0</v>
      </c>
      <c r="DL166" s="3">
        <v>0</v>
      </c>
      <c r="DM166" s="3">
        <v>2348000</v>
      </c>
      <c r="DN166" s="3">
        <v>2348000</v>
      </c>
      <c r="DO166" s="3">
        <v>0</v>
      </c>
      <c r="DP166" s="3">
        <v>0</v>
      </c>
      <c r="DQ166" s="3">
        <v>0</v>
      </c>
      <c r="DR166" s="3">
        <v>2348000</v>
      </c>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R166" s="3">
        <v>1913000</v>
      </c>
      <c r="ES166" s="3">
        <v>0</v>
      </c>
      <c r="ET166" s="3">
        <v>0</v>
      </c>
      <c r="EU166" s="3">
        <v>0</v>
      </c>
      <c r="EV166" s="3">
        <v>1913000</v>
      </c>
      <c r="EW166" s="3">
        <v>1913000</v>
      </c>
      <c r="EX166" s="3">
        <v>0</v>
      </c>
      <c r="EY166" s="3">
        <v>0</v>
      </c>
      <c r="EZ166" s="3">
        <v>0</v>
      </c>
      <c r="FA166" s="3">
        <v>1913000</v>
      </c>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v>830000</v>
      </c>
      <c r="GB166" s="3">
        <v>0</v>
      </c>
      <c r="GC166" s="3">
        <v>0</v>
      </c>
      <c r="GD166" s="3">
        <v>0</v>
      </c>
      <c r="GE166" s="3">
        <v>830000</v>
      </c>
      <c r="GF166" s="3">
        <v>830000</v>
      </c>
      <c r="GG166" s="3">
        <v>0</v>
      </c>
      <c r="GH166" s="3">
        <v>0</v>
      </c>
      <c r="GI166" s="3">
        <v>0</v>
      </c>
      <c r="GJ166" s="3">
        <v>830000</v>
      </c>
      <c r="GK166" s="3"/>
      <c r="GL166" s="3"/>
      <c r="GM166" s="3"/>
      <c r="GN166" s="3"/>
      <c r="GO166" s="3"/>
      <c r="GP166" s="3"/>
      <c r="GQ166" s="3"/>
      <c r="GR166" s="3"/>
      <c r="GS166" s="3"/>
      <c r="GU166" s="3"/>
      <c r="GV166" s="3"/>
      <c r="GW166" s="3"/>
      <c r="GX166" s="3"/>
      <c r="GY166" s="3"/>
      <c r="GZ166" s="3"/>
      <c r="HA166" s="3"/>
      <c r="HB166" s="3"/>
      <c r="HC166" s="3"/>
      <c r="HE166" s="3"/>
      <c r="HF166" s="3"/>
      <c r="HG166" s="3"/>
      <c r="HH166" s="3"/>
      <c r="HJ166" s="3">
        <v>6373000</v>
      </c>
      <c r="HK166" s="3">
        <v>0</v>
      </c>
      <c r="HL166" s="3">
        <v>0</v>
      </c>
      <c r="HM166" s="3">
        <v>0</v>
      </c>
      <c r="HN166" s="3">
        <v>6373000</v>
      </c>
      <c r="HO166" s="3">
        <v>6373000</v>
      </c>
      <c r="HP166" s="3">
        <v>0</v>
      </c>
      <c r="HQ166" s="3">
        <v>0</v>
      </c>
      <c r="HR166" s="3">
        <v>0</v>
      </c>
      <c r="HS166" s="3">
        <v>6373000</v>
      </c>
      <c r="HT166" s="3"/>
      <c r="HU166" s="3"/>
      <c r="HV166" s="3"/>
      <c r="HW166" s="3"/>
      <c r="HX166" s="3"/>
      <c r="HY166" s="3"/>
      <c r="HZ166" s="3"/>
      <c r="IA166" s="3"/>
      <c r="IB166" s="3"/>
      <c r="ID166" s="3"/>
      <c r="IE166" s="3"/>
      <c r="IF166" s="3"/>
      <c r="IG166" s="3"/>
      <c r="IS166" s="3">
        <v>2699000</v>
      </c>
      <c r="IT166" s="3">
        <v>0</v>
      </c>
      <c r="IU166" s="3">
        <v>0</v>
      </c>
      <c r="IV166" s="3">
        <v>0</v>
      </c>
      <c r="IW166" s="3">
        <v>2699000</v>
      </c>
      <c r="IX166" s="3">
        <v>2699000</v>
      </c>
      <c r="IY166" s="3">
        <v>0</v>
      </c>
      <c r="IZ166" s="3">
        <v>0</v>
      </c>
      <c r="JA166" s="3">
        <v>0</v>
      </c>
      <c r="JB166" s="3">
        <v>2699000</v>
      </c>
      <c r="JC166" s="3"/>
      <c r="JD166" s="3"/>
      <c r="JE166" s="3"/>
      <c r="JF166" s="3"/>
      <c r="JG166" s="3"/>
      <c r="JH166" s="3"/>
      <c r="JI166" s="3"/>
      <c r="JJ166" s="3"/>
      <c r="JK166" s="3"/>
      <c r="JL166" s="3"/>
      <c r="JM166" s="3"/>
      <c r="JN166" s="3"/>
      <c r="JO166" s="3"/>
      <c r="JP166" s="3"/>
      <c r="JQ166" s="3"/>
      <c r="JR166" s="3"/>
      <c r="JS166" s="3"/>
      <c r="JT166" s="3"/>
      <c r="JU166" s="3"/>
      <c r="JV166" s="3"/>
      <c r="JW166" s="3"/>
      <c r="JX166" s="3"/>
      <c r="JY166" s="3"/>
      <c r="JZ166" s="3"/>
      <c r="KA166" s="3"/>
      <c r="KB166" s="3">
        <v>2242000</v>
      </c>
      <c r="KC166" s="3">
        <v>0</v>
      </c>
      <c r="KD166" s="3">
        <v>0</v>
      </c>
      <c r="KE166" s="3">
        <v>0</v>
      </c>
      <c r="KF166" s="3">
        <v>2242000</v>
      </c>
      <c r="KG166" s="3">
        <v>2242000</v>
      </c>
      <c r="KH166" s="3">
        <v>0</v>
      </c>
      <c r="KI166" s="3">
        <v>0</v>
      </c>
      <c r="KJ166" s="3">
        <v>0</v>
      </c>
      <c r="KK166" s="3">
        <v>2242000</v>
      </c>
      <c r="KL166" s="3"/>
      <c r="KM166" s="3"/>
      <c r="KN166" s="3"/>
      <c r="KO166" s="3"/>
      <c r="KP166" s="3"/>
      <c r="KQ166" s="3"/>
      <c r="KR166" s="3"/>
      <c r="KS166" s="3"/>
      <c r="KT166" s="3"/>
      <c r="KU166" s="3"/>
      <c r="KV166" s="3"/>
      <c r="KW166" s="3"/>
      <c r="KX166" s="3"/>
      <c r="KY166" s="3"/>
      <c r="KZ166" s="3"/>
      <c r="LA166" s="3"/>
      <c r="LB166" s="3"/>
      <c r="LC166" s="3"/>
      <c r="LD166" s="3"/>
      <c r="LE166" s="3"/>
      <c r="LF166" s="3"/>
      <c r="LG166" s="3"/>
      <c r="LH166" s="3"/>
      <c r="LI166" s="3"/>
      <c r="LJ166" s="3"/>
      <c r="LK166" s="3">
        <v>7193000</v>
      </c>
      <c r="LL166">
        <v>0</v>
      </c>
      <c r="LM166">
        <v>0</v>
      </c>
      <c r="LN166">
        <v>0</v>
      </c>
      <c r="LO166" s="3">
        <v>7193000</v>
      </c>
    </row>
    <row r="167" spans="1:327" x14ac:dyDescent="0.25">
      <c r="A167" t="s">
        <v>943</v>
      </c>
      <c r="B167" t="s">
        <v>944</v>
      </c>
      <c r="C167" t="s">
        <v>998</v>
      </c>
      <c r="D167" t="s">
        <v>999</v>
      </c>
      <c r="E167" t="s">
        <v>217</v>
      </c>
      <c r="F167" t="s">
        <v>218</v>
      </c>
      <c r="G167" t="s">
        <v>1091</v>
      </c>
      <c r="H167" s="3">
        <v>10078000</v>
      </c>
      <c r="I167" s="3">
        <v>47720000</v>
      </c>
      <c r="J167" s="3">
        <v>0</v>
      </c>
      <c r="K167" s="3">
        <v>0</v>
      </c>
      <c r="L167" s="3">
        <v>57798000</v>
      </c>
      <c r="M167" s="3">
        <v>10078000</v>
      </c>
      <c r="N167" s="3">
        <v>47720000</v>
      </c>
      <c r="O167" s="3">
        <v>0</v>
      </c>
      <c r="P167" s="3">
        <v>0</v>
      </c>
      <c r="Q167" s="3">
        <v>57798000</v>
      </c>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v>14590000</v>
      </c>
      <c r="AR167" s="3">
        <v>45317000</v>
      </c>
      <c r="AS167" s="3">
        <v>0</v>
      </c>
      <c r="AT167" s="3">
        <v>0</v>
      </c>
      <c r="AU167" s="3">
        <v>59907000</v>
      </c>
      <c r="AV167" s="3">
        <v>14590000</v>
      </c>
      <c r="AW167" s="3">
        <v>45317000</v>
      </c>
      <c r="AX167" s="3">
        <v>0</v>
      </c>
      <c r="AY167" s="3">
        <v>0</v>
      </c>
      <c r="AZ167" s="3">
        <v>59907000</v>
      </c>
      <c r="BA167" s="3"/>
      <c r="BB167" s="3"/>
      <c r="BC167" s="3"/>
      <c r="BD167" s="3"/>
      <c r="BE167" s="3"/>
      <c r="BF167" s="3"/>
      <c r="BG167" s="3"/>
      <c r="BH167" s="3"/>
      <c r="BI167" s="3"/>
      <c r="BJ167" s="3"/>
      <c r="BK167" s="3"/>
      <c r="BL167" s="3"/>
      <c r="BM167" s="3"/>
      <c r="BN167" s="3"/>
      <c r="BO167" s="3"/>
      <c r="BP167" s="3"/>
      <c r="BQ167" s="3"/>
      <c r="BR167" s="3"/>
      <c r="BS167" s="3"/>
      <c r="BU167" s="3"/>
      <c r="BV167" s="3"/>
      <c r="BW167" s="3"/>
      <c r="BX167" s="3"/>
      <c r="BZ167" s="3">
        <v>13082000</v>
      </c>
      <c r="CA167" s="3">
        <v>49683000</v>
      </c>
      <c r="CB167" s="3">
        <v>0</v>
      </c>
      <c r="CC167" s="3">
        <v>2768000</v>
      </c>
      <c r="CD167" s="3">
        <v>65533000</v>
      </c>
      <c r="CE167" s="3">
        <v>13082000</v>
      </c>
      <c r="CF167" s="3">
        <v>28642000</v>
      </c>
      <c r="CG167" s="3">
        <v>0</v>
      </c>
      <c r="CH167" s="3">
        <v>0</v>
      </c>
      <c r="CI167" s="3">
        <v>41724000</v>
      </c>
      <c r="CJ167" s="3"/>
      <c r="CK167" s="3"/>
      <c r="CL167" s="3"/>
      <c r="CM167" s="3"/>
      <c r="CN167" s="3"/>
      <c r="CO167" s="3"/>
      <c r="CP167" s="3"/>
      <c r="CQ167" s="3"/>
      <c r="CR167" s="3"/>
      <c r="CS167" s="3"/>
      <c r="CT167" s="3"/>
      <c r="CU167" s="3"/>
      <c r="CV167" s="3"/>
      <c r="CW167" s="3"/>
      <c r="CX167" s="3"/>
      <c r="CY167" s="3"/>
      <c r="CZ167" s="3"/>
      <c r="DA167" s="3"/>
      <c r="DB167" s="3"/>
      <c r="DD167" s="3"/>
      <c r="DE167" s="3"/>
      <c r="DF167" s="3"/>
      <c r="DG167" s="3"/>
      <c r="DI167" s="3">
        <v>13193000</v>
      </c>
      <c r="DJ167" s="3">
        <v>46973000</v>
      </c>
      <c r="DK167" s="3">
        <v>0</v>
      </c>
      <c r="DL167" s="3">
        <v>0</v>
      </c>
      <c r="DM167" s="3">
        <v>60166000</v>
      </c>
      <c r="DN167" s="3">
        <v>13193000</v>
      </c>
      <c r="DO167" s="3">
        <v>46973000</v>
      </c>
      <c r="DP167" s="3">
        <v>0</v>
      </c>
      <c r="DQ167" s="3">
        <v>0</v>
      </c>
      <c r="DR167" s="3">
        <v>60166000</v>
      </c>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R167" s="3">
        <v>12511000</v>
      </c>
      <c r="ES167" s="3">
        <v>46973000</v>
      </c>
      <c r="ET167" s="3">
        <v>0</v>
      </c>
      <c r="EU167" s="3">
        <v>0</v>
      </c>
      <c r="EV167" s="3">
        <v>59484000</v>
      </c>
      <c r="EW167" s="3">
        <v>12511000</v>
      </c>
      <c r="EX167" s="3">
        <v>46973000</v>
      </c>
      <c r="EY167" s="3">
        <v>0</v>
      </c>
      <c r="EZ167" s="3">
        <v>0</v>
      </c>
      <c r="FA167" s="3">
        <v>59484000</v>
      </c>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v>10590000</v>
      </c>
      <c r="GB167" s="3">
        <v>51149000</v>
      </c>
      <c r="GC167" s="3">
        <v>0</v>
      </c>
      <c r="GD167" s="3">
        <v>987000</v>
      </c>
      <c r="GE167" s="3">
        <v>62726000</v>
      </c>
      <c r="GF167" s="3">
        <v>10590000</v>
      </c>
      <c r="GG167" s="3">
        <v>51149000</v>
      </c>
      <c r="GH167" s="3">
        <v>0</v>
      </c>
      <c r="GI167" s="3">
        <v>987000</v>
      </c>
      <c r="GJ167" s="3">
        <v>62726000</v>
      </c>
      <c r="GK167" s="3"/>
      <c r="GL167" s="3"/>
      <c r="GM167" s="3"/>
      <c r="GN167" s="3"/>
      <c r="GO167" s="3"/>
      <c r="GP167" s="3"/>
      <c r="GQ167" s="3"/>
      <c r="GR167" s="3"/>
      <c r="GS167" s="3"/>
      <c r="GU167" s="3"/>
      <c r="GV167" s="3"/>
      <c r="GW167" s="3"/>
      <c r="GX167" s="3"/>
      <c r="GY167" s="3"/>
      <c r="GZ167" s="3"/>
      <c r="HA167" s="3"/>
      <c r="HB167" s="3"/>
      <c r="HC167" s="3"/>
      <c r="HE167" s="3"/>
      <c r="HF167" s="3"/>
      <c r="HG167" s="3"/>
      <c r="HH167" s="3"/>
      <c r="HJ167" s="3">
        <v>13094000</v>
      </c>
      <c r="HK167" s="3">
        <v>51150000</v>
      </c>
      <c r="HL167" s="3">
        <v>0</v>
      </c>
      <c r="HM167" s="3">
        <v>0</v>
      </c>
      <c r="HN167" s="3">
        <v>64244000</v>
      </c>
      <c r="HO167" s="3">
        <v>13094000</v>
      </c>
      <c r="HP167" s="3">
        <v>51150000</v>
      </c>
      <c r="HQ167" s="3">
        <v>0</v>
      </c>
      <c r="HR167" s="3">
        <v>0</v>
      </c>
      <c r="HS167" s="3">
        <v>64244000</v>
      </c>
      <c r="HT167" s="3"/>
      <c r="HU167" s="3"/>
      <c r="HV167" s="3"/>
      <c r="HW167" s="3"/>
      <c r="HX167" s="3"/>
      <c r="HY167" s="3"/>
      <c r="HZ167" s="3"/>
      <c r="IA167" s="3"/>
      <c r="IB167" s="3"/>
      <c r="ID167" s="3"/>
      <c r="IE167" s="3"/>
      <c r="IF167" s="3"/>
      <c r="IG167" s="3"/>
      <c r="IS167" s="3">
        <v>15213000</v>
      </c>
      <c r="IT167" s="3">
        <v>50959000</v>
      </c>
      <c r="IU167" s="3">
        <v>0</v>
      </c>
      <c r="IV167" s="3">
        <v>0</v>
      </c>
      <c r="IW167" s="3">
        <v>66172000</v>
      </c>
      <c r="IX167" s="3">
        <v>15213000</v>
      </c>
      <c r="IY167" s="3">
        <v>50959000</v>
      </c>
      <c r="IZ167" s="3">
        <v>0</v>
      </c>
      <c r="JA167" s="3">
        <v>0</v>
      </c>
      <c r="JB167" s="3">
        <v>66172000</v>
      </c>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v>18567000</v>
      </c>
      <c r="KC167" s="3">
        <v>53007000</v>
      </c>
      <c r="KD167" s="3">
        <v>0</v>
      </c>
      <c r="KE167" s="3">
        <v>0</v>
      </c>
      <c r="KF167" s="3">
        <v>71574000</v>
      </c>
      <c r="KG167" s="3">
        <v>18567000</v>
      </c>
      <c r="KH167" s="3">
        <v>53007000</v>
      </c>
      <c r="KI167" s="3">
        <v>0</v>
      </c>
      <c r="KJ167" s="3">
        <v>0</v>
      </c>
      <c r="KK167" s="3">
        <v>71574000</v>
      </c>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v>19314000</v>
      </c>
      <c r="LL167" s="3">
        <v>67331000</v>
      </c>
      <c r="LM167">
        <v>0</v>
      </c>
      <c r="LN167">
        <v>0</v>
      </c>
      <c r="LO167" s="3">
        <v>86645000</v>
      </c>
    </row>
    <row r="168" spans="1:327" x14ac:dyDescent="0.25">
      <c r="A168" t="s">
        <v>943</v>
      </c>
      <c r="B168" t="s">
        <v>944</v>
      </c>
      <c r="C168" t="s">
        <v>998</v>
      </c>
      <c r="D168" t="s">
        <v>999</v>
      </c>
      <c r="E168" t="s">
        <v>217</v>
      </c>
      <c r="F168" t="s">
        <v>220</v>
      </c>
      <c r="G168" t="s">
        <v>1092</v>
      </c>
      <c r="H168" s="3">
        <v>7320000</v>
      </c>
      <c r="I168" s="3">
        <v>38262000</v>
      </c>
      <c r="J168" s="3">
        <v>0</v>
      </c>
      <c r="K168" s="3">
        <v>0</v>
      </c>
      <c r="L168" s="3">
        <v>45582000</v>
      </c>
      <c r="M168" s="3">
        <v>7320000</v>
      </c>
      <c r="N168" s="3">
        <v>38262000</v>
      </c>
      <c r="O168" s="3">
        <v>0</v>
      </c>
      <c r="P168" s="3">
        <v>0</v>
      </c>
      <c r="Q168" s="3">
        <v>45582000</v>
      </c>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v>11494000</v>
      </c>
      <c r="AR168" s="3">
        <v>36335000</v>
      </c>
      <c r="AS168" s="3">
        <v>0</v>
      </c>
      <c r="AT168" s="3">
        <v>8397000</v>
      </c>
      <c r="AU168" s="3">
        <v>56226000</v>
      </c>
      <c r="AV168" s="3">
        <v>11494000</v>
      </c>
      <c r="AW168" s="3">
        <v>36335000</v>
      </c>
      <c r="AX168" s="3">
        <v>0</v>
      </c>
      <c r="AY168" s="3">
        <v>8397000</v>
      </c>
      <c r="AZ168" s="3">
        <v>56226000</v>
      </c>
      <c r="BA168" s="3"/>
      <c r="BB168" s="3"/>
      <c r="BC168" s="3"/>
      <c r="BD168" s="3"/>
      <c r="BE168" s="3"/>
      <c r="BF168" s="3"/>
      <c r="BG168" s="3"/>
      <c r="BH168" s="3"/>
      <c r="BI168" s="3"/>
      <c r="BJ168" s="3"/>
      <c r="BK168" s="3"/>
      <c r="BL168" s="3"/>
      <c r="BM168" s="3"/>
      <c r="BN168" s="3"/>
      <c r="BO168" s="3"/>
      <c r="BP168" s="3"/>
      <c r="BQ168" s="3"/>
      <c r="BR168" s="3"/>
      <c r="BS168" s="3"/>
      <c r="BU168" s="3"/>
      <c r="BV168" s="3"/>
      <c r="BW168" s="3"/>
      <c r="BX168" s="3"/>
      <c r="BZ168" s="3">
        <v>15277000</v>
      </c>
      <c r="CA168" s="3">
        <v>38157000</v>
      </c>
      <c r="CB168" s="3">
        <v>0</v>
      </c>
      <c r="CC168" s="3">
        <v>518000</v>
      </c>
      <c r="CD168" s="3">
        <v>53952000</v>
      </c>
      <c r="CE168" s="3">
        <v>15277000</v>
      </c>
      <c r="CF168" s="3">
        <v>22337000</v>
      </c>
      <c r="CG168" s="3">
        <v>0</v>
      </c>
      <c r="CH168" s="3">
        <v>0</v>
      </c>
      <c r="CI168" s="3">
        <v>37614000</v>
      </c>
      <c r="CJ168" s="3"/>
      <c r="CK168" s="3"/>
      <c r="CL168" s="3"/>
      <c r="CM168" s="3"/>
      <c r="CN168" s="3"/>
      <c r="CO168" s="3"/>
      <c r="CP168" s="3"/>
      <c r="CQ168" s="3"/>
      <c r="CR168" s="3"/>
      <c r="CS168" s="3"/>
      <c r="CT168" s="3"/>
      <c r="CU168" s="3"/>
      <c r="CV168" s="3"/>
      <c r="CW168" s="3"/>
      <c r="CX168" s="3"/>
      <c r="CY168" s="3"/>
      <c r="CZ168" s="3"/>
      <c r="DA168" s="3"/>
      <c r="DB168" s="3"/>
      <c r="DD168" s="3"/>
      <c r="DE168" s="3"/>
      <c r="DF168" s="3"/>
      <c r="DG168" s="3"/>
      <c r="DI168" s="3">
        <v>16019000</v>
      </c>
      <c r="DJ168" s="3">
        <v>42217000</v>
      </c>
      <c r="DK168" s="3">
        <v>0</v>
      </c>
      <c r="DL168" s="3">
        <v>20316000</v>
      </c>
      <c r="DM168" s="3">
        <v>78552000</v>
      </c>
      <c r="DN168" s="3">
        <v>16019000</v>
      </c>
      <c r="DO168" s="3">
        <v>42217000</v>
      </c>
      <c r="DP168" s="3">
        <v>0</v>
      </c>
      <c r="DQ168" s="3">
        <v>20316000</v>
      </c>
      <c r="DR168" s="3">
        <v>78552000</v>
      </c>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R168" s="3">
        <v>15764000</v>
      </c>
      <c r="ES168" s="3">
        <v>37656000</v>
      </c>
      <c r="ET168" s="3">
        <v>0</v>
      </c>
      <c r="EU168" s="3">
        <v>0</v>
      </c>
      <c r="EV168" s="3">
        <v>53420000</v>
      </c>
      <c r="EW168" s="3">
        <v>15764000</v>
      </c>
      <c r="EX168" s="3">
        <v>37656000</v>
      </c>
      <c r="EY168" s="3">
        <v>0</v>
      </c>
      <c r="EZ168" s="3">
        <v>0</v>
      </c>
      <c r="FA168" s="3">
        <v>53420000</v>
      </c>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v>12753000</v>
      </c>
      <c r="GB168" s="3">
        <v>38294000</v>
      </c>
      <c r="GC168" s="3">
        <v>0</v>
      </c>
      <c r="GD168" s="3">
        <v>0</v>
      </c>
      <c r="GE168" s="3">
        <v>51047000</v>
      </c>
      <c r="GF168" s="3">
        <v>12753000</v>
      </c>
      <c r="GG168" s="3">
        <v>38294000</v>
      </c>
      <c r="GH168" s="3">
        <v>0</v>
      </c>
      <c r="GI168" s="3">
        <v>0</v>
      </c>
      <c r="GJ168" s="3">
        <v>51047000</v>
      </c>
      <c r="GK168" s="3"/>
      <c r="GL168" s="3"/>
      <c r="GM168" s="3"/>
      <c r="GN168" s="3"/>
      <c r="GO168" s="3"/>
      <c r="GP168" s="3"/>
      <c r="GQ168" s="3"/>
      <c r="GR168" s="3"/>
      <c r="GS168" s="3"/>
      <c r="GU168" s="3"/>
      <c r="GV168" s="3"/>
      <c r="GW168" s="3"/>
      <c r="GX168" s="3"/>
      <c r="GY168" s="3"/>
      <c r="GZ168" s="3"/>
      <c r="HA168" s="3"/>
      <c r="HB168" s="3"/>
      <c r="HC168" s="3"/>
      <c r="HE168" s="3"/>
      <c r="HF168" s="3"/>
      <c r="HG168" s="3"/>
      <c r="HH168" s="3"/>
      <c r="HJ168" s="3">
        <v>15192000</v>
      </c>
      <c r="HK168" s="3">
        <v>38490000</v>
      </c>
      <c r="HL168" s="3">
        <v>0</v>
      </c>
      <c r="HM168" s="3">
        <v>5669000</v>
      </c>
      <c r="HN168" s="3">
        <v>59351000</v>
      </c>
      <c r="HO168" s="3">
        <v>15192000</v>
      </c>
      <c r="HP168" s="3">
        <v>38490000</v>
      </c>
      <c r="HQ168" s="3">
        <v>0</v>
      </c>
      <c r="HR168" s="3">
        <v>5669000</v>
      </c>
      <c r="HS168" s="3">
        <v>59351000</v>
      </c>
      <c r="HT168" s="3"/>
      <c r="HU168" s="3"/>
      <c r="HV168" s="3"/>
      <c r="HW168" s="3"/>
      <c r="HX168" s="3"/>
      <c r="HY168" s="3"/>
      <c r="HZ168" s="3"/>
      <c r="IA168" s="3"/>
      <c r="IB168" s="3"/>
      <c r="ID168" s="3"/>
      <c r="IE168" s="3"/>
      <c r="IF168" s="3"/>
      <c r="IG168" s="3"/>
      <c r="IS168" s="3">
        <v>16035000</v>
      </c>
      <c r="IT168" s="3">
        <v>39210000</v>
      </c>
      <c r="IU168" s="3">
        <v>0</v>
      </c>
      <c r="IV168" s="3">
        <v>840000</v>
      </c>
      <c r="IW168" s="3">
        <v>56085000</v>
      </c>
      <c r="IX168" s="3">
        <v>16035000</v>
      </c>
      <c r="IY168" s="3">
        <v>39210000</v>
      </c>
      <c r="IZ168" s="3">
        <v>0</v>
      </c>
      <c r="JA168" s="3">
        <v>840000</v>
      </c>
      <c r="JB168" s="3">
        <v>56085000</v>
      </c>
      <c r="JC168" s="3"/>
      <c r="JD168" s="3"/>
      <c r="JE168" s="3"/>
      <c r="JF168" s="3"/>
      <c r="JG168" s="3"/>
      <c r="JH168" s="3"/>
      <c r="JI168" s="3"/>
      <c r="JJ168" s="3"/>
      <c r="JK168" s="3"/>
      <c r="JL168" s="3"/>
      <c r="JM168" s="3"/>
      <c r="JN168" s="3"/>
      <c r="JO168" s="3"/>
      <c r="JP168" s="3"/>
      <c r="JQ168" s="3"/>
      <c r="JR168" s="3"/>
      <c r="JS168" s="3"/>
      <c r="JT168" s="3"/>
      <c r="JU168" s="3"/>
      <c r="JV168" s="3"/>
      <c r="JW168" s="3"/>
      <c r="JX168" s="3"/>
      <c r="JY168" s="3"/>
      <c r="JZ168" s="3"/>
      <c r="KA168" s="3"/>
      <c r="KB168" s="3">
        <v>19110000</v>
      </c>
      <c r="KC168" s="3">
        <v>50043000</v>
      </c>
      <c r="KD168" s="3">
        <v>0</v>
      </c>
      <c r="KE168" s="3">
        <v>0</v>
      </c>
      <c r="KF168" s="3">
        <v>69153000</v>
      </c>
      <c r="KG168" s="3">
        <v>19110000</v>
      </c>
      <c r="KH168" s="3">
        <v>50043000</v>
      </c>
      <c r="KI168" s="3">
        <v>0</v>
      </c>
      <c r="KJ168" s="3">
        <v>0</v>
      </c>
      <c r="KK168" s="3">
        <v>69153000</v>
      </c>
      <c r="KL168" s="3"/>
      <c r="KM168" s="3"/>
      <c r="KN168" s="3"/>
      <c r="KO168" s="3"/>
      <c r="KP168" s="3"/>
      <c r="KQ168" s="3"/>
      <c r="KR168" s="3"/>
      <c r="KS168" s="3"/>
      <c r="KT168" s="3"/>
      <c r="KU168" s="3"/>
      <c r="KV168" s="3"/>
      <c r="KW168" s="3"/>
      <c r="KX168" s="3"/>
      <c r="KY168" s="3"/>
      <c r="KZ168" s="3"/>
      <c r="LA168" s="3"/>
      <c r="LB168" s="3"/>
      <c r="LC168" s="3"/>
      <c r="LD168" s="3"/>
      <c r="LE168" s="3"/>
      <c r="LF168" s="3"/>
      <c r="LG168" s="3"/>
      <c r="LH168" s="3"/>
      <c r="LI168" s="3"/>
      <c r="LJ168" s="3"/>
      <c r="LK168" s="3">
        <v>19892000</v>
      </c>
      <c r="LL168" s="3">
        <v>70523000</v>
      </c>
      <c r="LM168">
        <v>0</v>
      </c>
      <c r="LN168">
        <v>0</v>
      </c>
      <c r="LO168" s="3">
        <v>90415000</v>
      </c>
    </row>
    <row r="169" spans="1:327" x14ac:dyDescent="0.25">
      <c r="A169" t="s">
        <v>943</v>
      </c>
      <c r="B169" t="s">
        <v>944</v>
      </c>
      <c r="C169" t="s">
        <v>998</v>
      </c>
      <c r="D169" t="s">
        <v>999</v>
      </c>
      <c r="E169" t="s">
        <v>217</v>
      </c>
      <c r="F169" t="s">
        <v>222</v>
      </c>
      <c r="G169" t="s">
        <v>1093</v>
      </c>
      <c r="H169" s="3">
        <v>8955000</v>
      </c>
      <c r="I169" s="3">
        <v>40172000</v>
      </c>
      <c r="J169" s="3">
        <v>0</v>
      </c>
      <c r="K169" s="3">
        <v>0</v>
      </c>
      <c r="L169" s="3">
        <v>49127000</v>
      </c>
      <c r="M169" s="3">
        <v>8955000</v>
      </c>
      <c r="N169" s="3">
        <v>40172000</v>
      </c>
      <c r="O169" s="3">
        <v>0</v>
      </c>
      <c r="P169" s="3">
        <v>0</v>
      </c>
      <c r="Q169" s="3">
        <v>49127000</v>
      </c>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v>10429000</v>
      </c>
      <c r="AR169" s="3">
        <v>38149000</v>
      </c>
      <c r="AS169" s="3">
        <v>0</v>
      </c>
      <c r="AT169" s="3">
        <v>0</v>
      </c>
      <c r="AU169" s="3">
        <v>48578000</v>
      </c>
      <c r="AV169" s="3">
        <v>10429000</v>
      </c>
      <c r="AW169" s="3">
        <v>38149000</v>
      </c>
      <c r="AX169" s="3">
        <v>0</v>
      </c>
      <c r="AY169" s="3">
        <v>0</v>
      </c>
      <c r="AZ169" s="3">
        <v>48578000</v>
      </c>
      <c r="BA169" s="3"/>
      <c r="BB169" s="3"/>
      <c r="BC169" s="3"/>
      <c r="BD169" s="3"/>
      <c r="BE169" s="3"/>
      <c r="BF169" s="3"/>
      <c r="BG169" s="3"/>
      <c r="BH169" s="3"/>
      <c r="BI169" s="3"/>
      <c r="BJ169" s="3"/>
      <c r="BK169" s="3"/>
      <c r="BL169" s="3"/>
      <c r="BM169" s="3"/>
      <c r="BN169" s="3"/>
      <c r="BO169" s="3"/>
      <c r="BP169" s="3"/>
      <c r="BQ169" s="3"/>
      <c r="BR169" s="3"/>
      <c r="BS169" s="3"/>
      <c r="BU169" s="3"/>
      <c r="BV169" s="3"/>
      <c r="BW169" s="3"/>
      <c r="BX169" s="3"/>
      <c r="BZ169" s="3">
        <v>13287000</v>
      </c>
      <c r="CA169" s="3">
        <v>42943000</v>
      </c>
      <c r="CB169" s="3">
        <v>0</v>
      </c>
      <c r="CC169" s="3">
        <v>518000</v>
      </c>
      <c r="CD169" s="3">
        <v>56748000</v>
      </c>
      <c r="CE169" s="3">
        <v>13287000</v>
      </c>
      <c r="CF169" s="3">
        <v>34481000</v>
      </c>
      <c r="CG169" s="3">
        <v>0</v>
      </c>
      <c r="CH169" s="3">
        <v>0</v>
      </c>
      <c r="CI169" s="3">
        <v>47768000</v>
      </c>
      <c r="CJ169" s="3"/>
      <c r="CK169" s="3"/>
      <c r="CL169" s="3"/>
      <c r="CM169" s="3"/>
      <c r="CN169" s="3"/>
      <c r="CO169" s="3"/>
      <c r="CP169" s="3"/>
      <c r="CQ169" s="3"/>
      <c r="CR169" s="3"/>
      <c r="CS169" s="3"/>
      <c r="CT169" s="3"/>
      <c r="CU169" s="3"/>
      <c r="CV169" s="3"/>
      <c r="CW169" s="3"/>
      <c r="CX169" s="3"/>
      <c r="CY169" s="3"/>
      <c r="CZ169" s="3"/>
      <c r="DA169" s="3"/>
      <c r="DB169" s="3"/>
      <c r="DD169" s="3"/>
      <c r="DE169" s="3"/>
      <c r="DF169" s="3"/>
      <c r="DG169" s="3"/>
      <c r="DI169" s="3">
        <v>14495000</v>
      </c>
      <c r="DJ169" s="3">
        <v>39536000</v>
      </c>
      <c r="DK169" s="3">
        <v>0</v>
      </c>
      <c r="DL169" s="3">
        <v>0</v>
      </c>
      <c r="DM169" s="3">
        <v>54031000</v>
      </c>
      <c r="DN169" s="3">
        <v>14495000</v>
      </c>
      <c r="DO169" s="3">
        <v>39536000</v>
      </c>
      <c r="DP169" s="3">
        <v>0</v>
      </c>
      <c r="DQ169" s="3">
        <v>0</v>
      </c>
      <c r="DR169" s="3">
        <v>54031000</v>
      </c>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R169" s="3">
        <v>11544000</v>
      </c>
      <c r="ES169" s="3">
        <v>39536000</v>
      </c>
      <c r="ET169" s="3">
        <v>0</v>
      </c>
      <c r="EU169" s="3">
        <v>0</v>
      </c>
      <c r="EV169" s="3">
        <v>51080000</v>
      </c>
      <c r="EW169" s="3">
        <v>11544000</v>
      </c>
      <c r="EX169" s="3">
        <v>39536000</v>
      </c>
      <c r="EY169" s="3">
        <v>0</v>
      </c>
      <c r="EZ169" s="3">
        <v>0</v>
      </c>
      <c r="FA169" s="3">
        <v>51080000</v>
      </c>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v>12746000</v>
      </c>
      <c r="GB169" s="3">
        <v>35015000</v>
      </c>
      <c r="GC169" s="3">
        <v>0</v>
      </c>
      <c r="GD169" s="3">
        <v>0</v>
      </c>
      <c r="GE169" s="3">
        <v>47761000</v>
      </c>
      <c r="GF169" s="3">
        <v>12746000</v>
      </c>
      <c r="GG169" s="3">
        <v>35015000</v>
      </c>
      <c r="GH169" s="3">
        <v>0</v>
      </c>
      <c r="GI169" s="3">
        <v>0</v>
      </c>
      <c r="GJ169" s="3">
        <v>47761000</v>
      </c>
      <c r="GK169" s="3"/>
      <c r="GL169" s="3"/>
      <c r="GM169" s="3"/>
      <c r="GN169" s="3"/>
      <c r="GO169" s="3"/>
      <c r="GP169" s="3"/>
      <c r="GQ169" s="3"/>
      <c r="GR169" s="3"/>
      <c r="GS169" s="3"/>
      <c r="GU169" s="3"/>
      <c r="GV169" s="3"/>
      <c r="GW169" s="3"/>
      <c r="GX169" s="3"/>
      <c r="GY169" s="3"/>
      <c r="GZ169" s="3"/>
      <c r="HA169" s="3"/>
      <c r="HB169" s="3"/>
      <c r="HC169" s="3"/>
      <c r="HE169" s="3"/>
      <c r="HF169" s="3"/>
      <c r="HG169" s="3"/>
      <c r="HH169" s="3"/>
      <c r="HJ169" s="3">
        <v>11563000</v>
      </c>
      <c r="HK169" s="3">
        <v>35645000</v>
      </c>
      <c r="HL169" s="3">
        <v>0</v>
      </c>
      <c r="HM169" s="3">
        <v>0</v>
      </c>
      <c r="HN169" s="3">
        <v>47208000</v>
      </c>
      <c r="HO169" s="3">
        <v>11563000</v>
      </c>
      <c r="HP169" s="3">
        <v>35645000</v>
      </c>
      <c r="HQ169" s="3">
        <v>0</v>
      </c>
      <c r="HR169" s="3">
        <v>0</v>
      </c>
      <c r="HS169" s="3">
        <v>47208000</v>
      </c>
      <c r="HT169" s="3"/>
      <c r="HU169" s="3"/>
      <c r="HV169" s="3"/>
      <c r="HW169" s="3"/>
      <c r="HX169" s="3"/>
      <c r="HY169" s="3"/>
      <c r="HZ169" s="3"/>
      <c r="IA169" s="3"/>
      <c r="IB169" s="3"/>
      <c r="ID169" s="3"/>
      <c r="IE169" s="3"/>
      <c r="IF169" s="3"/>
      <c r="IG169" s="3"/>
      <c r="IS169" s="3">
        <v>11776000</v>
      </c>
      <c r="IT169" s="3">
        <v>30520000</v>
      </c>
      <c r="IU169" s="3">
        <v>0</v>
      </c>
      <c r="IV169" s="3">
        <v>0</v>
      </c>
      <c r="IW169" s="3">
        <v>42296000</v>
      </c>
      <c r="IX169" s="3">
        <v>11776000</v>
      </c>
      <c r="IY169" s="3">
        <v>30520000</v>
      </c>
      <c r="IZ169" s="3">
        <v>0</v>
      </c>
      <c r="JA169" s="3">
        <v>0</v>
      </c>
      <c r="JB169" s="3">
        <v>42296000</v>
      </c>
      <c r="JC169" s="3"/>
      <c r="JD169" s="3"/>
      <c r="JE169" s="3"/>
      <c r="JF169" s="3"/>
      <c r="JG169" s="3"/>
      <c r="JH169" s="3"/>
      <c r="JI169" s="3"/>
      <c r="JJ169" s="3"/>
      <c r="JK169" s="3"/>
      <c r="JL169" s="3"/>
      <c r="JM169" s="3"/>
      <c r="JN169" s="3"/>
      <c r="JO169" s="3"/>
      <c r="JP169" s="3"/>
      <c r="JQ169" s="3"/>
      <c r="JR169" s="3"/>
      <c r="JS169" s="3"/>
      <c r="JT169" s="3"/>
      <c r="JU169" s="3"/>
      <c r="JV169" s="3"/>
      <c r="JW169" s="3"/>
      <c r="JX169" s="3"/>
      <c r="JY169" s="3"/>
      <c r="JZ169" s="3"/>
      <c r="KA169" s="3"/>
      <c r="KB169" s="3">
        <v>13022000</v>
      </c>
      <c r="KC169" s="3">
        <v>36940000</v>
      </c>
      <c r="KD169" s="3">
        <v>0</v>
      </c>
      <c r="KE169" s="3">
        <v>0</v>
      </c>
      <c r="KF169" s="3">
        <v>49962000</v>
      </c>
      <c r="KG169" s="3">
        <v>13022000</v>
      </c>
      <c r="KH169" s="3">
        <v>36940000</v>
      </c>
      <c r="KI169" s="3">
        <v>0</v>
      </c>
      <c r="KJ169" s="3">
        <v>0</v>
      </c>
      <c r="KK169" s="3">
        <v>49962000</v>
      </c>
      <c r="KL169" s="3"/>
      <c r="KM169" s="3"/>
      <c r="KN169" s="3"/>
      <c r="KO169" s="3"/>
      <c r="KP169" s="3"/>
      <c r="KQ169" s="3"/>
      <c r="KR169" s="3"/>
      <c r="KS169" s="3"/>
      <c r="KT169" s="3"/>
      <c r="KU169" s="3"/>
      <c r="KV169" s="3"/>
      <c r="KW169" s="3"/>
      <c r="KX169" s="3"/>
      <c r="KY169" s="3"/>
      <c r="KZ169" s="3"/>
      <c r="LA169" s="3"/>
      <c r="LB169" s="3"/>
      <c r="LC169" s="3"/>
      <c r="LD169" s="3"/>
      <c r="LE169" s="3"/>
      <c r="LF169" s="3"/>
      <c r="LG169" s="3"/>
      <c r="LH169" s="3"/>
      <c r="LI169" s="3"/>
      <c r="LJ169" s="3"/>
      <c r="LK169" s="3">
        <v>14041000</v>
      </c>
      <c r="LL169" s="3">
        <v>70069000</v>
      </c>
      <c r="LM169">
        <v>0</v>
      </c>
      <c r="LN169">
        <v>0</v>
      </c>
      <c r="LO169" s="3">
        <v>84110000</v>
      </c>
    </row>
    <row r="170" spans="1:327" x14ac:dyDescent="0.25">
      <c r="A170" t="s">
        <v>943</v>
      </c>
      <c r="B170" t="s">
        <v>944</v>
      </c>
      <c r="C170" t="s">
        <v>998</v>
      </c>
      <c r="D170" t="s">
        <v>999</v>
      </c>
      <c r="E170" t="s">
        <v>217</v>
      </c>
      <c r="F170" t="s">
        <v>688</v>
      </c>
      <c r="G170" t="s">
        <v>1094</v>
      </c>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U170" s="3"/>
      <c r="BV170" s="3"/>
      <c r="BW170" s="3"/>
      <c r="BX170" s="3"/>
      <c r="BZ170" s="3">
        <v>0</v>
      </c>
      <c r="CA170" s="3">
        <v>0</v>
      </c>
      <c r="CB170" s="3">
        <v>0</v>
      </c>
      <c r="CC170" s="3">
        <v>0</v>
      </c>
      <c r="CD170" s="3">
        <v>0</v>
      </c>
      <c r="CE170" s="3">
        <v>0</v>
      </c>
      <c r="CF170" s="3">
        <v>0</v>
      </c>
      <c r="CG170" s="3">
        <v>0</v>
      </c>
      <c r="CH170" s="3">
        <v>0</v>
      </c>
      <c r="CI170" s="3">
        <v>0</v>
      </c>
      <c r="CJ170" s="3"/>
      <c r="CK170" s="3"/>
      <c r="CL170" s="3"/>
      <c r="CM170" s="3"/>
      <c r="CN170" s="3"/>
      <c r="CO170" s="3"/>
      <c r="CP170" s="3"/>
      <c r="CQ170" s="3"/>
      <c r="CR170" s="3"/>
      <c r="CS170" s="3"/>
      <c r="CT170" s="3"/>
      <c r="CU170" s="3"/>
      <c r="CV170" s="3"/>
      <c r="CW170" s="3"/>
      <c r="CX170" s="3"/>
      <c r="CY170" s="3"/>
      <c r="CZ170" s="3"/>
      <c r="DA170" s="3"/>
      <c r="DB170" s="3"/>
      <c r="DD170" s="3"/>
      <c r="DE170" s="3"/>
      <c r="DF170" s="3"/>
      <c r="DG170" s="3"/>
      <c r="DI170" s="3">
        <v>0</v>
      </c>
      <c r="DJ170" s="3">
        <v>0</v>
      </c>
      <c r="DK170" s="3">
        <v>0</v>
      </c>
      <c r="DL170" s="3">
        <v>0</v>
      </c>
      <c r="DM170" s="3">
        <v>0</v>
      </c>
      <c r="DN170" s="3">
        <v>0</v>
      </c>
      <c r="DO170" s="3">
        <v>0</v>
      </c>
      <c r="DP170" s="3">
        <v>0</v>
      </c>
      <c r="DQ170" s="3">
        <v>0</v>
      </c>
      <c r="DR170" s="3">
        <v>0</v>
      </c>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v>0</v>
      </c>
      <c r="GB170" s="3">
        <v>22086000</v>
      </c>
      <c r="GC170" s="3">
        <v>0</v>
      </c>
      <c r="GD170" s="3">
        <v>0</v>
      </c>
      <c r="GE170" s="3">
        <v>22086000</v>
      </c>
      <c r="GF170" s="3">
        <v>0</v>
      </c>
      <c r="GG170" s="3">
        <v>0</v>
      </c>
      <c r="GH170" s="3">
        <v>0</v>
      </c>
      <c r="GI170" s="3">
        <v>0</v>
      </c>
      <c r="GJ170" s="3">
        <v>0</v>
      </c>
      <c r="GK170" s="3"/>
      <c r="GL170" s="3"/>
      <c r="GM170" s="3"/>
      <c r="GN170" s="3"/>
      <c r="GO170" s="3"/>
      <c r="GP170" s="3"/>
      <c r="GQ170" s="3"/>
      <c r="GR170" s="3"/>
      <c r="GS170" s="3"/>
      <c r="GU170" s="3"/>
      <c r="GV170" s="3"/>
      <c r="GW170" s="3"/>
      <c r="GX170" s="3"/>
      <c r="GY170" s="3"/>
      <c r="GZ170" s="3"/>
      <c r="HA170" s="3"/>
      <c r="HB170" s="3"/>
      <c r="HC170" s="3"/>
      <c r="HE170" s="3"/>
      <c r="HF170" s="3"/>
      <c r="HG170" s="3"/>
      <c r="HH170" s="3"/>
      <c r="HJ170" s="3">
        <v>0</v>
      </c>
      <c r="HK170" s="3">
        <v>9986000</v>
      </c>
      <c r="HL170" s="3">
        <v>0</v>
      </c>
      <c r="HM170" s="3">
        <v>0</v>
      </c>
      <c r="HN170" s="3">
        <v>9986000</v>
      </c>
      <c r="HO170" s="3">
        <v>0</v>
      </c>
      <c r="HP170" s="3">
        <v>0</v>
      </c>
      <c r="HQ170" s="3">
        <v>0</v>
      </c>
      <c r="HR170" s="3">
        <v>0</v>
      </c>
      <c r="HS170" s="3">
        <v>0</v>
      </c>
      <c r="HT170" s="3"/>
      <c r="HU170" s="3"/>
      <c r="HV170" s="3"/>
      <c r="HW170" s="3"/>
      <c r="HX170" s="3"/>
      <c r="HY170" s="3"/>
      <c r="HZ170" s="3"/>
      <c r="IA170" s="3"/>
      <c r="IB170" s="3"/>
      <c r="ID170" s="3"/>
      <c r="IE170" s="3"/>
      <c r="IF170" s="3"/>
      <c r="IG170" s="3"/>
      <c r="IS170" s="3">
        <v>0</v>
      </c>
      <c r="IT170" s="3">
        <v>9986000</v>
      </c>
      <c r="IU170" s="3">
        <v>0</v>
      </c>
      <c r="IV170" s="3">
        <v>0</v>
      </c>
      <c r="IW170" s="3">
        <v>9986000</v>
      </c>
      <c r="IX170" s="3">
        <v>0</v>
      </c>
      <c r="IY170" s="3">
        <v>9986000</v>
      </c>
      <c r="IZ170" s="3">
        <v>0</v>
      </c>
      <c r="JA170" s="3">
        <v>0</v>
      </c>
      <c r="JB170" s="3">
        <v>9986000</v>
      </c>
      <c r="JC170" s="3"/>
      <c r="JD170" s="3"/>
      <c r="JE170" s="3"/>
      <c r="JF170" s="3"/>
      <c r="JG170" s="3"/>
      <c r="JH170" s="3"/>
      <c r="JI170" s="3"/>
      <c r="JJ170" s="3"/>
      <c r="JK170" s="3"/>
      <c r="JL170" s="3"/>
      <c r="JM170" s="3"/>
      <c r="JN170" s="3"/>
      <c r="JO170" s="3"/>
      <c r="JP170" s="3"/>
      <c r="JQ170" s="3"/>
      <c r="JR170" s="3"/>
      <c r="JS170" s="3"/>
      <c r="JT170" s="3"/>
      <c r="JU170" s="3"/>
      <c r="JV170" s="3"/>
      <c r="JW170" s="3"/>
      <c r="JX170" s="3"/>
      <c r="JY170" s="3"/>
      <c r="JZ170" s="3"/>
      <c r="KA170" s="3"/>
      <c r="KB170" s="3">
        <v>0</v>
      </c>
      <c r="KC170" s="3">
        <v>24986000</v>
      </c>
      <c r="KD170" s="3">
        <v>0</v>
      </c>
      <c r="KE170" s="3">
        <v>0</v>
      </c>
      <c r="KF170" s="3">
        <v>24986000</v>
      </c>
      <c r="KG170" s="3">
        <v>0</v>
      </c>
      <c r="KH170" s="3">
        <v>24986000</v>
      </c>
      <c r="KI170" s="3">
        <v>0</v>
      </c>
      <c r="KJ170" s="3">
        <v>0</v>
      </c>
      <c r="KK170" s="3">
        <v>24986000</v>
      </c>
      <c r="KL170" s="3"/>
      <c r="KM170" s="3"/>
      <c r="KN170" s="3"/>
      <c r="KO170" s="3"/>
      <c r="KP170" s="3"/>
      <c r="KQ170" s="3"/>
      <c r="KR170" s="3"/>
      <c r="KS170" s="3"/>
      <c r="KT170" s="3"/>
      <c r="KU170" s="3"/>
      <c r="KV170" s="3"/>
      <c r="KW170" s="3"/>
      <c r="KX170" s="3"/>
      <c r="KY170" s="3"/>
      <c r="KZ170" s="3"/>
      <c r="LA170" s="3"/>
      <c r="LB170" s="3"/>
      <c r="LC170" s="3"/>
      <c r="LD170" s="3"/>
      <c r="LE170" s="3"/>
      <c r="LF170" s="3"/>
      <c r="LG170" s="3"/>
      <c r="LH170" s="3"/>
      <c r="LI170" s="3"/>
      <c r="LJ170" s="3"/>
    </row>
    <row r="171" spans="1:327" x14ac:dyDescent="0.25">
      <c r="A171" t="s">
        <v>943</v>
      </c>
      <c r="B171" t="s">
        <v>944</v>
      </c>
      <c r="C171" t="s">
        <v>998</v>
      </c>
      <c r="D171" t="s">
        <v>999</v>
      </c>
      <c r="E171" t="s">
        <v>217</v>
      </c>
      <c r="F171" t="s">
        <v>689</v>
      </c>
      <c r="G171" t="s">
        <v>1148</v>
      </c>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U171" s="3"/>
      <c r="BV171" s="3"/>
      <c r="BW171" s="3"/>
      <c r="BX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D171" s="3"/>
      <c r="DE171" s="3"/>
      <c r="DF171" s="3"/>
      <c r="DG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R171" s="3">
        <v>0</v>
      </c>
      <c r="ES171" s="3">
        <v>22086000</v>
      </c>
      <c r="ET171" s="3">
        <v>0</v>
      </c>
      <c r="EU171" s="3">
        <v>0</v>
      </c>
      <c r="EV171" s="3">
        <v>22086000</v>
      </c>
      <c r="EW171" s="3">
        <v>0</v>
      </c>
      <c r="EX171" s="3">
        <v>0</v>
      </c>
      <c r="EY171" s="3">
        <v>0</v>
      </c>
      <c r="EZ171" s="3">
        <v>0</v>
      </c>
      <c r="FA171" s="3">
        <v>0</v>
      </c>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c r="GE171" s="3"/>
      <c r="GF171" s="3"/>
      <c r="GG171" s="3"/>
      <c r="GH171" s="3"/>
      <c r="GI171" s="3"/>
      <c r="GJ171" s="3"/>
      <c r="GK171" s="3"/>
      <c r="GL171" s="3"/>
      <c r="GM171" s="3"/>
      <c r="GN171" s="3"/>
      <c r="GO171" s="3"/>
      <c r="GP171" s="3"/>
      <c r="GQ171" s="3"/>
      <c r="GR171" s="3"/>
      <c r="GS171" s="3"/>
      <c r="GU171" s="3"/>
      <c r="GV171" s="3"/>
      <c r="GW171" s="3"/>
      <c r="GX171" s="3"/>
      <c r="GY171" s="3"/>
      <c r="GZ171" s="3"/>
      <c r="HA171" s="3"/>
      <c r="HB171" s="3"/>
      <c r="HC171" s="3"/>
      <c r="HE171" s="3"/>
      <c r="HF171" s="3"/>
      <c r="HG171" s="3"/>
      <c r="HH171" s="3"/>
      <c r="HJ171" s="3"/>
      <c r="HK171" s="3"/>
      <c r="HL171" s="3"/>
      <c r="HM171" s="3"/>
      <c r="HN171" s="3"/>
      <c r="HO171" s="3"/>
      <c r="HP171" s="3"/>
      <c r="HQ171" s="3"/>
      <c r="HR171" s="3"/>
      <c r="HS171" s="3"/>
      <c r="HT171" s="3"/>
      <c r="HU171" s="3"/>
      <c r="HV171" s="3"/>
      <c r="HW171" s="3"/>
      <c r="HX171" s="3"/>
      <c r="HY171" s="3"/>
      <c r="HZ171" s="3"/>
      <c r="IA171" s="3"/>
      <c r="IB171" s="3"/>
      <c r="ID171" s="3"/>
      <c r="IE171" s="3"/>
      <c r="IF171" s="3"/>
      <c r="IG171" s="3"/>
      <c r="IS171" s="3"/>
      <c r="IT171" s="3"/>
      <c r="IU171" s="3"/>
      <c r="IV171" s="3"/>
      <c r="IW171" s="3"/>
      <c r="IX171" s="3"/>
      <c r="IY171" s="3"/>
      <c r="IZ171" s="3"/>
      <c r="JA171" s="3"/>
      <c r="JB171" s="3"/>
      <c r="JC171" s="3"/>
      <c r="JD171" s="3"/>
      <c r="JE171" s="3"/>
      <c r="JF171" s="3"/>
      <c r="JG171" s="3"/>
      <c r="JH171" s="3"/>
      <c r="JI171" s="3"/>
      <c r="JJ171" s="3"/>
      <c r="JK171" s="3"/>
      <c r="JL171" s="3"/>
      <c r="JM171" s="3"/>
      <c r="JN171" s="3"/>
      <c r="JO171" s="3"/>
      <c r="JP171" s="3"/>
      <c r="JQ171" s="3"/>
      <c r="JR171" s="3"/>
      <c r="JS171" s="3"/>
      <c r="JT171" s="3"/>
      <c r="JU171" s="3"/>
      <c r="JV171" s="3"/>
      <c r="JW171" s="3"/>
      <c r="JX171" s="3"/>
      <c r="JY171" s="3"/>
      <c r="JZ171" s="3"/>
      <c r="KA171" s="3"/>
      <c r="KB171" s="3"/>
      <c r="KC171" s="3"/>
      <c r="KD171" s="3"/>
      <c r="KE171" s="3"/>
      <c r="KF171" s="3"/>
      <c r="KG171" s="3"/>
      <c r="KH171" s="3"/>
      <c r="KI171" s="3"/>
      <c r="KJ171" s="3"/>
      <c r="KK171" s="3"/>
      <c r="KL171" s="3"/>
      <c r="KM171" s="3"/>
      <c r="KN171" s="3"/>
      <c r="KO171" s="3"/>
      <c r="KP171" s="3"/>
      <c r="KQ171" s="3"/>
      <c r="KR171" s="3"/>
      <c r="KS171" s="3"/>
      <c r="KT171" s="3"/>
      <c r="KU171" s="3"/>
      <c r="KV171" s="3"/>
      <c r="KW171" s="3"/>
      <c r="KX171" s="3"/>
      <c r="KY171" s="3"/>
      <c r="KZ171" s="3"/>
      <c r="LA171" s="3"/>
      <c r="LB171" s="3"/>
      <c r="LC171" s="3"/>
      <c r="LD171" s="3"/>
      <c r="LE171" s="3"/>
      <c r="LF171" s="3"/>
      <c r="LG171" s="3"/>
      <c r="LH171" s="3"/>
      <c r="LI171" s="3"/>
      <c r="LJ171" s="3"/>
    </row>
    <row r="172" spans="1:327" x14ac:dyDescent="0.25">
      <c r="A172" t="s">
        <v>943</v>
      </c>
      <c r="B172" t="s">
        <v>944</v>
      </c>
      <c r="C172" t="s">
        <v>1000</v>
      </c>
      <c r="D172" t="s">
        <v>1001</v>
      </c>
      <c r="E172" t="s">
        <v>201</v>
      </c>
      <c r="F172" t="s">
        <v>202</v>
      </c>
      <c r="G172" t="s">
        <v>203</v>
      </c>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U172" s="3"/>
      <c r="BV172" s="3"/>
      <c r="BW172" s="3"/>
      <c r="BX172" s="3"/>
      <c r="BZ172" s="3">
        <v>560000</v>
      </c>
      <c r="CA172" s="3">
        <v>39873000</v>
      </c>
      <c r="CB172" s="3">
        <v>0</v>
      </c>
      <c r="CC172" s="3">
        <v>4100000</v>
      </c>
      <c r="CD172" s="3">
        <v>44533000</v>
      </c>
      <c r="CE172" s="3">
        <v>560000</v>
      </c>
      <c r="CF172" s="3">
        <v>39873000</v>
      </c>
      <c r="CG172" s="3">
        <v>0</v>
      </c>
      <c r="CH172" s="3">
        <v>4100000</v>
      </c>
      <c r="CI172" s="3">
        <v>44533000</v>
      </c>
      <c r="CJ172" s="3"/>
      <c r="CK172" s="3"/>
      <c r="CL172" s="3"/>
      <c r="CM172" s="3"/>
      <c r="CN172" s="3"/>
      <c r="CO172" s="3"/>
      <c r="CP172" s="3"/>
      <c r="CQ172" s="3"/>
      <c r="CR172" s="3"/>
      <c r="CS172" s="3"/>
      <c r="CT172" s="3"/>
      <c r="CU172" s="3"/>
      <c r="CV172" s="3"/>
      <c r="CW172" s="3"/>
      <c r="CX172" s="3"/>
      <c r="CY172" s="3"/>
      <c r="CZ172" s="3"/>
      <c r="DA172" s="3"/>
      <c r="DB172" s="3"/>
      <c r="DD172" s="3"/>
      <c r="DE172" s="3"/>
      <c r="DF172" s="3"/>
      <c r="DG172" s="3"/>
      <c r="DI172" s="3">
        <v>565000</v>
      </c>
      <c r="DJ172" s="3">
        <v>40444000</v>
      </c>
      <c r="DK172" s="3">
        <v>0</v>
      </c>
      <c r="DL172" s="3">
        <v>0</v>
      </c>
      <c r="DM172" s="3">
        <v>41009000</v>
      </c>
      <c r="DN172" s="3">
        <v>565000</v>
      </c>
      <c r="DO172" s="3">
        <v>40444000</v>
      </c>
      <c r="DP172" s="3">
        <v>0</v>
      </c>
      <c r="DQ172" s="3">
        <v>0</v>
      </c>
      <c r="DR172" s="3">
        <v>41009000</v>
      </c>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R172" s="3">
        <v>4502000</v>
      </c>
      <c r="ES172" s="3">
        <v>40444000</v>
      </c>
      <c r="ET172" s="3">
        <v>0</v>
      </c>
      <c r="EU172" s="3">
        <v>6850000</v>
      </c>
      <c r="EV172" s="3">
        <v>51796000</v>
      </c>
      <c r="EW172" s="3">
        <v>4502000</v>
      </c>
      <c r="EX172" s="3">
        <v>40444000</v>
      </c>
      <c r="EY172" s="3">
        <v>0</v>
      </c>
      <c r="EZ172" s="3">
        <v>6850000</v>
      </c>
      <c r="FA172" s="3">
        <v>51796000</v>
      </c>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v>8649000</v>
      </c>
      <c r="GB172" s="3">
        <v>41913000</v>
      </c>
      <c r="GC172" s="3">
        <v>0</v>
      </c>
      <c r="GD172" s="3">
        <v>32072000</v>
      </c>
      <c r="GE172" s="3">
        <v>82634000</v>
      </c>
      <c r="GF172" s="3">
        <v>8649000</v>
      </c>
      <c r="GG172" s="3">
        <v>41913000</v>
      </c>
      <c r="GH172" s="3">
        <v>0</v>
      </c>
      <c r="GI172" s="3">
        <v>32072000</v>
      </c>
      <c r="GJ172" s="3">
        <v>82634000</v>
      </c>
      <c r="GK172" s="3"/>
      <c r="GL172" s="3"/>
      <c r="GM172" s="3"/>
      <c r="GN172" s="3"/>
      <c r="GO172" s="3"/>
      <c r="GP172" s="3"/>
      <c r="GQ172" s="3"/>
      <c r="GR172" s="3"/>
      <c r="GS172" s="3"/>
      <c r="GU172" s="3"/>
      <c r="GV172" s="3"/>
      <c r="GW172" s="3"/>
      <c r="GX172" s="3"/>
      <c r="GY172" s="3"/>
      <c r="GZ172" s="3"/>
      <c r="HA172" s="3"/>
      <c r="HB172" s="3"/>
      <c r="HC172" s="3"/>
      <c r="HE172" s="3"/>
      <c r="HF172" s="3"/>
      <c r="HG172" s="3"/>
      <c r="HH172" s="3"/>
      <c r="HJ172" s="3">
        <v>8649000</v>
      </c>
      <c r="HK172" s="3">
        <v>55540000</v>
      </c>
      <c r="HL172" s="3">
        <v>0</v>
      </c>
      <c r="HM172" s="3">
        <v>16884000</v>
      </c>
      <c r="HN172" s="3">
        <v>81073000</v>
      </c>
      <c r="HO172" s="3">
        <v>8649000</v>
      </c>
      <c r="HP172" s="3">
        <v>55540000</v>
      </c>
      <c r="HQ172" s="3">
        <v>0</v>
      </c>
      <c r="HR172" s="3">
        <v>16884000</v>
      </c>
      <c r="HS172" s="3">
        <v>81073000</v>
      </c>
      <c r="HT172" s="3"/>
      <c r="HU172" s="3"/>
      <c r="HV172" s="3"/>
      <c r="HW172" s="3"/>
      <c r="HX172" s="3"/>
      <c r="HY172" s="3"/>
      <c r="HZ172" s="3"/>
      <c r="IA172" s="3"/>
      <c r="IB172" s="3"/>
      <c r="ID172" s="3"/>
      <c r="IE172" s="3"/>
      <c r="IF172" s="3"/>
      <c r="IG172" s="3"/>
      <c r="IS172" s="3">
        <v>8017000</v>
      </c>
      <c r="IT172" s="3">
        <v>51266000</v>
      </c>
      <c r="IU172" s="3">
        <v>0</v>
      </c>
      <c r="IV172" s="3">
        <v>115400000</v>
      </c>
      <c r="IW172" s="3">
        <v>174683000</v>
      </c>
      <c r="IX172" s="3">
        <v>8017000</v>
      </c>
      <c r="IY172" s="3">
        <v>51266000</v>
      </c>
      <c r="IZ172" s="3">
        <v>0</v>
      </c>
      <c r="JA172" s="3">
        <v>115400000</v>
      </c>
      <c r="JB172" s="3">
        <v>174683000</v>
      </c>
      <c r="JC172" s="3"/>
      <c r="JD172" s="3"/>
      <c r="JE172" s="3"/>
      <c r="JF172" s="3"/>
      <c r="JG172" s="3"/>
      <c r="JH172" s="3"/>
      <c r="JI172" s="3"/>
      <c r="JJ172" s="3"/>
      <c r="JK172" s="3"/>
      <c r="JL172" s="3"/>
      <c r="JM172" s="3"/>
      <c r="JN172" s="3"/>
      <c r="JO172" s="3"/>
      <c r="JP172" s="3"/>
      <c r="JQ172" s="3"/>
      <c r="JR172" s="3"/>
      <c r="JS172" s="3"/>
      <c r="JT172" s="3"/>
      <c r="JU172" s="3"/>
      <c r="JV172" s="3"/>
      <c r="JW172" s="3"/>
      <c r="JX172" s="3"/>
      <c r="JY172" s="3"/>
      <c r="JZ172" s="3"/>
      <c r="KA172" s="3"/>
      <c r="KB172" s="3">
        <v>9885000</v>
      </c>
      <c r="KC172" s="3">
        <v>52283000</v>
      </c>
      <c r="KD172" s="3">
        <v>0</v>
      </c>
      <c r="KE172" s="3">
        <v>172200000</v>
      </c>
      <c r="KF172" s="3">
        <v>234368000</v>
      </c>
      <c r="KG172" s="3">
        <v>9885000</v>
      </c>
      <c r="KH172" s="3">
        <v>52283000</v>
      </c>
      <c r="KI172" s="3">
        <v>0</v>
      </c>
      <c r="KJ172" s="3">
        <v>172200000</v>
      </c>
      <c r="KK172" s="3">
        <v>234368000</v>
      </c>
      <c r="KL172" s="3"/>
      <c r="KM172" s="3"/>
      <c r="KN172" s="3"/>
      <c r="KO172" s="3"/>
      <c r="KP172" s="3"/>
      <c r="KQ172" s="3"/>
      <c r="KR172" s="3"/>
      <c r="KS172" s="3"/>
      <c r="KT172" s="3"/>
      <c r="KU172" s="3"/>
      <c r="KV172" s="3"/>
      <c r="KW172" s="3"/>
      <c r="KX172" s="3"/>
      <c r="KY172" s="3"/>
      <c r="KZ172" s="3"/>
      <c r="LA172" s="3"/>
      <c r="LB172" s="3"/>
      <c r="LC172" s="3"/>
      <c r="LD172" s="3"/>
      <c r="LE172" s="3"/>
      <c r="LF172" s="3"/>
      <c r="LG172" s="3"/>
      <c r="LH172" s="3"/>
      <c r="LI172" s="3"/>
      <c r="LJ172" s="3"/>
      <c r="LK172" s="3">
        <v>10722000</v>
      </c>
      <c r="LL172" s="3">
        <v>58637000</v>
      </c>
      <c r="LM172">
        <v>0</v>
      </c>
      <c r="LN172" s="3">
        <v>161423000</v>
      </c>
      <c r="LO172" s="3">
        <v>230782000</v>
      </c>
    </row>
    <row r="173" spans="1:327" x14ac:dyDescent="0.25">
      <c r="A173" t="s">
        <v>943</v>
      </c>
      <c r="B173" t="s">
        <v>944</v>
      </c>
      <c r="C173" t="s">
        <v>1000</v>
      </c>
      <c r="D173" t="s">
        <v>1001</v>
      </c>
      <c r="E173" t="s">
        <v>201</v>
      </c>
      <c r="F173" t="s">
        <v>204</v>
      </c>
      <c r="G173" t="s">
        <v>205</v>
      </c>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U173" s="3"/>
      <c r="BV173" s="3"/>
      <c r="BW173" s="3"/>
      <c r="BX173" s="3"/>
      <c r="BZ173" s="3">
        <v>2003000</v>
      </c>
      <c r="CA173" s="3">
        <v>0</v>
      </c>
      <c r="CB173" s="3">
        <v>0</v>
      </c>
      <c r="CC173" s="3">
        <v>0</v>
      </c>
      <c r="CD173" s="3">
        <v>2003000</v>
      </c>
      <c r="CE173" s="3">
        <v>2003000</v>
      </c>
      <c r="CF173" s="3">
        <v>0</v>
      </c>
      <c r="CG173" s="3">
        <v>0</v>
      </c>
      <c r="CH173" s="3">
        <v>0</v>
      </c>
      <c r="CI173" s="3">
        <v>2003000</v>
      </c>
      <c r="CJ173" s="3"/>
      <c r="CK173" s="3"/>
      <c r="CL173" s="3"/>
      <c r="CM173" s="3"/>
      <c r="CN173" s="3"/>
      <c r="CO173" s="3"/>
      <c r="CP173" s="3"/>
      <c r="CQ173" s="3"/>
      <c r="CR173" s="3"/>
      <c r="CS173" s="3"/>
      <c r="CT173" s="3"/>
      <c r="CU173" s="3"/>
      <c r="CV173" s="3"/>
      <c r="CW173" s="3"/>
      <c r="CX173" s="3"/>
      <c r="CY173" s="3"/>
      <c r="CZ173" s="3"/>
      <c r="DA173" s="3"/>
      <c r="DB173" s="3"/>
      <c r="DD173" s="3"/>
      <c r="DE173" s="3"/>
      <c r="DF173" s="3"/>
      <c r="DG173" s="3"/>
      <c r="DI173" s="3">
        <v>916000</v>
      </c>
      <c r="DJ173" s="3">
        <v>0</v>
      </c>
      <c r="DK173" s="3">
        <v>0</v>
      </c>
      <c r="DL173" s="3">
        <v>0</v>
      </c>
      <c r="DM173" s="3">
        <v>916000</v>
      </c>
      <c r="DN173" s="3">
        <v>916000</v>
      </c>
      <c r="DO173" s="3">
        <v>0</v>
      </c>
      <c r="DP173" s="3">
        <v>0</v>
      </c>
      <c r="DQ173" s="3">
        <v>0</v>
      </c>
      <c r="DR173" s="3">
        <v>916000</v>
      </c>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R173" s="3">
        <v>0</v>
      </c>
      <c r="ES173" s="3">
        <v>0</v>
      </c>
      <c r="ET173" s="3">
        <v>0</v>
      </c>
      <c r="EU173" s="3">
        <v>0</v>
      </c>
      <c r="EV173" s="3">
        <v>0</v>
      </c>
      <c r="EW173" s="3">
        <v>0</v>
      </c>
      <c r="EX173" s="3">
        <v>0</v>
      </c>
      <c r="EY173" s="3">
        <v>0</v>
      </c>
      <c r="EZ173" s="3">
        <v>0</v>
      </c>
      <c r="FA173" s="3">
        <v>0</v>
      </c>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v>3874000</v>
      </c>
      <c r="GB173" s="3">
        <v>0</v>
      </c>
      <c r="GC173" s="3">
        <v>0</v>
      </c>
      <c r="GD173" s="3">
        <v>0</v>
      </c>
      <c r="GE173" s="3">
        <v>3874000</v>
      </c>
      <c r="GF173" s="3">
        <v>3874000</v>
      </c>
      <c r="GG173" s="3">
        <v>0</v>
      </c>
      <c r="GH173" s="3">
        <v>0</v>
      </c>
      <c r="GI173" s="3">
        <v>0</v>
      </c>
      <c r="GJ173" s="3">
        <v>3874000</v>
      </c>
      <c r="GK173" s="3"/>
      <c r="GL173" s="3"/>
      <c r="GM173" s="3"/>
      <c r="GN173" s="3"/>
      <c r="GO173" s="3"/>
      <c r="GP173" s="3"/>
      <c r="GQ173" s="3"/>
      <c r="GR173" s="3"/>
      <c r="GS173" s="3"/>
      <c r="GU173" s="3"/>
      <c r="GV173" s="3"/>
      <c r="GW173" s="3"/>
      <c r="GX173" s="3"/>
      <c r="GY173" s="3"/>
      <c r="GZ173" s="3"/>
      <c r="HA173" s="3"/>
      <c r="HB173" s="3"/>
      <c r="HC173" s="3"/>
      <c r="HE173" s="3"/>
      <c r="HF173" s="3"/>
      <c r="HG173" s="3"/>
      <c r="HH173" s="3"/>
      <c r="HJ173" s="3">
        <v>0</v>
      </c>
      <c r="HK173" s="3">
        <v>0</v>
      </c>
      <c r="HL173" s="3">
        <v>0</v>
      </c>
      <c r="HM173" s="3">
        <v>0</v>
      </c>
      <c r="HN173" s="3">
        <v>0</v>
      </c>
      <c r="HO173" s="3">
        <v>0</v>
      </c>
      <c r="HP173" s="3">
        <v>0</v>
      </c>
      <c r="HQ173" s="3">
        <v>0</v>
      </c>
      <c r="HR173" s="3">
        <v>0</v>
      </c>
      <c r="HS173" s="3">
        <v>0</v>
      </c>
      <c r="HT173" s="3"/>
      <c r="HU173" s="3"/>
      <c r="HV173" s="3"/>
      <c r="HW173" s="3"/>
      <c r="HX173" s="3"/>
      <c r="HY173" s="3"/>
      <c r="HZ173" s="3"/>
      <c r="IA173" s="3"/>
      <c r="IB173" s="3"/>
      <c r="ID173" s="3"/>
      <c r="IE173" s="3"/>
      <c r="IF173" s="3"/>
      <c r="IG173" s="3"/>
      <c r="IS173" s="3">
        <v>8186000</v>
      </c>
      <c r="IT173" s="3">
        <v>0</v>
      </c>
      <c r="IU173" s="3">
        <v>0</v>
      </c>
      <c r="IV173" s="3">
        <v>0</v>
      </c>
      <c r="IW173" s="3">
        <v>8186000</v>
      </c>
      <c r="IX173" s="3">
        <v>8186000</v>
      </c>
      <c r="IY173" s="3">
        <v>0</v>
      </c>
      <c r="IZ173" s="3">
        <v>0</v>
      </c>
      <c r="JA173" s="3">
        <v>0</v>
      </c>
      <c r="JB173" s="3">
        <v>8186000</v>
      </c>
      <c r="JC173" s="3"/>
      <c r="JD173" s="3"/>
      <c r="JE173" s="3"/>
      <c r="JF173" s="3"/>
      <c r="JG173" s="3"/>
      <c r="JH173" s="3"/>
      <c r="JI173" s="3"/>
      <c r="JJ173" s="3"/>
      <c r="JK173" s="3"/>
      <c r="JL173" s="3"/>
      <c r="JM173" s="3"/>
      <c r="JN173" s="3"/>
      <c r="JO173" s="3"/>
      <c r="JP173" s="3"/>
      <c r="JQ173" s="3"/>
      <c r="JR173" s="3"/>
      <c r="JS173" s="3"/>
      <c r="JT173" s="3"/>
      <c r="JU173" s="3"/>
      <c r="JV173" s="3"/>
      <c r="JW173" s="3"/>
      <c r="JX173" s="3"/>
      <c r="JY173" s="3"/>
      <c r="JZ173" s="3"/>
      <c r="KA173" s="3"/>
      <c r="KB173" s="3">
        <v>824000</v>
      </c>
      <c r="KC173" s="3">
        <v>0</v>
      </c>
      <c r="KD173" s="3">
        <v>0</v>
      </c>
      <c r="KE173" s="3">
        <v>0</v>
      </c>
      <c r="KF173" s="3">
        <v>824000</v>
      </c>
      <c r="KG173" s="3">
        <v>824000</v>
      </c>
      <c r="KH173" s="3">
        <v>0</v>
      </c>
      <c r="KI173" s="3">
        <v>0</v>
      </c>
      <c r="KJ173" s="3">
        <v>0</v>
      </c>
      <c r="KK173" s="3">
        <v>824000</v>
      </c>
      <c r="KL173" s="3"/>
      <c r="KM173" s="3"/>
      <c r="KN173" s="3"/>
      <c r="KO173" s="3"/>
      <c r="KP173" s="3"/>
      <c r="KQ173" s="3"/>
      <c r="KR173" s="3"/>
      <c r="KS173" s="3"/>
      <c r="KT173" s="3"/>
      <c r="KU173" s="3"/>
      <c r="KV173" s="3"/>
      <c r="KW173" s="3"/>
      <c r="KX173" s="3"/>
      <c r="KY173" s="3"/>
      <c r="KZ173" s="3"/>
      <c r="LA173" s="3"/>
      <c r="LB173" s="3"/>
      <c r="LC173" s="3"/>
      <c r="LD173" s="3"/>
      <c r="LE173" s="3"/>
      <c r="LF173" s="3"/>
      <c r="LG173" s="3"/>
      <c r="LH173" s="3"/>
      <c r="LI173" s="3"/>
      <c r="LJ173" s="3"/>
      <c r="LK173" s="3">
        <v>619000</v>
      </c>
      <c r="LL173">
        <v>0</v>
      </c>
      <c r="LM173">
        <v>0</v>
      </c>
      <c r="LN173">
        <v>0</v>
      </c>
      <c r="LO173" s="3">
        <v>619000</v>
      </c>
    </row>
    <row r="174" spans="1:327" x14ac:dyDescent="0.25">
      <c r="A174" t="s">
        <v>943</v>
      </c>
      <c r="B174" t="s">
        <v>944</v>
      </c>
      <c r="C174" t="s">
        <v>1000</v>
      </c>
      <c r="D174" t="s">
        <v>1001</v>
      </c>
      <c r="E174" t="s">
        <v>208</v>
      </c>
      <c r="F174" t="s">
        <v>209</v>
      </c>
      <c r="G174" t="s">
        <v>1007</v>
      </c>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U174" s="3"/>
      <c r="BV174" s="3"/>
      <c r="BW174" s="3"/>
      <c r="BX174" s="3"/>
      <c r="BZ174" s="3">
        <v>0</v>
      </c>
      <c r="CA174" s="3">
        <v>1256000</v>
      </c>
      <c r="CB174" s="3">
        <v>0</v>
      </c>
      <c r="CC174" s="3">
        <v>0</v>
      </c>
      <c r="CD174" s="3">
        <v>1256000</v>
      </c>
      <c r="CE174" s="3">
        <v>0</v>
      </c>
      <c r="CF174" s="3">
        <v>1256000</v>
      </c>
      <c r="CG174" s="3">
        <v>0</v>
      </c>
      <c r="CH174" s="3">
        <v>0</v>
      </c>
      <c r="CI174" s="3">
        <v>1256000</v>
      </c>
      <c r="CJ174" s="3"/>
      <c r="CK174" s="3"/>
      <c r="CL174" s="3"/>
      <c r="CM174" s="3"/>
      <c r="CN174" s="3"/>
      <c r="CO174" s="3"/>
      <c r="CP174" s="3"/>
      <c r="CQ174" s="3"/>
      <c r="CR174" s="3"/>
      <c r="CS174" s="3"/>
      <c r="CT174" s="3"/>
      <c r="CU174" s="3"/>
      <c r="CV174" s="3"/>
      <c r="CW174" s="3"/>
      <c r="CX174" s="3"/>
      <c r="CY174" s="3"/>
      <c r="CZ174" s="3"/>
      <c r="DA174" s="3"/>
      <c r="DB174" s="3"/>
      <c r="DD174" s="3"/>
      <c r="DE174" s="3"/>
      <c r="DF174" s="3"/>
      <c r="DG174" s="3"/>
      <c r="DI174" s="3">
        <v>0</v>
      </c>
      <c r="DJ174" s="3">
        <v>1279000</v>
      </c>
      <c r="DK174" s="3">
        <v>0</v>
      </c>
      <c r="DL174" s="3">
        <v>0</v>
      </c>
      <c r="DM174" s="3">
        <v>1279000</v>
      </c>
      <c r="DN174" s="3">
        <v>0</v>
      </c>
      <c r="DO174" s="3">
        <v>1279000</v>
      </c>
      <c r="DP174" s="3">
        <v>0</v>
      </c>
      <c r="DQ174" s="3">
        <v>0</v>
      </c>
      <c r="DR174" s="3">
        <v>1279000</v>
      </c>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R174" s="3">
        <v>4488000</v>
      </c>
      <c r="ES174" s="3">
        <v>1279000</v>
      </c>
      <c r="ET174" s="3">
        <v>0</v>
      </c>
      <c r="EU174" s="3">
        <v>18950000</v>
      </c>
      <c r="EV174" s="3">
        <v>24717000</v>
      </c>
      <c r="EW174" s="3">
        <v>4488000</v>
      </c>
      <c r="EX174" s="3">
        <v>1279000</v>
      </c>
      <c r="EY174" s="3">
        <v>0</v>
      </c>
      <c r="EZ174" s="3">
        <v>18950000</v>
      </c>
      <c r="FA174" s="3">
        <v>24717000</v>
      </c>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v>4644000</v>
      </c>
      <c r="GB174" s="3">
        <v>1326000</v>
      </c>
      <c r="GC174" s="3">
        <v>0</v>
      </c>
      <c r="GD174" s="3">
        <v>0</v>
      </c>
      <c r="GE174" s="3">
        <v>5970000</v>
      </c>
      <c r="GF174" s="3">
        <v>4644000</v>
      </c>
      <c r="GG174" s="3">
        <v>1326000</v>
      </c>
      <c r="GH174" s="3">
        <v>0</v>
      </c>
      <c r="GI174" s="3">
        <v>0</v>
      </c>
      <c r="GJ174" s="3">
        <v>5970000</v>
      </c>
      <c r="GK174" s="3"/>
      <c r="GL174" s="3"/>
      <c r="GM174" s="3"/>
      <c r="GN174" s="3"/>
      <c r="GO174" s="3"/>
      <c r="GP174" s="3"/>
      <c r="GQ174" s="3"/>
      <c r="GR174" s="3"/>
      <c r="GS174" s="3"/>
      <c r="GU174" s="3"/>
      <c r="GV174" s="3"/>
      <c r="GW174" s="3"/>
      <c r="GX174" s="3"/>
      <c r="GY174" s="3"/>
      <c r="GZ174" s="3"/>
      <c r="HA174" s="3"/>
      <c r="HB174" s="3"/>
      <c r="HC174" s="3"/>
      <c r="HE174" s="3"/>
      <c r="HF174" s="3"/>
      <c r="HG174" s="3"/>
      <c r="HH174" s="3"/>
      <c r="HJ174" s="3">
        <v>4644000</v>
      </c>
      <c r="HK174" s="3">
        <v>22287000</v>
      </c>
      <c r="HL174" s="3">
        <v>0</v>
      </c>
      <c r="HM174" s="3">
        <v>0</v>
      </c>
      <c r="HN174" s="3">
        <v>26931000</v>
      </c>
      <c r="HO174" s="3">
        <v>4644000</v>
      </c>
      <c r="HP174" s="3">
        <v>22287000</v>
      </c>
      <c r="HQ174" s="3">
        <v>0</v>
      </c>
      <c r="HR174" s="3">
        <v>0</v>
      </c>
      <c r="HS174" s="3">
        <v>26931000</v>
      </c>
      <c r="HT174" s="3"/>
      <c r="HU174" s="3"/>
      <c r="HV174" s="3"/>
      <c r="HW174" s="3"/>
      <c r="HX174" s="3"/>
      <c r="HY174" s="3"/>
      <c r="HZ174" s="3"/>
      <c r="IA174" s="3"/>
      <c r="IB174" s="3"/>
      <c r="ID174" s="3"/>
      <c r="IE174" s="3"/>
      <c r="IF174" s="3"/>
      <c r="IG174" s="3"/>
      <c r="IS174" s="3">
        <v>4710000</v>
      </c>
      <c r="IT174" s="3">
        <v>19221000</v>
      </c>
      <c r="IU174" s="3">
        <v>0</v>
      </c>
      <c r="IV174" s="3">
        <v>0</v>
      </c>
      <c r="IW174" s="3">
        <v>23931000</v>
      </c>
      <c r="IX174" s="3">
        <v>4710000</v>
      </c>
      <c r="IY174" s="3">
        <v>19221000</v>
      </c>
      <c r="IZ174" s="3">
        <v>0</v>
      </c>
      <c r="JA174" s="3">
        <v>0</v>
      </c>
      <c r="JB174" s="3">
        <v>23931000</v>
      </c>
      <c r="JC174" s="3"/>
      <c r="JD174" s="3"/>
      <c r="JE174" s="3"/>
      <c r="JF174" s="3"/>
      <c r="JG174" s="3"/>
      <c r="JH174" s="3"/>
      <c r="JI174" s="3"/>
      <c r="JJ174" s="3"/>
      <c r="JK174" s="3"/>
      <c r="JL174" s="3"/>
      <c r="JM174" s="3"/>
      <c r="JN174" s="3"/>
      <c r="JO174" s="3"/>
      <c r="JP174" s="3"/>
      <c r="JQ174" s="3"/>
      <c r="JR174" s="3"/>
      <c r="JS174" s="3"/>
      <c r="JT174" s="3"/>
      <c r="JU174" s="3"/>
      <c r="JV174" s="3"/>
      <c r="JW174" s="3"/>
      <c r="JX174" s="3"/>
      <c r="JY174" s="3"/>
      <c r="JZ174" s="3"/>
      <c r="KA174" s="3"/>
      <c r="KB174" s="3">
        <v>5372000</v>
      </c>
      <c r="KC174" s="3">
        <v>19567000</v>
      </c>
      <c r="KD174" s="3">
        <v>0</v>
      </c>
      <c r="KE174" s="3">
        <v>0</v>
      </c>
      <c r="KF174" s="3">
        <v>24939000</v>
      </c>
      <c r="KG174" s="3">
        <v>5372000</v>
      </c>
      <c r="KH174" s="3">
        <v>19567000</v>
      </c>
      <c r="KI174" s="3">
        <v>0</v>
      </c>
      <c r="KJ174" s="3">
        <v>0</v>
      </c>
      <c r="KK174" s="3">
        <v>24939000</v>
      </c>
      <c r="KL174" s="3"/>
      <c r="KM174" s="3"/>
      <c r="KN174" s="3"/>
      <c r="KO174" s="3"/>
      <c r="KP174" s="3"/>
      <c r="KQ174" s="3"/>
      <c r="KR174" s="3"/>
      <c r="KS174" s="3"/>
      <c r="KT174" s="3"/>
      <c r="KU174" s="3"/>
      <c r="KV174" s="3"/>
      <c r="KW174" s="3"/>
      <c r="KX174" s="3"/>
      <c r="KY174" s="3"/>
      <c r="KZ174" s="3"/>
      <c r="LA174" s="3"/>
      <c r="LB174" s="3"/>
      <c r="LC174" s="3"/>
      <c r="LD174" s="3"/>
      <c r="LE174" s="3"/>
      <c r="LF174" s="3"/>
      <c r="LG174" s="3"/>
      <c r="LH174" s="3"/>
      <c r="LI174" s="3"/>
      <c r="LJ174" s="3"/>
      <c r="LK174" s="3">
        <v>5641000</v>
      </c>
      <c r="LL174" s="3">
        <v>19919000</v>
      </c>
      <c r="LM174">
        <v>0</v>
      </c>
      <c r="LN174" s="3">
        <v>0</v>
      </c>
      <c r="LO174" s="3">
        <v>25560000</v>
      </c>
    </row>
    <row r="175" spans="1:327" x14ac:dyDescent="0.25">
      <c r="A175" t="s">
        <v>943</v>
      </c>
      <c r="B175" t="s">
        <v>944</v>
      </c>
      <c r="C175" t="s">
        <v>1000</v>
      </c>
      <c r="D175" t="s">
        <v>1001</v>
      </c>
      <c r="E175" t="s">
        <v>208</v>
      </c>
      <c r="F175" t="s">
        <v>211</v>
      </c>
      <c r="G175" t="s">
        <v>1077</v>
      </c>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U175" s="3"/>
      <c r="BV175" s="3"/>
      <c r="BW175" s="3"/>
      <c r="BX175" s="3"/>
      <c r="BZ175" s="3">
        <v>0</v>
      </c>
      <c r="CA175" s="3">
        <v>6237000</v>
      </c>
      <c r="CB175" s="3">
        <v>0</v>
      </c>
      <c r="CC175" s="3">
        <v>0</v>
      </c>
      <c r="CD175" s="3">
        <v>6237000</v>
      </c>
      <c r="CE175" s="3">
        <v>0</v>
      </c>
      <c r="CF175" s="3">
        <v>6237000</v>
      </c>
      <c r="CG175" s="3">
        <v>0</v>
      </c>
      <c r="CH175" s="3">
        <v>0</v>
      </c>
      <c r="CI175" s="3">
        <v>6237000</v>
      </c>
      <c r="CJ175" s="3"/>
      <c r="CK175" s="3"/>
      <c r="CL175" s="3"/>
      <c r="CM175" s="3"/>
      <c r="CN175" s="3"/>
      <c r="CO175" s="3"/>
      <c r="CP175" s="3"/>
      <c r="CQ175" s="3"/>
      <c r="CR175" s="3"/>
      <c r="CS175" s="3"/>
      <c r="CT175" s="3"/>
      <c r="CU175" s="3"/>
      <c r="CV175" s="3"/>
      <c r="CW175" s="3"/>
      <c r="CX175" s="3"/>
      <c r="CY175" s="3"/>
      <c r="CZ175" s="3"/>
      <c r="DA175" s="3"/>
      <c r="DB175" s="3"/>
      <c r="DD175" s="3"/>
      <c r="DE175" s="3"/>
      <c r="DF175" s="3"/>
      <c r="DG175" s="3"/>
      <c r="DI175" s="3">
        <v>0</v>
      </c>
      <c r="DJ175" s="3">
        <v>6243000</v>
      </c>
      <c r="DK175" s="3">
        <v>0</v>
      </c>
      <c r="DL175" s="3">
        <v>0</v>
      </c>
      <c r="DM175" s="3">
        <v>6243000</v>
      </c>
      <c r="DN175" s="3">
        <v>0</v>
      </c>
      <c r="DO175" s="3">
        <v>6243000</v>
      </c>
      <c r="DP175" s="3">
        <v>0</v>
      </c>
      <c r="DQ175" s="3">
        <v>0</v>
      </c>
      <c r="DR175" s="3">
        <v>6243000</v>
      </c>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R175" s="3">
        <v>4116000</v>
      </c>
      <c r="ES175" s="3">
        <v>6243000</v>
      </c>
      <c r="ET175" s="3">
        <v>0</v>
      </c>
      <c r="EU175" s="3">
        <v>0</v>
      </c>
      <c r="EV175" s="3">
        <v>10359000</v>
      </c>
      <c r="EW175" s="3">
        <v>4116000</v>
      </c>
      <c r="EX175" s="3">
        <v>6243000</v>
      </c>
      <c r="EY175" s="3">
        <v>0</v>
      </c>
      <c r="EZ175" s="3">
        <v>0</v>
      </c>
      <c r="FA175" s="3">
        <v>10359000</v>
      </c>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v>5334000</v>
      </c>
      <c r="GB175" s="3">
        <v>6469000</v>
      </c>
      <c r="GC175" s="3">
        <v>0</v>
      </c>
      <c r="GD175" s="3">
        <v>0</v>
      </c>
      <c r="GE175" s="3">
        <v>11803000</v>
      </c>
      <c r="GF175" s="3">
        <v>5334000</v>
      </c>
      <c r="GG175" s="3">
        <v>6469000</v>
      </c>
      <c r="GH175" s="3">
        <v>0</v>
      </c>
      <c r="GI175" s="3">
        <v>0</v>
      </c>
      <c r="GJ175" s="3">
        <v>11803000</v>
      </c>
      <c r="GK175" s="3"/>
      <c r="GL175" s="3"/>
      <c r="GM175" s="3"/>
      <c r="GN175" s="3"/>
      <c r="GO175" s="3"/>
      <c r="GP175" s="3"/>
      <c r="GQ175" s="3"/>
      <c r="GR175" s="3"/>
      <c r="GS175" s="3"/>
      <c r="GU175" s="3"/>
      <c r="GV175" s="3"/>
      <c r="GW175" s="3"/>
      <c r="GX175" s="3"/>
      <c r="GY175" s="3"/>
      <c r="GZ175" s="3"/>
      <c r="HA175" s="3"/>
      <c r="HB175" s="3"/>
      <c r="HC175" s="3"/>
      <c r="HE175" s="3"/>
      <c r="HF175" s="3"/>
      <c r="HG175" s="3"/>
      <c r="HH175" s="3"/>
      <c r="HJ175" s="3">
        <v>4220000</v>
      </c>
      <c r="HK175" s="3">
        <v>6559000</v>
      </c>
      <c r="HL175" s="3">
        <v>0</v>
      </c>
      <c r="HM175" s="3">
        <v>0</v>
      </c>
      <c r="HN175" s="3">
        <v>10779000</v>
      </c>
      <c r="HO175" s="3">
        <v>4220000</v>
      </c>
      <c r="HP175" s="3">
        <v>6559000</v>
      </c>
      <c r="HQ175" s="3">
        <v>0</v>
      </c>
      <c r="HR175" s="3">
        <v>0</v>
      </c>
      <c r="HS175" s="3">
        <v>10779000</v>
      </c>
      <c r="HT175" s="3"/>
      <c r="HU175" s="3"/>
      <c r="HV175" s="3"/>
      <c r="HW175" s="3"/>
      <c r="HX175" s="3"/>
      <c r="HY175" s="3"/>
      <c r="HZ175" s="3"/>
      <c r="IA175" s="3"/>
      <c r="IB175" s="3"/>
      <c r="ID175" s="3"/>
      <c r="IE175" s="3"/>
      <c r="IF175" s="3"/>
      <c r="IG175" s="3"/>
      <c r="IS175" s="3">
        <v>5674000</v>
      </c>
      <c r="IT175" s="3">
        <v>6677000</v>
      </c>
      <c r="IU175" s="3">
        <v>0</v>
      </c>
      <c r="IV175" s="3">
        <v>0</v>
      </c>
      <c r="IW175" s="3">
        <v>12351000</v>
      </c>
      <c r="IX175" s="3">
        <v>5674000</v>
      </c>
      <c r="IY175" s="3">
        <v>6677000</v>
      </c>
      <c r="IZ175" s="3">
        <v>0</v>
      </c>
      <c r="JA175" s="3">
        <v>0</v>
      </c>
      <c r="JB175" s="3">
        <v>12351000</v>
      </c>
      <c r="JC175" s="3"/>
      <c r="JD175" s="3"/>
      <c r="JE175" s="3"/>
      <c r="JF175" s="3"/>
      <c r="JG175" s="3"/>
      <c r="JH175" s="3"/>
      <c r="JI175" s="3"/>
      <c r="JJ175" s="3"/>
      <c r="JK175" s="3"/>
      <c r="JL175" s="3"/>
      <c r="JM175" s="3"/>
      <c r="JN175" s="3"/>
      <c r="JO175" s="3"/>
      <c r="JP175" s="3"/>
      <c r="JQ175" s="3"/>
      <c r="JR175" s="3"/>
      <c r="JS175" s="3"/>
      <c r="JT175" s="3"/>
      <c r="JU175" s="3"/>
      <c r="JV175" s="3"/>
      <c r="JW175" s="3"/>
      <c r="JX175" s="3"/>
      <c r="JY175" s="3"/>
      <c r="JZ175" s="3"/>
      <c r="KA175" s="3"/>
      <c r="KB175" s="3">
        <v>5548000</v>
      </c>
      <c r="KC175" s="3">
        <v>6797000</v>
      </c>
      <c r="KD175" s="3">
        <v>0</v>
      </c>
      <c r="KE175" s="3">
        <v>0</v>
      </c>
      <c r="KF175" s="3">
        <v>12345000</v>
      </c>
      <c r="KG175" s="3">
        <v>5548000</v>
      </c>
      <c r="KH175" s="3">
        <v>6797000</v>
      </c>
      <c r="KI175" s="3">
        <v>0</v>
      </c>
      <c r="KJ175" s="3">
        <v>0</v>
      </c>
      <c r="KK175" s="3">
        <v>12345000</v>
      </c>
      <c r="KL175" s="3"/>
      <c r="KM175" s="3"/>
      <c r="KN175" s="3"/>
      <c r="KO175" s="3"/>
      <c r="KP175" s="3"/>
      <c r="KQ175" s="3"/>
      <c r="KR175" s="3"/>
      <c r="KS175" s="3"/>
      <c r="KT175" s="3"/>
      <c r="KU175" s="3"/>
      <c r="KV175" s="3"/>
      <c r="KW175" s="3"/>
      <c r="KX175" s="3"/>
      <c r="KY175" s="3"/>
      <c r="KZ175" s="3"/>
      <c r="LA175" s="3"/>
      <c r="LB175" s="3"/>
      <c r="LC175" s="3"/>
      <c r="LD175" s="3"/>
      <c r="LE175" s="3"/>
      <c r="LF175" s="3"/>
      <c r="LG175" s="3"/>
      <c r="LH175" s="3"/>
      <c r="LI175" s="3"/>
      <c r="LJ175" s="3"/>
      <c r="LK175" s="3">
        <v>5786000</v>
      </c>
      <c r="LL175" s="3">
        <v>6919000</v>
      </c>
      <c r="LM175">
        <v>0</v>
      </c>
      <c r="LN175" s="3">
        <v>0</v>
      </c>
      <c r="LO175" s="3">
        <v>12705000</v>
      </c>
    </row>
    <row r="176" spans="1:327" x14ac:dyDescent="0.25">
      <c r="A176" t="s">
        <v>943</v>
      </c>
      <c r="B176" t="s">
        <v>944</v>
      </c>
      <c r="C176" t="s">
        <v>1000</v>
      </c>
      <c r="D176" t="s">
        <v>1001</v>
      </c>
      <c r="E176" t="s">
        <v>217</v>
      </c>
      <c r="F176" t="s">
        <v>218</v>
      </c>
      <c r="G176" t="s">
        <v>1078</v>
      </c>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U176" s="3"/>
      <c r="BV176" s="3"/>
      <c r="BW176" s="3"/>
      <c r="BX176" s="3"/>
      <c r="BZ176" s="3">
        <v>30036000</v>
      </c>
      <c r="CA176" s="3">
        <v>202402000</v>
      </c>
      <c r="CB176" s="3">
        <v>0</v>
      </c>
      <c r="CC176" s="3">
        <v>0</v>
      </c>
      <c r="CD176" s="3">
        <v>232438000</v>
      </c>
      <c r="CE176" s="3">
        <v>30036000</v>
      </c>
      <c r="CF176" s="3">
        <v>202402000</v>
      </c>
      <c r="CG176" s="3">
        <v>0</v>
      </c>
      <c r="CH176" s="3">
        <v>0</v>
      </c>
      <c r="CI176" s="3">
        <v>232438000</v>
      </c>
      <c r="CJ176" s="3"/>
      <c r="CK176" s="3"/>
      <c r="CL176" s="3"/>
      <c r="CM176" s="3"/>
      <c r="CN176" s="3"/>
      <c r="CO176" s="3"/>
      <c r="CP176" s="3"/>
      <c r="CQ176" s="3"/>
      <c r="CR176" s="3"/>
      <c r="CS176" s="3"/>
      <c r="CT176" s="3"/>
      <c r="CU176" s="3"/>
      <c r="CV176" s="3"/>
      <c r="CW176" s="3"/>
      <c r="CX176" s="3"/>
      <c r="CY176" s="3"/>
      <c r="CZ176" s="3"/>
      <c r="DA176" s="3"/>
      <c r="DB176" s="3"/>
      <c r="DD176" s="3"/>
      <c r="DE176" s="3"/>
      <c r="DF176" s="3"/>
      <c r="DG176" s="3"/>
      <c r="DI176" s="3">
        <v>32078000</v>
      </c>
      <c r="DJ176" s="3">
        <v>206073000</v>
      </c>
      <c r="DK176" s="3">
        <v>0</v>
      </c>
      <c r="DL176" s="3">
        <v>405000</v>
      </c>
      <c r="DM176" s="3">
        <v>238556000</v>
      </c>
      <c r="DN176" s="3">
        <v>32078000</v>
      </c>
      <c r="DO176" s="3">
        <v>206073000</v>
      </c>
      <c r="DP176" s="3">
        <v>0</v>
      </c>
      <c r="DQ176" s="3">
        <v>405000</v>
      </c>
      <c r="DR176" s="3">
        <v>238556000</v>
      </c>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R176" s="3">
        <v>52268000</v>
      </c>
      <c r="ES176" s="3">
        <v>206073000</v>
      </c>
      <c r="ET176" s="3">
        <v>0</v>
      </c>
      <c r="EU176" s="3">
        <v>0</v>
      </c>
      <c r="EV176" s="3">
        <v>258341000</v>
      </c>
      <c r="EW176" s="3">
        <v>52268000</v>
      </c>
      <c r="EX176" s="3">
        <v>206073000</v>
      </c>
      <c r="EY176" s="3">
        <v>0</v>
      </c>
      <c r="EZ176" s="3">
        <v>0</v>
      </c>
      <c r="FA176" s="3">
        <v>258341000</v>
      </c>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v>57250000</v>
      </c>
      <c r="GB176" s="3">
        <v>213558000</v>
      </c>
      <c r="GC176" s="3">
        <v>0</v>
      </c>
      <c r="GD176" s="3">
        <v>0</v>
      </c>
      <c r="GE176" s="3">
        <v>270808000</v>
      </c>
      <c r="GF176" s="3">
        <v>57250000</v>
      </c>
      <c r="GG176" s="3">
        <v>213558000</v>
      </c>
      <c r="GH176" s="3">
        <v>0</v>
      </c>
      <c r="GI176" s="3">
        <v>0</v>
      </c>
      <c r="GJ176" s="3">
        <v>270808000</v>
      </c>
      <c r="GK176" s="3"/>
      <c r="GL176" s="3"/>
      <c r="GM176" s="3"/>
      <c r="GN176" s="3"/>
      <c r="GO176" s="3"/>
      <c r="GP176" s="3"/>
      <c r="GQ176" s="3"/>
      <c r="GR176" s="3"/>
      <c r="GS176" s="3"/>
      <c r="GU176" s="3"/>
      <c r="GV176" s="3"/>
      <c r="GW176" s="3"/>
      <c r="GX176" s="3"/>
      <c r="GY176" s="3"/>
      <c r="GZ176" s="3"/>
      <c r="HA176" s="3"/>
      <c r="HB176" s="3"/>
      <c r="HC176" s="3"/>
      <c r="HE176" s="3"/>
      <c r="HF176" s="3"/>
      <c r="HG176" s="3"/>
      <c r="HH176" s="3"/>
      <c r="HJ176" s="3">
        <v>56688000</v>
      </c>
      <c r="HK176" s="3">
        <v>262071000</v>
      </c>
      <c r="HL176" s="3">
        <v>0</v>
      </c>
      <c r="HM176" s="3">
        <v>25331000</v>
      </c>
      <c r="HN176" s="3">
        <v>344090000</v>
      </c>
      <c r="HO176" s="3">
        <v>56688000</v>
      </c>
      <c r="HP176" s="3">
        <v>304071000</v>
      </c>
      <c r="HQ176" s="3">
        <v>0</v>
      </c>
      <c r="HR176" s="3">
        <v>33331000</v>
      </c>
      <c r="HS176" s="3">
        <v>394090000</v>
      </c>
      <c r="HT176" s="3"/>
      <c r="HU176" s="3"/>
      <c r="HV176" s="3"/>
      <c r="HW176" s="3"/>
      <c r="HX176" s="3"/>
      <c r="HY176" s="3"/>
      <c r="HZ176" s="3"/>
      <c r="IA176" s="3"/>
      <c r="IB176" s="3"/>
      <c r="ID176" s="3"/>
      <c r="IE176" s="3"/>
      <c r="IF176" s="3"/>
      <c r="IG176" s="3"/>
      <c r="IS176" s="3">
        <v>58173000</v>
      </c>
      <c r="IT176" s="3">
        <v>336315000</v>
      </c>
      <c r="IU176" s="3">
        <v>0</v>
      </c>
      <c r="IV176" s="3">
        <v>0</v>
      </c>
      <c r="IW176" s="3">
        <v>394488000</v>
      </c>
      <c r="IX176" s="3">
        <v>58173000</v>
      </c>
      <c r="IY176" s="3">
        <v>336315000</v>
      </c>
      <c r="IZ176" s="3">
        <v>0</v>
      </c>
      <c r="JA176" s="3">
        <v>0</v>
      </c>
      <c r="JB176" s="3">
        <v>394488000</v>
      </c>
      <c r="JC176" s="3"/>
      <c r="JD176" s="3"/>
      <c r="JE176" s="3"/>
      <c r="JF176" s="3"/>
      <c r="JG176" s="3"/>
      <c r="JH176" s="3"/>
      <c r="JI176" s="3"/>
      <c r="JJ176" s="3"/>
      <c r="JK176" s="3"/>
      <c r="JL176" s="3"/>
      <c r="JM176" s="3"/>
      <c r="JN176" s="3"/>
      <c r="JO176" s="3"/>
      <c r="JP176" s="3"/>
      <c r="JQ176" s="3"/>
      <c r="JR176" s="3"/>
      <c r="JS176" s="3"/>
      <c r="JT176" s="3"/>
      <c r="JU176" s="3"/>
      <c r="JV176" s="3"/>
      <c r="JW176" s="3"/>
      <c r="JX176" s="3"/>
      <c r="JY176" s="3"/>
      <c r="JZ176" s="3"/>
      <c r="KA176" s="3"/>
      <c r="KB176" s="3">
        <v>65736000</v>
      </c>
      <c r="KC176" s="3">
        <v>355299000</v>
      </c>
      <c r="KD176" s="3">
        <v>0</v>
      </c>
      <c r="KE176" s="3">
        <v>50000000</v>
      </c>
      <c r="KF176" s="3">
        <v>471035000</v>
      </c>
      <c r="KG176" s="3">
        <v>65736000</v>
      </c>
      <c r="KH176" s="3">
        <v>355299000</v>
      </c>
      <c r="KI176" s="3">
        <v>0</v>
      </c>
      <c r="KJ176" s="3">
        <v>50000000</v>
      </c>
      <c r="KK176" s="3">
        <v>471035000</v>
      </c>
      <c r="KL176" s="3"/>
      <c r="KM176" s="3"/>
      <c r="KN176" s="3"/>
      <c r="KO176" s="3"/>
      <c r="KP176" s="3"/>
      <c r="KQ176" s="3"/>
      <c r="KR176" s="3"/>
      <c r="KS176" s="3"/>
      <c r="KT176" s="3"/>
      <c r="KU176" s="3"/>
      <c r="KV176" s="3"/>
      <c r="KW176" s="3"/>
      <c r="KX176" s="3"/>
      <c r="KY176" s="3"/>
      <c r="KZ176" s="3"/>
      <c r="LA176" s="3"/>
      <c r="LB176" s="3"/>
      <c r="LC176" s="3"/>
      <c r="LD176" s="3"/>
      <c r="LE176" s="3"/>
      <c r="LF176" s="3"/>
      <c r="LG176" s="3"/>
      <c r="LH176" s="3"/>
      <c r="LI176" s="3"/>
      <c r="LJ176" s="3"/>
      <c r="LK176" s="3">
        <v>67036000</v>
      </c>
      <c r="LL176" s="3">
        <v>361694000</v>
      </c>
      <c r="LM176">
        <v>0</v>
      </c>
      <c r="LN176" s="3">
        <v>40000000</v>
      </c>
      <c r="LO176" s="3">
        <v>468730000</v>
      </c>
    </row>
  </sheetData>
  <autoFilter ref="A1:KK1" xr:uid="{70CC8D72-6ECA-45AB-B55D-35661EC3E113}"/>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83965-9CBA-4F10-9F5D-5C8435CFF202}">
  <dimension ref="A1:JG140"/>
  <sheetViews>
    <sheetView zoomScale="85" zoomScaleNormal="85" workbookViewId="0">
      <pane xSplit="7" ySplit="1" topLeftCell="IZ2" activePane="bottomRight" state="frozen"/>
      <selection pane="topRight" activeCell="H1" sqref="H1"/>
      <selection pane="bottomLeft" activeCell="A2" sqref="A2"/>
      <selection pane="bottomRight" activeCell="G18" sqref="G18"/>
    </sheetView>
  </sheetViews>
  <sheetFormatPr defaultRowHeight="15" x14ac:dyDescent="0.25"/>
  <cols>
    <col min="1" max="6" width="9.140625" customWidth="1"/>
    <col min="7" max="267" width="15.7109375" customWidth="1"/>
  </cols>
  <sheetData>
    <row r="1" spans="1:267" s="1" customFormat="1" x14ac:dyDescent="0.25">
      <c r="A1" s="1" t="s">
        <v>0</v>
      </c>
      <c r="B1" s="1" t="s">
        <v>1</v>
      </c>
      <c r="C1" s="1" t="s">
        <v>2</v>
      </c>
      <c r="D1" s="1" t="s">
        <v>3</v>
      </c>
      <c r="E1" s="1" t="s">
        <v>4</v>
      </c>
      <c r="F1" s="7" t="s">
        <v>5</v>
      </c>
      <c r="G1" s="7" t="s">
        <v>6</v>
      </c>
      <c r="H1" s="7" t="s">
        <v>610</v>
      </c>
      <c r="I1" s="7" t="s">
        <v>611</v>
      </c>
      <c r="J1" s="7" t="s">
        <v>612</v>
      </c>
      <c r="K1" s="7" t="s">
        <v>7</v>
      </c>
      <c r="L1" s="7" t="s">
        <v>613</v>
      </c>
      <c r="M1" s="7" t="s">
        <v>614</v>
      </c>
      <c r="N1" s="7" t="s">
        <v>615</v>
      </c>
      <c r="O1" s="7" t="s">
        <v>8</v>
      </c>
      <c r="P1" s="8" t="s">
        <v>649</v>
      </c>
      <c r="Q1" s="8" t="s">
        <v>650</v>
      </c>
      <c r="R1" s="8" t="s">
        <v>651</v>
      </c>
      <c r="S1" s="8" t="s">
        <v>9</v>
      </c>
      <c r="T1" s="8" t="s">
        <v>652</v>
      </c>
      <c r="U1" s="8" t="s">
        <v>653</v>
      </c>
      <c r="V1" s="8" t="s">
        <v>654</v>
      </c>
      <c r="W1" s="8" t="s">
        <v>10</v>
      </c>
      <c r="X1" s="8" t="s">
        <v>655</v>
      </c>
      <c r="Y1" s="8" t="s">
        <v>656</v>
      </c>
      <c r="Z1" s="8" t="s">
        <v>657</v>
      </c>
      <c r="AA1" s="8" t="s">
        <v>11</v>
      </c>
      <c r="AB1" s="8" t="s">
        <v>658</v>
      </c>
      <c r="AC1" s="8" t="s">
        <v>659</v>
      </c>
      <c r="AD1" s="8" t="s">
        <v>660</v>
      </c>
      <c r="AE1" s="8" t="s">
        <v>12</v>
      </c>
      <c r="AF1" s="8" t="s">
        <v>661</v>
      </c>
      <c r="AG1" s="8" t="s">
        <v>662</v>
      </c>
      <c r="AH1" s="8" t="s">
        <v>663</v>
      </c>
      <c r="AI1" s="8" t="s">
        <v>13</v>
      </c>
      <c r="AJ1" s="1" t="s">
        <v>604</v>
      </c>
      <c r="AK1" s="1" t="s">
        <v>605</v>
      </c>
      <c r="AL1" s="1" t="s">
        <v>606</v>
      </c>
      <c r="AM1" s="1" t="s">
        <v>14</v>
      </c>
      <c r="AN1" s="1" t="s">
        <v>607</v>
      </c>
      <c r="AO1" s="1" t="s">
        <v>608</v>
      </c>
      <c r="AP1" s="1" t="s">
        <v>609</v>
      </c>
      <c r="AQ1" s="1" t="s">
        <v>15</v>
      </c>
      <c r="AR1" s="2" t="s">
        <v>664</v>
      </c>
      <c r="AS1" s="2" t="s">
        <v>665</v>
      </c>
      <c r="AT1" s="2" t="s">
        <v>666</v>
      </c>
      <c r="AU1" s="2" t="s">
        <v>16</v>
      </c>
      <c r="AV1" s="2" t="s">
        <v>667</v>
      </c>
      <c r="AW1" s="2" t="s">
        <v>668</v>
      </c>
      <c r="AX1" s="2" t="s">
        <v>669</v>
      </c>
      <c r="AY1" s="2" t="s">
        <v>17</v>
      </c>
      <c r="AZ1" s="2" t="s">
        <v>670</v>
      </c>
      <c r="BA1" s="2" t="s">
        <v>671</v>
      </c>
      <c r="BB1" s="2" t="s">
        <v>672</v>
      </c>
      <c r="BC1" s="2" t="s">
        <v>18</v>
      </c>
      <c r="BD1" s="2" t="s">
        <v>673</v>
      </c>
      <c r="BE1" s="2" t="s">
        <v>674</v>
      </c>
      <c r="BF1" s="2" t="s">
        <v>675</v>
      </c>
      <c r="BG1" s="2" t="s">
        <v>19</v>
      </c>
      <c r="BH1" s="2" t="s">
        <v>676</v>
      </c>
      <c r="BI1" s="2" t="s">
        <v>677</v>
      </c>
      <c r="BJ1" s="2" t="s">
        <v>678</v>
      </c>
      <c r="BK1" s="2" t="s">
        <v>20</v>
      </c>
      <c r="BL1" s="1" t="s">
        <v>21</v>
      </c>
      <c r="BM1" s="1" t="s">
        <v>22</v>
      </c>
      <c r="BN1" s="1" t="s">
        <v>23</v>
      </c>
      <c r="BO1" s="1" t="s">
        <v>24</v>
      </c>
      <c r="BP1" s="1" t="s">
        <v>25</v>
      </c>
      <c r="BQ1" s="1" t="s">
        <v>26</v>
      </c>
      <c r="BR1" s="1" t="s">
        <v>27</v>
      </c>
      <c r="BS1" s="1" t="s">
        <v>28</v>
      </c>
      <c r="BT1" s="2" t="s">
        <v>29</v>
      </c>
      <c r="BU1" s="2" t="s">
        <v>30</v>
      </c>
      <c r="BV1" s="2" t="s">
        <v>31</v>
      </c>
      <c r="BW1" s="2" t="s">
        <v>32</v>
      </c>
      <c r="BX1" s="2" t="s">
        <v>33</v>
      </c>
      <c r="BY1" s="2" t="s">
        <v>34</v>
      </c>
      <c r="BZ1" s="2" t="s">
        <v>35</v>
      </c>
      <c r="CA1" s="2" t="s">
        <v>36</v>
      </c>
      <c r="CB1" s="2" t="s">
        <v>37</v>
      </c>
      <c r="CC1" s="2" t="s">
        <v>38</v>
      </c>
      <c r="CD1" s="2" t="s">
        <v>39</v>
      </c>
      <c r="CE1" s="2" t="s">
        <v>40</v>
      </c>
      <c r="CF1" s="2" t="s">
        <v>41</v>
      </c>
      <c r="CG1" s="2" t="s">
        <v>42</v>
      </c>
      <c r="CH1" s="2" t="s">
        <v>43</v>
      </c>
      <c r="CI1" s="2" t="s">
        <v>44</v>
      </c>
      <c r="CJ1" s="2" t="s">
        <v>45</v>
      </c>
      <c r="CK1" s="2" t="s">
        <v>46</v>
      </c>
      <c r="CL1" s="2" t="s">
        <v>47</v>
      </c>
      <c r="CM1" s="2" t="s">
        <v>48</v>
      </c>
      <c r="CN1" s="1" t="s">
        <v>49</v>
      </c>
      <c r="CO1" s="1" t="s">
        <v>50</v>
      </c>
      <c r="CP1" s="1" t="s">
        <v>51</v>
      </c>
      <c r="CQ1" s="1" t="s">
        <v>52</v>
      </c>
      <c r="CR1" s="1" t="s">
        <v>53</v>
      </c>
      <c r="CS1" s="1" t="s">
        <v>54</v>
      </c>
      <c r="CT1" s="1" t="s">
        <v>55</v>
      </c>
      <c r="CU1" s="1" t="s">
        <v>56</v>
      </c>
      <c r="CV1" s="2" t="s">
        <v>57</v>
      </c>
      <c r="CW1" s="2" t="s">
        <v>58</v>
      </c>
      <c r="CX1" s="2" t="s">
        <v>59</v>
      </c>
      <c r="CY1" s="2" t="s">
        <v>60</v>
      </c>
      <c r="CZ1" s="2" t="s">
        <v>61</v>
      </c>
      <c r="DA1" s="2" t="s">
        <v>62</v>
      </c>
      <c r="DB1" s="2" t="s">
        <v>63</v>
      </c>
      <c r="DC1" s="2" t="s">
        <v>64</v>
      </c>
      <c r="DD1" s="2" t="s">
        <v>65</v>
      </c>
      <c r="DE1" s="2" t="s">
        <v>66</v>
      </c>
      <c r="DF1" s="2" t="s">
        <v>67</v>
      </c>
      <c r="DG1" s="2" t="s">
        <v>68</v>
      </c>
      <c r="DH1" s="2" t="s">
        <v>69</v>
      </c>
      <c r="DI1" s="2" t="s">
        <v>70</v>
      </c>
      <c r="DJ1" s="2" t="s">
        <v>71</v>
      </c>
      <c r="DK1" s="2" t="s">
        <v>72</v>
      </c>
      <c r="DL1" s="2" t="s">
        <v>73</v>
      </c>
      <c r="DM1" s="2" t="s">
        <v>74</v>
      </c>
      <c r="DN1" s="2" t="s">
        <v>75</v>
      </c>
      <c r="DO1" s="2" t="s">
        <v>76</v>
      </c>
      <c r="DP1" s="1" t="s">
        <v>77</v>
      </c>
      <c r="DQ1" s="1" t="s">
        <v>78</v>
      </c>
      <c r="DR1" s="1" t="s">
        <v>79</v>
      </c>
      <c r="DS1" s="1" t="s">
        <v>80</v>
      </c>
      <c r="DT1" s="1" t="s">
        <v>81</v>
      </c>
      <c r="DU1" s="1" t="s">
        <v>82</v>
      </c>
      <c r="DV1" s="1" t="s">
        <v>83</v>
      </c>
      <c r="DW1" s="1" t="s">
        <v>84</v>
      </c>
      <c r="DX1" s="2" t="s">
        <v>85</v>
      </c>
      <c r="DY1" s="2" t="s">
        <v>86</v>
      </c>
      <c r="DZ1" s="2" t="s">
        <v>87</v>
      </c>
      <c r="EA1" s="2" t="s">
        <v>88</v>
      </c>
      <c r="EB1" s="2" t="s">
        <v>89</v>
      </c>
      <c r="EC1" s="2" t="s">
        <v>90</v>
      </c>
      <c r="ED1" s="2" t="s">
        <v>91</v>
      </c>
      <c r="EE1" s="2" t="s">
        <v>92</v>
      </c>
      <c r="EF1" s="2" t="s">
        <v>93</v>
      </c>
      <c r="EG1" s="2" t="s">
        <v>94</v>
      </c>
      <c r="EH1" s="2" t="s">
        <v>95</v>
      </c>
      <c r="EI1" s="2" t="s">
        <v>96</v>
      </c>
      <c r="EJ1" s="2" t="s">
        <v>97</v>
      </c>
      <c r="EK1" s="2" t="s">
        <v>98</v>
      </c>
      <c r="EL1" s="2" t="s">
        <v>99</v>
      </c>
      <c r="EM1" s="2" t="s">
        <v>100</v>
      </c>
      <c r="EN1" s="2" t="s">
        <v>101</v>
      </c>
      <c r="EO1" s="2" t="s">
        <v>102</v>
      </c>
      <c r="EP1" s="2" t="s">
        <v>103</v>
      </c>
      <c r="EQ1" s="2" t="s">
        <v>104</v>
      </c>
      <c r="ER1" s="1" t="s">
        <v>105</v>
      </c>
      <c r="ES1" s="1" t="s">
        <v>106</v>
      </c>
      <c r="ET1" s="1" t="s">
        <v>107</v>
      </c>
      <c r="EU1" s="1" t="s">
        <v>108</v>
      </c>
      <c r="EV1" s="1" t="s">
        <v>109</v>
      </c>
      <c r="EW1" s="1" t="s">
        <v>110</v>
      </c>
      <c r="EX1" s="1" t="s">
        <v>111</v>
      </c>
      <c r="EY1" s="1" t="s">
        <v>112</v>
      </c>
      <c r="EZ1" s="2" t="s">
        <v>113</v>
      </c>
      <c r="FA1" s="2" t="s">
        <v>114</v>
      </c>
      <c r="FB1" s="2" t="s">
        <v>115</v>
      </c>
      <c r="FC1" s="2" t="s">
        <v>116</v>
      </c>
      <c r="FD1" s="2" t="s">
        <v>117</v>
      </c>
      <c r="FE1" s="2" t="s">
        <v>118</v>
      </c>
      <c r="FF1" s="2" t="s">
        <v>119</v>
      </c>
      <c r="FG1" s="2" t="s">
        <v>120</v>
      </c>
      <c r="FH1" s="2" t="s">
        <v>121</v>
      </c>
      <c r="FI1" s="2" t="s">
        <v>122</v>
      </c>
      <c r="FJ1" s="2" t="s">
        <v>123</v>
      </c>
      <c r="FK1" s="2" t="s">
        <v>124</v>
      </c>
      <c r="FL1" s="2" t="s">
        <v>125</v>
      </c>
      <c r="FM1" s="2" t="s">
        <v>126</v>
      </c>
      <c r="FN1" s="2" t="s">
        <v>127</v>
      </c>
      <c r="FO1" s="2" t="s">
        <v>128</v>
      </c>
      <c r="FP1" s="2" t="s">
        <v>129</v>
      </c>
      <c r="FQ1" s="2" t="s">
        <v>130</v>
      </c>
      <c r="FR1" s="2" t="s">
        <v>131</v>
      </c>
      <c r="FS1" s="2" t="s">
        <v>132</v>
      </c>
      <c r="FT1" s="1" t="s">
        <v>133</v>
      </c>
      <c r="FU1" s="1" t="s">
        <v>134</v>
      </c>
      <c r="FV1" s="1" t="s">
        <v>135</v>
      </c>
      <c r="FW1" s="1" t="s">
        <v>136</v>
      </c>
      <c r="FX1" s="1" t="s">
        <v>137</v>
      </c>
      <c r="FY1" s="1" t="s">
        <v>138</v>
      </c>
      <c r="FZ1" s="1" t="s">
        <v>139</v>
      </c>
      <c r="GA1" s="1" t="s">
        <v>140</v>
      </c>
      <c r="GB1" s="2" t="s">
        <v>141</v>
      </c>
      <c r="GC1" s="2" t="s">
        <v>142</v>
      </c>
      <c r="GD1" s="2" t="s">
        <v>143</v>
      </c>
      <c r="GE1" s="2" t="s">
        <v>144</v>
      </c>
      <c r="GF1" s="2" t="s">
        <v>145</v>
      </c>
      <c r="GG1" s="2" t="s">
        <v>146</v>
      </c>
      <c r="GH1" s="2" t="s">
        <v>147</v>
      </c>
      <c r="GI1" s="2" t="s">
        <v>148</v>
      </c>
      <c r="GJ1" s="2" t="s">
        <v>149</v>
      </c>
      <c r="GK1" s="2" t="s">
        <v>150</v>
      </c>
      <c r="GL1" s="2" t="s">
        <v>151</v>
      </c>
      <c r="GM1" s="2" t="s">
        <v>152</v>
      </c>
      <c r="GN1" s="2" t="s">
        <v>153</v>
      </c>
      <c r="GO1" s="2" t="s">
        <v>154</v>
      </c>
      <c r="GP1" s="2" t="s">
        <v>155</v>
      </c>
      <c r="GQ1" s="2" t="s">
        <v>156</v>
      </c>
      <c r="GR1" s="2" t="s">
        <v>157</v>
      </c>
      <c r="GS1" s="2" t="s">
        <v>158</v>
      </c>
      <c r="GT1" s="2" t="s">
        <v>159</v>
      </c>
      <c r="GU1" s="2" t="s">
        <v>160</v>
      </c>
      <c r="GV1" s="1" t="s">
        <v>161</v>
      </c>
      <c r="GW1" s="1" t="s">
        <v>162</v>
      </c>
      <c r="GX1" s="1" t="s">
        <v>163</v>
      </c>
      <c r="GY1" s="1" t="s">
        <v>164</v>
      </c>
      <c r="GZ1" s="1" t="s">
        <v>165</v>
      </c>
      <c r="HA1" s="1" t="s">
        <v>166</v>
      </c>
      <c r="HB1" s="1" t="s">
        <v>167</v>
      </c>
      <c r="HC1" s="1" t="s">
        <v>168</v>
      </c>
      <c r="HD1" s="2" t="s">
        <v>169</v>
      </c>
      <c r="HE1" s="2" t="s">
        <v>170</v>
      </c>
      <c r="HF1" s="2" t="s">
        <v>171</v>
      </c>
      <c r="HG1" s="2" t="s">
        <v>172</v>
      </c>
      <c r="HH1" s="2" t="s">
        <v>173</v>
      </c>
      <c r="HI1" s="2" t="s">
        <v>174</v>
      </c>
      <c r="HJ1" s="2" t="s">
        <v>175</v>
      </c>
      <c r="HK1" s="2" t="s">
        <v>176</v>
      </c>
      <c r="HL1" s="2" t="s">
        <v>177</v>
      </c>
      <c r="HM1" s="2" t="s">
        <v>178</v>
      </c>
      <c r="HN1" s="2" t="s">
        <v>179</v>
      </c>
      <c r="HO1" s="2" t="s">
        <v>180</v>
      </c>
      <c r="HP1" s="2" t="s">
        <v>181</v>
      </c>
      <c r="HQ1" s="2" t="s">
        <v>182</v>
      </c>
      <c r="HR1" s="2" t="s">
        <v>183</v>
      </c>
      <c r="HS1" s="2" t="s">
        <v>184</v>
      </c>
      <c r="HT1" s="2" t="s">
        <v>185</v>
      </c>
      <c r="HU1" s="2" t="s">
        <v>186</v>
      </c>
      <c r="HV1" s="2" t="s">
        <v>187</v>
      </c>
      <c r="HW1" s="2" t="s">
        <v>188</v>
      </c>
      <c r="HX1" s="1" t="s">
        <v>189</v>
      </c>
      <c r="HY1" s="1" t="s">
        <v>190</v>
      </c>
      <c r="HZ1" s="1" t="s">
        <v>191</v>
      </c>
      <c r="IA1" s="1" t="s">
        <v>192</v>
      </c>
      <c r="IB1" s="1" t="s">
        <v>193</v>
      </c>
      <c r="IC1" s="1" t="s">
        <v>194</v>
      </c>
      <c r="ID1" s="1" t="s">
        <v>195</v>
      </c>
      <c r="IE1" s="1" t="s">
        <v>196</v>
      </c>
      <c r="IF1" s="2" t="s">
        <v>1309</v>
      </c>
      <c r="IG1" s="2" t="s">
        <v>1310</v>
      </c>
      <c r="IH1" s="2" t="s">
        <v>1312</v>
      </c>
      <c r="II1" s="2" t="s">
        <v>1313</v>
      </c>
      <c r="IJ1" s="2" t="s">
        <v>1314</v>
      </c>
      <c r="IK1" s="2" t="s">
        <v>1315</v>
      </c>
      <c r="IL1" s="2" t="s">
        <v>1317</v>
      </c>
      <c r="IM1" s="2" t="s">
        <v>1318</v>
      </c>
      <c r="IN1" s="2" t="s">
        <v>1319</v>
      </c>
      <c r="IO1" s="2" t="s">
        <v>1320</v>
      </c>
      <c r="IP1" s="2" t="s">
        <v>1322</v>
      </c>
      <c r="IQ1" s="2" t="s">
        <v>1323</v>
      </c>
      <c r="IR1" s="2" t="s">
        <v>1324</v>
      </c>
      <c r="IS1" s="2" t="s">
        <v>1325</v>
      </c>
      <c r="IT1" s="2" t="s">
        <v>1327</v>
      </c>
      <c r="IU1" s="2" t="s">
        <v>1328</v>
      </c>
      <c r="IV1" s="2" t="s">
        <v>1329</v>
      </c>
      <c r="IW1" s="2" t="s">
        <v>1330</v>
      </c>
      <c r="IX1" s="2" t="s">
        <v>1332</v>
      </c>
      <c r="IY1" s="2" t="s">
        <v>1333</v>
      </c>
      <c r="IZ1" s="1" t="s">
        <v>1334</v>
      </c>
      <c r="JA1" s="1" t="s">
        <v>1335</v>
      </c>
      <c r="JB1" s="1" t="s">
        <v>1337</v>
      </c>
      <c r="JC1" s="1" t="s">
        <v>1338</v>
      </c>
      <c r="JD1" s="1" t="s">
        <v>1339</v>
      </c>
      <c r="JE1" s="1" t="s">
        <v>1340</v>
      </c>
      <c r="JF1" s="1" t="s">
        <v>1342</v>
      </c>
      <c r="JG1" s="1" t="s">
        <v>1343</v>
      </c>
    </row>
    <row r="2" spans="1:267" x14ac:dyDescent="0.25">
      <c r="A2" t="s">
        <v>505</v>
      </c>
      <c r="B2" t="s">
        <v>397</v>
      </c>
      <c r="C2" t="s">
        <v>199</v>
      </c>
      <c r="D2" t="s">
        <v>200</v>
      </c>
      <c r="E2" t="s">
        <v>201</v>
      </c>
      <c r="F2" t="s">
        <v>202</v>
      </c>
      <c r="G2" t="s">
        <v>398</v>
      </c>
      <c r="H2" s="3">
        <v>9890095000</v>
      </c>
      <c r="I2" s="3">
        <v>3363616000</v>
      </c>
      <c r="J2" s="3">
        <v>129500000</v>
      </c>
      <c r="K2" s="3">
        <v>13383211000</v>
      </c>
      <c r="L2" s="6">
        <v>9890717000</v>
      </c>
      <c r="M2" s="6">
        <v>3386556000</v>
      </c>
      <c r="N2" s="6">
        <v>1290000000</v>
      </c>
      <c r="O2" s="6">
        <v>14567273000</v>
      </c>
      <c r="P2" s="3">
        <v>10757659000</v>
      </c>
      <c r="Q2" s="3">
        <v>3386556000</v>
      </c>
      <c r="R2" s="3">
        <v>1290000000</v>
      </c>
      <c r="S2" s="3">
        <v>15434215000</v>
      </c>
      <c r="T2" s="3">
        <v>10797453940.690001</v>
      </c>
      <c r="U2" s="3">
        <v>3386561000.52</v>
      </c>
      <c r="V2" s="3">
        <v>1290000000</v>
      </c>
      <c r="W2" s="3">
        <v>15474014941.209999</v>
      </c>
      <c r="X2" s="3">
        <v>10797453940.690001</v>
      </c>
      <c r="Y2" s="3">
        <v>3386561000.52</v>
      </c>
      <c r="Z2" s="3">
        <v>1290000000</v>
      </c>
      <c r="AA2" s="3">
        <v>15474014941.209999</v>
      </c>
      <c r="AB2" s="3">
        <v>10619772556.200001</v>
      </c>
      <c r="AC2" s="3">
        <v>2931790517.3600001</v>
      </c>
      <c r="AD2" s="3">
        <v>771479401.89999998</v>
      </c>
      <c r="AE2" s="3">
        <v>14323042475.459999</v>
      </c>
      <c r="AF2" s="3">
        <v>10453497625.52</v>
      </c>
      <c r="AG2" s="3">
        <v>2594361066.5999999</v>
      </c>
      <c r="AH2" s="3">
        <v>232594689.53</v>
      </c>
      <c r="AI2" s="3">
        <v>13280453381.65</v>
      </c>
      <c r="AJ2" s="3">
        <v>3818165000</v>
      </c>
      <c r="AK2" s="3">
        <v>3301794000</v>
      </c>
      <c r="AL2" s="3">
        <v>0</v>
      </c>
      <c r="AM2" s="3">
        <v>7119959000</v>
      </c>
      <c r="AN2" s="3">
        <v>3818165000</v>
      </c>
      <c r="AO2" s="3">
        <v>3537382000</v>
      </c>
      <c r="AP2" s="3">
        <v>1388676000</v>
      </c>
      <c r="AQ2" s="3">
        <v>8744223000</v>
      </c>
      <c r="AR2" s="3">
        <v>4158072000</v>
      </c>
      <c r="AS2" s="3">
        <v>3537382000</v>
      </c>
      <c r="AT2" s="3">
        <v>1388676000</v>
      </c>
      <c r="AU2" s="3">
        <v>9084130000</v>
      </c>
      <c r="AV2" s="3">
        <v>7304576431.2299995</v>
      </c>
      <c r="AW2" s="3">
        <v>3994712672.0100002</v>
      </c>
      <c r="AX2" s="3">
        <v>1908696598.0999999</v>
      </c>
      <c r="AY2" s="3">
        <v>13207985701.34</v>
      </c>
      <c r="AZ2" s="3">
        <v>7304576431.2299995</v>
      </c>
      <c r="BA2" s="3">
        <v>3994712672.0100002</v>
      </c>
      <c r="BB2" s="3">
        <v>1906196598.0999999</v>
      </c>
      <c r="BC2" s="3">
        <v>13205485701.34</v>
      </c>
      <c r="BD2" s="3">
        <v>4271228150.4099998</v>
      </c>
      <c r="BE2" s="3">
        <v>3170863504.02</v>
      </c>
      <c r="BF2" s="3">
        <v>1398989852.9100001</v>
      </c>
      <c r="BG2" s="3">
        <v>8841081507.3400002</v>
      </c>
      <c r="BH2" s="3">
        <v>4194229223.2199998</v>
      </c>
      <c r="BI2" s="3">
        <v>2807021674.5700002</v>
      </c>
      <c r="BJ2" s="3">
        <v>282447548.31</v>
      </c>
      <c r="BK2" s="3">
        <v>7283698446.1000004</v>
      </c>
      <c r="BL2" s="3">
        <v>4271897000</v>
      </c>
      <c r="BM2" s="3">
        <v>3140726000</v>
      </c>
      <c r="BN2" s="3">
        <v>0</v>
      </c>
      <c r="BO2" s="3">
        <v>7412623000</v>
      </c>
      <c r="BP2" s="3">
        <v>4271897000</v>
      </c>
      <c r="BQ2" s="3">
        <v>3165481000</v>
      </c>
      <c r="BR2" s="3">
        <v>25325000</v>
      </c>
      <c r="BS2" s="3">
        <v>7462703000</v>
      </c>
      <c r="BT2" s="3">
        <v>4651885000</v>
      </c>
      <c r="BU2" s="3">
        <v>3165481000</v>
      </c>
      <c r="BV2" s="3">
        <v>25325000</v>
      </c>
      <c r="BW2" s="3">
        <v>7842691000</v>
      </c>
      <c r="BX2" s="3">
        <v>13573949209.5</v>
      </c>
      <c r="BY2" s="3">
        <v>3707320591.52</v>
      </c>
      <c r="BZ2" s="3">
        <v>553423777.72000003</v>
      </c>
      <c r="CA2" s="3">
        <v>17834693578.740002</v>
      </c>
      <c r="CB2" s="3">
        <v>13573949209.5</v>
      </c>
      <c r="CC2" s="3">
        <v>3707320591.52</v>
      </c>
      <c r="CD2" s="3">
        <v>553423777.72000003</v>
      </c>
      <c r="CE2" s="3">
        <v>17834693578.740002</v>
      </c>
      <c r="CF2" s="3">
        <v>13390875695.620001</v>
      </c>
      <c r="CG2" s="3">
        <v>2873675048.77</v>
      </c>
      <c r="CH2" s="3">
        <v>458050577.19</v>
      </c>
      <c r="CI2" s="3">
        <v>16722601321.58</v>
      </c>
      <c r="CJ2" s="3">
        <v>7750611732.8900003</v>
      </c>
      <c r="CK2" s="3">
        <v>2234626184.25</v>
      </c>
      <c r="CL2" s="3">
        <v>277427280.00999999</v>
      </c>
      <c r="CM2" s="3">
        <v>10262665197.15</v>
      </c>
      <c r="CN2" s="3">
        <v>5077772000</v>
      </c>
      <c r="CO2" s="3">
        <v>8087000000</v>
      </c>
      <c r="CP2" s="3">
        <v>0</v>
      </c>
      <c r="CQ2" s="3">
        <v>13164772000</v>
      </c>
      <c r="CR2" s="3">
        <v>5077772000</v>
      </c>
      <c r="CS2" s="3">
        <v>7607168000</v>
      </c>
      <c r="CT2" s="3">
        <v>70000000</v>
      </c>
      <c r="CU2" s="3">
        <v>12754940000</v>
      </c>
      <c r="CV2" s="3">
        <v>5532406000</v>
      </c>
      <c r="CW2" s="3">
        <v>7607168000</v>
      </c>
      <c r="CX2" s="3">
        <v>70000000</v>
      </c>
      <c r="CY2" s="3">
        <v>13209574000</v>
      </c>
      <c r="CZ2" s="3">
        <v>10301502717.459999</v>
      </c>
      <c r="DA2" s="3">
        <v>7956447815.04</v>
      </c>
      <c r="DB2" s="3">
        <v>517225597.73000002</v>
      </c>
      <c r="DC2" s="3">
        <v>18775176130.23</v>
      </c>
      <c r="DD2" s="3">
        <v>10301502717.459999</v>
      </c>
      <c r="DE2" s="3">
        <v>7956447815.04</v>
      </c>
      <c r="DF2" s="3">
        <v>448475597.73000002</v>
      </c>
      <c r="DG2" s="3">
        <v>18706426130.23</v>
      </c>
      <c r="DH2" s="3">
        <v>9624877903.4899998</v>
      </c>
      <c r="DI2" s="3">
        <v>7120264260.5200005</v>
      </c>
      <c r="DJ2" s="3">
        <v>262296731.53</v>
      </c>
      <c r="DK2" s="3">
        <v>17007438895.540001</v>
      </c>
      <c r="DL2" s="3">
        <v>6357703725.46</v>
      </c>
      <c r="DM2" s="3">
        <v>6164310867.0500002</v>
      </c>
      <c r="DN2" s="3">
        <v>121567249.79000001</v>
      </c>
      <c r="DO2" s="3">
        <v>12643581842.299999</v>
      </c>
      <c r="DP2" s="3">
        <v>5852307000</v>
      </c>
      <c r="DQ2" s="3">
        <v>8089000000</v>
      </c>
      <c r="DR2" s="3">
        <v>0</v>
      </c>
      <c r="DS2" s="3">
        <v>13941307000</v>
      </c>
      <c r="DT2" s="3">
        <v>5852307000</v>
      </c>
      <c r="DU2" s="3">
        <v>7635066000</v>
      </c>
      <c r="DV2" s="3">
        <v>20000000</v>
      </c>
      <c r="DW2" s="3">
        <v>13507373000</v>
      </c>
      <c r="DX2" s="3">
        <v>6376549000</v>
      </c>
      <c r="DY2" s="3">
        <v>7635066000</v>
      </c>
      <c r="DZ2" s="3">
        <v>88750000</v>
      </c>
      <c r="EA2" s="3">
        <v>14100365000</v>
      </c>
      <c r="EB2" s="3">
        <v>13015927580.120001</v>
      </c>
      <c r="EC2" s="3">
        <v>8276420783.5600004</v>
      </c>
      <c r="ED2" s="3">
        <v>328382862.29000002</v>
      </c>
      <c r="EE2" s="3">
        <v>21620731225.970001</v>
      </c>
      <c r="EF2" s="3">
        <v>13015927580.120001</v>
      </c>
      <c r="EG2" s="3">
        <v>8276420783.5600004</v>
      </c>
      <c r="EH2" s="3">
        <v>328382862.29000002</v>
      </c>
      <c r="EI2" s="3">
        <v>21620731225.970001</v>
      </c>
      <c r="EJ2" s="3">
        <v>12423152260.32</v>
      </c>
      <c r="EK2" s="3">
        <v>7085606682.7399998</v>
      </c>
      <c r="EL2" s="3">
        <v>207391064.34999999</v>
      </c>
      <c r="EM2" s="3">
        <v>19716150007.41</v>
      </c>
      <c r="EN2" s="3">
        <v>11817934583.459999</v>
      </c>
      <c r="EO2" s="3">
        <v>6596602159.8000002</v>
      </c>
      <c r="EP2" s="3">
        <v>122235980.61</v>
      </c>
      <c r="EQ2" s="3">
        <v>18536772723.869999</v>
      </c>
      <c r="ER2" s="3">
        <v>7542482000</v>
      </c>
      <c r="ES2" s="3">
        <v>8552680000</v>
      </c>
      <c r="ET2" s="3">
        <v>0</v>
      </c>
      <c r="EU2" s="3">
        <v>16095162000</v>
      </c>
      <c r="EV2" s="3">
        <v>7542482000</v>
      </c>
      <c r="EW2" s="3">
        <v>8664316000</v>
      </c>
      <c r="EX2" s="3">
        <v>1000000000</v>
      </c>
      <c r="EY2" s="3">
        <v>17206798000</v>
      </c>
      <c r="EZ2" s="3">
        <v>8220096000</v>
      </c>
      <c r="FA2" s="3">
        <v>8664316000</v>
      </c>
      <c r="FB2" s="3">
        <v>1000000000</v>
      </c>
      <c r="FC2" s="3">
        <v>17884412000</v>
      </c>
      <c r="FD2" s="3">
        <v>14251928210.049999</v>
      </c>
      <c r="FE2" s="3">
        <v>9331872953.1499996</v>
      </c>
      <c r="FF2" s="3">
        <v>1032221003.15</v>
      </c>
      <c r="FG2" s="3">
        <v>24616022166.349998</v>
      </c>
      <c r="FH2" s="3">
        <v>14251928210.049999</v>
      </c>
      <c r="FI2" s="3">
        <v>9252537489.1399994</v>
      </c>
      <c r="FJ2" s="3">
        <v>963817056.14999998</v>
      </c>
      <c r="FK2" s="3">
        <v>24468282755.34</v>
      </c>
      <c r="FL2" s="3">
        <v>13884182946.92</v>
      </c>
      <c r="FM2" s="3">
        <v>6634885271.9399996</v>
      </c>
      <c r="FN2" s="3">
        <v>515747647.29000002</v>
      </c>
      <c r="FO2" s="3">
        <v>21034815866.150002</v>
      </c>
      <c r="FP2" s="3">
        <v>13441036283.690001</v>
      </c>
      <c r="FQ2" s="3">
        <v>5858801938.1700001</v>
      </c>
      <c r="FR2" s="3">
        <v>66740835.18</v>
      </c>
      <c r="FS2" s="3">
        <v>19366579057.040001</v>
      </c>
      <c r="FT2" s="3">
        <v>9009149000</v>
      </c>
      <c r="FU2" s="3">
        <v>8883051000</v>
      </c>
      <c r="FV2" s="3">
        <v>2841661000</v>
      </c>
      <c r="FW2" s="3">
        <v>20733861000</v>
      </c>
      <c r="FX2" s="3">
        <v>9009149000</v>
      </c>
      <c r="FY2" s="3">
        <v>8921692000</v>
      </c>
      <c r="FZ2" s="3">
        <v>2841661000</v>
      </c>
      <c r="GA2" s="3">
        <v>20772502000</v>
      </c>
      <c r="GB2" s="3">
        <v>9820317000</v>
      </c>
      <c r="GC2" s="3">
        <v>9001027464</v>
      </c>
      <c r="GD2" s="3">
        <v>2910064947</v>
      </c>
      <c r="GE2" s="3">
        <v>21731409411</v>
      </c>
      <c r="GF2" s="3">
        <v>14554023435.09</v>
      </c>
      <c r="GG2" s="3">
        <v>10582761344.57</v>
      </c>
      <c r="GH2" s="3">
        <v>3365912982.2199998</v>
      </c>
      <c r="GI2" s="3">
        <v>28502697761.880001</v>
      </c>
      <c r="GJ2" s="3">
        <v>14554023435.09</v>
      </c>
      <c r="GK2" s="3">
        <v>10579231344.57</v>
      </c>
      <c r="GL2" s="3">
        <v>3365294369.2199998</v>
      </c>
      <c r="GM2" s="3">
        <v>28498549148.880001</v>
      </c>
      <c r="GN2" s="3">
        <v>13556486076.77</v>
      </c>
      <c r="GO2" s="3">
        <v>6181854524.2399998</v>
      </c>
      <c r="GP2" s="3">
        <v>2031034075.5999999</v>
      </c>
      <c r="GQ2" s="3">
        <v>21769374676.610001</v>
      </c>
      <c r="GR2" s="3">
        <v>12097441070.93</v>
      </c>
      <c r="GS2" s="3">
        <v>5186237288.9899998</v>
      </c>
      <c r="GT2" s="3">
        <v>592159616.62</v>
      </c>
      <c r="GU2" s="3">
        <v>17875837976.540001</v>
      </c>
      <c r="GV2" s="3">
        <v>10526635000</v>
      </c>
      <c r="GW2" s="3">
        <v>8718015000</v>
      </c>
      <c r="GX2" s="3">
        <v>0</v>
      </c>
      <c r="GY2" s="3">
        <v>19244650000</v>
      </c>
      <c r="GZ2" s="3">
        <v>10526635000</v>
      </c>
      <c r="HA2" s="3">
        <v>6294175000</v>
      </c>
      <c r="HB2" s="3">
        <v>1100000000</v>
      </c>
      <c r="HC2" s="3">
        <v>17920810000</v>
      </c>
      <c r="HD2" s="3">
        <v>11468247000</v>
      </c>
      <c r="HE2" s="3">
        <v>6294175000</v>
      </c>
      <c r="HF2" s="3">
        <v>1100000000</v>
      </c>
      <c r="HG2" s="3">
        <v>18862422000</v>
      </c>
      <c r="HH2" s="3">
        <v>25426475559.709999</v>
      </c>
      <c r="HI2" s="3">
        <v>9921816685.1200008</v>
      </c>
      <c r="HJ2" s="3">
        <v>2437669935.0900002</v>
      </c>
      <c r="HK2" s="3">
        <v>37785962179.910004</v>
      </c>
      <c r="HL2" s="3">
        <v>25426475559.709999</v>
      </c>
      <c r="HM2" s="3">
        <v>9714227935.1200008</v>
      </c>
      <c r="HN2" s="3">
        <v>1762669935.0899999</v>
      </c>
      <c r="HO2" s="3">
        <v>36903373429.910004</v>
      </c>
      <c r="HP2" s="3">
        <v>25020843552.720001</v>
      </c>
      <c r="HQ2" s="3">
        <v>8848101855.1299992</v>
      </c>
      <c r="HR2" s="3">
        <v>1310516081.6800001</v>
      </c>
      <c r="HS2" s="3">
        <v>35179461489.529999</v>
      </c>
      <c r="HT2" s="3">
        <v>20203972542.630001</v>
      </c>
      <c r="HU2" s="3">
        <v>6528680393.2200003</v>
      </c>
      <c r="HV2" s="3">
        <v>708126971.19000006</v>
      </c>
      <c r="HW2" s="3">
        <v>27440779907.040001</v>
      </c>
      <c r="HX2" s="3">
        <v>13000860000</v>
      </c>
      <c r="HY2" s="3">
        <v>8832490000</v>
      </c>
      <c r="HZ2" s="3">
        <v>0</v>
      </c>
      <c r="IA2" s="3">
        <v>21833350000</v>
      </c>
      <c r="IB2" s="3">
        <v>13000860000</v>
      </c>
      <c r="IC2" s="3">
        <v>6691789000</v>
      </c>
      <c r="ID2" s="3">
        <v>1071000000</v>
      </c>
      <c r="IE2" s="3">
        <v>20763649000</v>
      </c>
      <c r="IF2" s="3"/>
      <c r="IG2" s="3"/>
      <c r="IH2" s="3"/>
      <c r="II2" s="3"/>
      <c r="IJ2" s="3"/>
      <c r="IK2" s="3"/>
      <c r="IL2" s="3"/>
      <c r="IM2" s="3"/>
      <c r="IN2" s="3"/>
      <c r="IO2" s="3"/>
      <c r="IP2" s="3"/>
      <c r="IQ2" s="3"/>
      <c r="IR2" s="3"/>
      <c r="IS2" s="3"/>
      <c r="IT2" s="3"/>
      <c r="IU2" s="3"/>
      <c r="IV2" s="3"/>
      <c r="IW2" s="3"/>
      <c r="IX2" s="3"/>
      <c r="IY2" s="3"/>
      <c r="IZ2" s="3">
        <v>14382278000</v>
      </c>
      <c r="JA2" s="3">
        <v>7720307000</v>
      </c>
      <c r="JB2" s="3">
        <v>500000000</v>
      </c>
      <c r="JC2" s="3">
        <v>22602585000</v>
      </c>
      <c r="JD2" s="3"/>
      <c r="JE2" s="3"/>
      <c r="JF2" s="3"/>
      <c r="JG2" s="3"/>
    </row>
    <row r="3" spans="1:267" x14ac:dyDescent="0.25">
      <c r="A3" t="s">
        <v>505</v>
      </c>
      <c r="B3" t="s">
        <v>397</v>
      </c>
      <c r="C3" t="s">
        <v>199</v>
      </c>
      <c r="D3" t="s">
        <v>200</v>
      </c>
      <c r="E3" t="s">
        <v>201</v>
      </c>
      <c r="F3" t="s">
        <v>204</v>
      </c>
      <c r="G3" t="s">
        <v>205</v>
      </c>
      <c r="H3" s="3">
        <v>11597245000</v>
      </c>
      <c r="I3" s="3">
        <v>0</v>
      </c>
      <c r="J3" s="3">
        <v>0</v>
      </c>
      <c r="K3" s="3">
        <v>11597245000</v>
      </c>
      <c r="L3" s="3">
        <v>11597245000</v>
      </c>
      <c r="M3" s="3">
        <v>0</v>
      </c>
      <c r="N3" s="3">
        <v>0</v>
      </c>
      <c r="O3" s="3">
        <v>11597245000</v>
      </c>
      <c r="P3" s="3">
        <v>11597245000</v>
      </c>
      <c r="Q3" s="3">
        <v>0</v>
      </c>
      <c r="R3" s="3">
        <v>0</v>
      </c>
      <c r="S3" s="3">
        <v>11597245000</v>
      </c>
      <c r="T3" s="3">
        <v>11658160922.43</v>
      </c>
      <c r="U3" s="3">
        <v>0</v>
      </c>
      <c r="V3" s="3">
        <v>0</v>
      </c>
      <c r="W3" s="3">
        <v>11658160922.43</v>
      </c>
      <c r="X3" s="3">
        <v>5752904298.4300003</v>
      </c>
      <c r="Y3" s="3">
        <v>0</v>
      </c>
      <c r="Z3" s="3">
        <v>0</v>
      </c>
      <c r="AA3" s="3">
        <v>5752904298.4300003</v>
      </c>
      <c r="AB3" s="3">
        <v>5307327573.8500004</v>
      </c>
      <c r="AC3" s="3">
        <v>0</v>
      </c>
      <c r="AD3" s="3">
        <v>0</v>
      </c>
      <c r="AE3" s="3">
        <v>5307327573.8500004</v>
      </c>
      <c r="AF3" s="3">
        <v>5154234279.9099998</v>
      </c>
      <c r="AG3" s="3">
        <v>0</v>
      </c>
      <c r="AH3" s="3">
        <v>0</v>
      </c>
      <c r="AI3" s="3">
        <v>5154234279.9099998</v>
      </c>
      <c r="AJ3" s="3">
        <v>5189472000</v>
      </c>
      <c r="AK3" s="3">
        <v>0</v>
      </c>
      <c r="AL3" s="3">
        <v>0</v>
      </c>
      <c r="AM3" s="3">
        <v>5189472000</v>
      </c>
      <c r="AN3" s="3">
        <v>5189472000</v>
      </c>
      <c r="AO3" s="3">
        <v>0</v>
      </c>
      <c r="AP3" s="3">
        <v>0</v>
      </c>
      <c r="AQ3" s="3">
        <v>5189472000</v>
      </c>
      <c r="AR3" s="3">
        <v>5189472000</v>
      </c>
      <c r="AS3" s="3">
        <v>0</v>
      </c>
      <c r="AT3" s="3">
        <v>0</v>
      </c>
      <c r="AU3" s="3">
        <v>5189472000</v>
      </c>
      <c r="AV3" s="3">
        <v>5175249516.46</v>
      </c>
      <c r="AW3" s="3">
        <v>0</v>
      </c>
      <c r="AX3" s="3">
        <v>0</v>
      </c>
      <c r="AY3" s="3">
        <v>5175249516.46</v>
      </c>
      <c r="AZ3" s="3">
        <v>3564565046.46</v>
      </c>
      <c r="BA3" s="3">
        <v>0</v>
      </c>
      <c r="BB3" s="3">
        <v>0</v>
      </c>
      <c r="BC3" s="3">
        <v>3564565046.46</v>
      </c>
      <c r="BD3" s="3">
        <v>3383949223.98</v>
      </c>
      <c r="BE3" s="3">
        <v>0</v>
      </c>
      <c r="BF3" s="3">
        <v>0</v>
      </c>
      <c r="BG3" s="3">
        <v>3383949223.98</v>
      </c>
      <c r="BH3" s="3">
        <v>3202236009.73</v>
      </c>
      <c r="BI3" s="3">
        <v>0</v>
      </c>
      <c r="BJ3" s="3">
        <v>0</v>
      </c>
      <c r="BK3" s="3">
        <v>3202236009.73</v>
      </c>
      <c r="BL3" s="3">
        <v>676293000</v>
      </c>
      <c r="BM3" s="3">
        <v>0</v>
      </c>
      <c r="BN3" s="3">
        <v>0</v>
      </c>
      <c r="BO3" s="3">
        <v>676293000</v>
      </c>
      <c r="BP3" s="3">
        <v>676293000</v>
      </c>
      <c r="BQ3" s="3">
        <v>0</v>
      </c>
      <c r="BR3" s="3">
        <v>0</v>
      </c>
      <c r="BS3" s="3">
        <v>676293000</v>
      </c>
      <c r="BT3" s="3">
        <v>676293000</v>
      </c>
      <c r="BU3" s="3">
        <v>0</v>
      </c>
      <c r="BV3" s="3">
        <v>0</v>
      </c>
      <c r="BW3" s="3">
        <v>676293000</v>
      </c>
      <c r="BX3" s="3">
        <v>2213447522.5999999</v>
      </c>
      <c r="BY3" s="3">
        <v>0</v>
      </c>
      <c r="BZ3" s="3">
        <v>0</v>
      </c>
      <c r="CA3" s="3">
        <v>2213447522.5999999</v>
      </c>
      <c r="CB3" s="3">
        <v>1989506435.5999999</v>
      </c>
      <c r="CC3" s="3">
        <v>0</v>
      </c>
      <c r="CD3" s="3">
        <v>0</v>
      </c>
      <c r="CE3" s="3">
        <v>1989506435.5999999</v>
      </c>
      <c r="CF3" s="3">
        <v>1820777451.8499999</v>
      </c>
      <c r="CG3" s="3">
        <v>0</v>
      </c>
      <c r="CH3" s="3">
        <v>0</v>
      </c>
      <c r="CI3" s="3">
        <v>1820777451.8499999</v>
      </c>
      <c r="CJ3" s="3">
        <v>1359320410.4100001</v>
      </c>
      <c r="CK3" s="3">
        <v>0</v>
      </c>
      <c r="CL3" s="3">
        <v>0</v>
      </c>
      <c r="CM3" s="3">
        <v>1359320410.4100001</v>
      </c>
      <c r="CN3" s="3">
        <v>1669565000</v>
      </c>
      <c r="CO3" s="3">
        <v>0</v>
      </c>
      <c r="CP3" s="3">
        <v>0</v>
      </c>
      <c r="CQ3" s="3">
        <v>1669565000</v>
      </c>
      <c r="CR3" s="3">
        <v>1669565000</v>
      </c>
      <c r="CS3" s="3">
        <v>0</v>
      </c>
      <c r="CT3" s="3">
        <v>0</v>
      </c>
      <c r="CU3" s="3">
        <v>1669565000</v>
      </c>
      <c r="CV3" s="3">
        <v>1669565000</v>
      </c>
      <c r="CW3" s="3">
        <v>0</v>
      </c>
      <c r="CX3" s="3">
        <v>0</v>
      </c>
      <c r="CY3" s="3">
        <v>1669565000</v>
      </c>
      <c r="CZ3" s="3">
        <v>1006771155.23</v>
      </c>
      <c r="DA3" s="3">
        <v>0</v>
      </c>
      <c r="DB3" s="3">
        <v>0</v>
      </c>
      <c r="DC3" s="3">
        <v>1006771155.23</v>
      </c>
      <c r="DD3" s="3">
        <v>1006771155.23</v>
      </c>
      <c r="DE3" s="3">
        <v>0</v>
      </c>
      <c r="DF3" s="3">
        <v>0</v>
      </c>
      <c r="DG3" s="3">
        <v>1006771155.23</v>
      </c>
      <c r="DH3" s="3">
        <v>924106992.86000001</v>
      </c>
      <c r="DI3" s="3">
        <v>0</v>
      </c>
      <c r="DJ3" s="3">
        <v>0</v>
      </c>
      <c r="DK3" s="3">
        <v>924106992.86000001</v>
      </c>
      <c r="DL3" s="3">
        <v>888899414.92999995</v>
      </c>
      <c r="DM3" s="3"/>
      <c r="DN3" s="3">
        <v>0</v>
      </c>
      <c r="DO3" s="3">
        <v>888899414.92999995</v>
      </c>
      <c r="DP3" s="3">
        <v>1164425000</v>
      </c>
      <c r="DQ3" s="3">
        <v>0</v>
      </c>
      <c r="DR3" s="3">
        <v>0</v>
      </c>
      <c r="DS3" s="3">
        <v>1164425000</v>
      </c>
      <c r="DT3" s="3">
        <v>1164425000</v>
      </c>
      <c r="DU3" s="3">
        <v>0</v>
      </c>
      <c r="DV3" s="3">
        <v>0</v>
      </c>
      <c r="DW3" s="3">
        <v>1164425000</v>
      </c>
      <c r="DX3" s="3">
        <v>1164425000</v>
      </c>
      <c r="DY3" s="3">
        <v>0</v>
      </c>
      <c r="DZ3" s="3">
        <v>0</v>
      </c>
      <c r="EA3" s="3">
        <v>1164425000</v>
      </c>
      <c r="EB3" s="3">
        <v>1162262777.55</v>
      </c>
      <c r="EC3" s="3">
        <v>0</v>
      </c>
      <c r="ED3" s="3">
        <v>0</v>
      </c>
      <c r="EE3" s="3">
        <v>1162262777.55</v>
      </c>
      <c r="EF3" s="3">
        <v>1162262777.55</v>
      </c>
      <c r="EG3" s="3">
        <v>0</v>
      </c>
      <c r="EH3" s="3">
        <v>0</v>
      </c>
      <c r="EI3" s="3">
        <v>1162262777.55</v>
      </c>
      <c r="EJ3" s="3">
        <v>1073124092.3</v>
      </c>
      <c r="EK3" s="3">
        <v>0</v>
      </c>
      <c r="EL3" s="3">
        <v>0</v>
      </c>
      <c r="EM3" s="3">
        <v>1073124092.3</v>
      </c>
      <c r="EN3" s="3">
        <v>991613283.76999998</v>
      </c>
      <c r="EO3" s="3">
        <v>0</v>
      </c>
      <c r="EP3" s="3">
        <v>0</v>
      </c>
      <c r="EQ3" s="3">
        <v>991613283.76999998</v>
      </c>
      <c r="ER3" s="3">
        <v>4575160000</v>
      </c>
      <c r="ES3" s="3">
        <v>0</v>
      </c>
      <c r="ET3" s="3">
        <v>0</v>
      </c>
      <c r="EU3" s="3">
        <v>4575160000</v>
      </c>
      <c r="EV3" s="3">
        <v>4575160000</v>
      </c>
      <c r="EW3" s="3">
        <v>0</v>
      </c>
      <c r="EX3" s="3">
        <v>0</v>
      </c>
      <c r="EY3" s="3">
        <v>4575160000</v>
      </c>
      <c r="EZ3" s="3">
        <v>4575160000</v>
      </c>
      <c r="FA3" s="3">
        <v>0</v>
      </c>
      <c r="FB3" s="3">
        <v>0</v>
      </c>
      <c r="FC3" s="3">
        <v>4575160000</v>
      </c>
      <c r="FD3" s="3">
        <v>4375412436.7299995</v>
      </c>
      <c r="FE3" s="3">
        <v>0</v>
      </c>
      <c r="FF3" s="3">
        <v>0</v>
      </c>
      <c r="FG3" s="3">
        <v>4375412436.7299995</v>
      </c>
      <c r="FH3" s="3">
        <v>4375412436.7299995</v>
      </c>
      <c r="FI3" s="3">
        <v>0</v>
      </c>
      <c r="FJ3" s="3">
        <v>0</v>
      </c>
      <c r="FK3" s="3">
        <v>4375412436.7299995</v>
      </c>
      <c r="FL3" s="3">
        <v>4327476041.3900003</v>
      </c>
      <c r="FM3" s="3">
        <v>0</v>
      </c>
      <c r="FN3" s="3">
        <v>0</v>
      </c>
      <c r="FO3" s="3">
        <v>4327476041.3900003</v>
      </c>
      <c r="FP3" s="3">
        <v>4232258765.25</v>
      </c>
      <c r="FQ3" s="3">
        <v>0</v>
      </c>
      <c r="FR3" s="3">
        <v>0</v>
      </c>
      <c r="FS3" s="3">
        <v>4232258765.25</v>
      </c>
      <c r="FT3" s="3">
        <v>1364976000</v>
      </c>
      <c r="FU3" s="3">
        <v>0</v>
      </c>
      <c r="FV3" s="3">
        <v>0</v>
      </c>
      <c r="FW3" s="3">
        <v>1364976000</v>
      </c>
      <c r="FX3" s="3">
        <v>1364976000</v>
      </c>
      <c r="FY3" s="3">
        <v>0</v>
      </c>
      <c r="FZ3" s="3">
        <v>0</v>
      </c>
      <c r="GA3" s="3">
        <v>1364976000</v>
      </c>
      <c r="GB3" s="3">
        <v>1364976000</v>
      </c>
      <c r="GC3" s="3">
        <v>0</v>
      </c>
      <c r="GD3" s="3">
        <v>0</v>
      </c>
      <c r="GE3" s="3">
        <v>1364976000</v>
      </c>
      <c r="GF3" s="3">
        <v>1328955290.54</v>
      </c>
      <c r="GG3" s="3">
        <v>0</v>
      </c>
      <c r="GH3" s="3">
        <v>0</v>
      </c>
      <c r="GI3" s="3">
        <v>1328955290.54</v>
      </c>
      <c r="GJ3" s="3">
        <v>1328955290.54</v>
      </c>
      <c r="GK3" s="3">
        <v>0</v>
      </c>
      <c r="GL3" s="3">
        <v>0</v>
      </c>
      <c r="GM3" s="3">
        <v>1328955290.54</v>
      </c>
      <c r="GN3" s="3">
        <v>1209214660.6199999</v>
      </c>
      <c r="GO3" s="3">
        <v>0</v>
      </c>
      <c r="GP3" s="3">
        <v>0</v>
      </c>
      <c r="GQ3" s="3">
        <v>1209214660.6199999</v>
      </c>
      <c r="GR3" s="3">
        <v>1153806668.5899999</v>
      </c>
      <c r="GS3" s="3">
        <v>0</v>
      </c>
      <c r="GT3" s="3">
        <v>0</v>
      </c>
      <c r="GU3" s="3">
        <v>1153806668.5899999</v>
      </c>
      <c r="GV3" s="3">
        <v>1944922000</v>
      </c>
      <c r="GW3" s="3">
        <v>0</v>
      </c>
      <c r="GX3" s="3">
        <v>0</v>
      </c>
      <c r="GY3" s="3">
        <v>1944922000</v>
      </c>
      <c r="GZ3" s="3">
        <v>1944922000</v>
      </c>
      <c r="HA3" s="3">
        <v>0</v>
      </c>
      <c r="HB3" s="3">
        <v>0</v>
      </c>
      <c r="HC3" s="3">
        <v>1944922000</v>
      </c>
      <c r="HD3" s="3">
        <v>1944922000</v>
      </c>
      <c r="HE3" s="3">
        <v>0</v>
      </c>
      <c r="HF3" s="3">
        <v>0</v>
      </c>
      <c r="HG3" s="3">
        <v>1944922000</v>
      </c>
      <c r="HH3" s="3">
        <v>1602885928.47</v>
      </c>
      <c r="HI3" s="3">
        <v>0</v>
      </c>
      <c r="HJ3" s="3">
        <v>0</v>
      </c>
      <c r="HK3" s="3">
        <v>1602885928.47</v>
      </c>
      <c r="HL3" s="3">
        <v>1602885928.47</v>
      </c>
      <c r="HM3" s="3">
        <v>0</v>
      </c>
      <c r="HN3" s="3">
        <v>0</v>
      </c>
      <c r="HO3" s="3">
        <v>1602885928.47</v>
      </c>
      <c r="HP3" s="3">
        <v>1499939745.1700001</v>
      </c>
      <c r="HQ3" s="3">
        <v>0</v>
      </c>
      <c r="HR3" s="3">
        <v>0</v>
      </c>
      <c r="HS3" s="3">
        <v>1499939745.1700001</v>
      </c>
      <c r="HT3" s="3">
        <v>1399970199.5599999</v>
      </c>
      <c r="HU3" s="3">
        <v>0</v>
      </c>
      <c r="HV3" s="3">
        <v>0</v>
      </c>
      <c r="HW3" s="3">
        <v>1399970199.5599999</v>
      </c>
      <c r="HX3" s="3">
        <v>5527234000</v>
      </c>
      <c r="HY3" s="3">
        <v>0</v>
      </c>
      <c r="HZ3" s="3">
        <v>0</v>
      </c>
      <c r="IA3" s="3">
        <v>5527234000</v>
      </c>
      <c r="IB3" s="3">
        <v>7686385000</v>
      </c>
      <c r="IC3" s="3">
        <v>755000000</v>
      </c>
      <c r="ID3" s="3">
        <v>0</v>
      </c>
      <c r="IE3" s="3">
        <v>8441385000</v>
      </c>
      <c r="IF3" s="3"/>
      <c r="IG3" s="3"/>
      <c r="IH3" s="3"/>
      <c r="II3" s="3"/>
      <c r="IJ3" s="3"/>
      <c r="IK3" s="3"/>
      <c r="IL3" s="3"/>
      <c r="IM3" s="3"/>
      <c r="IN3" s="3"/>
      <c r="IO3" s="3"/>
      <c r="IP3" s="3"/>
      <c r="IQ3" s="3"/>
      <c r="IR3" s="3"/>
      <c r="IS3" s="3"/>
      <c r="IT3" s="3"/>
      <c r="IU3" s="3"/>
      <c r="IV3" s="3"/>
      <c r="IW3" s="3"/>
      <c r="IX3" s="3"/>
      <c r="IY3" s="3"/>
      <c r="IZ3" s="3">
        <v>5293619000</v>
      </c>
      <c r="JA3" s="3">
        <v>0</v>
      </c>
      <c r="JB3" s="3">
        <v>0</v>
      </c>
      <c r="JC3" s="3">
        <v>5293619000</v>
      </c>
      <c r="JD3" s="3"/>
      <c r="JE3" s="3"/>
      <c r="JF3" s="3"/>
      <c r="JG3" s="3"/>
    </row>
    <row r="4" spans="1:267" x14ac:dyDescent="0.25">
      <c r="A4" t="s">
        <v>505</v>
      </c>
      <c r="B4" t="s">
        <v>397</v>
      </c>
      <c r="C4" t="s">
        <v>199</v>
      </c>
      <c r="D4" t="s">
        <v>200</v>
      </c>
      <c r="E4" t="s">
        <v>208</v>
      </c>
      <c r="F4" t="s">
        <v>209</v>
      </c>
      <c r="G4" t="s">
        <v>399</v>
      </c>
      <c r="H4" s="3">
        <v>5068000</v>
      </c>
      <c r="I4" s="3">
        <v>350587000</v>
      </c>
      <c r="J4" s="3">
        <v>2500000</v>
      </c>
      <c r="K4" s="3">
        <v>358155000</v>
      </c>
      <c r="L4" s="3">
        <v>5068000</v>
      </c>
      <c r="M4" s="3">
        <v>350587000</v>
      </c>
      <c r="N4" s="3">
        <v>32500000</v>
      </c>
      <c r="O4" s="3">
        <v>388155000</v>
      </c>
      <c r="P4" s="3">
        <v>5534000</v>
      </c>
      <c r="Q4" s="3">
        <v>350587000</v>
      </c>
      <c r="R4" s="3">
        <v>32500000</v>
      </c>
      <c r="S4" s="3">
        <v>388621000</v>
      </c>
      <c r="T4" s="3">
        <v>7429940.4100000001</v>
      </c>
      <c r="U4" s="3">
        <v>350585840</v>
      </c>
      <c r="V4" s="3">
        <v>32500000</v>
      </c>
      <c r="W4" s="3">
        <v>390515780.41000003</v>
      </c>
      <c r="X4" s="3">
        <v>7429940.4100000001</v>
      </c>
      <c r="Y4" s="3">
        <v>350585840</v>
      </c>
      <c r="Z4" s="3">
        <v>32500000</v>
      </c>
      <c r="AA4" s="3">
        <v>390515780.41000003</v>
      </c>
      <c r="AB4" s="3">
        <v>7429940.4100000001</v>
      </c>
      <c r="AC4" s="3">
        <v>322980152.45999998</v>
      </c>
      <c r="AD4" s="3">
        <v>30796000</v>
      </c>
      <c r="AE4" s="3">
        <v>361206092.87</v>
      </c>
      <c r="AF4" s="3">
        <v>7314264.3200000003</v>
      </c>
      <c r="AG4" s="3">
        <v>284912969.62</v>
      </c>
      <c r="AH4" s="3">
        <v>29625874.25</v>
      </c>
      <c r="AI4" s="3">
        <v>321853108.19</v>
      </c>
      <c r="AJ4" s="3">
        <v>7017000</v>
      </c>
      <c r="AK4" s="3">
        <v>281949000</v>
      </c>
      <c r="AL4" s="3">
        <v>0</v>
      </c>
      <c r="AM4" s="3">
        <v>288966000</v>
      </c>
      <c r="AN4" s="3">
        <v>7017000</v>
      </c>
      <c r="AO4" s="3">
        <v>373729000</v>
      </c>
      <c r="AP4" s="3">
        <v>2500000</v>
      </c>
      <c r="AQ4" s="3">
        <v>383246000</v>
      </c>
      <c r="AR4" s="3">
        <v>7671000</v>
      </c>
      <c r="AS4" s="3">
        <v>373729000</v>
      </c>
      <c r="AT4" s="3">
        <v>2500000</v>
      </c>
      <c r="AU4" s="3">
        <v>383900000</v>
      </c>
      <c r="AV4" s="3">
        <v>7823956.2000000002</v>
      </c>
      <c r="AW4" s="3">
        <v>401334687.54000002</v>
      </c>
      <c r="AX4" s="3">
        <v>4204000</v>
      </c>
      <c r="AY4" s="3">
        <v>413362643.74000001</v>
      </c>
      <c r="AZ4" s="3">
        <v>7823956.2000000002</v>
      </c>
      <c r="BA4" s="3">
        <v>401334687.54000002</v>
      </c>
      <c r="BB4" s="3">
        <v>4204000</v>
      </c>
      <c r="BC4" s="3">
        <v>413362643.74000001</v>
      </c>
      <c r="BD4" s="3">
        <v>7823956.2000000002</v>
      </c>
      <c r="BE4" s="3">
        <v>350690555.31999999</v>
      </c>
      <c r="BF4" s="3">
        <v>202886</v>
      </c>
      <c r="BG4" s="3">
        <v>358717397.51999998</v>
      </c>
      <c r="BH4" s="3">
        <v>7823956.2000000002</v>
      </c>
      <c r="BI4" s="3">
        <v>311477215.60000002</v>
      </c>
      <c r="BJ4" s="3">
        <v>40000</v>
      </c>
      <c r="BK4" s="3">
        <v>319341171.80000001</v>
      </c>
      <c r="BL4" s="3">
        <v>7343000</v>
      </c>
      <c r="BM4" s="3">
        <v>586300000</v>
      </c>
      <c r="BN4" s="3">
        <v>0</v>
      </c>
      <c r="BO4" s="3">
        <v>593643000</v>
      </c>
      <c r="BP4" s="3">
        <v>7343000</v>
      </c>
      <c r="BQ4" s="3">
        <v>606300000</v>
      </c>
      <c r="BR4" s="3">
        <v>0</v>
      </c>
      <c r="BS4" s="3">
        <v>613643000</v>
      </c>
      <c r="BT4" s="3">
        <v>8030000</v>
      </c>
      <c r="BU4" s="3">
        <v>606300000</v>
      </c>
      <c r="BV4" s="3">
        <v>0</v>
      </c>
      <c r="BW4" s="3">
        <v>614330000</v>
      </c>
      <c r="BX4" s="3">
        <v>4685953.33</v>
      </c>
      <c r="BY4" s="3">
        <v>79740123.5</v>
      </c>
      <c r="BZ4" s="3">
        <v>100000</v>
      </c>
      <c r="CA4" s="3">
        <v>84526076.829999998</v>
      </c>
      <c r="CB4" s="3">
        <v>4685953.33</v>
      </c>
      <c r="CC4" s="3">
        <v>79740123.5</v>
      </c>
      <c r="CD4" s="3">
        <v>100000</v>
      </c>
      <c r="CE4" s="3">
        <v>84526076.829999998</v>
      </c>
      <c r="CF4" s="3">
        <v>4685953.33</v>
      </c>
      <c r="CG4" s="3">
        <v>40349328.780000001</v>
      </c>
      <c r="CH4" s="3">
        <v>82784</v>
      </c>
      <c r="CI4" s="3">
        <v>45118066.109999999</v>
      </c>
      <c r="CJ4" s="3">
        <v>4589760.12</v>
      </c>
      <c r="CK4" s="3">
        <v>32777968.77</v>
      </c>
      <c r="CL4" s="3">
        <v>0</v>
      </c>
      <c r="CM4" s="3">
        <v>37367728.890000001</v>
      </c>
      <c r="CN4" s="3">
        <v>7221000</v>
      </c>
      <c r="CO4" s="3">
        <v>268815000</v>
      </c>
      <c r="CP4" s="3">
        <v>0</v>
      </c>
      <c r="CQ4" s="3">
        <v>276036000</v>
      </c>
      <c r="CR4" s="3">
        <v>7221000</v>
      </c>
      <c r="CS4" s="3">
        <v>268815000</v>
      </c>
      <c r="CT4" s="3">
        <v>0</v>
      </c>
      <c r="CU4" s="3">
        <v>276036000</v>
      </c>
      <c r="CV4" s="3">
        <v>7900000</v>
      </c>
      <c r="CW4" s="3">
        <v>268815000</v>
      </c>
      <c r="CX4" s="3">
        <v>0</v>
      </c>
      <c r="CY4" s="3">
        <v>276715000</v>
      </c>
      <c r="CZ4" s="3">
        <v>8371676.6399999997</v>
      </c>
      <c r="DA4" s="3">
        <v>295032475.07999998</v>
      </c>
      <c r="DB4" s="3">
        <v>0</v>
      </c>
      <c r="DC4" s="3">
        <v>303404151.72000003</v>
      </c>
      <c r="DD4" s="3">
        <v>8371676.6399999997</v>
      </c>
      <c r="DE4" s="3">
        <v>295032475.07999998</v>
      </c>
      <c r="DF4" s="3">
        <v>0</v>
      </c>
      <c r="DG4" s="3">
        <v>303404151.72000003</v>
      </c>
      <c r="DH4" s="3">
        <v>8371676.6399999997</v>
      </c>
      <c r="DI4" s="3">
        <v>21743835.620000001</v>
      </c>
      <c r="DJ4" s="3">
        <v>0</v>
      </c>
      <c r="DK4" s="3">
        <v>30115512.260000002</v>
      </c>
      <c r="DL4" s="3">
        <v>7988318.5099999998</v>
      </c>
      <c r="DM4" s="3">
        <v>13164310.800000001</v>
      </c>
      <c r="DN4" s="3">
        <v>0</v>
      </c>
      <c r="DO4" s="3">
        <v>21152629.309999999</v>
      </c>
      <c r="DP4" s="3">
        <v>7505000</v>
      </c>
      <c r="DQ4" s="3">
        <v>268815000</v>
      </c>
      <c r="DR4" s="3">
        <v>0</v>
      </c>
      <c r="DS4" s="3">
        <v>276320000</v>
      </c>
      <c r="DT4" s="3">
        <v>7505000</v>
      </c>
      <c r="DU4" s="3">
        <v>268815000</v>
      </c>
      <c r="DV4" s="3">
        <v>0</v>
      </c>
      <c r="DW4" s="3">
        <v>276320000</v>
      </c>
      <c r="DX4" s="3">
        <v>8210000</v>
      </c>
      <c r="DY4" s="3">
        <v>268815000</v>
      </c>
      <c r="DZ4" s="3">
        <v>0</v>
      </c>
      <c r="EA4" s="3">
        <v>277025000</v>
      </c>
      <c r="EB4" s="3">
        <v>8364901.7999999998</v>
      </c>
      <c r="EC4" s="3">
        <v>525294017.08999997</v>
      </c>
      <c r="ED4" s="3">
        <v>0</v>
      </c>
      <c r="EE4" s="3">
        <v>533658918.88999999</v>
      </c>
      <c r="EF4" s="3">
        <v>8364901.7999999998</v>
      </c>
      <c r="EG4" s="3">
        <v>525294017.08999997</v>
      </c>
      <c r="EH4" s="3">
        <v>0</v>
      </c>
      <c r="EI4" s="3">
        <v>533658918.88999999</v>
      </c>
      <c r="EJ4" s="3">
        <v>8343169.54</v>
      </c>
      <c r="EK4" s="3">
        <v>238922866.86000001</v>
      </c>
      <c r="EL4" s="3">
        <v>0</v>
      </c>
      <c r="EM4" s="3">
        <v>247266036.40000001</v>
      </c>
      <c r="EN4" s="3">
        <v>8264844.9199999999</v>
      </c>
      <c r="EO4" s="3">
        <v>116611821.81</v>
      </c>
      <c r="EP4" s="3">
        <v>0</v>
      </c>
      <c r="EQ4" s="3">
        <v>124876666.73</v>
      </c>
      <c r="ER4" s="3">
        <v>7725000</v>
      </c>
      <c r="ES4" s="3">
        <v>278638000</v>
      </c>
      <c r="ET4" s="3">
        <v>0</v>
      </c>
      <c r="EU4" s="3">
        <v>286363000</v>
      </c>
      <c r="EV4" s="3">
        <v>7725000</v>
      </c>
      <c r="EW4" s="3">
        <v>278638000</v>
      </c>
      <c r="EX4" s="3">
        <v>0</v>
      </c>
      <c r="EY4" s="3">
        <v>286363000</v>
      </c>
      <c r="EZ4" s="3">
        <v>8448000</v>
      </c>
      <c r="FA4" s="3">
        <v>278638000</v>
      </c>
      <c r="FB4" s="3">
        <v>0</v>
      </c>
      <c r="FC4" s="3">
        <v>287086000</v>
      </c>
      <c r="FD4" s="3">
        <v>10630607.439999999</v>
      </c>
      <c r="FE4" s="3">
        <v>525902741.08999997</v>
      </c>
      <c r="FF4" s="3">
        <v>0</v>
      </c>
      <c r="FG4" s="3">
        <v>536533348.52999997</v>
      </c>
      <c r="FH4" s="3">
        <v>10630607.4</v>
      </c>
      <c r="FI4" s="3">
        <v>525902741.08999997</v>
      </c>
      <c r="FJ4" s="3">
        <v>0</v>
      </c>
      <c r="FK4" s="3">
        <v>536533348.52999997</v>
      </c>
      <c r="FL4" s="3">
        <v>10630607.439999999</v>
      </c>
      <c r="FM4" s="3">
        <v>326050606.25</v>
      </c>
      <c r="FN4" s="3">
        <v>0</v>
      </c>
      <c r="FO4" s="3">
        <v>336681213.69</v>
      </c>
      <c r="FP4" s="3">
        <v>8536388.8800000008</v>
      </c>
      <c r="FQ4" s="3">
        <v>299262055.25</v>
      </c>
      <c r="FR4" s="3">
        <v>0</v>
      </c>
      <c r="FS4" s="3">
        <v>307798444.13</v>
      </c>
      <c r="FT4" s="3">
        <v>7748000</v>
      </c>
      <c r="FU4" s="3">
        <v>706411000</v>
      </c>
      <c r="FV4" s="3">
        <v>0</v>
      </c>
      <c r="FW4" s="3">
        <v>714159000</v>
      </c>
      <c r="FX4" s="3">
        <v>7748000</v>
      </c>
      <c r="FY4" s="3">
        <v>706411000</v>
      </c>
      <c r="FZ4" s="3">
        <v>0</v>
      </c>
      <c r="GA4" s="3">
        <v>714159000</v>
      </c>
      <c r="GB4" s="3">
        <v>8474000</v>
      </c>
      <c r="GC4" s="3">
        <v>706411000</v>
      </c>
      <c r="GD4" s="3">
        <v>0</v>
      </c>
      <c r="GE4" s="3">
        <v>714885000</v>
      </c>
      <c r="GF4" s="3">
        <v>8906664.7699999996</v>
      </c>
      <c r="GG4" s="3">
        <v>894691192.38999999</v>
      </c>
      <c r="GH4" s="3">
        <v>0</v>
      </c>
      <c r="GI4" s="3">
        <v>903597857.15999997</v>
      </c>
      <c r="GJ4" s="3">
        <v>8906664.7699999996</v>
      </c>
      <c r="GK4" s="3">
        <v>894691192.38999999</v>
      </c>
      <c r="GL4" s="3">
        <v>0</v>
      </c>
      <c r="GM4" s="3">
        <v>903597857.15999997</v>
      </c>
      <c r="GN4" s="3">
        <v>8852441.7400000002</v>
      </c>
      <c r="GO4" s="3">
        <v>642057265.92999995</v>
      </c>
      <c r="GP4" s="3">
        <v>0</v>
      </c>
      <c r="GQ4" s="3">
        <v>650909707.66999996</v>
      </c>
      <c r="GR4" s="3">
        <v>8804547.8399999999</v>
      </c>
      <c r="GS4" s="3">
        <v>581436134.45000005</v>
      </c>
      <c r="GT4" s="3">
        <v>0</v>
      </c>
      <c r="GU4" s="3">
        <v>590240682.28999996</v>
      </c>
      <c r="GV4" s="3">
        <v>7846000</v>
      </c>
      <c r="GW4" s="3">
        <v>471321000</v>
      </c>
      <c r="GX4" s="3">
        <v>0</v>
      </c>
      <c r="GY4" s="3">
        <v>479167000</v>
      </c>
      <c r="GZ4" s="3">
        <v>7846000</v>
      </c>
      <c r="HA4" s="3">
        <v>730066000</v>
      </c>
      <c r="HB4" s="3">
        <v>0</v>
      </c>
      <c r="HC4" s="3">
        <v>737912000</v>
      </c>
      <c r="HD4" s="3">
        <v>8575000</v>
      </c>
      <c r="HE4" s="3">
        <v>730066000</v>
      </c>
      <c r="HF4" s="3">
        <v>0</v>
      </c>
      <c r="HG4" s="3">
        <v>738641000</v>
      </c>
      <c r="HH4" s="3">
        <v>10633856.880000001</v>
      </c>
      <c r="HI4" s="3">
        <v>975348070.15999997</v>
      </c>
      <c r="HJ4" s="3">
        <v>0</v>
      </c>
      <c r="HK4" s="3">
        <v>985981927.03999996</v>
      </c>
      <c r="HL4" s="3">
        <v>10633856.880000001</v>
      </c>
      <c r="HM4" s="3">
        <v>975348070.15999997</v>
      </c>
      <c r="HN4" s="3">
        <v>0</v>
      </c>
      <c r="HO4" s="3">
        <v>985981927.03999996</v>
      </c>
      <c r="HP4" s="3">
        <v>10555234.82</v>
      </c>
      <c r="HQ4" s="3">
        <v>794212898.88999999</v>
      </c>
      <c r="HR4" s="3">
        <v>0</v>
      </c>
      <c r="HS4" s="3">
        <v>804768133.71000004</v>
      </c>
      <c r="HT4" s="3">
        <v>10535205.4</v>
      </c>
      <c r="HU4" s="3">
        <v>672597349.34000003</v>
      </c>
      <c r="HV4" s="3">
        <v>0</v>
      </c>
      <c r="HW4" s="3">
        <v>683132554.74000001</v>
      </c>
      <c r="HX4" s="3">
        <v>8341000</v>
      </c>
      <c r="HY4" s="3">
        <v>473250000</v>
      </c>
      <c r="HZ4" s="3">
        <v>0</v>
      </c>
      <c r="IA4" s="3">
        <v>481591000</v>
      </c>
      <c r="IB4" s="3">
        <v>8341000</v>
      </c>
      <c r="IC4" s="3">
        <v>730838000</v>
      </c>
      <c r="ID4" s="3">
        <v>0</v>
      </c>
      <c r="IE4" s="3">
        <v>739179000</v>
      </c>
      <c r="IF4" s="3"/>
      <c r="IG4" s="3"/>
      <c r="IH4" s="3"/>
      <c r="II4" s="3"/>
      <c r="IJ4" s="3"/>
      <c r="IK4" s="3"/>
      <c r="IL4" s="3"/>
      <c r="IM4" s="3"/>
      <c r="IN4" s="3"/>
      <c r="IO4" s="3"/>
      <c r="IP4" s="3"/>
      <c r="IQ4" s="3"/>
      <c r="IR4" s="3"/>
      <c r="IS4" s="3"/>
      <c r="IT4" s="3"/>
      <c r="IU4" s="3"/>
      <c r="IV4" s="3"/>
      <c r="IW4" s="3"/>
      <c r="IX4" s="3"/>
      <c r="IY4" s="3"/>
      <c r="IZ4" s="3">
        <v>8047000</v>
      </c>
      <c r="JA4" s="3">
        <v>481769000</v>
      </c>
      <c r="JB4" s="3">
        <v>0</v>
      </c>
      <c r="JC4" s="3">
        <v>489816000</v>
      </c>
      <c r="JD4" s="3"/>
      <c r="JE4" s="3"/>
      <c r="JF4" s="3"/>
      <c r="JG4" s="3"/>
    </row>
    <row r="5" spans="1:267" x14ac:dyDescent="0.25">
      <c r="A5" t="s">
        <v>505</v>
      </c>
      <c r="B5" t="s">
        <v>397</v>
      </c>
      <c r="C5" t="s">
        <v>199</v>
      </c>
      <c r="D5" t="s">
        <v>200</v>
      </c>
      <c r="E5" t="s">
        <v>208</v>
      </c>
      <c r="F5" t="s">
        <v>211</v>
      </c>
      <c r="G5" t="s">
        <v>400</v>
      </c>
      <c r="H5" s="3">
        <v>11403000</v>
      </c>
      <c r="I5" s="3">
        <v>7791000</v>
      </c>
      <c r="J5" s="3">
        <v>0</v>
      </c>
      <c r="K5" s="3">
        <v>19194000</v>
      </c>
      <c r="L5" s="3">
        <v>11403000</v>
      </c>
      <c r="M5" s="3">
        <v>20000000</v>
      </c>
      <c r="N5" s="3">
        <v>0</v>
      </c>
      <c r="O5" s="3">
        <v>31403000</v>
      </c>
      <c r="P5" s="3">
        <v>12476000</v>
      </c>
      <c r="Q5" s="3">
        <v>20000000</v>
      </c>
      <c r="R5" s="3">
        <v>0</v>
      </c>
      <c r="S5" s="3">
        <v>32476000</v>
      </c>
      <c r="T5" s="3">
        <v>11762759.34</v>
      </c>
      <c r="U5" s="3">
        <v>20000000</v>
      </c>
      <c r="V5" s="3">
        <v>0</v>
      </c>
      <c r="W5" s="3">
        <v>31762759.34</v>
      </c>
      <c r="X5" s="3">
        <v>11762759.34</v>
      </c>
      <c r="Y5" s="3">
        <v>20000000</v>
      </c>
      <c r="Z5" s="3">
        <v>0</v>
      </c>
      <c r="AA5" s="3">
        <v>31762759.34</v>
      </c>
      <c r="AB5" s="3">
        <v>11762759.34</v>
      </c>
      <c r="AC5" s="3">
        <v>15052143.550000001</v>
      </c>
      <c r="AD5" s="3">
        <v>0</v>
      </c>
      <c r="AE5" s="3">
        <v>26814902.890000001</v>
      </c>
      <c r="AF5" s="3">
        <v>11545837.84</v>
      </c>
      <c r="AG5" s="3">
        <v>12793776.02</v>
      </c>
      <c r="AH5" s="3">
        <v>0</v>
      </c>
      <c r="AI5" s="3">
        <v>24339613.859999999</v>
      </c>
      <c r="AJ5" s="3">
        <v>10956000</v>
      </c>
      <c r="AK5" s="3">
        <v>16288000</v>
      </c>
      <c r="AL5" s="3">
        <v>0</v>
      </c>
      <c r="AM5" s="3">
        <v>27244000</v>
      </c>
      <c r="AN5" s="3">
        <v>10956000</v>
      </c>
      <c r="AO5" s="3">
        <v>16288000</v>
      </c>
      <c r="AP5" s="3">
        <v>0</v>
      </c>
      <c r="AQ5" s="3">
        <v>27244000</v>
      </c>
      <c r="AR5" s="3">
        <v>11987000</v>
      </c>
      <c r="AS5" s="3">
        <v>16288000</v>
      </c>
      <c r="AT5" s="3">
        <v>0</v>
      </c>
      <c r="AU5" s="3">
        <v>28275000</v>
      </c>
      <c r="AV5" s="3">
        <v>15713725.85</v>
      </c>
      <c r="AW5" s="3">
        <v>21235856.449999999</v>
      </c>
      <c r="AX5" s="3">
        <v>0</v>
      </c>
      <c r="AY5" s="3">
        <v>36949582.299999997</v>
      </c>
      <c r="AZ5" s="3">
        <v>15713725.85</v>
      </c>
      <c r="BA5" s="3">
        <v>21235856.449999999</v>
      </c>
      <c r="BB5" s="3">
        <v>0</v>
      </c>
      <c r="BC5" s="3">
        <v>36949582.299999997</v>
      </c>
      <c r="BD5" s="3">
        <v>15713725.85</v>
      </c>
      <c r="BE5" s="3">
        <v>11557134.1</v>
      </c>
      <c r="BF5" s="3">
        <v>0</v>
      </c>
      <c r="BG5" s="3">
        <v>27270859.949999999</v>
      </c>
      <c r="BH5" s="3">
        <v>15482482.619999999</v>
      </c>
      <c r="BI5" s="3">
        <v>9557447.0700000003</v>
      </c>
      <c r="BJ5" s="3">
        <v>0</v>
      </c>
      <c r="BK5" s="3">
        <v>25039929.690000001</v>
      </c>
      <c r="BL5" s="3">
        <v>12855000</v>
      </c>
      <c r="BM5" s="3">
        <v>12436000</v>
      </c>
      <c r="BN5" s="3">
        <v>0</v>
      </c>
      <c r="BO5" s="3">
        <v>25291000</v>
      </c>
      <c r="BP5" s="3">
        <v>12855000</v>
      </c>
      <c r="BQ5" s="3">
        <v>12436000</v>
      </c>
      <c r="BR5" s="3">
        <v>0</v>
      </c>
      <c r="BS5" s="3">
        <v>25291000</v>
      </c>
      <c r="BT5" s="3">
        <v>14055000</v>
      </c>
      <c r="BU5" s="3">
        <v>12436000</v>
      </c>
      <c r="BV5" s="3">
        <v>0</v>
      </c>
      <c r="BW5" s="3">
        <v>26491000</v>
      </c>
      <c r="BX5" s="3">
        <v>10844329.869999999</v>
      </c>
      <c r="BY5" s="3">
        <v>9017891.9499999993</v>
      </c>
      <c r="BZ5" s="3">
        <v>0</v>
      </c>
      <c r="CA5" s="3">
        <v>19862221.82</v>
      </c>
      <c r="CB5" s="3">
        <v>10844329.869999999</v>
      </c>
      <c r="CC5" s="3">
        <v>9017891.9499999993</v>
      </c>
      <c r="CD5" s="3">
        <v>0</v>
      </c>
      <c r="CE5" s="3">
        <v>19862221.82</v>
      </c>
      <c r="CF5" s="3">
        <v>10844329.869999999</v>
      </c>
      <c r="CG5" s="3">
        <v>5652267.29</v>
      </c>
      <c r="CH5" s="3">
        <v>0</v>
      </c>
      <c r="CI5" s="3">
        <v>16496597.16</v>
      </c>
      <c r="CJ5" s="3">
        <v>10523713.890000001</v>
      </c>
      <c r="CK5" s="3">
        <v>4991388.1900000004</v>
      </c>
      <c r="CL5" s="3">
        <v>0</v>
      </c>
      <c r="CM5" s="3">
        <v>15515102.08</v>
      </c>
      <c r="CN5" s="3">
        <v>19334000</v>
      </c>
      <c r="CO5" s="3">
        <v>12660000</v>
      </c>
      <c r="CP5" s="3">
        <v>0</v>
      </c>
      <c r="CQ5" s="3">
        <v>31994000</v>
      </c>
      <c r="CR5" s="3">
        <v>19334000</v>
      </c>
      <c r="CS5" s="3">
        <v>12660000</v>
      </c>
      <c r="CT5" s="3">
        <v>0</v>
      </c>
      <c r="CU5" s="3">
        <v>31994000</v>
      </c>
      <c r="CV5" s="3">
        <v>21152000</v>
      </c>
      <c r="CW5" s="3">
        <v>12660000</v>
      </c>
      <c r="CX5" s="3">
        <v>0</v>
      </c>
      <c r="CY5" s="3">
        <v>33812000</v>
      </c>
      <c r="CZ5" s="3">
        <v>19822625.210000001</v>
      </c>
      <c r="DA5" s="3">
        <v>15721726.859999999</v>
      </c>
      <c r="DB5" s="3">
        <v>0</v>
      </c>
      <c r="DC5" s="3">
        <v>35544352.07</v>
      </c>
      <c r="DD5" s="3">
        <v>19822625.210000001</v>
      </c>
      <c r="DE5" s="3">
        <v>15721726.859999999</v>
      </c>
      <c r="DF5" s="3">
        <v>0</v>
      </c>
      <c r="DG5" s="3">
        <v>35544352.07</v>
      </c>
      <c r="DH5" s="3">
        <v>19662432.66</v>
      </c>
      <c r="DI5" s="3">
        <v>6531875.6799999997</v>
      </c>
      <c r="DJ5" s="3">
        <v>0</v>
      </c>
      <c r="DK5" s="3">
        <v>26194308.34</v>
      </c>
      <c r="DL5" s="3">
        <v>18426260.399999999</v>
      </c>
      <c r="DM5" s="3">
        <v>5293669.8899999997</v>
      </c>
      <c r="DN5" s="3">
        <v>0</v>
      </c>
      <c r="DO5" s="3">
        <v>23719930.289999999</v>
      </c>
      <c r="DP5" s="3">
        <v>17899000</v>
      </c>
      <c r="DQ5" s="3">
        <v>12660000</v>
      </c>
      <c r="DR5" s="3">
        <v>0</v>
      </c>
      <c r="DS5" s="3">
        <v>30559000</v>
      </c>
      <c r="DT5" s="3">
        <v>17899000</v>
      </c>
      <c r="DU5" s="3">
        <v>62660000</v>
      </c>
      <c r="DV5" s="3">
        <v>0</v>
      </c>
      <c r="DW5" s="3">
        <v>80559000</v>
      </c>
      <c r="DX5" s="3">
        <v>19577000</v>
      </c>
      <c r="DY5" s="3">
        <v>62660000</v>
      </c>
      <c r="DZ5" s="3">
        <v>0</v>
      </c>
      <c r="EA5" s="3">
        <v>82237000</v>
      </c>
      <c r="EB5" s="3">
        <v>19413697.43</v>
      </c>
      <c r="EC5" s="3">
        <v>65858393.32</v>
      </c>
      <c r="ED5" s="3">
        <v>0</v>
      </c>
      <c r="EE5" s="3">
        <v>85272090.75</v>
      </c>
      <c r="EF5" s="3">
        <v>19413697.43</v>
      </c>
      <c r="EG5" s="3">
        <v>15858393.32</v>
      </c>
      <c r="EH5" s="3">
        <v>0</v>
      </c>
      <c r="EI5" s="3">
        <v>35272090.75</v>
      </c>
      <c r="EJ5" s="3">
        <v>18126561.48</v>
      </c>
      <c r="EK5" s="3">
        <v>8429995.1099999994</v>
      </c>
      <c r="EL5" s="3">
        <v>0</v>
      </c>
      <c r="EM5" s="3">
        <v>26556556.59</v>
      </c>
      <c r="EN5" s="3">
        <v>17887331.789999999</v>
      </c>
      <c r="EO5" s="3">
        <v>7557383.79</v>
      </c>
      <c r="EP5" s="3">
        <v>0</v>
      </c>
      <c r="EQ5" s="3">
        <v>25444715.579999998</v>
      </c>
      <c r="ER5" s="3">
        <v>15801000</v>
      </c>
      <c r="ES5" s="3">
        <v>13123000</v>
      </c>
      <c r="ET5" s="3">
        <v>0</v>
      </c>
      <c r="EU5" s="3">
        <v>28924000</v>
      </c>
      <c r="EV5" s="3">
        <v>15801000</v>
      </c>
      <c r="EW5" s="3">
        <v>13123000</v>
      </c>
      <c r="EX5" s="3">
        <v>0</v>
      </c>
      <c r="EY5" s="3">
        <v>28924000</v>
      </c>
      <c r="EZ5" s="3">
        <v>17277000</v>
      </c>
      <c r="FA5" s="3">
        <v>63123000</v>
      </c>
      <c r="FB5" s="3">
        <v>0</v>
      </c>
      <c r="FC5" s="3">
        <v>80400000</v>
      </c>
      <c r="FD5" s="3">
        <v>17277000</v>
      </c>
      <c r="FE5" s="3">
        <v>64795904.969999999</v>
      </c>
      <c r="FF5" s="3">
        <v>0</v>
      </c>
      <c r="FG5" s="3">
        <v>82072904.969999999</v>
      </c>
      <c r="FH5" s="3">
        <v>17277000</v>
      </c>
      <c r="FI5" s="3">
        <v>14795904.970000001</v>
      </c>
      <c r="FJ5" s="3">
        <v>0</v>
      </c>
      <c r="FK5" s="3">
        <v>32072904.969999999</v>
      </c>
      <c r="FL5" s="3">
        <v>16463034.1</v>
      </c>
      <c r="FM5" s="3">
        <v>10348379.810000001</v>
      </c>
      <c r="FN5" s="3">
        <v>0</v>
      </c>
      <c r="FO5" s="3">
        <v>26811413.91</v>
      </c>
      <c r="FP5" s="3">
        <v>16304990.16</v>
      </c>
      <c r="FQ5" s="3">
        <v>9528572.5899999999</v>
      </c>
      <c r="FR5" s="3">
        <v>0</v>
      </c>
      <c r="FS5" s="3">
        <v>25833562.75</v>
      </c>
      <c r="FT5" s="3">
        <v>12777000</v>
      </c>
      <c r="FU5" s="3">
        <v>11088000</v>
      </c>
      <c r="FV5" s="3">
        <v>0</v>
      </c>
      <c r="FW5" s="3">
        <v>23865000</v>
      </c>
      <c r="FX5" s="3">
        <v>12777000</v>
      </c>
      <c r="FY5" s="3">
        <v>11088000</v>
      </c>
      <c r="FZ5" s="3">
        <v>0</v>
      </c>
      <c r="GA5" s="3">
        <v>23865000</v>
      </c>
      <c r="GB5" s="3">
        <v>13965000</v>
      </c>
      <c r="GC5" s="3">
        <v>11088000</v>
      </c>
      <c r="GD5" s="3">
        <v>0</v>
      </c>
      <c r="GE5" s="3">
        <v>25053000</v>
      </c>
      <c r="GF5" s="3">
        <v>19584038.460000001</v>
      </c>
      <c r="GG5" s="3">
        <v>15142675.800000001</v>
      </c>
      <c r="GH5" s="3">
        <v>0</v>
      </c>
      <c r="GI5" s="3">
        <v>34726714.259999998</v>
      </c>
      <c r="GJ5" s="3">
        <v>19584038.460000001</v>
      </c>
      <c r="GK5" s="3">
        <v>15142675.800000001</v>
      </c>
      <c r="GL5" s="3">
        <v>0</v>
      </c>
      <c r="GM5" s="3">
        <v>34726714.259999998</v>
      </c>
      <c r="GN5" s="3">
        <v>19584038.460000001</v>
      </c>
      <c r="GO5" s="3">
        <v>11149997.4</v>
      </c>
      <c r="GP5" s="3">
        <v>0</v>
      </c>
      <c r="GQ5" s="3">
        <v>30734035.859999999</v>
      </c>
      <c r="GR5" s="3">
        <v>19253674.530000001</v>
      </c>
      <c r="GS5" s="3">
        <v>10011883.74</v>
      </c>
      <c r="GT5" s="3">
        <v>0</v>
      </c>
      <c r="GU5" s="3">
        <v>29265558.27</v>
      </c>
      <c r="GV5" s="3">
        <v>14970000</v>
      </c>
      <c r="GW5" s="3">
        <v>11288000</v>
      </c>
      <c r="GX5" s="3">
        <v>0</v>
      </c>
      <c r="GY5" s="3">
        <v>26258000</v>
      </c>
      <c r="GZ5" s="3">
        <v>14970000</v>
      </c>
      <c r="HA5" s="3">
        <v>11288000</v>
      </c>
      <c r="HB5" s="3">
        <v>0</v>
      </c>
      <c r="HC5" s="3">
        <v>26258000</v>
      </c>
      <c r="HD5" s="3">
        <v>16360000</v>
      </c>
      <c r="HE5" s="3">
        <v>11288000</v>
      </c>
      <c r="HF5" s="3">
        <v>0</v>
      </c>
      <c r="HG5" s="3">
        <v>27648000</v>
      </c>
      <c r="HH5" s="3">
        <v>21422151.030000001</v>
      </c>
      <c r="HI5" s="3">
        <v>11653766.43</v>
      </c>
      <c r="HJ5" s="3">
        <v>0</v>
      </c>
      <c r="HK5" s="3">
        <v>33075917.460000001</v>
      </c>
      <c r="HL5" s="3">
        <v>21422151.030000001</v>
      </c>
      <c r="HM5" s="3">
        <v>11653766.43</v>
      </c>
      <c r="HN5" s="3">
        <v>0</v>
      </c>
      <c r="HO5" s="3">
        <v>33075917.460000001</v>
      </c>
      <c r="HP5" s="3">
        <v>21412546.73</v>
      </c>
      <c r="HQ5" s="3">
        <v>6033385.5199999996</v>
      </c>
      <c r="HR5" s="3">
        <v>0</v>
      </c>
      <c r="HS5" s="3">
        <v>27445932.25</v>
      </c>
      <c r="HT5" s="3">
        <v>21162238.100000001</v>
      </c>
      <c r="HU5" s="3">
        <v>4736294.8499999996</v>
      </c>
      <c r="HV5" s="3">
        <v>0</v>
      </c>
      <c r="HW5" s="3">
        <v>25898532.949999999</v>
      </c>
      <c r="HX5" s="3">
        <v>21765000</v>
      </c>
      <c r="HY5" s="3">
        <v>11491000</v>
      </c>
      <c r="HZ5" s="3">
        <v>0</v>
      </c>
      <c r="IA5" s="3">
        <v>33256000</v>
      </c>
      <c r="IB5" s="3">
        <v>21765000</v>
      </c>
      <c r="IC5" s="3">
        <v>11491000</v>
      </c>
      <c r="ID5" s="3">
        <v>0</v>
      </c>
      <c r="IE5" s="3">
        <v>33256000</v>
      </c>
      <c r="IF5" s="3"/>
      <c r="IG5" s="3"/>
      <c r="IH5" s="3"/>
      <c r="II5" s="3"/>
      <c r="IJ5" s="3"/>
      <c r="IK5" s="3"/>
      <c r="IL5" s="3"/>
      <c r="IM5" s="3"/>
      <c r="IN5" s="3"/>
      <c r="IO5" s="3"/>
      <c r="IP5" s="3"/>
      <c r="IQ5" s="3"/>
      <c r="IR5" s="3"/>
      <c r="IS5" s="3"/>
      <c r="IT5" s="3"/>
      <c r="IU5" s="3"/>
      <c r="IV5" s="3"/>
      <c r="IW5" s="3"/>
      <c r="IX5" s="3"/>
      <c r="IY5" s="3"/>
      <c r="IZ5" s="3">
        <v>19121000</v>
      </c>
      <c r="JA5" s="3">
        <v>6056000</v>
      </c>
      <c r="JB5" s="3">
        <v>0</v>
      </c>
      <c r="JC5" s="3">
        <v>25177000</v>
      </c>
      <c r="JD5" s="3"/>
      <c r="JE5" s="3"/>
      <c r="JF5" s="3"/>
      <c r="JG5" s="3"/>
    </row>
    <row r="6" spans="1:267" x14ac:dyDescent="0.25">
      <c r="A6" t="s">
        <v>505</v>
      </c>
      <c r="B6" t="s">
        <v>397</v>
      </c>
      <c r="C6" t="s">
        <v>199</v>
      </c>
      <c r="D6" t="s">
        <v>200</v>
      </c>
      <c r="E6" t="s">
        <v>208</v>
      </c>
      <c r="F6" t="s">
        <v>213</v>
      </c>
      <c r="G6" t="s">
        <v>401</v>
      </c>
      <c r="H6" s="3">
        <v>33956000</v>
      </c>
      <c r="I6" s="3">
        <v>10303000</v>
      </c>
      <c r="J6" s="3">
        <v>0</v>
      </c>
      <c r="K6" s="3">
        <v>44259000</v>
      </c>
      <c r="L6" s="3">
        <v>33956000</v>
      </c>
      <c r="M6" s="3">
        <v>10303000</v>
      </c>
      <c r="N6" s="3">
        <v>0</v>
      </c>
      <c r="O6" s="3">
        <v>44259000</v>
      </c>
      <c r="P6" s="3">
        <v>37037000</v>
      </c>
      <c r="Q6" s="3">
        <v>10303000</v>
      </c>
      <c r="R6" s="3">
        <v>0</v>
      </c>
      <c r="S6" s="3">
        <v>47340000</v>
      </c>
      <c r="T6" s="3">
        <v>46864128.909999996</v>
      </c>
      <c r="U6" s="3">
        <v>10303000</v>
      </c>
      <c r="V6" s="3">
        <v>0</v>
      </c>
      <c r="W6" s="3">
        <v>57167128.909999996</v>
      </c>
      <c r="X6" s="3">
        <v>46864128.909999996</v>
      </c>
      <c r="Y6" s="3">
        <v>10303000</v>
      </c>
      <c r="Z6" s="3">
        <v>0</v>
      </c>
      <c r="AA6" s="3">
        <v>57167128.909999996</v>
      </c>
      <c r="AB6" s="3">
        <v>46864128.909999996</v>
      </c>
      <c r="AC6" s="3">
        <v>10249465.859999999</v>
      </c>
      <c r="AD6" s="3">
        <v>0</v>
      </c>
      <c r="AE6" s="3">
        <v>57113594.770000003</v>
      </c>
      <c r="AF6" s="3">
        <v>45626473.039999999</v>
      </c>
      <c r="AG6" s="3">
        <v>10161451</v>
      </c>
      <c r="AH6" s="3">
        <v>0</v>
      </c>
      <c r="AI6" s="3">
        <v>55787924.039999999</v>
      </c>
      <c r="AJ6" s="3">
        <v>45056000</v>
      </c>
      <c r="AK6" s="3">
        <v>9335000</v>
      </c>
      <c r="AL6" s="3">
        <v>0</v>
      </c>
      <c r="AM6" s="3">
        <v>54391000</v>
      </c>
      <c r="AN6" s="3">
        <v>45056000</v>
      </c>
      <c r="AO6" s="3">
        <v>14501000</v>
      </c>
      <c r="AP6" s="3">
        <v>0</v>
      </c>
      <c r="AQ6" s="3">
        <v>59557000</v>
      </c>
      <c r="AR6" s="3">
        <v>49201000</v>
      </c>
      <c r="AS6" s="3">
        <v>14501000</v>
      </c>
      <c r="AT6" s="3">
        <v>0</v>
      </c>
      <c r="AU6" s="3">
        <v>63702000</v>
      </c>
      <c r="AV6" s="3">
        <v>51164048.280000001</v>
      </c>
      <c r="AW6" s="3">
        <v>14554534.140000001</v>
      </c>
      <c r="AX6" s="3">
        <v>0</v>
      </c>
      <c r="AY6" s="3">
        <v>65718582.420000002</v>
      </c>
      <c r="AZ6" s="3">
        <v>51164048.280000001</v>
      </c>
      <c r="BA6" s="3">
        <v>14554534.140000001</v>
      </c>
      <c r="BB6" s="3">
        <v>0</v>
      </c>
      <c r="BC6" s="3">
        <v>65718582.420000002</v>
      </c>
      <c r="BD6" s="3">
        <v>51164048.280000001</v>
      </c>
      <c r="BE6" s="3">
        <v>10270460.75</v>
      </c>
      <c r="BF6" s="3">
        <v>0</v>
      </c>
      <c r="BG6" s="3">
        <v>61434509.030000001</v>
      </c>
      <c r="BH6" s="3">
        <v>50715579.369999997</v>
      </c>
      <c r="BI6" s="3">
        <v>7074242.2400000002</v>
      </c>
      <c r="BJ6" s="3">
        <v>0</v>
      </c>
      <c r="BK6" s="3">
        <v>57789821.609999999</v>
      </c>
      <c r="BL6" s="3">
        <v>44456000</v>
      </c>
      <c r="BM6" s="3">
        <v>9408000</v>
      </c>
      <c r="BN6" s="3">
        <v>0</v>
      </c>
      <c r="BO6" s="3">
        <v>53864000</v>
      </c>
      <c r="BP6" s="3">
        <v>44456000</v>
      </c>
      <c r="BQ6" s="3">
        <v>20808000</v>
      </c>
      <c r="BR6" s="3">
        <v>0</v>
      </c>
      <c r="BS6" s="3">
        <v>65264000</v>
      </c>
      <c r="BT6" s="3">
        <v>48544000</v>
      </c>
      <c r="BU6" s="3">
        <v>20808000</v>
      </c>
      <c r="BV6" s="3">
        <v>0</v>
      </c>
      <c r="BW6" s="3">
        <v>69352000</v>
      </c>
      <c r="BX6" s="3">
        <v>29526450.670000002</v>
      </c>
      <c r="BY6" s="3">
        <v>21497925.719999999</v>
      </c>
      <c r="BZ6" s="3">
        <v>0</v>
      </c>
      <c r="CA6" s="3">
        <v>51024376.390000001</v>
      </c>
      <c r="CB6" s="3">
        <v>29526450.670000002</v>
      </c>
      <c r="CC6" s="3">
        <v>10097925.720000001</v>
      </c>
      <c r="CD6" s="3">
        <v>0</v>
      </c>
      <c r="CE6" s="3">
        <v>39624376.390000001</v>
      </c>
      <c r="CF6" s="3">
        <v>29526450.670000002</v>
      </c>
      <c r="CG6" s="3">
        <v>9644815.6199999992</v>
      </c>
      <c r="CH6" s="3">
        <v>0</v>
      </c>
      <c r="CI6" s="3">
        <v>39171266.289999999</v>
      </c>
      <c r="CJ6" s="3">
        <v>29083298.170000002</v>
      </c>
      <c r="CK6" s="3">
        <v>4739880.8499999996</v>
      </c>
      <c r="CL6" s="3">
        <v>0</v>
      </c>
      <c r="CM6" s="3">
        <v>33823179.020000003</v>
      </c>
      <c r="CN6" s="3">
        <v>46292000</v>
      </c>
      <c r="CO6" s="3">
        <v>9577000</v>
      </c>
      <c r="CP6" s="3">
        <v>0</v>
      </c>
      <c r="CQ6" s="3">
        <v>55869000</v>
      </c>
      <c r="CR6" s="3">
        <v>46292000</v>
      </c>
      <c r="CS6" s="3">
        <v>9577000</v>
      </c>
      <c r="CT6" s="3">
        <v>0</v>
      </c>
      <c r="CU6" s="3">
        <v>55869000</v>
      </c>
      <c r="CV6" s="3">
        <v>50581000</v>
      </c>
      <c r="CW6" s="3">
        <v>9577000</v>
      </c>
      <c r="CX6" s="3">
        <v>0</v>
      </c>
      <c r="CY6" s="3">
        <v>60158000</v>
      </c>
      <c r="CZ6" s="3">
        <v>42936698.280000001</v>
      </c>
      <c r="DA6" s="3">
        <v>21425179.719999999</v>
      </c>
      <c r="DB6" s="3">
        <v>0</v>
      </c>
      <c r="DC6" s="3">
        <v>64361878</v>
      </c>
      <c r="DD6" s="3">
        <v>42936698.280000001</v>
      </c>
      <c r="DE6" s="3">
        <v>10025179.720000001</v>
      </c>
      <c r="DF6" s="3">
        <v>0</v>
      </c>
      <c r="DG6" s="3">
        <v>52961878</v>
      </c>
      <c r="DH6" s="3">
        <v>42407402.75</v>
      </c>
      <c r="DI6" s="3">
        <v>7143582.3700000001</v>
      </c>
      <c r="DJ6" s="3">
        <v>0</v>
      </c>
      <c r="DK6" s="3">
        <v>49550985.119999997</v>
      </c>
      <c r="DL6" s="3">
        <v>42330914.770000003</v>
      </c>
      <c r="DM6" s="3">
        <v>5379527.71</v>
      </c>
      <c r="DN6" s="3">
        <v>0</v>
      </c>
      <c r="DO6" s="3">
        <v>47710442.479999997</v>
      </c>
      <c r="DP6" s="3">
        <v>45153000</v>
      </c>
      <c r="DQ6" s="3">
        <v>9577000</v>
      </c>
      <c r="DR6" s="3">
        <v>0</v>
      </c>
      <c r="DS6" s="3">
        <v>54730000</v>
      </c>
      <c r="DT6" s="3">
        <v>45153000</v>
      </c>
      <c r="DU6" s="3">
        <v>9577000</v>
      </c>
      <c r="DV6" s="3">
        <v>0</v>
      </c>
      <c r="DW6" s="3">
        <v>54730000</v>
      </c>
      <c r="DX6" s="3">
        <v>49334000</v>
      </c>
      <c r="DY6" s="3">
        <v>9577000</v>
      </c>
      <c r="DZ6" s="3">
        <v>0</v>
      </c>
      <c r="EA6" s="3">
        <v>58911000</v>
      </c>
      <c r="EB6" s="3">
        <v>49244455.280000001</v>
      </c>
      <c r="EC6" s="3">
        <v>12335737.470000001</v>
      </c>
      <c r="ED6" s="3">
        <v>0</v>
      </c>
      <c r="EE6" s="3">
        <v>61580192.75</v>
      </c>
      <c r="EF6" s="3">
        <v>49244455.280000001</v>
      </c>
      <c r="EG6" s="3">
        <v>12335737.470000001</v>
      </c>
      <c r="EH6" s="3">
        <v>0</v>
      </c>
      <c r="EI6" s="3">
        <v>61580192.75</v>
      </c>
      <c r="EJ6" s="3">
        <v>47904833.939999998</v>
      </c>
      <c r="EK6" s="3">
        <v>6938255.0899999999</v>
      </c>
      <c r="EL6" s="3">
        <v>0</v>
      </c>
      <c r="EM6" s="3">
        <v>54843089.030000001</v>
      </c>
      <c r="EN6" s="3">
        <v>46805300.899999999</v>
      </c>
      <c r="EO6" s="3">
        <v>6021652.0099999998</v>
      </c>
      <c r="EP6" s="3">
        <v>0</v>
      </c>
      <c r="EQ6" s="3">
        <v>52826952.909999996</v>
      </c>
      <c r="ER6" s="3">
        <v>41888000</v>
      </c>
      <c r="ES6" s="3">
        <v>9927000</v>
      </c>
      <c r="ET6" s="3">
        <v>0</v>
      </c>
      <c r="EU6" s="3">
        <v>51815000</v>
      </c>
      <c r="EV6" s="3">
        <v>41888000</v>
      </c>
      <c r="EW6" s="3">
        <v>9927000</v>
      </c>
      <c r="EX6" s="3">
        <v>0</v>
      </c>
      <c r="EY6" s="3">
        <v>51815000</v>
      </c>
      <c r="EZ6" s="3">
        <v>45759000</v>
      </c>
      <c r="FA6" s="3">
        <v>9927000</v>
      </c>
      <c r="FB6" s="3">
        <v>0</v>
      </c>
      <c r="FC6" s="3">
        <v>55686000</v>
      </c>
      <c r="FD6" s="3">
        <v>47251322.270000003</v>
      </c>
      <c r="FE6" s="3">
        <v>12175193.27</v>
      </c>
      <c r="FF6" s="3">
        <v>0</v>
      </c>
      <c r="FG6" s="3">
        <v>59426515.539999999</v>
      </c>
      <c r="FH6" s="3">
        <v>47251322.270000003</v>
      </c>
      <c r="FI6" s="3">
        <v>12175193.27</v>
      </c>
      <c r="FJ6" s="3">
        <v>0</v>
      </c>
      <c r="FK6" s="3">
        <v>59426515.539999999</v>
      </c>
      <c r="FL6" s="3">
        <v>47177801.829999998</v>
      </c>
      <c r="FM6" s="3">
        <v>7714932.96</v>
      </c>
      <c r="FN6" s="3">
        <v>0</v>
      </c>
      <c r="FO6" s="3">
        <v>54892734.789999999</v>
      </c>
      <c r="FP6" s="3">
        <v>45687531.460000001</v>
      </c>
      <c r="FQ6" s="3">
        <v>5725004.71</v>
      </c>
      <c r="FR6" s="3">
        <v>0</v>
      </c>
      <c r="FS6" s="3">
        <v>51412536.170000002</v>
      </c>
      <c r="FT6" s="3">
        <v>43818000</v>
      </c>
      <c r="FU6" s="3">
        <v>9927000</v>
      </c>
      <c r="FV6" s="3">
        <v>0</v>
      </c>
      <c r="FW6" s="3">
        <v>53745000</v>
      </c>
      <c r="FX6" s="3">
        <v>43818000</v>
      </c>
      <c r="FY6" s="3">
        <v>9927000</v>
      </c>
      <c r="FZ6" s="3">
        <v>0</v>
      </c>
      <c r="GA6" s="3">
        <v>53745000</v>
      </c>
      <c r="GB6" s="3">
        <v>47867000</v>
      </c>
      <c r="GC6" s="3">
        <v>9927000</v>
      </c>
      <c r="GD6" s="3">
        <v>0</v>
      </c>
      <c r="GE6" s="3">
        <v>57794000</v>
      </c>
      <c r="GF6" s="3">
        <v>49419384.939999998</v>
      </c>
      <c r="GG6" s="3">
        <v>13361872.060000001</v>
      </c>
      <c r="GH6" s="3">
        <v>0</v>
      </c>
      <c r="GI6" s="3">
        <v>62781257</v>
      </c>
      <c r="GJ6" s="3">
        <v>49419384.939999998</v>
      </c>
      <c r="GK6" s="3">
        <v>13361872.060000001</v>
      </c>
      <c r="GL6" s="3">
        <v>0</v>
      </c>
      <c r="GM6" s="3">
        <v>62781257</v>
      </c>
      <c r="GN6" s="3">
        <v>49133774.380000003</v>
      </c>
      <c r="GO6" s="3">
        <v>6973320.5300000003</v>
      </c>
      <c r="GP6" s="3">
        <v>0</v>
      </c>
      <c r="GQ6" s="3">
        <v>56107094.909999996</v>
      </c>
      <c r="GR6" s="3">
        <v>48499575.5</v>
      </c>
      <c r="GS6" s="3">
        <v>5298414.1900000004</v>
      </c>
      <c r="GT6" s="3">
        <v>0</v>
      </c>
      <c r="GU6" s="3">
        <v>53797989.689999998</v>
      </c>
      <c r="GV6" s="3">
        <v>40332000</v>
      </c>
      <c r="GW6" s="3">
        <v>8935000</v>
      </c>
      <c r="GX6" s="3">
        <v>0</v>
      </c>
      <c r="GY6" s="3">
        <v>49267000</v>
      </c>
      <c r="GZ6" s="3">
        <v>40332000</v>
      </c>
      <c r="HA6" s="3">
        <v>8935000</v>
      </c>
      <c r="HB6" s="3">
        <v>0</v>
      </c>
      <c r="HC6" s="3">
        <v>49267000</v>
      </c>
      <c r="HD6" s="3">
        <v>44040000</v>
      </c>
      <c r="HE6" s="3">
        <v>8935000</v>
      </c>
      <c r="HF6" s="3">
        <v>0</v>
      </c>
      <c r="HG6" s="3">
        <v>52975000</v>
      </c>
      <c r="HH6" s="3">
        <v>52120547.030000001</v>
      </c>
      <c r="HI6" s="3">
        <v>13292211.470000001</v>
      </c>
      <c r="HJ6" s="3">
        <v>0</v>
      </c>
      <c r="HK6" s="3">
        <v>65412758.5</v>
      </c>
      <c r="HL6" s="3">
        <v>52120547.030000001</v>
      </c>
      <c r="HM6" s="3">
        <v>13292211.470000001</v>
      </c>
      <c r="HN6" s="3">
        <v>0</v>
      </c>
      <c r="HO6" s="3">
        <v>65412758.5</v>
      </c>
      <c r="HP6" s="3">
        <v>52120547.030000001</v>
      </c>
      <c r="HQ6" s="3">
        <v>7120439.6699999999</v>
      </c>
      <c r="HR6" s="3">
        <v>0</v>
      </c>
      <c r="HS6" s="3">
        <v>59240986.700000003</v>
      </c>
      <c r="HT6" s="3">
        <v>51070124.140000001</v>
      </c>
      <c r="HU6" s="3">
        <v>6019855.6699999999</v>
      </c>
      <c r="HV6" s="3">
        <v>0</v>
      </c>
      <c r="HW6" s="3">
        <v>57089979.810000002</v>
      </c>
      <c r="HX6" s="3">
        <v>51772000</v>
      </c>
      <c r="HY6" s="3">
        <v>12197000</v>
      </c>
      <c r="HZ6" s="3">
        <v>0</v>
      </c>
      <c r="IA6" s="3">
        <v>63969000</v>
      </c>
      <c r="IB6" s="3">
        <v>51772000</v>
      </c>
      <c r="IC6" s="3">
        <v>12197000</v>
      </c>
      <c r="ID6" s="3">
        <v>0</v>
      </c>
      <c r="IE6" s="3">
        <v>63969000</v>
      </c>
      <c r="IF6" s="3"/>
      <c r="IG6" s="3"/>
      <c r="IH6" s="3"/>
      <c r="II6" s="3"/>
      <c r="IJ6" s="3"/>
      <c r="IK6" s="3"/>
      <c r="IL6" s="3"/>
      <c r="IM6" s="3"/>
      <c r="IN6" s="3"/>
      <c r="IO6" s="3"/>
      <c r="IP6" s="3"/>
      <c r="IQ6" s="3"/>
      <c r="IR6" s="3"/>
      <c r="IS6" s="3"/>
      <c r="IT6" s="3"/>
      <c r="IU6" s="3"/>
      <c r="IV6" s="3"/>
      <c r="IW6" s="3"/>
      <c r="IX6" s="3"/>
      <c r="IY6" s="3"/>
      <c r="IZ6" s="3">
        <v>55199000</v>
      </c>
      <c r="JA6" s="3">
        <v>6652000</v>
      </c>
      <c r="JB6" s="3">
        <v>0</v>
      </c>
      <c r="JC6" s="3">
        <v>61851000</v>
      </c>
      <c r="JD6" s="3"/>
      <c r="JE6" s="3"/>
      <c r="JF6" s="3"/>
      <c r="JG6" s="3"/>
    </row>
    <row r="7" spans="1:267" x14ac:dyDescent="0.25">
      <c r="A7" t="s">
        <v>505</v>
      </c>
      <c r="B7" t="s">
        <v>397</v>
      </c>
      <c r="C7" t="s">
        <v>199</v>
      </c>
      <c r="D7" t="s">
        <v>200</v>
      </c>
      <c r="E7" t="s">
        <v>208</v>
      </c>
      <c r="F7" t="s">
        <v>506</v>
      </c>
      <c r="G7" t="s">
        <v>402</v>
      </c>
      <c r="H7" s="3">
        <v>85976000</v>
      </c>
      <c r="I7" s="3">
        <v>65121000</v>
      </c>
      <c r="J7" s="3">
        <v>0</v>
      </c>
      <c r="K7" s="3">
        <v>151097000</v>
      </c>
      <c r="L7" s="3">
        <v>85976000</v>
      </c>
      <c r="M7" s="3">
        <v>65121000</v>
      </c>
      <c r="N7" s="3">
        <v>0</v>
      </c>
      <c r="O7" s="3">
        <v>151097000</v>
      </c>
      <c r="P7" s="3">
        <v>93905000</v>
      </c>
      <c r="Q7" s="3">
        <v>65121000</v>
      </c>
      <c r="R7" s="3">
        <v>0</v>
      </c>
      <c r="S7" s="3">
        <v>159026000</v>
      </c>
      <c r="T7" s="3">
        <v>96379759.390000001</v>
      </c>
      <c r="U7" s="3">
        <v>65120550</v>
      </c>
      <c r="V7" s="3">
        <v>0</v>
      </c>
      <c r="W7" s="3">
        <v>161500309.38999999</v>
      </c>
      <c r="X7" s="3">
        <v>96379759.390000001</v>
      </c>
      <c r="Y7" s="3">
        <v>65120550</v>
      </c>
      <c r="Z7" s="3">
        <v>0</v>
      </c>
      <c r="AA7" s="3">
        <v>161500309.38999999</v>
      </c>
      <c r="AB7" s="3">
        <v>93736284.159999996</v>
      </c>
      <c r="AC7" s="3">
        <v>57225703.719999999</v>
      </c>
      <c r="AD7" s="3">
        <v>0</v>
      </c>
      <c r="AE7" s="3">
        <v>150961987.88</v>
      </c>
      <c r="AF7" s="3">
        <v>91119097.379999995</v>
      </c>
      <c r="AG7" s="3">
        <v>48310766.799999997</v>
      </c>
      <c r="AH7" s="3">
        <v>0</v>
      </c>
      <c r="AI7" s="3">
        <v>139429864.18000001</v>
      </c>
      <c r="AJ7" s="3">
        <v>97354000</v>
      </c>
      <c r="AK7" s="3">
        <v>56493000</v>
      </c>
      <c r="AL7" s="3">
        <v>0</v>
      </c>
      <c r="AM7" s="3">
        <v>153847000</v>
      </c>
      <c r="AN7" s="3">
        <v>97354000</v>
      </c>
      <c r="AO7" s="3">
        <v>56493000</v>
      </c>
      <c r="AP7" s="3">
        <v>0</v>
      </c>
      <c r="AQ7" s="3">
        <v>153847000</v>
      </c>
      <c r="AR7" s="3">
        <v>106353000</v>
      </c>
      <c r="AS7" s="3">
        <v>56493000</v>
      </c>
      <c r="AT7" s="3">
        <v>0</v>
      </c>
      <c r="AU7" s="3">
        <v>162846000</v>
      </c>
      <c r="AV7" s="3">
        <v>105293612.26000001</v>
      </c>
      <c r="AW7" s="3">
        <v>64387846.280000001</v>
      </c>
      <c r="AX7" s="3">
        <v>0</v>
      </c>
      <c r="AY7" s="3">
        <v>169681458.53999999</v>
      </c>
      <c r="AZ7" s="3">
        <v>105293612.26000001</v>
      </c>
      <c r="BA7" s="3">
        <v>64387846.280000001</v>
      </c>
      <c r="BB7" s="3">
        <v>0</v>
      </c>
      <c r="BC7" s="3">
        <v>169681458.53999999</v>
      </c>
      <c r="BD7" s="3">
        <v>104015891.76000001</v>
      </c>
      <c r="BE7" s="3">
        <v>41265404.899999999</v>
      </c>
      <c r="BF7" s="3">
        <v>0</v>
      </c>
      <c r="BG7" s="3">
        <v>145281296.66</v>
      </c>
      <c r="BH7" s="3">
        <v>100609485.47</v>
      </c>
      <c r="BI7" s="3">
        <v>36352392.469999999</v>
      </c>
      <c r="BJ7" s="3">
        <v>0</v>
      </c>
      <c r="BK7" s="3">
        <v>136961877.94</v>
      </c>
      <c r="BL7" s="3">
        <v>96126000</v>
      </c>
      <c r="BM7" s="3">
        <v>49644000</v>
      </c>
      <c r="BN7" s="3">
        <v>0</v>
      </c>
      <c r="BO7" s="3">
        <v>145770000</v>
      </c>
      <c r="BP7" s="3">
        <v>96126000</v>
      </c>
      <c r="BQ7" s="3">
        <v>49644000</v>
      </c>
      <c r="BR7" s="3">
        <v>0</v>
      </c>
      <c r="BS7" s="3">
        <v>145770000</v>
      </c>
      <c r="BT7" s="3">
        <v>105005000</v>
      </c>
      <c r="BU7" s="3">
        <v>49644000</v>
      </c>
      <c r="BV7" s="3">
        <v>0</v>
      </c>
      <c r="BW7" s="3">
        <v>154649000</v>
      </c>
      <c r="BX7" s="3">
        <v>92175609.129999995</v>
      </c>
      <c r="BY7" s="3">
        <v>19910938.969999999</v>
      </c>
      <c r="BZ7" s="3">
        <v>0</v>
      </c>
      <c r="CA7" s="3">
        <v>112086548.09999999</v>
      </c>
      <c r="CB7" s="3">
        <v>92175609.129999995</v>
      </c>
      <c r="CC7" s="3">
        <v>19910938.969999999</v>
      </c>
      <c r="CD7" s="3">
        <v>0</v>
      </c>
      <c r="CE7" s="3">
        <v>112086548.09999999</v>
      </c>
      <c r="CF7" s="3">
        <v>91226633.890000001</v>
      </c>
      <c r="CG7" s="3">
        <v>12044861.92</v>
      </c>
      <c r="CH7" s="3">
        <v>0</v>
      </c>
      <c r="CI7" s="3">
        <v>103271495.81</v>
      </c>
      <c r="CJ7" s="3">
        <v>90246072.939999998</v>
      </c>
      <c r="CK7" s="3">
        <v>10354123.039999999</v>
      </c>
      <c r="CL7" s="3">
        <v>0</v>
      </c>
      <c r="CM7" s="3">
        <v>100600195.98</v>
      </c>
      <c r="CN7" s="3">
        <v>107858000</v>
      </c>
      <c r="CO7" s="3">
        <v>38087000</v>
      </c>
      <c r="CP7" s="3">
        <v>0</v>
      </c>
      <c r="CQ7" s="3">
        <v>145945000</v>
      </c>
      <c r="CR7" s="3">
        <v>107858000</v>
      </c>
      <c r="CS7" s="3">
        <v>38087000</v>
      </c>
      <c r="CT7" s="3">
        <v>0</v>
      </c>
      <c r="CU7" s="3">
        <v>145945000</v>
      </c>
      <c r="CV7" s="3">
        <v>117903000</v>
      </c>
      <c r="CW7" s="3">
        <v>38087000</v>
      </c>
      <c r="CX7" s="3">
        <v>0</v>
      </c>
      <c r="CY7" s="3">
        <v>155990000</v>
      </c>
      <c r="CZ7" s="3">
        <v>117841629.70999999</v>
      </c>
      <c r="DA7" s="3">
        <v>45233609.460000001</v>
      </c>
      <c r="DB7" s="3">
        <v>0</v>
      </c>
      <c r="DC7" s="3">
        <v>163075239.16999999</v>
      </c>
      <c r="DD7" s="3">
        <v>117841629.70999999</v>
      </c>
      <c r="DE7" s="3">
        <v>45233609.460000001</v>
      </c>
      <c r="DF7" s="3">
        <v>0</v>
      </c>
      <c r="DG7" s="3">
        <v>163075239.16999999</v>
      </c>
      <c r="DH7" s="3">
        <v>114207971.75</v>
      </c>
      <c r="DI7" s="3">
        <v>14594537.039999999</v>
      </c>
      <c r="DJ7" s="3">
        <v>0</v>
      </c>
      <c r="DK7" s="3">
        <v>128802508.79000001</v>
      </c>
      <c r="DL7" s="3">
        <v>111718753.67</v>
      </c>
      <c r="DM7" s="3">
        <v>7529651.6100000003</v>
      </c>
      <c r="DN7" s="3">
        <v>0</v>
      </c>
      <c r="DO7" s="3">
        <v>119248405.28</v>
      </c>
      <c r="DP7" s="3">
        <v>112355000</v>
      </c>
      <c r="DQ7" s="3">
        <v>38087000</v>
      </c>
      <c r="DR7" s="3">
        <v>0</v>
      </c>
      <c r="DS7" s="3">
        <v>150442000</v>
      </c>
      <c r="DT7" s="3">
        <v>112355000</v>
      </c>
      <c r="DU7" s="3">
        <v>38087000</v>
      </c>
      <c r="DV7" s="3">
        <v>0</v>
      </c>
      <c r="DW7" s="3">
        <v>150442000</v>
      </c>
      <c r="DX7" s="3">
        <v>122790000</v>
      </c>
      <c r="DY7" s="3">
        <v>38087000</v>
      </c>
      <c r="DZ7" s="3">
        <v>0</v>
      </c>
      <c r="EA7" s="3">
        <v>160877000</v>
      </c>
      <c r="EB7" s="3">
        <v>127363921.91</v>
      </c>
      <c r="EC7" s="3">
        <v>63326996.710000001</v>
      </c>
      <c r="ED7" s="3">
        <v>0</v>
      </c>
      <c r="EE7" s="3">
        <v>190690918.62</v>
      </c>
      <c r="EF7" s="3">
        <v>127363921.91</v>
      </c>
      <c r="EG7" s="3">
        <v>63326996.710000001</v>
      </c>
      <c r="EH7" s="3">
        <v>0</v>
      </c>
      <c r="EI7" s="3">
        <v>190690918.62</v>
      </c>
      <c r="EJ7" s="3">
        <v>125602073.91</v>
      </c>
      <c r="EK7" s="3">
        <v>40557365.799999997</v>
      </c>
      <c r="EL7" s="3">
        <v>0</v>
      </c>
      <c r="EM7" s="3">
        <v>166159439.71000001</v>
      </c>
      <c r="EN7" s="3">
        <v>124791022.03</v>
      </c>
      <c r="EO7" s="3">
        <v>31755539.850000001</v>
      </c>
      <c r="EP7" s="3">
        <v>0</v>
      </c>
      <c r="EQ7" s="3">
        <v>156546561.88</v>
      </c>
      <c r="ER7" s="3">
        <v>116292000</v>
      </c>
      <c r="ES7" s="3">
        <v>39479000</v>
      </c>
      <c r="ET7" s="3">
        <v>0</v>
      </c>
      <c r="EU7" s="3">
        <v>155771000</v>
      </c>
      <c r="EV7" s="3">
        <v>116292000</v>
      </c>
      <c r="EW7" s="3">
        <v>39479000</v>
      </c>
      <c r="EX7" s="3">
        <v>0</v>
      </c>
      <c r="EY7" s="3">
        <v>155771000</v>
      </c>
      <c r="EZ7" s="3">
        <v>127082000</v>
      </c>
      <c r="FA7" s="3">
        <v>39479000</v>
      </c>
      <c r="FB7" s="3">
        <v>0</v>
      </c>
      <c r="FC7" s="3">
        <v>166561000</v>
      </c>
      <c r="FD7" s="3">
        <v>125550358.95</v>
      </c>
      <c r="FE7" s="3">
        <v>51947346.93</v>
      </c>
      <c r="FF7" s="3">
        <v>0</v>
      </c>
      <c r="FG7" s="3">
        <v>177497705.88</v>
      </c>
      <c r="FH7" s="3">
        <v>125550358.95</v>
      </c>
      <c r="FI7" s="3">
        <v>51947346.93</v>
      </c>
      <c r="FJ7" s="3">
        <v>0</v>
      </c>
      <c r="FK7" s="3">
        <v>177497705.88</v>
      </c>
      <c r="FL7" s="3">
        <v>123817653.06</v>
      </c>
      <c r="FM7" s="3">
        <v>27131805.969999999</v>
      </c>
      <c r="FN7" s="3">
        <v>0</v>
      </c>
      <c r="FO7" s="3">
        <v>150949459.03</v>
      </c>
      <c r="FP7" s="3">
        <v>120838035.12</v>
      </c>
      <c r="FQ7" s="3">
        <v>22585158.699999999</v>
      </c>
      <c r="FR7" s="3">
        <v>0</v>
      </c>
      <c r="FS7" s="3">
        <v>143423193.81999999</v>
      </c>
      <c r="FT7" s="3">
        <v>113091000</v>
      </c>
      <c r="FU7" s="3">
        <v>39479000</v>
      </c>
      <c r="FV7" s="3">
        <v>0</v>
      </c>
      <c r="FW7" s="3">
        <v>152570000</v>
      </c>
      <c r="FX7" s="3">
        <v>113091000</v>
      </c>
      <c r="FY7" s="3">
        <v>39479000</v>
      </c>
      <c r="FZ7" s="3">
        <v>0</v>
      </c>
      <c r="GA7" s="3">
        <v>152570000</v>
      </c>
      <c r="GB7" s="3">
        <v>123588000</v>
      </c>
      <c r="GC7" s="3">
        <v>39479000</v>
      </c>
      <c r="GD7" s="3">
        <v>0</v>
      </c>
      <c r="GE7" s="3">
        <v>163067000</v>
      </c>
      <c r="GF7" s="3">
        <v>126780919.84999999</v>
      </c>
      <c r="GG7" s="3">
        <v>59132343.289999999</v>
      </c>
      <c r="GH7" s="3">
        <v>0</v>
      </c>
      <c r="GI7" s="3">
        <v>185913263.13999999</v>
      </c>
      <c r="GJ7" s="3">
        <v>126780919.84999999</v>
      </c>
      <c r="GK7" s="3">
        <v>59132343.289999999</v>
      </c>
      <c r="GL7" s="3">
        <v>0</v>
      </c>
      <c r="GM7" s="3">
        <v>185913263.13999999</v>
      </c>
      <c r="GN7" s="3">
        <v>126076555.76000001</v>
      </c>
      <c r="GO7" s="3">
        <v>28368162.91</v>
      </c>
      <c r="GP7" s="3">
        <v>0</v>
      </c>
      <c r="GQ7" s="3">
        <v>154444718.66999999</v>
      </c>
      <c r="GR7" s="3">
        <v>125663495.05</v>
      </c>
      <c r="GS7" s="3">
        <v>23649951.09</v>
      </c>
      <c r="GT7" s="3">
        <v>0</v>
      </c>
      <c r="GU7" s="3">
        <v>149313446.13999999</v>
      </c>
      <c r="GV7" s="3">
        <v>109728000</v>
      </c>
      <c r="GW7" s="3">
        <v>32550000</v>
      </c>
      <c r="GX7" s="3">
        <v>0</v>
      </c>
      <c r="GY7" s="3">
        <v>142278000</v>
      </c>
      <c r="GZ7" s="3">
        <v>109728000</v>
      </c>
      <c r="HA7" s="3">
        <v>32550000</v>
      </c>
      <c r="HB7" s="3">
        <v>0</v>
      </c>
      <c r="HC7" s="3">
        <v>142278000</v>
      </c>
      <c r="HD7" s="3">
        <v>119810000</v>
      </c>
      <c r="HE7" s="3">
        <v>32550000</v>
      </c>
      <c r="HF7" s="3">
        <v>0</v>
      </c>
      <c r="HG7" s="3">
        <v>152360000</v>
      </c>
      <c r="HH7" s="3">
        <v>129163406.43000001</v>
      </c>
      <c r="HI7" s="3">
        <v>55891602.340000004</v>
      </c>
      <c r="HJ7" s="3">
        <v>0</v>
      </c>
      <c r="HK7" s="3">
        <v>185055008.77000001</v>
      </c>
      <c r="HL7" s="3">
        <v>129163406.43000001</v>
      </c>
      <c r="HM7" s="3">
        <v>55891602.340000004</v>
      </c>
      <c r="HN7" s="3">
        <v>0</v>
      </c>
      <c r="HO7" s="3">
        <v>185055008.77000001</v>
      </c>
      <c r="HP7" s="3">
        <v>128286802.03</v>
      </c>
      <c r="HQ7" s="3">
        <v>32025991.399999999</v>
      </c>
      <c r="HR7" s="3">
        <v>0</v>
      </c>
      <c r="HS7" s="3">
        <v>160312793.43000001</v>
      </c>
      <c r="HT7" s="3">
        <v>127132420.31999999</v>
      </c>
      <c r="HU7" s="3">
        <v>19487910.039999999</v>
      </c>
      <c r="HV7" s="3">
        <v>0</v>
      </c>
      <c r="HW7" s="3">
        <v>146620330.36000001</v>
      </c>
      <c r="HX7" s="3">
        <v>122422000</v>
      </c>
      <c r="HY7" s="3">
        <v>32671000</v>
      </c>
      <c r="HZ7" s="3">
        <v>0</v>
      </c>
      <c r="IA7" s="3">
        <v>155093000</v>
      </c>
      <c r="IB7" s="3">
        <v>122422000</v>
      </c>
      <c r="IC7" s="3">
        <v>32671000</v>
      </c>
      <c r="ID7" s="3">
        <v>0</v>
      </c>
      <c r="IE7" s="3">
        <v>155093000</v>
      </c>
      <c r="IF7" s="3"/>
      <c r="IG7" s="3"/>
      <c r="IH7" s="3"/>
      <c r="II7" s="3"/>
      <c r="IJ7" s="3"/>
      <c r="IK7" s="3"/>
      <c r="IL7" s="3"/>
      <c r="IM7" s="3"/>
      <c r="IN7" s="3"/>
      <c r="IO7" s="3"/>
      <c r="IP7" s="3"/>
      <c r="IQ7" s="3"/>
      <c r="IR7" s="3"/>
      <c r="IS7" s="3"/>
      <c r="IT7" s="3"/>
      <c r="IU7" s="3"/>
      <c r="IV7" s="3"/>
      <c r="IW7" s="3"/>
      <c r="IX7" s="3"/>
      <c r="IY7" s="3"/>
      <c r="IZ7" s="3">
        <v>129737000</v>
      </c>
      <c r="JA7" s="3">
        <v>32671000</v>
      </c>
      <c r="JB7" s="3">
        <v>0</v>
      </c>
      <c r="JC7" s="3">
        <v>162408000</v>
      </c>
      <c r="JD7" s="3"/>
      <c r="JE7" s="3"/>
      <c r="JF7" s="3"/>
      <c r="JG7" s="3"/>
    </row>
    <row r="8" spans="1:267" x14ac:dyDescent="0.25">
      <c r="A8" t="s">
        <v>505</v>
      </c>
      <c r="B8" t="s">
        <v>397</v>
      </c>
      <c r="C8" t="s">
        <v>199</v>
      </c>
      <c r="D8" t="s">
        <v>200</v>
      </c>
      <c r="E8" t="s">
        <v>208</v>
      </c>
      <c r="F8" t="s">
        <v>507</v>
      </c>
      <c r="G8" t="s">
        <v>403</v>
      </c>
      <c r="H8" s="3">
        <v>12425000</v>
      </c>
      <c r="I8" s="3">
        <v>12319000</v>
      </c>
      <c r="J8" s="3">
        <v>0</v>
      </c>
      <c r="K8" s="3">
        <v>24744000</v>
      </c>
      <c r="L8" s="3">
        <v>12425000</v>
      </c>
      <c r="M8" s="3">
        <v>12319000</v>
      </c>
      <c r="N8" s="3">
        <v>0</v>
      </c>
      <c r="O8" s="3">
        <v>24744000</v>
      </c>
      <c r="P8" s="3">
        <v>13547000</v>
      </c>
      <c r="Q8" s="3">
        <v>12319000</v>
      </c>
      <c r="R8" s="3">
        <v>0</v>
      </c>
      <c r="S8" s="3">
        <v>25866000</v>
      </c>
      <c r="T8" s="3">
        <v>15237841.449999999</v>
      </c>
      <c r="U8" s="3">
        <v>12319000</v>
      </c>
      <c r="V8" s="3">
        <v>0</v>
      </c>
      <c r="W8" s="3">
        <v>27556841.449999999</v>
      </c>
      <c r="X8" s="3">
        <v>15237841.449999999</v>
      </c>
      <c r="Y8" s="3">
        <v>12319000</v>
      </c>
      <c r="Z8" s="3">
        <v>0</v>
      </c>
      <c r="AA8" s="3">
        <v>27556841.449999999</v>
      </c>
      <c r="AB8" s="3">
        <v>15237841.449999999</v>
      </c>
      <c r="AC8" s="3">
        <v>8408147.6799999997</v>
      </c>
      <c r="AD8" s="3">
        <v>0</v>
      </c>
      <c r="AE8" s="3">
        <v>23645989.129999999</v>
      </c>
      <c r="AF8" s="3">
        <v>14865358.619999999</v>
      </c>
      <c r="AG8" s="3">
        <v>7427511.25</v>
      </c>
      <c r="AH8" s="3">
        <v>0</v>
      </c>
      <c r="AI8" s="3">
        <v>22292869.870000001</v>
      </c>
      <c r="AJ8" s="3">
        <v>13267000</v>
      </c>
      <c r="AK8" s="3">
        <v>4765000</v>
      </c>
      <c r="AL8" s="3">
        <v>0</v>
      </c>
      <c r="AM8" s="3">
        <v>18032000</v>
      </c>
      <c r="AN8" s="3">
        <v>13267000</v>
      </c>
      <c r="AO8" s="3">
        <v>4765000</v>
      </c>
      <c r="AP8" s="3">
        <v>0</v>
      </c>
      <c r="AQ8" s="3">
        <v>18032000</v>
      </c>
      <c r="AR8" s="3">
        <v>14479000</v>
      </c>
      <c r="AS8" s="3">
        <v>4765000</v>
      </c>
      <c r="AT8" s="3">
        <v>0</v>
      </c>
      <c r="AU8" s="3">
        <v>19244000</v>
      </c>
      <c r="AV8" s="3">
        <v>15672355.4</v>
      </c>
      <c r="AW8" s="3">
        <v>8675852.3200000003</v>
      </c>
      <c r="AX8" s="3">
        <v>0</v>
      </c>
      <c r="AY8" s="3">
        <v>24348207.719999999</v>
      </c>
      <c r="AZ8" s="3">
        <v>15672355.4</v>
      </c>
      <c r="BA8" s="3">
        <v>8675852.3200000003</v>
      </c>
      <c r="BB8" s="3">
        <v>0</v>
      </c>
      <c r="BC8" s="3">
        <v>24348207.719999999</v>
      </c>
      <c r="BD8" s="3">
        <v>15672355.4</v>
      </c>
      <c r="BE8" s="3">
        <v>2588168.7599999998</v>
      </c>
      <c r="BF8" s="3">
        <v>0</v>
      </c>
      <c r="BG8" s="3">
        <v>18260524.16</v>
      </c>
      <c r="BH8" s="3">
        <v>15495476.439999999</v>
      </c>
      <c r="BI8" s="3">
        <v>1688305.46</v>
      </c>
      <c r="BJ8" s="3">
        <v>0</v>
      </c>
      <c r="BK8" s="3">
        <v>17183781.899999999</v>
      </c>
      <c r="BL8" s="3">
        <v>13866000</v>
      </c>
      <c r="BM8" s="3">
        <v>3298000</v>
      </c>
      <c r="BN8" s="3">
        <v>0</v>
      </c>
      <c r="BO8" s="3">
        <v>17164000</v>
      </c>
      <c r="BP8" s="3">
        <v>13866000</v>
      </c>
      <c r="BQ8" s="3">
        <v>3298000</v>
      </c>
      <c r="BR8" s="3">
        <v>0</v>
      </c>
      <c r="BS8" s="3">
        <v>17164000</v>
      </c>
      <c r="BT8" s="3">
        <v>15139000</v>
      </c>
      <c r="BU8" s="3">
        <v>3298000</v>
      </c>
      <c r="BV8" s="3">
        <v>0</v>
      </c>
      <c r="BW8" s="3">
        <v>18437000</v>
      </c>
      <c r="BX8" s="3">
        <v>10284797.689999999</v>
      </c>
      <c r="BY8" s="3">
        <v>6462794.0499999998</v>
      </c>
      <c r="BZ8" s="3">
        <v>0</v>
      </c>
      <c r="CA8" s="3">
        <v>16747591.74</v>
      </c>
      <c r="CB8" s="3">
        <v>10284797.689999999</v>
      </c>
      <c r="CC8" s="3">
        <v>6462794.0499999998</v>
      </c>
      <c r="CD8" s="3">
        <v>0</v>
      </c>
      <c r="CE8" s="3">
        <v>16747591.74</v>
      </c>
      <c r="CF8" s="3">
        <v>10284797.689999999</v>
      </c>
      <c r="CG8" s="3">
        <v>314262.27</v>
      </c>
      <c r="CH8" s="3">
        <v>0</v>
      </c>
      <c r="CI8" s="3">
        <v>10599059.960000001</v>
      </c>
      <c r="CJ8" s="3">
        <v>10080350.25</v>
      </c>
      <c r="CK8" s="3">
        <v>18299</v>
      </c>
      <c r="CL8" s="3">
        <v>0</v>
      </c>
      <c r="CM8" s="3">
        <v>10098649.25</v>
      </c>
      <c r="CN8" s="3">
        <v>15689000</v>
      </c>
      <c r="CO8" s="3">
        <v>3357000</v>
      </c>
      <c r="CP8" s="3">
        <v>0</v>
      </c>
      <c r="CQ8" s="3">
        <v>19046000</v>
      </c>
      <c r="CR8" s="3">
        <v>15689000</v>
      </c>
      <c r="CS8" s="3">
        <v>3357000</v>
      </c>
      <c r="CT8" s="3">
        <v>0</v>
      </c>
      <c r="CU8" s="3">
        <v>19046000</v>
      </c>
      <c r="CV8" s="3">
        <v>17142000</v>
      </c>
      <c r="CW8" s="3">
        <v>3357000</v>
      </c>
      <c r="CX8" s="3">
        <v>0</v>
      </c>
      <c r="CY8" s="3">
        <v>20499000</v>
      </c>
      <c r="CZ8" s="3">
        <v>16479004.050000001</v>
      </c>
      <c r="DA8" s="3">
        <v>6438324</v>
      </c>
      <c r="DB8" s="3">
        <v>0</v>
      </c>
      <c r="DC8" s="3">
        <v>22917328.050000001</v>
      </c>
      <c r="DD8" s="3">
        <v>16479004.050000001</v>
      </c>
      <c r="DE8" s="3">
        <v>6438324</v>
      </c>
      <c r="DF8" s="3">
        <v>0</v>
      </c>
      <c r="DG8" s="3">
        <v>22917328.050000001</v>
      </c>
      <c r="DH8" s="3">
        <v>16402306.970000001</v>
      </c>
      <c r="DI8" s="3">
        <v>1433109.94</v>
      </c>
      <c r="DJ8" s="3">
        <v>0</v>
      </c>
      <c r="DK8" s="3">
        <v>17835416.91</v>
      </c>
      <c r="DL8" s="3">
        <v>16394994.859999999</v>
      </c>
      <c r="DM8" s="3">
        <v>742188</v>
      </c>
      <c r="DN8" s="3">
        <v>0</v>
      </c>
      <c r="DO8" s="3">
        <v>17137182.859999999</v>
      </c>
      <c r="DP8" s="3">
        <v>15268000</v>
      </c>
      <c r="DQ8" s="3">
        <v>3357000</v>
      </c>
      <c r="DR8" s="3">
        <v>0</v>
      </c>
      <c r="DS8" s="3">
        <v>18625000</v>
      </c>
      <c r="DT8" s="3">
        <v>15268000</v>
      </c>
      <c r="DU8" s="3">
        <v>3357000</v>
      </c>
      <c r="DV8" s="3">
        <v>0</v>
      </c>
      <c r="DW8" s="3">
        <v>18625000</v>
      </c>
      <c r="DX8" s="3">
        <v>16681000</v>
      </c>
      <c r="DY8" s="3">
        <v>3357000</v>
      </c>
      <c r="DZ8" s="3">
        <v>0</v>
      </c>
      <c r="EA8" s="3">
        <v>20038000</v>
      </c>
      <c r="EB8" s="3">
        <v>19912399.260000002</v>
      </c>
      <c r="EC8" s="3">
        <v>5280890.0599999996</v>
      </c>
      <c r="ED8" s="3">
        <v>0</v>
      </c>
      <c r="EE8" s="3">
        <v>25193289.32</v>
      </c>
      <c r="EF8" s="3">
        <v>19912399.260000002</v>
      </c>
      <c r="EG8" s="3">
        <v>5280890.0599999996</v>
      </c>
      <c r="EH8" s="3">
        <v>0</v>
      </c>
      <c r="EI8" s="3">
        <v>25193289.32</v>
      </c>
      <c r="EJ8" s="3">
        <v>19912399.260000002</v>
      </c>
      <c r="EK8" s="3">
        <v>2456609.9</v>
      </c>
      <c r="EL8" s="3">
        <v>0</v>
      </c>
      <c r="EM8" s="3">
        <v>22369009.16</v>
      </c>
      <c r="EN8" s="3">
        <v>19376145.420000002</v>
      </c>
      <c r="EO8" s="3">
        <v>2057574.22</v>
      </c>
      <c r="EP8" s="3">
        <v>0</v>
      </c>
      <c r="EQ8" s="3">
        <v>21433719.640000001</v>
      </c>
      <c r="ER8" s="3">
        <v>20056000</v>
      </c>
      <c r="ES8" s="3">
        <v>3480000</v>
      </c>
      <c r="ET8" s="3">
        <v>0</v>
      </c>
      <c r="EU8" s="3">
        <v>23536000</v>
      </c>
      <c r="EV8" s="3">
        <v>20056000</v>
      </c>
      <c r="EW8" s="3">
        <v>3480000</v>
      </c>
      <c r="EX8" s="3">
        <v>0</v>
      </c>
      <c r="EY8" s="3">
        <v>23536000</v>
      </c>
      <c r="EZ8" s="3">
        <v>21913000</v>
      </c>
      <c r="FA8" s="3">
        <v>3480000</v>
      </c>
      <c r="FB8" s="3">
        <v>0</v>
      </c>
      <c r="FC8" s="3">
        <v>25393000</v>
      </c>
      <c r="FD8" s="3">
        <v>21913000</v>
      </c>
      <c r="FE8" s="3">
        <v>4858323.57</v>
      </c>
      <c r="FF8" s="3">
        <v>0</v>
      </c>
      <c r="FG8" s="3">
        <v>26771323.57</v>
      </c>
      <c r="FH8" s="3">
        <v>21913000</v>
      </c>
      <c r="FI8" s="3">
        <v>4858323.57</v>
      </c>
      <c r="FJ8" s="3">
        <v>0</v>
      </c>
      <c r="FK8" s="3">
        <v>26771323.57</v>
      </c>
      <c r="FL8" s="3">
        <v>20802334.559999999</v>
      </c>
      <c r="FM8" s="3">
        <v>3504967.77</v>
      </c>
      <c r="FN8" s="3">
        <v>0</v>
      </c>
      <c r="FO8" s="3">
        <v>24307302.329999998</v>
      </c>
      <c r="FP8" s="3">
        <v>20637848.09</v>
      </c>
      <c r="FQ8" s="3">
        <v>2893764.94</v>
      </c>
      <c r="FR8" s="3">
        <v>0</v>
      </c>
      <c r="FS8" s="3">
        <v>23531613.030000001</v>
      </c>
      <c r="FT8" s="3">
        <v>20020000</v>
      </c>
      <c r="FU8" s="3">
        <v>53541000</v>
      </c>
      <c r="FV8" s="3">
        <v>0</v>
      </c>
      <c r="FW8" s="3">
        <v>73561000</v>
      </c>
      <c r="FX8" s="3">
        <v>20020000</v>
      </c>
      <c r="FY8" s="3">
        <v>48713000</v>
      </c>
      <c r="FZ8" s="3">
        <v>4828000</v>
      </c>
      <c r="GA8" s="3">
        <v>73561000</v>
      </c>
      <c r="GB8" s="3">
        <v>21866000</v>
      </c>
      <c r="GC8" s="3">
        <v>48713000</v>
      </c>
      <c r="GD8" s="3">
        <v>4828000</v>
      </c>
      <c r="GE8" s="3">
        <v>75407000</v>
      </c>
      <c r="GF8" s="3">
        <v>22666904.82</v>
      </c>
      <c r="GG8" s="3">
        <v>49890306.359999999</v>
      </c>
      <c r="GH8" s="3">
        <v>4828000</v>
      </c>
      <c r="GI8" s="3">
        <v>77385211.180000007</v>
      </c>
      <c r="GJ8" s="3">
        <v>22666904.82</v>
      </c>
      <c r="GK8" s="3">
        <v>49890306.359999999</v>
      </c>
      <c r="GL8" s="3">
        <v>4828000</v>
      </c>
      <c r="GM8" s="3">
        <v>77385211.180000007</v>
      </c>
      <c r="GN8" s="3">
        <v>22499014.23</v>
      </c>
      <c r="GO8" s="3">
        <v>17585822.399999999</v>
      </c>
      <c r="GP8" s="3">
        <v>0</v>
      </c>
      <c r="GQ8" s="3">
        <v>40084836.630000003</v>
      </c>
      <c r="GR8" s="3">
        <v>22287018.850000001</v>
      </c>
      <c r="GS8" s="3">
        <v>16071947.51</v>
      </c>
      <c r="GT8" s="3">
        <v>0</v>
      </c>
      <c r="GU8" s="3">
        <v>38358966.359999999</v>
      </c>
      <c r="GV8" s="3">
        <v>17917000</v>
      </c>
      <c r="GW8" s="3">
        <v>36672000</v>
      </c>
      <c r="GX8" s="3">
        <v>0</v>
      </c>
      <c r="GY8" s="3">
        <v>54589000</v>
      </c>
      <c r="GZ8" s="3">
        <v>17917000</v>
      </c>
      <c r="HA8" s="3">
        <v>36672000</v>
      </c>
      <c r="HB8" s="3">
        <v>0</v>
      </c>
      <c r="HC8" s="3">
        <v>54589000</v>
      </c>
      <c r="HD8" s="3">
        <v>19550000</v>
      </c>
      <c r="HE8" s="3">
        <v>36672000</v>
      </c>
      <c r="HF8" s="3">
        <v>0</v>
      </c>
      <c r="HG8" s="3">
        <v>56222000</v>
      </c>
      <c r="HH8" s="3">
        <v>33151161.98</v>
      </c>
      <c r="HI8" s="3">
        <v>58174854.369999997</v>
      </c>
      <c r="HJ8" s="3">
        <v>4828000</v>
      </c>
      <c r="HK8" s="3">
        <v>96154016.349999994</v>
      </c>
      <c r="HL8" s="3">
        <v>33151161.98</v>
      </c>
      <c r="HM8" s="3">
        <v>58174854.369999997</v>
      </c>
      <c r="HN8" s="3">
        <v>4828000</v>
      </c>
      <c r="HO8" s="3">
        <v>96154016.349999994</v>
      </c>
      <c r="HP8" s="3">
        <v>33151161.98</v>
      </c>
      <c r="HQ8" s="3">
        <v>24399107.550000001</v>
      </c>
      <c r="HR8" s="3">
        <v>0</v>
      </c>
      <c r="HS8" s="3">
        <v>57550269.530000001</v>
      </c>
      <c r="HT8" s="3">
        <v>32810247.149999999</v>
      </c>
      <c r="HU8" s="3">
        <v>18799320.780000001</v>
      </c>
      <c r="HV8" s="3">
        <v>0</v>
      </c>
      <c r="HW8" s="3">
        <v>51609567.93</v>
      </c>
      <c r="HX8" s="3">
        <v>23321000</v>
      </c>
      <c r="HY8" s="3">
        <v>27561000</v>
      </c>
      <c r="HZ8" s="3">
        <v>9732000</v>
      </c>
      <c r="IA8" s="3">
        <v>60614000</v>
      </c>
      <c r="IB8" s="3">
        <v>23321000</v>
      </c>
      <c r="IC8" s="3">
        <v>27561000</v>
      </c>
      <c r="ID8" s="3">
        <v>9732000</v>
      </c>
      <c r="IE8" s="3">
        <v>60614000</v>
      </c>
      <c r="IF8" s="3"/>
      <c r="IG8" s="3"/>
      <c r="IH8" s="3"/>
      <c r="II8" s="3"/>
      <c r="IJ8" s="3"/>
      <c r="IK8" s="3"/>
      <c r="IL8" s="3"/>
      <c r="IM8" s="3"/>
      <c r="IN8" s="3"/>
      <c r="IO8" s="3"/>
      <c r="IP8" s="3"/>
      <c r="IQ8" s="3"/>
      <c r="IR8" s="3"/>
      <c r="IS8" s="3"/>
      <c r="IT8" s="3"/>
      <c r="IU8" s="3"/>
      <c r="IV8" s="3"/>
      <c r="IW8" s="3"/>
      <c r="IX8" s="3"/>
      <c r="IY8" s="3"/>
      <c r="IZ8" s="3">
        <v>24449000</v>
      </c>
      <c r="JA8" s="3">
        <v>14146000</v>
      </c>
      <c r="JB8" s="3">
        <v>4907000</v>
      </c>
      <c r="JC8" s="3">
        <v>43502000</v>
      </c>
      <c r="JD8" s="3"/>
      <c r="JE8" s="3"/>
      <c r="JF8" s="3"/>
      <c r="JG8" s="3"/>
    </row>
    <row r="9" spans="1:267" x14ac:dyDescent="0.25">
      <c r="A9" t="s">
        <v>505</v>
      </c>
      <c r="B9" t="s">
        <v>397</v>
      </c>
      <c r="C9" t="s">
        <v>199</v>
      </c>
      <c r="D9" t="s">
        <v>200</v>
      </c>
      <c r="E9" t="s">
        <v>208</v>
      </c>
      <c r="F9" t="s">
        <v>508</v>
      </c>
      <c r="G9" t="s">
        <v>404</v>
      </c>
      <c r="H9" s="3">
        <v>1358669000</v>
      </c>
      <c r="I9" s="3">
        <v>281020000</v>
      </c>
      <c r="J9" s="3">
        <v>0</v>
      </c>
      <c r="K9" s="3">
        <v>1639689000</v>
      </c>
      <c r="L9" s="3">
        <v>1358669000</v>
      </c>
      <c r="M9" s="3">
        <v>281020000</v>
      </c>
      <c r="N9" s="3">
        <v>0</v>
      </c>
      <c r="O9" s="3">
        <v>1639689000</v>
      </c>
      <c r="P9" s="3">
        <v>1440129000</v>
      </c>
      <c r="Q9" s="3">
        <v>281020000</v>
      </c>
      <c r="R9" s="3">
        <v>0</v>
      </c>
      <c r="S9" s="3">
        <v>1721149000</v>
      </c>
      <c r="T9" s="3">
        <v>1441744910.04</v>
      </c>
      <c r="U9" s="3">
        <v>280034000</v>
      </c>
      <c r="V9" s="3">
        <v>986000</v>
      </c>
      <c r="W9" s="3">
        <v>1722764910.04</v>
      </c>
      <c r="X9" s="3">
        <v>1441744910.04</v>
      </c>
      <c r="Y9" s="3">
        <v>280034000</v>
      </c>
      <c r="Z9" s="3">
        <v>986000</v>
      </c>
      <c r="AA9" s="3">
        <v>1722764910.04</v>
      </c>
      <c r="AB9" s="3">
        <v>1388801773.3299999</v>
      </c>
      <c r="AC9" s="3">
        <v>172749616.59999999</v>
      </c>
      <c r="AD9" s="3">
        <v>0</v>
      </c>
      <c r="AE9" s="3">
        <v>1561551389.9300001</v>
      </c>
      <c r="AF9" s="3">
        <v>1315750297.1500001</v>
      </c>
      <c r="AG9" s="3">
        <v>123323094.43000001</v>
      </c>
      <c r="AH9" s="3">
        <v>0</v>
      </c>
      <c r="AI9" s="3">
        <v>1439073391.5699999</v>
      </c>
      <c r="AJ9" s="3">
        <v>1739968000</v>
      </c>
      <c r="AK9" s="3">
        <v>188812000</v>
      </c>
      <c r="AL9" s="3">
        <v>0</v>
      </c>
      <c r="AM9" s="3">
        <v>1928780000</v>
      </c>
      <c r="AN9" s="3">
        <v>1739968000</v>
      </c>
      <c r="AO9" s="3">
        <v>188812000</v>
      </c>
      <c r="AP9" s="3">
        <v>0</v>
      </c>
      <c r="AQ9" s="3">
        <v>1928780000</v>
      </c>
      <c r="AR9" s="3">
        <v>1853083000</v>
      </c>
      <c r="AS9" s="3">
        <v>188812000</v>
      </c>
      <c r="AT9" s="3">
        <v>0</v>
      </c>
      <c r="AU9" s="3">
        <v>2041895000</v>
      </c>
      <c r="AV9" s="3">
        <v>1815513168.29</v>
      </c>
      <c r="AW9" s="3">
        <v>296096383.69999999</v>
      </c>
      <c r="AX9" s="3">
        <v>986000</v>
      </c>
      <c r="AY9" s="3">
        <v>2112595551.99</v>
      </c>
      <c r="AZ9" s="3">
        <v>1815513168.29</v>
      </c>
      <c r="BA9" s="3">
        <v>296096383.69999999</v>
      </c>
      <c r="BB9" s="3">
        <v>986000</v>
      </c>
      <c r="BC9" s="3">
        <v>2112595551.99</v>
      </c>
      <c r="BD9" s="3">
        <v>1781565426.3800001</v>
      </c>
      <c r="BE9" s="3">
        <v>198381495.31999999</v>
      </c>
      <c r="BF9" s="3">
        <v>0</v>
      </c>
      <c r="BG9" s="3">
        <v>1979946921.7</v>
      </c>
      <c r="BH9" s="3">
        <v>1731492907.4000001</v>
      </c>
      <c r="BI9" s="3">
        <v>147123638.02000001</v>
      </c>
      <c r="BJ9" s="3">
        <v>0</v>
      </c>
      <c r="BK9" s="3">
        <v>1878616545.4200001</v>
      </c>
      <c r="BL9" s="3">
        <v>1906842000</v>
      </c>
      <c r="BM9" s="3">
        <v>119170000</v>
      </c>
      <c r="BN9" s="3">
        <v>0</v>
      </c>
      <c r="BO9" s="3">
        <v>2026012000</v>
      </c>
      <c r="BP9" s="3">
        <v>1906842000</v>
      </c>
      <c r="BQ9" s="3">
        <v>119170000</v>
      </c>
      <c r="BR9" s="3">
        <v>0</v>
      </c>
      <c r="BS9" s="3">
        <v>2026012000</v>
      </c>
      <c r="BT9" s="3">
        <v>2034448000</v>
      </c>
      <c r="BU9" s="3">
        <v>119170000</v>
      </c>
      <c r="BV9" s="3">
        <v>0</v>
      </c>
      <c r="BW9" s="3">
        <v>2153618000</v>
      </c>
      <c r="BX9" s="3">
        <v>1912145938.8299999</v>
      </c>
      <c r="BY9" s="3">
        <v>168387207.49000001</v>
      </c>
      <c r="BZ9" s="3">
        <v>0</v>
      </c>
      <c r="CA9" s="3">
        <v>2080533146.3199999</v>
      </c>
      <c r="CB9" s="3">
        <v>1912145938.8299999</v>
      </c>
      <c r="CC9" s="3">
        <v>168387207.49000001</v>
      </c>
      <c r="CD9" s="3">
        <v>0</v>
      </c>
      <c r="CE9" s="3">
        <v>2080533146.3199999</v>
      </c>
      <c r="CF9" s="3">
        <v>1842786188.3099999</v>
      </c>
      <c r="CG9" s="3">
        <v>84386743.790000007</v>
      </c>
      <c r="CH9" s="3">
        <v>0</v>
      </c>
      <c r="CI9" s="3">
        <v>1927172932.0999999</v>
      </c>
      <c r="CJ9" s="3">
        <v>1776859657.77</v>
      </c>
      <c r="CK9" s="3">
        <v>32387500.84</v>
      </c>
      <c r="CL9" s="3">
        <v>0</v>
      </c>
      <c r="CM9" s="3">
        <v>1809247158.6099999</v>
      </c>
      <c r="CN9" s="3">
        <v>2060036000</v>
      </c>
      <c r="CO9" s="3">
        <v>121315000</v>
      </c>
      <c r="CP9" s="3">
        <v>0</v>
      </c>
      <c r="CQ9" s="3">
        <v>2181351000</v>
      </c>
      <c r="CR9" s="3">
        <v>2060036000</v>
      </c>
      <c r="CS9" s="3">
        <v>121315000</v>
      </c>
      <c r="CT9" s="3">
        <v>0</v>
      </c>
      <c r="CU9" s="3">
        <v>2181351000</v>
      </c>
      <c r="CV9" s="3">
        <v>2198812000</v>
      </c>
      <c r="CW9" s="3">
        <v>121315000</v>
      </c>
      <c r="CX9" s="3">
        <v>0</v>
      </c>
      <c r="CY9" s="3">
        <v>2320127000</v>
      </c>
      <c r="CZ9" s="3">
        <v>2189021311.4699998</v>
      </c>
      <c r="DA9" s="3">
        <v>170240710.02000001</v>
      </c>
      <c r="DB9" s="3">
        <v>0</v>
      </c>
      <c r="DC9" s="3">
        <v>2359262021.4899998</v>
      </c>
      <c r="DD9" s="3">
        <v>2189021311.4699998</v>
      </c>
      <c r="DE9" s="3">
        <v>170240710.02000001</v>
      </c>
      <c r="DF9" s="3">
        <v>0</v>
      </c>
      <c r="DG9" s="3">
        <v>2359262021.4899998</v>
      </c>
      <c r="DH9" s="3">
        <v>2080743080.8299999</v>
      </c>
      <c r="DI9" s="3">
        <v>128031052.01000001</v>
      </c>
      <c r="DJ9" s="3">
        <v>0</v>
      </c>
      <c r="DK9" s="3">
        <v>2208774132.8400002</v>
      </c>
      <c r="DL9" s="3">
        <v>2016857746.52</v>
      </c>
      <c r="DM9" s="3">
        <v>80644320.980000004</v>
      </c>
      <c r="DN9" s="3">
        <v>0</v>
      </c>
      <c r="DO9" s="3">
        <v>2097502067.5</v>
      </c>
      <c r="DP9" s="3">
        <v>2101605000</v>
      </c>
      <c r="DQ9" s="3">
        <v>121315000</v>
      </c>
      <c r="DR9" s="3">
        <v>0</v>
      </c>
      <c r="DS9" s="3">
        <v>2222920000</v>
      </c>
      <c r="DT9" s="3">
        <v>2101605000</v>
      </c>
      <c r="DU9" s="3">
        <v>121315000</v>
      </c>
      <c r="DV9" s="3">
        <v>0</v>
      </c>
      <c r="DW9" s="3">
        <v>2222920000</v>
      </c>
      <c r="DX9" s="3">
        <v>2242234000</v>
      </c>
      <c r="DY9" s="3">
        <v>121315000</v>
      </c>
      <c r="DZ9" s="3">
        <v>0</v>
      </c>
      <c r="EA9" s="3">
        <v>2363549000</v>
      </c>
      <c r="EB9" s="3">
        <v>2217129782.7199998</v>
      </c>
      <c r="EC9" s="3">
        <v>126106806.81</v>
      </c>
      <c r="ED9" s="3">
        <v>0</v>
      </c>
      <c r="EE9" s="3">
        <v>2343236589.5300002</v>
      </c>
      <c r="EF9" s="3">
        <v>2217129782.7199998</v>
      </c>
      <c r="EG9" s="3">
        <v>126106806.81</v>
      </c>
      <c r="EH9" s="3">
        <v>0</v>
      </c>
      <c r="EI9" s="3">
        <v>2343236589.5300002</v>
      </c>
      <c r="EJ9" s="3">
        <v>2158688687.0900002</v>
      </c>
      <c r="EK9" s="3">
        <v>107055399.20999999</v>
      </c>
      <c r="EL9" s="3">
        <v>0</v>
      </c>
      <c r="EM9" s="3">
        <v>2265744086.3000002</v>
      </c>
      <c r="EN9" s="3">
        <v>2111798993.3199999</v>
      </c>
      <c r="EO9" s="3">
        <v>94412307.640000001</v>
      </c>
      <c r="EP9" s="3">
        <v>0</v>
      </c>
      <c r="EQ9" s="3">
        <v>2206211300.96</v>
      </c>
      <c r="ER9" s="3">
        <v>2224649000</v>
      </c>
      <c r="ES9" s="3">
        <v>125748000</v>
      </c>
      <c r="ET9" s="3">
        <v>0</v>
      </c>
      <c r="EU9" s="3">
        <v>2350397000</v>
      </c>
      <c r="EV9" s="3">
        <v>2224649000</v>
      </c>
      <c r="EW9" s="3">
        <v>222998000</v>
      </c>
      <c r="EX9" s="3">
        <v>0</v>
      </c>
      <c r="EY9" s="3">
        <v>2447647000</v>
      </c>
      <c r="EZ9" s="3">
        <v>2374954000</v>
      </c>
      <c r="FA9" s="3">
        <v>222998000</v>
      </c>
      <c r="FB9" s="3">
        <v>0</v>
      </c>
      <c r="FC9" s="3">
        <v>2597952000</v>
      </c>
      <c r="FD9" s="3">
        <v>2322510939.1799998</v>
      </c>
      <c r="FE9" s="3">
        <v>235705567.97</v>
      </c>
      <c r="FF9" s="3">
        <v>0</v>
      </c>
      <c r="FG9" s="3">
        <v>2558216507.1500001</v>
      </c>
      <c r="FH9" s="3">
        <v>2322510939.1799998</v>
      </c>
      <c r="FI9" s="3">
        <v>235705567.97</v>
      </c>
      <c r="FJ9" s="3">
        <v>0</v>
      </c>
      <c r="FK9" s="3">
        <v>2558216507.1500001</v>
      </c>
      <c r="FL9" s="3">
        <v>2291516318.0599999</v>
      </c>
      <c r="FM9" s="3">
        <v>77176451.670000002</v>
      </c>
      <c r="FN9" s="3">
        <v>0</v>
      </c>
      <c r="FO9" s="3">
        <v>2368692769.73</v>
      </c>
      <c r="FP9" s="3">
        <v>2250626007.4499998</v>
      </c>
      <c r="FQ9" s="3">
        <v>66641801.710000001</v>
      </c>
      <c r="FR9" s="3">
        <v>0</v>
      </c>
      <c r="FS9" s="3">
        <v>2317267809.1599998</v>
      </c>
      <c r="FT9" s="3">
        <v>2282366000</v>
      </c>
      <c r="FU9" s="3">
        <v>438467000</v>
      </c>
      <c r="FV9" s="3">
        <v>0</v>
      </c>
      <c r="FW9" s="3">
        <v>2720833000</v>
      </c>
      <c r="FX9" s="3">
        <v>2282366000</v>
      </c>
      <c r="FY9" s="3">
        <v>488467000</v>
      </c>
      <c r="FZ9" s="3">
        <v>0</v>
      </c>
      <c r="GA9" s="3">
        <v>2770833000</v>
      </c>
      <c r="GB9" s="3">
        <v>2438191000</v>
      </c>
      <c r="GC9" s="3">
        <v>488467000</v>
      </c>
      <c r="GD9" s="3">
        <v>0</v>
      </c>
      <c r="GE9" s="3">
        <v>2926658000</v>
      </c>
      <c r="GF9" s="3">
        <v>2423534903.27</v>
      </c>
      <c r="GG9" s="3">
        <v>643774814.65999997</v>
      </c>
      <c r="GH9" s="3">
        <v>0</v>
      </c>
      <c r="GI9" s="3">
        <v>3067309717.9299998</v>
      </c>
      <c r="GJ9" s="3">
        <v>2423534903.27</v>
      </c>
      <c r="GK9" s="3">
        <v>643774814.65999997</v>
      </c>
      <c r="GL9" s="3">
        <v>0</v>
      </c>
      <c r="GM9" s="3">
        <v>3067309717.9299998</v>
      </c>
      <c r="GN9" s="3">
        <v>2377838057.8499999</v>
      </c>
      <c r="GO9" s="3">
        <v>419129426.81</v>
      </c>
      <c r="GP9" s="3">
        <v>0</v>
      </c>
      <c r="GQ9" s="3">
        <v>2796967484.6599998</v>
      </c>
      <c r="GR9" s="3">
        <v>2336392786.5799999</v>
      </c>
      <c r="GS9" s="3">
        <v>302999643.24000001</v>
      </c>
      <c r="GT9" s="3">
        <v>0</v>
      </c>
      <c r="GU9" s="3">
        <v>2639392429.8200002</v>
      </c>
      <c r="GV9" s="3">
        <v>2302099000</v>
      </c>
      <c r="GW9" s="3">
        <v>400345000</v>
      </c>
      <c r="GX9" s="3">
        <v>0</v>
      </c>
      <c r="GY9" s="3">
        <v>2702444000</v>
      </c>
      <c r="GZ9" s="3">
        <v>2302099000</v>
      </c>
      <c r="HA9" s="3">
        <v>405345000</v>
      </c>
      <c r="HB9" s="3">
        <v>0</v>
      </c>
      <c r="HC9" s="3">
        <v>2707444000</v>
      </c>
      <c r="HD9" s="3">
        <v>2458935000</v>
      </c>
      <c r="HE9" s="3">
        <v>405345000</v>
      </c>
      <c r="HF9" s="3">
        <v>0</v>
      </c>
      <c r="HG9" s="3">
        <v>2864280000</v>
      </c>
      <c r="HH9" s="3">
        <v>2435266997.5300002</v>
      </c>
      <c r="HI9" s="3">
        <v>625813731.5</v>
      </c>
      <c r="HJ9" s="3">
        <v>0</v>
      </c>
      <c r="HK9" s="3">
        <v>3061080729.0300002</v>
      </c>
      <c r="HL9" s="3">
        <v>2435266997.5300002</v>
      </c>
      <c r="HM9" s="3">
        <v>620813731.5</v>
      </c>
      <c r="HN9" s="3">
        <v>0</v>
      </c>
      <c r="HO9" s="3">
        <v>3056080729.0300002</v>
      </c>
      <c r="HP9" s="3">
        <v>2417553963.25</v>
      </c>
      <c r="HQ9" s="3">
        <v>404623267.14999998</v>
      </c>
      <c r="HR9" s="3">
        <v>0</v>
      </c>
      <c r="HS9" s="3">
        <v>2822177230.4000001</v>
      </c>
      <c r="HT9" s="3">
        <v>2368522802.9099998</v>
      </c>
      <c r="HU9" s="3">
        <v>262116629.21000001</v>
      </c>
      <c r="HV9" s="3">
        <v>0</v>
      </c>
      <c r="HW9" s="3">
        <v>2630639432.1199999</v>
      </c>
      <c r="HX9" s="3">
        <v>2637581000</v>
      </c>
      <c r="HY9" s="3">
        <v>337139000</v>
      </c>
      <c r="HZ9" s="3">
        <v>0</v>
      </c>
      <c r="IA9" s="3">
        <v>2974720000</v>
      </c>
      <c r="IB9" s="3">
        <v>2637581000</v>
      </c>
      <c r="IC9" s="3">
        <v>1301425000</v>
      </c>
      <c r="ID9" s="3">
        <v>1175300000</v>
      </c>
      <c r="IE9" s="3">
        <v>5114306000</v>
      </c>
      <c r="IF9" s="3"/>
      <c r="IG9" s="3"/>
      <c r="IH9" s="3"/>
      <c r="II9" s="3"/>
      <c r="IJ9" s="3"/>
      <c r="IK9" s="3"/>
      <c r="IL9" s="3"/>
      <c r="IM9" s="3"/>
      <c r="IN9" s="3"/>
      <c r="IO9" s="3"/>
      <c r="IP9" s="3"/>
      <c r="IQ9" s="3"/>
      <c r="IR9" s="3"/>
      <c r="IS9" s="3"/>
      <c r="IT9" s="3"/>
      <c r="IU9" s="3"/>
      <c r="IV9" s="3"/>
      <c r="IW9" s="3"/>
      <c r="IX9" s="3"/>
      <c r="IY9" s="3"/>
      <c r="IZ9" s="3">
        <v>2752947000</v>
      </c>
      <c r="JA9" s="3">
        <v>464078000</v>
      </c>
      <c r="JB9" s="3">
        <v>0</v>
      </c>
      <c r="JC9" s="3">
        <v>3217025000</v>
      </c>
      <c r="JD9" s="3"/>
      <c r="JE9" s="3"/>
      <c r="JF9" s="3"/>
      <c r="JG9" s="3"/>
    </row>
    <row r="10" spans="1:267" x14ac:dyDescent="0.25">
      <c r="A10" t="s">
        <v>505</v>
      </c>
      <c r="B10" t="s">
        <v>397</v>
      </c>
      <c r="C10" t="s">
        <v>199</v>
      </c>
      <c r="D10" t="s">
        <v>200</v>
      </c>
      <c r="E10" t="s">
        <v>208</v>
      </c>
      <c r="F10" t="s">
        <v>509</v>
      </c>
      <c r="G10" t="s">
        <v>405</v>
      </c>
      <c r="H10" s="3">
        <v>8946000</v>
      </c>
      <c r="I10" s="3">
        <v>171751000</v>
      </c>
      <c r="J10" s="3">
        <v>0</v>
      </c>
      <c r="K10" s="3">
        <v>180697000</v>
      </c>
      <c r="L10" s="3">
        <v>8946000</v>
      </c>
      <c r="M10" s="3">
        <v>171751000</v>
      </c>
      <c r="N10" s="3">
        <v>0</v>
      </c>
      <c r="O10" s="3">
        <v>180697000</v>
      </c>
      <c r="P10" s="3">
        <v>9767000</v>
      </c>
      <c r="Q10" s="3">
        <v>171751000</v>
      </c>
      <c r="R10" s="3">
        <v>0</v>
      </c>
      <c r="S10" s="3">
        <v>181518000</v>
      </c>
      <c r="T10" s="3">
        <v>6346565.79</v>
      </c>
      <c r="U10" s="3">
        <v>171725247.36000001</v>
      </c>
      <c r="V10" s="3">
        <v>0</v>
      </c>
      <c r="W10" s="3">
        <v>178071813.15000001</v>
      </c>
      <c r="X10" s="3">
        <v>6346565.79</v>
      </c>
      <c r="Y10" s="3">
        <v>171725247.36000001</v>
      </c>
      <c r="Z10" s="3">
        <v>0</v>
      </c>
      <c r="AA10" s="3">
        <v>178071813.15000001</v>
      </c>
      <c r="AB10" s="3">
        <v>6346565.79</v>
      </c>
      <c r="AC10" s="3">
        <v>108437425.77</v>
      </c>
      <c r="AD10" s="3">
        <v>0</v>
      </c>
      <c r="AE10" s="3">
        <v>114783991.56</v>
      </c>
      <c r="AF10" s="3">
        <v>6151453.0999999996</v>
      </c>
      <c r="AG10" s="3">
        <v>87858952.939999998</v>
      </c>
      <c r="AH10" s="3">
        <v>0</v>
      </c>
      <c r="AI10" s="3">
        <v>94010406.040000007</v>
      </c>
      <c r="AJ10" s="3">
        <v>7400000</v>
      </c>
      <c r="AK10" s="3">
        <v>174843000</v>
      </c>
      <c r="AL10" s="3">
        <v>0</v>
      </c>
      <c r="AM10" s="3">
        <v>182243000</v>
      </c>
      <c r="AN10" s="3">
        <v>7400000</v>
      </c>
      <c r="AO10" s="3">
        <v>174843000</v>
      </c>
      <c r="AP10" s="3">
        <v>0</v>
      </c>
      <c r="AQ10" s="3">
        <v>182243000</v>
      </c>
      <c r="AR10" s="3">
        <v>8084000</v>
      </c>
      <c r="AS10" s="3">
        <v>174843000</v>
      </c>
      <c r="AT10" s="3">
        <v>0</v>
      </c>
      <c r="AU10" s="3">
        <v>182927000</v>
      </c>
      <c r="AV10" s="3">
        <v>7968882.9699999997</v>
      </c>
      <c r="AW10" s="3">
        <v>238130821.59</v>
      </c>
      <c r="AX10" s="3">
        <v>0</v>
      </c>
      <c r="AY10" s="3">
        <v>246099704.56</v>
      </c>
      <c r="AZ10" s="3">
        <v>7968882.9699999997</v>
      </c>
      <c r="BA10" s="3">
        <v>238130821.59</v>
      </c>
      <c r="BB10" s="3">
        <v>0</v>
      </c>
      <c r="BC10" s="3">
        <v>246099704.56</v>
      </c>
      <c r="BD10" s="3">
        <v>6967338.46</v>
      </c>
      <c r="BE10" s="3">
        <v>150492268.62</v>
      </c>
      <c r="BF10" s="3">
        <v>0</v>
      </c>
      <c r="BG10" s="3">
        <v>157459607.08000001</v>
      </c>
      <c r="BH10" s="3">
        <v>6944872.8300000001</v>
      </c>
      <c r="BI10" s="3">
        <v>119556501.40000001</v>
      </c>
      <c r="BJ10" s="3">
        <v>0</v>
      </c>
      <c r="BK10" s="3">
        <v>126501374.23</v>
      </c>
      <c r="BL10" s="3">
        <v>5944000</v>
      </c>
      <c r="BM10" s="3">
        <v>112134000</v>
      </c>
      <c r="BN10" s="3">
        <v>0</v>
      </c>
      <c r="BO10" s="3">
        <v>118078000</v>
      </c>
      <c r="BP10" s="3">
        <v>5944000</v>
      </c>
      <c r="BQ10" s="3">
        <v>112134000</v>
      </c>
      <c r="BR10" s="3">
        <v>0</v>
      </c>
      <c r="BS10" s="3">
        <v>118078000</v>
      </c>
      <c r="BT10" s="3">
        <v>6488000</v>
      </c>
      <c r="BU10" s="3">
        <v>112134000</v>
      </c>
      <c r="BV10" s="3">
        <v>0</v>
      </c>
      <c r="BW10" s="3">
        <v>118622000</v>
      </c>
      <c r="BX10" s="3">
        <v>5187371.0599999996</v>
      </c>
      <c r="BY10" s="3">
        <v>154838831.16</v>
      </c>
      <c r="BZ10" s="3">
        <v>0</v>
      </c>
      <c r="CA10" s="3">
        <v>160026202.22</v>
      </c>
      <c r="CB10" s="3">
        <v>5187371.0599999996</v>
      </c>
      <c r="CC10" s="3">
        <v>154838831.16</v>
      </c>
      <c r="CD10" s="3">
        <v>0</v>
      </c>
      <c r="CE10" s="3">
        <v>160026202.22</v>
      </c>
      <c r="CF10" s="3">
        <v>4185826.55</v>
      </c>
      <c r="CG10" s="3">
        <v>79370437.299999997</v>
      </c>
      <c r="CH10" s="3">
        <v>0</v>
      </c>
      <c r="CI10" s="3">
        <v>83556263.849999994</v>
      </c>
      <c r="CJ10" s="3">
        <v>3999325.14</v>
      </c>
      <c r="CK10" s="3">
        <v>50087455.780000001</v>
      </c>
      <c r="CL10" s="3">
        <v>0</v>
      </c>
      <c r="CM10" s="3">
        <v>54086780.920000002</v>
      </c>
      <c r="CN10" s="3">
        <v>6356000</v>
      </c>
      <c r="CO10" s="3">
        <v>114152000</v>
      </c>
      <c r="CP10" s="3">
        <v>0</v>
      </c>
      <c r="CQ10" s="3">
        <v>120508000</v>
      </c>
      <c r="CR10" s="3">
        <v>6356000</v>
      </c>
      <c r="CS10" s="3">
        <v>114152000</v>
      </c>
      <c r="CT10" s="3">
        <v>0</v>
      </c>
      <c r="CU10" s="3">
        <v>120508000</v>
      </c>
      <c r="CV10" s="3">
        <v>6942000</v>
      </c>
      <c r="CW10" s="3">
        <v>114152000</v>
      </c>
      <c r="CX10" s="3">
        <v>0</v>
      </c>
      <c r="CY10" s="3">
        <v>121094000</v>
      </c>
      <c r="CZ10" s="3">
        <v>7800687.1200000001</v>
      </c>
      <c r="DA10" s="3">
        <v>165429152</v>
      </c>
      <c r="DB10" s="3">
        <v>0</v>
      </c>
      <c r="DC10" s="3">
        <v>173229839.12</v>
      </c>
      <c r="DD10" s="3">
        <v>7800687.1200000001</v>
      </c>
      <c r="DE10" s="3">
        <v>165429152</v>
      </c>
      <c r="DF10" s="3">
        <v>0</v>
      </c>
      <c r="DG10" s="3">
        <v>173229839.12</v>
      </c>
      <c r="DH10" s="3">
        <v>7800687.1200000001</v>
      </c>
      <c r="DI10" s="3">
        <v>104256949.59</v>
      </c>
      <c r="DJ10" s="3">
        <v>0</v>
      </c>
      <c r="DK10" s="3">
        <v>112057636.70999999</v>
      </c>
      <c r="DL10" s="3">
        <v>7370017.1799999997</v>
      </c>
      <c r="DM10" s="3">
        <v>67204829.230000004</v>
      </c>
      <c r="DN10" s="3">
        <v>0</v>
      </c>
      <c r="DO10" s="3">
        <v>74574846.409999996</v>
      </c>
      <c r="DP10" s="3">
        <v>6095000</v>
      </c>
      <c r="DQ10" s="3">
        <v>114152000</v>
      </c>
      <c r="DR10" s="3">
        <v>0</v>
      </c>
      <c r="DS10" s="3">
        <v>120247000</v>
      </c>
      <c r="DT10" s="3">
        <v>6095000</v>
      </c>
      <c r="DU10" s="3">
        <v>114152000</v>
      </c>
      <c r="DV10" s="3">
        <v>0</v>
      </c>
      <c r="DW10" s="3">
        <v>120247000</v>
      </c>
      <c r="DX10" s="3">
        <v>6657000</v>
      </c>
      <c r="DY10" s="3">
        <v>114152000</v>
      </c>
      <c r="DZ10" s="3">
        <v>0</v>
      </c>
      <c r="EA10" s="3">
        <v>120809000</v>
      </c>
      <c r="EB10" s="3">
        <v>8847869.9700000007</v>
      </c>
      <c r="EC10" s="3">
        <v>142693272.77000001</v>
      </c>
      <c r="ED10" s="3">
        <v>0</v>
      </c>
      <c r="EE10" s="3">
        <v>151541142.74000001</v>
      </c>
      <c r="EF10" s="3">
        <v>8847869.9700000007</v>
      </c>
      <c r="EG10" s="3">
        <v>142693272.77000001</v>
      </c>
      <c r="EH10" s="3">
        <v>0</v>
      </c>
      <c r="EI10" s="3">
        <v>151541142.74000001</v>
      </c>
      <c r="EJ10" s="3">
        <v>8847857.4900000002</v>
      </c>
      <c r="EK10" s="3">
        <v>104875124.95</v>
      </c>
      <c r="EL10" s="3">
        <v>0</v>
      </c>
      <c r="EM10" s="3">
        <v>113722982.44</v>
      </c>
      <c r="EN10" s="3">
        <v>8624150.6699999999</v>
      </c>
      <c r="EO10" s="3">
        <v>86718293.439999998</v>
      </c>
      <c r="EP10" s="3">
        <v>0</v>
      </c>
      <c r="EQ10" s="3">
        <v>95342444.109999999</v>
      </c>
      <c r="ER10" s="3">
        <v>8230000</v>
      </c>
      <c r="ES10" s="3">
        <v>118323000</v>
      </c>
      <c r="ET10" s="3">
        <v>0</v>
      </c>
      <c r="EU10" s="3">
        <v>126553000</v>
      </c>
      <c r="EV10" s="3">
        <v>8230000</v>
      </c>
      <c r="EW10" s="3">
        <v>118323000</v>
      </c>
      <c r="EX10" s="3">
        <v>0</v>
      </c>
      <c r="EY10" s="3">
        <v>126553000</v>
      </c>
      <c r="EZ10" s="3">
        <v>8992000</v>
      </c>
      <c r="FA10" s="3">
        <v>118323000</v>
      </c>
      <c r="FB10" s="3">
        <v>0</v>
      </c>
      <c r="FC10" s="3">
        <v>127315000</v>
      </c>
      <c r="FD10" s="3">
        <v>10186581.51</v>
      </c>
      <c r="FE10" s="3">
        <v>146186678.33000001</v>
      </c>
      <c r="FF10" s="3">
        <v>0</v>
      </c>
      <c r="FG10" s="3">
        <v>156373259.84</v>
      </c>
      <c r="FH10" s="3">
        <v>10186581.51</v>
      </c>
      <c r="FI10" s="3">
        <v>146186678.33000001</v>
      </c>
      <c r="FJ10" s="3">
        <v>0</v>
      </c>
      <c r="FK10" s="3">
        <v>156373259.84</v>
      </c>
      <c r="FL10" s="3">
        <v>10177581.51</v>
      </c>
      <c r="FM10" s="3">
        <v>77709016.439999998</v>
      </c>
      <c r="FN10" s="3">
        <v>0</v>
      </c>
      <c r="FO10" s="3">
        <v>87886597.950000003</v>
      </c>
      <c r="FP10" s="3">
        <v>9203636.8499999996</v>
      </c>
      <c r="FQ10" s="3">
        <v>62152840.390000001</v>
      </c>
      <c r="FR10" s="3">
        <v>0</v>
      </c>
      <c r="FS10" s="3">
        <v>71356477.239999995</v>
      </c>
      <c r="FT10" s="3">
        <v>7940000</v>
      </c>
      <c r="FU10" s="3">
        <v>86726000</v>
      </c>
      <c r="FV10" s="3">
        <v>0</v>
      </c>
      <c r="FW10" s="3">
        <v>94666000</v>
      </c>
      <c r="FX10" s="3">
        <v>7940000</v>
      </c>
      <c r="FY10" s="3">
        <v>86726000</v>
      </c>
      <c r="FZ10" s="3">
        <v>0</v>
      </c>
      <c r="GA10" s="3">
        <v>94666000</v>
      </c>
      <c r="GB10" s="3">
        <v>8677000</v>
      </c>
      <c r="GC10" s="3">
        <v>86726000</v>
      </c>
      <c r="GD10" s="3">
        <v>0</v>
      </c>
      <c r="GE10" s="3">
        <v>95403000</v>
      </c>
      <c r="GF10" s="3">
        <v>11028583.550000001</v>
      </c>
      <c r="GG10" s="3">
        <v>149496334.53</v>
      </c>
      <c r="GH10" s="3">
        <v>0</v>
      </c>
      <c r="GI10" s="3">
        <v>160524918.08000001</v>
      </c>
      <c r="GJ10" s="3">
        <v>11028583.550000001</v>
      </c>
      <c r="GK10" s="3">
        <v>149496334.53</v>
      </c>
      <c r="GL10" s="3">
        <v>0</v>
      </c>
      <c r="GM10" s="3">
        <v>160524918.08000001</v>
      </c>
      <c r="GN10" s="3">
        <v>11028583.550000001</v>
      </c>
      <c r="GO10" s="3">
        <v>93196169.760000005</v>
      </c>
      <c r="GP10" s="3">
        <v>0</v>
      </c>
      <c r="GQ10" s="3">
        <v>104224753.31</v>
      </c>
      <c r="GR10" s="3">
        <v>10834058.24</v>
      </c>
      <c r="GS10" s="3">
        <v>72416027.409999996</v>
      </c>
      <c r="GT10" s="3">
        <v>0</v>
      </c>
      <c r="GU10" s="3">
        <v>83250085.650000006</v>
      </c>
      <c r="GV10" s="3">
        <v>8003000</v>
      </c>
      <c r="GW10" s="3">
        <v>88287000</v>
      </c>
      <c r="GX10" s="3">
        <v>0</v>
      </c>
      <c r="GY10" s="3">
        <v>96290000</v>
      </c>
      <c r="GZ10" s="3">
        <v>8003000</v>
      </c>
      <c r="HA10" s="3">
        <v>88287000</v>
      </c>
      <c r="HB10" s="3">
        <v>0</v>
      </c>
      <c r="HC10" s="3">
        <v>96290000</v>
      </c>
      <c r="HD10" s="3">
        <v>8740000</v>
      </c>
      <c r="HE10" s="3">
        <v>88287000</v>
      </c>
      <c r="HF10" s="3">
        <v>0</v>
      </c>
      <c r="HG10" s="3">
        <v>97027000</v>
      </c>
      <c r="HH10" s="3">
        <v>12881759.939999999</v>
      </c>
      <c r="HI10" s="3">
        <v>120680302.06999999</v>
      </c>
      <c r="HJ10" s="3">
        <v>0</v>
      </c>
      <c r="HK10" s="3">
        <v>133562062.01000001</v>
      </c>
      <c r="HL10" s="3">
        <v>12881759.939999999</v>
      </c>
      <c r="HM10" s="3">
        <v>120680302.06999999</v>
      </c>
      <c r="HN10" s="3">
        <v>0</v>
      </c>
      <c r="HO10" s="3">
        <v>133562062.01000001</v>
      </c>
      <c r="HP10" s="3">
        <v>12881759.939999999</v>
      </c>
      <c r="HQ10" s="3">
        <v>94167999.730000004</v>
      </c>
      <c r="HR10" s="3">
        <v>0</v>
      </c>
      <c r="HS10" s="3">
        <v>107049759.67</v>
      </c>
      <c r="HT10" s="3">
        <v>12659163.380000001</v>
      </c>
      <c r="HU10" s="3">
        <v>68175896.299999997</v>
      </c>
      <c r="HV10" s="3">
        <v>0</v>
      </c>
      <c r="HW10" s="3">
        <v>80835059.680000007</v>
      </c>
      <c r="HX10" s="3">
        <v>11532000</v>
      </c>
      <c r="HY10" s="3">
        <v>89876000</v>
      </c>
      <c r="HZ10" s="3">
        <v>0</v>
      </c>
      <c r="IA10" s="3">
        <v>101408000</v>
      </c>
      <c r="IB10" s="3">
        <v>11532000</v>
      </c>
      <c r="IC10" s="3">
        <v>89876000</v>
      </c>
      <c r="ID10" s="3">
        <v>0</v>
      </c>
      <c r="IE10" s="3">
        <v>101408000</v>
      </c>
      <c r="IF10" s="3"/>
      <c r="IG10" s="3"/>
      <c r="IH10" s="3"/>
      <c r="II10" s="3"/>
      <c r="IJ10" s="3"/>
      <c r="IK10" s="3"/>
      <c r="IL10" s="3"/>
      <c r="IM10" s="3"/>
      <c r="IN10" s="3"/>
      <c r="IO10" s="3"/>
      <c r="IP10" s="3"/>
      <c r="IQ10" s="3"/>
      <c r="IR10" s="3"/>
      <c r="IS10" s="3"/>
      <c r="IT10" s="3"/>
      <c r="IU10" s="3"/>
      <c r="IV10" s="3"/>
      <c r="IW10" s="3"/>
      <c r="IX10" s="3"/>
      <c r="IY10" s="3"/>
      <c r="IZ10" s="3">
        <v>12098000</v>
      </c>
      <c r="JA10" s="3">
        <v>71392000</v>
      </c>
      <c r="JB10" s="3">
        <v>0</v>
      </c>
      <c r="JC10" s="3">
        <v>83490000</v>
      </c>
      <c r="JD10" s="3"/>
      <c r="JE10" s="3"/>
      <c r="JF10" s="3"/>
      <c r="JG10" s="3"/>
    </row>
    <row r="11" spans="1:267" x14ac:dyDescent="0.25">
      <c r="A11" t="s">
        <v>505</v>
      </c>
      <c r="B11" t="s">
        <v>397</v>
      </c>
      <c r="C11" t="s">
        <v>199</v>
      </c>
      <c r="D11" t="s">
        <v>200</v>
      </c>
      <c r="E11" t="s">
        <v>208</v>
      </c>
      <c r="F11" t="s">
        <v>510</v>
      </c>
      <c r="G11" t="s">
        <v>406</v>
      </c>
      <c r="H11" s="3">
        <v>10244000</v>
      </c>
      <c r="I11" s="3">
        <v>68232000</v>
      </c>
      <c r="J11" s="3">
        <v>0</v>
      </c>
      <c r="K11" s="3">
        <v>78476000</v>
      </c>
      <c r="L11" s="3">
        <v>10244000</v>
      </c>
      <c r="M11" s="3">
        <v>68232000</v>
      </c>
      <c r="N11" s="3">
        <v>0</v>
      </c>
      <c r="O11" s="3">
        <v>78476000</v>
      </c>
      <c r="P11" s="3">
        <v>11201000</v>
      </c>
      <c r="Q11" s="3">
        <v>68232000</v>
      </c>
      <c r="R11" s="3">
        <v>0</v>
      </c>
      <c r="S11" s="3">
        <v>79433000</v>
      </c>
      <c r="T11" s="3">
        <v>15886841.140000001</v>
      </c>
      <c r="U11" s="3">
        <v>68232000</v>
      </c>
      <c r="V11" s="3">
        <v>0</v>
      </c>
      <c r="W11" s="3">
        <v>84118841.140000001</v>
      </c>
      <c r="X11" s="3">
        <v>15886841.140000001</v>
      </c>
      <c r="Y11" s="3">
        <v>68232000</v>
      </c>
      <c r="Z11" s="3">
        <v>0</v>
      </c>
      <c r="AA11" s="3">
        <v>84118841.140000001</v>
      </c>
      <c r="AB11" s="3">
        <v>15886841.140000001</v>
      </c>
      <c r="AC11" s="3">
        <v>17586074.760000002</v>
      </c>
      <c r="AD11" s="3">
        <v>0</v>
      </c>
      <c r="AE11" s="3">
        <v>33472915.899999999</v>
      </c>
      <c r="AF11" s="3">
        <v>15309602.529999999</v>
      </c>
      <c r="AG11" s="3">
        <v>13135091.93</v>
      </c>
      <c r="AH11" s="3">
        <v>0</v>
      </c>
      <c r="AI11" s="3">
        <v>28444694.460000001</v>
      </c>
      <c r="AJ11" s="3">
        <v>12699000</v>
      </c>
      <c r="AK11" s="3">
        <v>69460000</v>
      </c>
      <c r="AL11" s="3">
        <v>0</v>
      </c>
      <c r="AM11" s="3">
        <v>82159000</v>
      </c>
      <c r="AN11" s="3">
        <v>12699000</v>
      </c>
      <c r="AO11" s="3">
        <v>69460000</v>
      </c>
      <c r="AP11" s="3">
        <v>0</v>
      </c>
      <c r="AQ11" s="3">
        <v>82159000</v>
      </c>
      <c r="AR11" s="3">
        <v>13894000</v>
      </c>
      <c r="AS11" s="3">
        <v>69460000</v>
      </c>
      <c r="AT11" s="3">
        <v>0</v>
      </c>
      <c r="AU11" s="3">
        <v>83354000</v>
      </c>
      <c r="AV11" s="3">
        <v>17726638.960000001</v>
      </c>
      <c r="AW11" s="3">
        <v>120105925.23999999</v>
      </c>
      <c r="AX11" s="3">
        <v>0</v>
      </c>
      <c r="AY11" s="3">
        <v>137832564.19999999</v>
      </c>
      <c r="AZ11" s="3">
        <v>17726638.960000001</v>
      </c>
      <c r="BA11" s="3">
        <v>120105925.23999999</v>
      </c>
      <c r="BB11" s="3">
        <v>0</v>
      </c>
      <c r="BC11" s="3">
        <v>137832564.19999999</v>
      </c>
      <c r="BD11" s="3">
        <v>17726638.960000001</v>
      </c>
      <c r="BE11" s="3">
        <v>52892512.439999998</v>
      </c>
      <c r="BF11" s="3">
        <v>0</v>
      </c>
      <c r="BG11" s="3">
        <v>70619151.400000006</v>
      </c>
      <c r="BH11" s="3">
        <v>17593410.93</v>
      </c>
      <c r="BI11" s="3">
        <v>32241577.59</v>
      </c>
      <c r="BJ11" s="3">
        <v>0</v>
      </c>
      <c r="BK11" s="3">
        <v>49834988.520000003</v>
      </c>
      <c r="BL11" s="3">
        <v>14159000</v>
      </c>
      <c r="BM11" s="3">
        <v>18385000</v>
      </c>
      <c r="BN11" s="3">
        <v>0</v>
      </c>
      <c r="BO11" s="3">
        <v>32544000</v>
      </c>
      <c r="BP11" s="3">
        <v>14159000</v>
      </c>
      <c r="BQ11" s="3">
        <v>18385000</v>
      </c>
      <c r="BR11" s="3">
        <v>0</v>
      </c>
      <c r="BS11" s="3">
        <v>32544000</v>
      </c>
      <c r="BT11" s="3">
        <v>15494000</v>
      </c>
      <c r="BU11" s="3">
        <v>18385000</v>
      </c>
      <c r="BV11" s="3">
        <v>0</v>
      </c>
      <c r="BW11" s="3">
        <v>33879000</v>
      </c>
      <c r="BX11" s="3">
        <v>10463667.130000001</v>
      </c>
      <c r="BY11" s="3">
        <v>30323309.739999998</v>
      </c>
      <c r="BZ11" s="3">
        <v>0</v>
      </c>
      <c r="CA11" s="3">
        <v>40786976.869999997</v>
      </c>
      <c r="CB11" s="3">
        <v>10463667.130000001</v>
      </c>
      <c r="CC11" s="3">
        <v>30323309.739999998</v>
      </c>
      <c r="CD11" s="3">
        <v>0</v>
      </c>
      <c r="CE11" s="3">
        <v>40786976.869999997</v>
      </c>
      <c r="CF11" s="3">
        <v>10463667.130000001</v>
      </c>
      <c r="CG11" s="3">
        <v>19312738.829999998</v>
      </c>
      <c r="CH11" s="3">
        <v>0</v>
      </c>
      <c r="CI11" s="3">
        <v>29776405.960000001</v>
      </c>
      <c r="CJ11" s="3">
        <v>10242548.75</v>
      </c>
      <c r="CK11" s="3">
        <v>14684416.49</v>
      </c>
      <c r="CL11" s="3">
        <v>0</v>
      </c>
      <c r="CM11" s="3">
        <v>24926965.239999998</v>
      </c>
      <c r="CN11" s="3">
        <v>15819000</v>
      </c>
      <c r="CO11" s="3">
        <v>18716000</v>
      </c>
      <c r="CP11" s="3">
        <v>0</v>
      </c>
      <c r="CQ11" s="3">
        <v>34535000</v>
      </c>
      <c r="CR11" s="3">
        <v>15819000</v>
      </c>
      <c r="CS11" s="3">
        <v>34619000</v>
      </c>
      <c r="CT11" s="3">
        <v>0</v>
      </c>
      <c r="CU11" s="3">
        <v>50438000</v>
      </c>
      <c r="CV11" s="3">
        <v>17313000</v>
      </c>
      <c r="CW11" s="3">
        <v>34619000</v>
      </c>
      <c r="CX11" s="3">
        <v>0</v>
      </c>
      <c r="CY11" s="3">
        <v>51932000</v>
      </c>
      <c r="CZ11" s="3">
        <v>17559612.690000001</v>
      </c>
      <c r="DA11" s="3">
        <v>42519087.329999998</v>
      </c>
      <c r="DB11" s="3">
        <v>0</v>
      </c>
      <c r="DC11" s="3">
        <v>60078700.020000003</v>
      </c>
      <c r="DD11" s="3">
        <v>17559612.690000001</v>
      </c>
      <c r="DE11" s="3">
        <v>42519087.329999998</v>
      </c>
      <c r="DF11" s="3">
        <v>0</v>
      </c>
      <c r="DG11" s="3">
        <v>60078700.020000003</v>
      </c>
      <c r="DH11" s="3">
        <v>17524316.050000001</v>
      </c>
      <c r="DI11" s="3">
        <v>16272619.59</v>
      </c>
      <c r="DJ11" s="3">
        <v>0</v>
      </c>
      <c r="DK11" s="3">
        <v>33796935.640000001</v>
      </c>
      <c r="DL11" s="3">
        <v>17250810.690000001</v>
      </c>
      <c r="DM11" s="3">
        <v>7914227.9500000002</v>
      </c>
      <c r="DN11" s="3">
        <v>0</v>
      </c>
      <c r="DO11" s="3">
        <v>25165038.640000001</v>
      </c>
      <c r="DP11" s="3">
        <v>16899000</v>
      </c>
      <c r="DQ11" s="3">
        <v>18716000</v>
      </c>
      <c r="DR11" s="3">
        <v>0</v>
      </c>
      <c r="DS11" s="3">
        <v>35615000</v>
      </c>
      <c r="DT11" s="3">
        <v>16899000</v>
      </c>
      <c r="DU11" s="3">
        <v>18716000</v>
      </c>
      <c r="DV11" s="3">
        <v>0</v>
      </c>
      <c r="DW11" s="3">
        <v>35615000</v>
      </c>
      <c r="DX11" s="3">
        <v>18491000</v>
      </c>
      <c r="DY11" s="3">
        <v>18716000</v>
      </c>
      <c r="DZ11" s="3">
        <v>0</v>
      </c>
      <c r="EA11" s="3">
        <v>37207000</v>
      </c>
      <c r="EB11" s="3">
        <v>21251778.239999998</v>
      </c>
      <c r="EC11" s="3">
        <v>42683889.729999997</v>
      </c>
      <c r="ED11" s="3">
        <v>0</v>
      </c>
      <c r="EE11" s="3">
        <v>63935667.969999999</v>
      </c>
      <c r="EF11" s="3">
        <v>21251778.239999998</v>
      </c>
      <c r="EG11" s="3">
        <v>42683889.729999997</v>
      </c>
      <c r="EH11" s="3">
        <v>0</v>
      </c>
      <c r="EI11" s="3">
        <v>63935667.969999999</v>
      </c>
      <c r="EJ11" s="3">
        <v>21244288.920000002</v>
      </c>
      <c r="EK11" s="3">
        <v>14590838.01</v>
      </c>
      <c r="EL11" s="3">
        <v>0</v>
      </c>
      <c r="EM11" s="3">
        <v>35835126.93</v>
      </c>
      <c r="EN11" s="3">
        <v>20826300.489999998</v>
      </c>
      <c r="EO11" s="3">
        <v>13534877.939999999</v>
      </c>
      <c r="EP11" s="3">
        <v>0</v>
      </c>
      <c r="EQ11" s="3">
        <v>34361178.43</v>
      </c>
      <c r="ER11" s="3">
        <v>18755000</v>
      </c>
      <c r="ES11" s="3">
        <v>19400000</v>
      </c>
      <c r="ET11" s="3">
        <v>0</v>
      </c>
      <c r="EU11" s="3">
        <v>38155000</v>
      </c>
      <c r="EV11" s="3">
        <v>18755000</v>
      </c>
      <c r="EW11" s="3">
        <v>19400000</v>
      </c>
      <c r="EX11" s="3">
        <v>0</v>
      </c>
      <c r="EY11" s="3">
        <v>38155000</v>
      </c>
      <c r="EZ11" s="3">
        <v>20523000</v>
      </c>
      <c r="FA11" s="3">
        <v>19400000</v>
      </c>
      <c r="FB11" s="3">
        <v>0</v>
      </c>
      <c r="FC11" s="3">
        <v>39923000</v>
      </c>
      <c r="FD11" s="3">
        <v>23782742.98</v>
      </c>
      <c r="FE11" s="3">
        <v>33338816.100000001</v>
      </c>
      <c r="FF11" s="3">
        <v>0</v>
      </c>
      <c r="FG11" s="3">
        <v>57121559.079999998</v>
      </c>
      <c r="FH11" s="3">
        <v>23782742.98</v>
      </c>
      <c r="FI11" s="3">
        <v>33338816.100000001</v>
      </c>
      <c r="FJ11" s="3">
        <v>0</v>
      </c>
      <c r="FK11" s="3">
        <v>57121559.079999998</v>
      </c>
      <c r="FL11" s="3">
        <v>23764742.98</v>
      </c>
      <c r="FM11" s="3">
        <v>12549992.140000001</v>
      </c>
      <c r="FN11" s="3">
        <v>0</v>
      </c>
      <c r="FO11" s="3">
        <v>36314735.119999997</v>
      </c>
      <c r="FP11" s="3">
        <v>23532582.460000001</v>
      </c>
      <c r="FQ11" s="3">
        <v>9577524</v>
      </c>
      <c r="FR11" s="3">
        <v>0</v>
      </c>
      <c r="FS11" s="3">
        <v>33110106.460000001</v>
      </c>
      <c r="FT11" s="3">
        <v>20837000</v>
      </c>
      <c r="FU11" s="3">
        <v>73665000</v>
      </c>
      <c r="FV11" s="3">
        <v>0</v>
      </c>
      <c r="FW11" s="3">
        <v>94502000</v>
      </c>
      <c r="FX11" s="3">
        <v>20837000</v>
      </c>
      <c r="FY11" s="3">
        <v>73665000</v>
      </c>
      <c r="FZ11" s="3">
        <v>0</v>
      </c>
      <c r="GA11" s="3">
        <v>94502000</v>
      </c>
      <c r="GB11" s="3">
        <v>22810000</v>
      </c>
      <c r="GC11" s="3">
        <v>73665000</v>
      </c>
      <c r="GD11" s="3">
        <v>0</v>
      </c>
      <c r="GE11" s="3">
        <v>96475000</v>
      </c>
      <c r="GF11" s="3">
        <v>27669301.640000001</v>
      </c>
      <c r="GG11" s="3">
        <v>85551388.829999998</v>
      </c>
      <c r="GH11" s="3">
        <v>0</v>
      </c>
      <c r="GI11" s="3">
        <v>113220690.47</v>
      </c>
      <c r="GJ11" s="3">
        <v>27669301.640000001</v>
      </c>
      <c r="GK11" s="3">
        <v>85551388.829999998</v>
      </c>
      <c r="GL11" s="3">
        <v>0</v>
      </c>
      <c r="GM11" s="3">
        <v>113220690.47</v>
      </c>
      <c r="GN11" s="3">
        <v>27385255.489999998</v>
      </c>
      <c r="GO11" s="3">
        <v>34924879.380000003</v>
      </c>
      <c r="GP11" s="3">
        <v>0</v>
      </c>
      <c r="GQ11" s="3">
        <v>62310134.869999997</v>
      </c>
      <c r="GR11" s="3">
        <v>26564013.98</v>
      </c>
      <c r="GS11" s="3">
        <v>28351223.16</v>
      </c>
      <c r="GT11" s="3">
        <v>0</v>
      </c>
      <c r="GU11" s="3">
        <v>54915237.140000001</v>
      </c>
      <c r="GV11" s="3">
        <v>20004000</v>
      </c>
      <c r="GW11" s="3">
        <v>32398000</v>
      </c>
      <c r="GX11" s="3">
        <v>0</v>
      </c>
      <c r="GY11" s="3">
        <v>52402000</v>
      </c>
      <c r="GZ11" s="3">
        <v>20004000</v>
      </c>
      <c r="HA11" s="3">
        <v>81398000</v>
      </c>
      <c r="HB11" s="3">
        <v>0</v>
      </c>
      <c r="HC11" s="3">
        <v>101402000</v>
      </c>
      <c r="HD11" s="3">
        <v>21885000</v>
      </c>
      <c r="HE11" s="3">
        <v>81398000</v>
      </c>
      <c r="HF11" s="3">
        <v>0</v>
      </c>
      <c r="HG11" s="3">
        <v>103283000</v>
      </c>
      <c r="HH11" s="3">
        <v>33753057.539999999</v>
      </c>
      <c r="HI11" s="3">
        <v>124576806.98</v>
      </c>
      <c r="HJ11" s="3">
        <v>0</v>
      </c>
      <c r="HK11" s="3">
        <v>158329864.52000001</v>
      </c>
      <c r="HL11" s="3">
        <v>33753057.539999999</v>
      </c>
      <c r="HM11" s="3">
        <v>75576806.980000004</v>
      </c>
      <c r="HN11" s="3">
        <v>0</v>
      </c>
      <c r="HO11" s="3">
        <v>109329864.52</v>
      </c>
      <c r="HP11" s="3">
        <v>33753057.539999999</v>
      </c>
      <c r="HQ11" s="3">
        <v>69525714.129999995</v>
      </c>
      <c r="HR11" s="3">
        <v>0</v>
      </c>
      <c r="HS11" s="3">
        <v>103278771.67</v>
      </c>
      <c r="HT11" s="3">
        <v>33034634.66</v>
      </c>
      <c r="HU11" s="3">
        <v>52167796.880000003</v>
      </c>
      <c r="HV11" s="3">
        <v>0</v>
      </c>
      <c r="HW11" s="3">
        <v>85202431.540000007</v>
      </c>
      <c r="HX11" s="3">
        <v>24715000</v>
      </c>
      <c r="HY11" s="3">
        <v>32885000</v>
      </c>
      <c r="HZ11" s="3">
        <v>0</v>
      </c>
      <c r="IA11" s="3">
        <v>57600000</v>
      </c>
      <c r="IB11" s="3">
        <v>24715000</v>
      </c>
      <c r="IC11" s="3">
        <v>32885000</v>
      </c>
      <c r="ID11" s="3">
        <v>0</v>
      </c>
      <c r="IE11" s="3">
        <v>57600000</v>
      </c>
      <c r="IF11" s="3"/>
      <c r="IG11" s="3"/>
      <c r="IH11" s="3"/>
      <c r="II11" s="3"/>
      <c r="IJ11" s="3"/>
      <c r="IK11" s="3"/>
      <c r="IL11" s="3"/>
      <c r="IM11" s="3"/>
      <c r="IN11" s="3"/>
      <c r="IO11" s="3"/>
      <c r="IP11" s="3"/>
      <c r="IQ11" s="3"/>
      <c r="IR11" s="3"/>
      <c r="IS11" s="3"/>
      <c r="IT11" s="3"/>
      <c r="IU11" s="3"/>
      <c r="IV11" s="3"/>
      <c r="IW11" s="3"/>
      <c r="IX11" s="3"/>
      <c r="IY11" s="3"/>
      <c r="IZ11" s="3">
        <v>27128000</v>
      </c>
      <c r="JA11" s="3">
        <v>33477000</v>
      </c>
      <c r="JB11" s="3">
        <v>0</v>
      </c>
      <c r="JC11" s="3">
        <v>60605000</v>
      </c>
      <c r="JD11" s="3"/>
      <c r="JE11" s="3"/>
      <c r="JF11" s="3"/>
      <c r="JG11" s="3"/>
    </row>
    <row r="12" spans="1:267" x14ac:dyDescent="0.25">
      <c r="A12" t="s">
        <v>505</v>
      </c>
      <c r="B12" t="s">
        <v>397</v>
      </c>
      <c r="C12" t="s">
        <v>199</v>
      </c>
      <c r="D12" t="s">
        <v>200</v>
      </c>
      <c r="E12" t="s">
        <v>208</v>
      </c>
      <c r="F12" t="s">
        <v>511</v>
      </c>
      <c r="G12" t="s">
        <v>407</v>
      </c>
      <c r="H12" s="3">
        <v>0</v>
      </c>
      <c r="I12" s="3">
        <v>8349000</v>
      </c>
      <c r="J12" s="3">
        <v>0</v>
      </c>
      <c r="K12" s="3">
        <v>8349000</v>
      </c>
      <c r="L12" s="3">
        <v>0</v>
      </c>
      <c r="M12" s="3">
        <v>8349000</v>
      </c>
      <c r="N12" s="3">
        <v>0</v>
      </c>
      <c r="O12" s="3">
        <v>8349000</v>
      </c>
      <c r="P12" s="3">
        <v>0</v>
      </c>
      <c r="Q12" s="3">
        <v>8349000</v>
      </c>
      <c r="R12" s="3">
        <v>0</v>
      </c>
      <c r="S12" s="3">
        <v>8349000</v>
      </c>
      <c r="T12" s="3">
        <v>0</v>
      </c>
      <c r="U12" s="3">
        <v>8349000</v>
      </c>
      <c r="V12" s="3">
        <v>0</v>
      </c>
      <c r="W12" s="3">
        <v>8349000</v>
      </c>
      <c r="X12" s="3">
        <v>0</v>
      </c>
      <c r="Y12" s="3">
        <v>8349000</v>
      </c>
      <c r="Z12" s="3">
        <v>0</v>
      </c>
      <c r="AA12" s="3">
        <v>8349000</v>
      </c>
      <c r="AB12" s="3">
        <v>0</v>
      </c>
      <c r="AC12" s="3">
        <v>4365612.8099999996</v>
      </c>
      <c r="AD12" s="3">
        <v>0</v>
      </c>
      <c r="AE12" s="3">
        <v>4365612.8099999996</v>
      </c>
      <c r="AF12" s="3">
        <v>0</v>
      </c>
      <c r="AG12" s="3">
        <v>1631954.81</v>
      </c>
      <c r="AH12" s="3">
        <v>0</v>
      </c>
      <c r="AI12" s="3">
        <v>1631954.81</v>
      </c>
      <c r="AJ12" s="3">
        <v>0</v>
      </c>
      <c r="AK12" s="3">
        <v>8499000</v>
      </c>
      <c r="AL12" s="3">
        <v>0</v>
      </c>
      <c r="AM12" s="3">
        <v>8499000</v>
      </c>
      <c r="AN12" s="3">
        <v>0</v>
      </c>
      <c r="AO12" s="3">
        <v>8499000</v>
      </c>
      <c r="AP12" s="3">
        <v>0</v>
      </c>
      <c r="AQ12" s="3">
        <v>8499000</v>
      </c>
      <c r="AR12" s="3">
        <v>0</v>
      </c>
      <c r="AS12" s="3">
        <v>8499000</v>
      </c>
      <c r="AT12" s="3">
        <v>0</v>
      </c>
      <c r="AU12" s="3">
        <v>8499000</v>
      </c>
      <c r="AV12" s="3">
        <v>0</v>
      </c>
      <c r="AW12" s="3">
        <v>12482387.189999999</v>
      </c>
      <c r="AX12" s="3">
        <v>0</v>
      </c>
      <c r="AY12" s="3">
        <v>12482387.189999999</v>
      </c>
      <c r="AZ12" s="3">
        <v>0</v>
      </c>
      <c r="BA12" s="3">
        <v>12482387.189999999</v>
      </c>
      <c r="BB12" s="3">
        <v>0</v>
      </c>
      <c r="BC12" s="3">
        <v>12482387.189999999</v>
      </c>
      <c r="BD12" s="3">
        <v>0</v>
      </c>
      <c r="BE12" s="3">
        <v>7438578.3099999996</v>
      </c>
      <c r="BF12" s="3">
        <v>0</v>
      </c>
      <c r="BG12" s="3">
        <v>7438578.3099999996</v>
      </c>
      <c r="BH12" s="3">
        <v>0</v>
      </c>
      <c r="BI12" s="3">
        <v>4366954.63</v>
      </c>
      <c r="BJ12" s="3">
        <v>0</v>
      </c>
      <c r="BK12" s="3">
        <v>4366954.63</v>
      </c>
      <c r="BL12" s="3">
        <v>0</v>
      </c>
      <c r="BM12" s="3">
        <v>4499000</v>
      </c>
      <c r="BN12" s="3">
        <v>0</v>
      </c>
      <c r="BO12" s="3">
        <v>4499000</v>
      </c>
      <c r="BP12" s="3">
        <v>0</v>
      </c>
      <c r="BQ12" s="3">
        <v>4499000</v>
      </c>
      <c r="BR12" s="3">
        <v>0</v>
      </c>
      <c r="BS12" s="3">
        <v>4499000</v>
      </c>
      <c r="BT12" s="3">
        <v>0</v>
      </c>
      <c r="BU12" s="3">
        <v>4499000</v>
      </c>
      <c r="BV12" s="3">
        <v>0</v>
      </c>
      <c r="BW12" s="3">
        <v>4499000</v>
      </c>
      <c r="BX12" s="3">
        <v>0</v>
      </c>
      <c r="BY12" s="3">
        <v>6845424.1900000004</v>
      </c>
      <c r="BZ12" s="3">
        <v>0</v>
      </c>
      <c r="CA12" s="3">
        <v>6845424.1900000004</v>
      </c>
      <c r="CB12" s="3">
        <v>0</v>
      </c>
      <c r="CC12" s="3">
        <v>6845424.1900000004</v>
      </c>
      <c r="CD12" s="3">
        <v>0</v>
      </c>
      <c r="CE12" s="3">
        <v>6845424.1900000004</v>
      </c>
      <c r="CF12" s="3">
        <v>0</v>
      </c>
      <c r="CG12" s="3">
        <v>3372035.64</v>
      </c>
      <c r="CH12" s="3">
        <v>0</v>
      </c>
      <c r="CI12" s="3">
        <v>3372035.64</v>
      </c>
      <c r="CJ12" s="3">
        <v>0</v>
      </c>
      <c r="CK12" s="3">
        <v>1233045.21</v>
      </c>
      <c r="CL12" s="3">
        <v>0</v>
      </c>
      <c r="CM12" s="3">
        <v>1233045.21</v>
      </c>
      <c r="CN12" s="3">
        <v>0</v>
      </c>
      <c r="CO12" s="3">
        <v>4580000</v>
      </c>
      <c r="CP12" s="3">
        <v>0</v>
      </c>
      <c r="CQ12" s="3">
        <v>4580000</v>
      </c>
      <c r="CR12" s="3">
        <v>0</v>
      </c>
      <c r="CS12" s="3">
        <v>4580000</v>
      </c>
      <c r="CT12" s="3">
        <v>0</v>
      </c>
      <c r="CU12" s="3">
        <v>4580000</v>
      </c>
      <c r="CV12" s="3">
        <v>0</v>
      </c>
      <c r="CW12" s="3">
        <v>4580000</v>
      </c>
      <c r="CX12" s="3">
        <v>0</v>
      </c>
      <c r="CY12" s="3">
        <v>4580000</v>
      </c>
      <c r="CZ12" s="3">
        <v>0</v>
      </c>
      <c r="DA12" s="3">
        <v>7045287.5700000003</v>
      </c>
      <c r="DB12" s="3">
        <v>0</v>
      </c>
      <c r="DC12" s="3">
        <v>7045287.5700000003</v>
      </c>
      <c r="DD12" s="3">
        <v>0</v>
      </c>
      <c r="DE12" s="3">
        <v>7045287.5700000003</v>
      </c>
      <c r="DF12" s="3">
        <v>0</v>
      </c>
      <c r="DG12" s="3">
        <v>7045287.5700000003</v>
      </c>
      <c r="DH12" s="3">
        <v>0</v>
      </c>
      <c r="DI12" s="3">
        <v>2678739.42</v>
      </c>
      <c r="DJ12" s="3">
        <v>0</v>
      </c>
      <c r="DK12" s="3">
        <v>2678739.42</v>
      </c>
      <c r="DL12" s="3">
        <v>0</v>
      </c>
      <c r="DM12" s="3">
        <v>2133844.48</v>
      </c>
      <c r="DN12" s="3">
        <v>0</v>
      </c>
      <c r="DO12" s="3">
        <v>2133844.48</v>
      </c>
      <c r="DP12" s="3">
        <v>0</v>
      </c>
      <c r="DQ12" s="3">
        <v>4580000</v>
      </c>
      <c r="DR12" s="3">
        <v>0</v>
      </c>
      <c r="DS12" s="3">
        <v>4580000</v>
      </c>
      <c r="DT12" s="3">
        <v>0</v>
      </c>
      <c r="DU12" s="3">
        <v>26725000</v>
      </c>
      <c r="DV12" s="3">
        <v>0</v>
      </c>
      <c r="DW12" s="3">
        <v>26725000</v>
      </c>
      <c r="DX12" s="3">
        <v>0</v>
      </c>
      <c r="DY12" s="3">
        <v>26725000</v>
      </c>
      <c r="DZ12" s="3">
        <v>0</v>
      </c>
      <c r="EA12" s="3">
        <v>26725000</v>
      </c>
      <c r="EB12" s="3">
        <v>0</v>
      </c>
      <c r="EC12" s="3">
        <v>16254658.369999999</v>
      </c>
      <c r="ED12" s="3">
        <v>0</v>
      </c>
      <c r="EE12" s="3">
        <v>16254658.369999999</v>
      </c>
      <c r="EF12" s="3">
        <v>0</v>
      </c>
      <c r="EG12" s="3">
        <v>16254658.369999999</v>
      </c>
      <c r="EH12" s="3">
        <v>0</v>
      </c>
      <c r="EI12" s="3">
        <v>16254658.369999999</v>
      </c>
      <c r="EJ12" s="3">
        <v>0</v>
      </c>
      <c r="EK12" s="3">
        <v>14032615.210000001</v>
      </c>
      <c r="EL12" s="3">
        <v>0</v>
      </c>
      <c r="EM12" s="3">
        <v>14032615.210000001</v>
      </c>
      <c r="EN12" s="3">
        <v>0</v>
      </c>
      <c r="EO12" s="3">
        <v>9815245.8599999994</v>
      </c>
      <c r="EP12" s="3">
        <v>0</v>
      </c>
      <c r="EQ12" s="3">
        <v>9815245.8599999994</v>
      </c>
      <c r="ER12" s="3">
        <v>0</v>
      </c>
      <c r="ES12" s="3">
        <v>4747000</v>
      </c>
      <c r="ET12" s="3">
        <v>0</v>
      </c>
      <c r="EU12" s="3">
        <v>4747000</v>
      </c>
      <c r="EV12" s="3">
        <v>0</v>
      </c>
      <c r="EW12" s="3">
        <v>58067000</v>
      </c>
      <c r="EX12" s="3">
        <v>0</v>
      </c>
      <c r="EY12" s="3">
        <v>58067000</v>
      </c>
      <c r="EZ12" s="3">
        <v>0</v>
      </c>
      <c r="FA12" s="3">
        <v>58067000</v>
      </c>
      <c r="FB12" s="3">
        <v>0</v>
      </c>
      <c r="FC12" s="3">
        <v>58067000</v>
      </c>
      <c r="FD12" s="3">
        <v>0</v>
      </c>
      <c r="FE12" s="3">
        <v>60151404.740000002</v>
      </c>
      <c r="FF12" s="3">
        <v>0</v>
      </c>
      <c r="FG12" s="3">
        <v>60151404.740000002</v>
      </c>
      <c r="FH12" s="3">
        <v>0</v>
      </c>
      <c r="FI12" s="3">
        <v>60151404.700000003</v>
      </c>
      <c r="FJ12" s="3">
        <v>0</v>
      </c>
      <c r="FK12" s="3">
        <v>60151404.700000003</v>
      </c>
      <c r="FL12" s="3">
        <v>0</v>
      </c>
      <c r="FM12" s="3">
        <v>35206829.920000002</v>
      </c>
      <c r="FN12" s="3">
        <v>0</v>
      </c>
      <c r="FO12" s="3">
        <v>35206829.920000002</v>
      </c>
      <c r="FP12" s="3">
        <v>0</v>
      </c>
      <c r="FQ12" s="3">
        <v>27974206.149999999</v>
      </c>
      <c r="FR12" s="3">
        <v>0</v>
      </c>
      <c r="FS12" s="3">
        <v>27974206.149999999</v>
      </c>
      <c r="FT12" s="3">
        <v>0</v>
      </c>
      <c r="FU12" s="3">
        <v>72123000</v>
      </c>
      <c r="FV12" s="3">
        <v>0</v>
      </c>
      <c r="FW12" s="3">
        <v>72123000</v>
      </c>
      <c r="FX12" s="3">
        <v>0</v>
      </c>
      <c r="FY12" s="3">
        <v>82599000</v>
      </c>
      <c r="FZ12" s="3">
        <v>0</v>
      </c>
      <c r="GA12" s="3">
        <v>82599000</v>
      </c>
      <c r="GB12" s="3">
        <v>0</v>
      </c>
      <c r="GC12" s="3">
        <v>82599000</v>
      </c>
      <c r="GD12" s="3">
        <v>0</v>
      </c>
      <c r="GE12" s="3">
        <v>82599000</v>
      </c>
      <c r="GF12" s="3">
        <v>0</v>
      </c>
      <c r="GG12" s="3">
        <v>106794861.06999999</v>
      </c>
      <c r="GH12" s="3">
        <v>0</v>
      </c>
      <c r="GI12" s="3">
        <v>106794861.06999999</v>
      </c>
      <c r="GJ12" s="3">
        <v>0</v>
      </c>
      <c r="GK12" s="3">
        <v>106794861.06999999</v>
      </c>
      <c r="GL12" s="3">
        <v>0</v>
      </c>
      <c r="GM12" s="3">
        <v>106794861.06999999</v>
      </c>
      <c r="GN12" s="3">
        <v>0</v>
      </c>
      <c r="GO12" s="3">
        <v>67946152.680000007</v>
      </c>
      <c r="GP12" s="3">
        <v>0</v>
      </c>
      <c r="GQ12" s="3">
        <v>67946152.680000007</v>
      </c>
      <c r="GR12" s="3">
        <v>0</v>
      </c>
      <c r="GS12" s="3">
        <v>51885833.939999998</v>
      </c>
      <c r="GT12" s="3">
        <v>0</v>
      </c>
      <c r="GU12" s="3">
        <v>51885833.939999998</v>
      </c>
      <c r="GV12" s="3">
        <v>0</v>
      </c>
      <c r="GW12" s="3">
        <v>44277000</v>
      </c>
      <c r="GX12" s="3">
        <v>0</v>
      </c>
      <c r="GY12" s="3">
        <v>44277000</v>
      </c>
      <c r="GZ12" s="3">
        <v>0</v>
      </c>
      <c r="HA12" s="3">
        <v>44277000</v>
      </c>
      <c r="HB12" s="3">
        <v>0</v>
      </c>
      <c r="HC12" s="3">
        <v>44277000</v>
      </c>
      <c r="HD12" s="3">
        <v>0</v>
      </c>
      <c r="HE12" s="3">
        <v>44277000</v>
      </c>
      <c r="HF12" s="3">
        <v>0</v>
      </c>
      <c r="HG12" s="3">
        <v>44277000</v>
      </c>
      <c r="HH12" s="3">
        <v>5000000</v>
      </c>
      <c r="HI12" s="3">
        <v>75732211.760000005</v>
      </c>
      <c r="HJ12" s="3">
        <v>0</v>
      </c>
      <c r="HK12" s="3">
        <v>80732211.760000005</v>
      </c>
      <c r="HL12" s="3">
        <v>5000000</v>
      </c>
      <c r="HM12" s="3">
        <v>75732211.760000005</v>
      </c>
      <c r="HN12" s="3">
        <v>0</v>
      </c>
      <c r="HO12" s="3">
        <v>80732211.760000005</v>
      </c>
      <c r="HP12" s="3">
        <v>5000000</v>
      </c>
      <c r="HQ12" s="3">
        <v>62948325.149999999</v>
      </c>
      <c r="HR12" s="3">
        <v>0</v>
      </c>
      <c r="HS12" s="3">
        <v>67948325.150000006</v>
      </c>
      <c r="HT12" s="3">
        <v>5000000</v>
      </c>
      <c r="HU12" s="3">
        <v>50813979.340000004</v>
      </c>
      <c r="HV12" s="3">
        <v>0</v>
      </c>
      <c r="HW12" s="3">
        <v>55813979.340000004</v>
      </c>
      <c r="HX12" s="3">
        <v>0</v>
      </c>
      <c r="HY12" s="3">
        <v>44998000</v>
      </c>
      <c r="HZ12" s="3">
        <v>0</v>
      </c>
      <c r="IA12" s="3">
        <v>44998000</v>
      </c>
      <c r="IB12" s="3">
        <v>0</v>
      </c>
      <c r="IC12" s="3">
        <v>89928000</v>
      </c>
      <c r="ID12" s="3">
        <v>0</v>
      </c>
      <c r="IE12" s="3">
        <v>89928000</v>
      </c>
      <c r="IF12" s="3"/>
      <c r="IG12" s="3"/>
      <c r="IH12" s="3"/>
      <c r="II12" s="3"/>
      <c r="IJ12" s="3"/>
      <c r="IK12" s="3"/>
      <c r="IL12" s="3"/>
      <c r="IM12" s="3"/>
      <c r="IN12" s="3"/>
      <c r="IO12" s="3"/>
      <c r="IP12" s="3"/>
      <c r="IQ12" s="3"/>
      <c r="IR12" s="3"/>
      <c r="IS12" s="3"/>
      <c r="IT12" s="3"/>
      <c r="IU12" s="3"/>
      <c r="IV12" s="3"/>
      <c r="IW12" s="3"/>
      <c r="IX12" s="3"/>
      <c r="IY12" s="3"/>
      <c r="IZ12" s="3">
        <v>0</v>
      </c>
      <c r="JA12" s="3">
        <v>0</v>
      </c>
      <c r="JB12" s="3">
        <v>0</v>
      </c>
      <c r="JC12" s="3">
        <v>0</v>
      </c>
      <c r="JD12" s="3"/>
      <c r="JE12" s="3"/>
      <c r="JF12" s="3"/>
      <c r="JG12" s="3"/>
    </row>
    <row r="13" spans="1:267" x14ac:dyDescent="0.25">
      <c r="A13" t="s">
        <v>505</v>
      </c>
      <c r="B13" t="s">
        <v>397</v>
      </c>
      <c r="C13" t="s">
        <v>199</v>
      </c>
      <c r="D13" t="s">
        <v>200</v>
      </c>
      <c r="E13" t="s">
        <v>208</v>
      </c>
      <c r="F13" t="s">
        <v>512</v>
      </c>
      <c r="G13" t="s">
        <v>408</v>
      </c>
      <c r="H13" s="3">
        <v>3705000</v>
      </c>
      <c r="I13" s="3">
        <v>99924000</v>
      </c>
      <c r="J13" s="3">
        <v>0</v>
      </c>
      <c r="K13" s="3">
        <v>103629000</v>
      </c>
      <c r="L13" s="3">
        <v>3705000</v>
      </c>
      <c r="M13" s="3">
        <v>329938000</v>
      </c>
      <c r="N13" s="3">
        <v>0</v>
      </c>
      <c r="O13" s="3">
        <v>333643000</v>
      </c>
      <c r="P13" s="3">
        <v>4051000</v>
      </c>
      <c r="Q13" s="3">
        <v>329938000</v>
      </c>
      <c r="R13" s="3">
        <v>0</v>
      </c>
      <c r="S13" s="3">
        <v>333989000</v>
      </c>
      <c r="T13" s="3">
        <v>4551568.92</v>
      </c>
      <c r="U13" s="3">
        <v>329936910.85000002</v>
      </c>
      <c r="V13" s="3">
        <v>0</v>
      </c>
      <c r="W13" s="3">
        <v>334488479.76999998</v>
      </c>
      <c r="X13" s="3">
        <v>4551568.92</v>
      </c>
      <c r="Y13" s="3">
        <v>329936910.85000002</v>
      </c>
      <c r="Z13" s="3">
        <v>0</v>
      </c>
      <c r="AA13" s="3">
        <v>334488479.76999998</v>
      </c>
      <c r="AB13" s="3">
        <v>4551568.92</v>
      </c>
      <c r="AC13" s="3">
        <v>298009890.24000001</v>
      </c>
      <c r="AD13" s="3">
        <v>0</v>
      </c>
      <c r="AE13" s="3">
        <v>302561459.16000003</v>
      </c>
      <c r="AF13" s="3">
        <v>4318977.68</v>
      </c>
      <c r="AG13" s="3">
        <v>212654563.11000001</v>
      </c>
      <c r="AH13" s="3">
        <v>0</v>
      </c>
      <c r="AI13" s="3">
        <v>216973540.78999999</v>
      </c>
      <c r="AJ13" s="3">
        <v>4127000</v>
      </c>
      <c r="AK13" s="3">
        <v>130992000</v>
      </c>
      <c r="AL13" s="3">
        <v>0</v>
      </c>
      <c r="AM13" s="3">
        <v>135119000</v>
      </c>
      <c r="AN13" s="3">
        <v>4127000</v>
      </c>
      <c r="AO13" s="3">
        <v>422786000</v>
      </c>
      <c r="AP13" s="3">
        <v>20700000</v>
      </c>
      <c r="AQ13" s="3">
        <v>447613000</v>
      </c>
      <c r="AR13" s="3">
        <v>4515000</v>
      </c>
      <c r="AS13" s="3">
        <v>422786000</v>
      </c>
      <c r="AT13" s="3">
        <v>20700000</v>
      </c>
      <c r="AU13" s="3">
        <v>448001000</v>
      </c>
      <c r="AV13" s="3">
        <v>6284394.3399999999</v>
      </c>
      <c r="AW13" s="3">
        <v>444737020.31</v>
      </c>
      <c r="AX13" s="3">
        <v>20700000</v>
      </c>
      <c r="AY13" s="3">
        <v>471721414.64999998</v>
      </c>
      <c r="AZ13" s="3">
        <v>6284394.3399999999</v>
      </c>
      <c r="BA13" s="3">
        <v>444737020.31</v>
      </c>
      <c r="BB13" s="3">
        <v>20700000</v>
      </c>
      <c r="BC13" s="3">
        <v>471721414.64999998</v>
      </c>
      <c r="BD13" s="3">
        <v>6284394.3399999999</v>
      </c>
      <c r="BE13" s="3">
        <v>318895560.83999997</v>
      </c>
      <c r="BF13" s="3">
        <v>0</v>
      </c>
      <c r="BG13" s="3">
        <v>325179955.18000001</v>
      </c>
      <c r="BH13" s="3">
        <v>6045439.6600000001</v>
      </c>
      <c r="BI13" s="3">
        <v>200441610.81999999</v>
      </c>
      <c r="BJ13" s="3">
        <v>0</v>
      </c>
      <c r="BK13" s="3">
        <v>206487050.47999999</v>
      </c>
      <c r="BL13" s="3">
        <v>5850000</v>
      </c>
      <c r="BM13" s="3">
        <v>381873000</v>
      </c>
      <c r="BN13" s="3">
        <v>0</v>
      </c>
      <c r="BO13" s="3">
        <v>387723000</v>
      </c>
      <c r="BP13" s="3">
        <v>5850000</v>
      </c>
      <c r="BQ13" s="3">
        <v>381873000</v>
      </c>
      <c r="BR13" s="3">
        <v>0</v>
      </c>
      <c r="BS13" s="3">
        <v>387723000</v>
      </c>
      <c r="BT13" s="3">
        <v>6400000</v>
      </c>
      <c r="BU13" s="3">
        <v>381873000</v>
      </c>
      <c r="BV13" s="3">
        <v>0</v>
      </c>
      <c r="BW13" s="3">
        <v>388273000</v>
      </c>
      <c r="BX13" s="3">
        <v>4099556.79</v>
      </c>
      <c r="BY13" s="3">
        <v>488116378.01999998</v>
      </c>
      <c r="BZ13" s="3">
        <v>20700000</v>
      </c>
      <c r="CA13" s="3">
        <v>512915934.81</v>
      </c>
      <c r="CB13" s="3">
        <v>4099556.79</v>
      </c>
      <c r="CC13" s="3">
        <v>488116378.01999998</v>
      </c>
      <c r="CD13" s="3">
        <v>20700000</v>
      </c>
      <c r="CE13" s="3">
        <v>512915934.81</v>
      </c>
      <c r="CF13" s="3">
        <v>4099556.79</v>
      </c>
      <c r="CG13" s="3">
        <v>389622834.22000003</v>
      </c>
      <c r="CH13" s="3">
        <v>20206122</v>
      </c>
      <c r="CI13" s="3">
        <v>413928513.00999999</v>
      </c>
      <c r="CJ13" s="3">
        <v>3967886.4</v>
      </c>
      <c r="CK13" s="3">
        <v>249388869.68000001</v>
      </c>
      <c r="CL13" s="3">
        <v>0</v>
      </c>
      <c r="CM13" s="3">
        <v>253356756.08000001</v>
      </c>
      <c r="CN13" s="3">
        <v>6241000</v>
      </c>
      <c r="CO13" s="3">
        <v>124890000</v>
      </c>
      <c r="CP13" s="3">
        <v>0</v>
      </c>
      <c r="CQ13" s="3">
        <v>131131000</v>
      </c>
      <c r="CR13" s="3">
        <v>6241000</v>
      </c>
      <c r="CS13" s="3">
        <v>124890000</v>
      </c>
      <c r="CT13" s="3">
        <v>0</v>
      </c>
      <c r="CU13" s="3">
        <v>131131000</v>
      </c>
      <c r="CV13" s="3">
        <v>6831000</v>
      </c>
      <c r="CW13" s="3">
        <v>124890000</v>
      </c>
      <c r="CX13" s="3">
        <v>0</v>
      </c>
      <c r="CY13" s="3">
        <v>131721000</v>
      </c>
      <c r="CZ13" s="3">
        <v>7149828.6500000004</v>
      </c>
      <c r="DA13" s="3">
        <v>207141567.19</v>
      </c>
      <c r="DB13" s="3">
        <v>0</v>
      </c>
      <c r="DC13" s="3">
        <v>214291395.84</v>
      </c>
      <c r="DD13" s="3">
        <v>7149828.6500000004</v>
      </c>
      <c r="DE13" s="3">
        <v>207141567.19</v>
      </c>
      <c r="DF13" s="3">
        <v>0</v>
      </c>
      <c r="DG13" s="3">
        <v>214291395.84</v>
      </c>
      <c r="DH13" s="3">
        <v>7149828.6500000004</v>
      </c>
      <c r="DI13" s="3">
        <v>169095303.88999999</v>
      </c>
      <c r="DJ13" s="3">
        <v>0</v>
      </c>
      <c r="DK13" s="3">
        <v>176245132.53999999</v>
      </c>
      <c r="DL13" s="3">
        <v>6995226.6200000001</v>
      </c>
      <c r="DM13" s="3">
        <v>123414610.09</v>
      </c>
      <c r="DN13" s="3">
        <v>0</v>
      </c>
      <c r="DO13" s="3">
        <v>130409836.70999999</v>
      </c>
      <c r="DP13" s="3">
        <v>6462000</v>
      </c>
      <c r="DQ13" s="3">
        <v>124890000</v>
      </c>
      <c r="DR13" s="3">
        <v>0</v>
      </c>
      <c r="DS13" s="3">
        <v>131352000</v>
      </c>
      <c r="DT13" s="3">
        <v>6462000</v>
      </c>
      <c r="DU13" s="3">
        <v>124890000</v>
      </c>
      <c r="DV13" s="3">
        <v>0</v>
      </c>
      <c r="DW13" s="3">
        <v>131352000</v>
      </c>
      <c r="DX13" s="3">
        <v>7072000</v>
      </c>
      <c r="DY13" s="3">
        <v>124890000</v>
      </c>
      <c r="DZ13" s="3">
        <v>0</v>
      </c>
      <c r="EA13" s="3">
        <v>131962000</v>
      </c>
      <c r="EB13" s="3">
        <v>8657935.3100000005</v>
      </c>
      <c r="EC13" s="3">
        <v>151105845.88</v>
      </c>
      <c r="ED13" s="3">
        <v>0</v>
      </c>
      <c r="EE13" s="3">
        <v>159763781.19</v>
      </c>
      <c r="EF13" s="3">
        <v>8657935.3100000005</v>
      </c>
      <c r="EG13" s="3">
        <v>151105845.88</v>
      </c>
      <c r="EH13" s="3">
        <v>0</v>
      </c>
      <c r="EI13" s="3">
        <v>159763781.19</v>
      </c>
      <c r="EJ13" s="3">
        <v>8655533.3499999996</v>
      </c>
      <c r="EK13" s="3">
        <v>114226281.56</v>
      </c>
      <c r="EL13" s="3">
        <v>0</v>
      </c>
      <c r="EM13" s="3">
        <v>122881814.91</v>
      </c>
      <c r="EN13" s="3">
        <v>8559419.6500000004</v>
      </c>
      <c r="EO13" s="3">
        <v>97529504.099999994</v>
      </c>
      <c r="EP13" s="3">
        <v>0</v>
      </c>
      <c r="EQ13" s="3">
        <v>106088923.75</v>
      </c>
      <c r="ER13" s="3">
        <v>7530000</v>
      </c>
      <c r="ES13" s="3">
        <v>129453000</v>
      </c>
      <c r="ET13" s="3">
        <v>0</v>
      </c>
      <c r="EU13" s="3">
        <v>136983000</v>
      </c>
      <c r="EV13" s="3">
        <v>7530000</v>
      </c>
      <c r="EW13" s="3">
        <v>2127963000</v>
      </c>
      <c r="EX13" s="3">
        <v>1490000</v>
      </c>
      <c r="EY13" s="3">
        <v>2136983000</v>
      </c>
      <c r="EZ13" s="3">
        <v>8241000</v>
      </c>
      <c r="FA13" s="3">
        <v>2127963000</v>
      </c>
      <c r="FB13" s="3">
        <v>1490000</v>
      </c>
      <c r="FC13" s="3">
        <v>2137694000</v>
      </c>
      <c r="FD13" s="3">
        <v>10359997.59</v>
      </c>
      <c r="FE13" s="3">
        <v>2161822384.6199999</v>
      </c>
      <c r="FF13" s="3">
        <v>1490000</v>
      </c>
      <c r="FG13" s="3">
        <v>2173672382.21</v>
      </c>
      <c r="FH13" s="3">
        <v>10359997.59</v>
      </c>
      <c r="FI13" s="3">
        <v>2161822384.6199999</v>
      </c>
      <c r="FJ13" s="3">
        <v>0</v>
      </c>
      <c r="FK13" s="3">
        <v>2172182382.21</v>
      </c>
      <c r="FL13" s="3">
        <v>10355497.59</v>
      </c>
      <c r="FM13" s="3">
        <v>585235325.66999996</v>
      </c>
      <c r="FN13" s="3">
        <v>0</v>
      </c>
      <c r="FO13" s="3">
        <v>595590823.25999999</v>
      </c>
      <c r="FP13" s="3">
        <v>10139404.359999999</v>
      </c>
      <c r="FQ13" s="3">
        <v>338923586.56</v>
      </c>
      <c r="FR13" s="3">
        <v>0</v>
      </c>
      <c r="FS13" s="3">
        <v>349062990.92000002</v>
      </c>
      <c r="FT13" s="3">
        <v>9194000</v>
      </c>
      <c r="FU13" s="3">
        <v>2156202000</v>
      </c>
      <c r="FV13" s="3">
        <v>0</v>
      </c>
      <c r="FW13" s="3">
        <v>2165396000</v>
      </c>
      <c r="FX13" s="3">
        <v>9194000</v>
      </c>
      <c r="FY13" s="3">
        <v>2156202000</v>
      </c>
      <c r="FZ13" s="3">
        <v>0</v>
      </c>
      <c r="GA13" s="3">
        <v>2165396000</v>
      </c>
      <c r="GB13" s="3">
        <v>10059000</v>
      </c>
      <c r="GC13" s="3">
        <v>2156202000</v>
      </c>
      <c r="GD13" s="3">
        <v>1490000</v>
      </c>
      <c r="GE13" s="3">
        <v>2167751000</v>
      </c>
      <c r="GF13" s="3">
        <v>11369667.029999999</v>
      </c>
      <c r="GG13" s="3">
        <v>3691119018.3499999</v>
      </c>
      <c r="GH13" s="3">
        <v>41390633</v>
      </c>
      <c r="GI13" s="3">
        <v>3743879318.3800001</v>
      </c>
      <c r="GJ13" s="3">
        <v>11369667.029999999</v>
      </c>
      <c r="GK13" s="3">
        <v>3691119018.3499999</v>
      </c>
      <c r="GL13" s="3">
        <v>41390633</v>
      </c>
      <c r="GM13" s="3">
        <v>3743879318.3800001</v>
      </c>
      <c r="GN13" s="3">
        <v>11357808.189999999</v>
      </c>
      <c r="GO13" s="3">
        <v>2385619500.1900001</v>
      </c>
      <c r="GP13" s="3">
        <v>31561536.34</v>
      </c>
      <c r="GQ13" s="3">
        <v>2428538844.7199998</v>
      </c>
      <c r="GR13" s="3">
        <v>11093604.85</v>
      </c>
      <c r="GS13" s="3">
        <v>1686555665.22</v>
      </c>
      <c r="GT13" s="3">
        <v>1973496.3</v>
      </c>
      <c r="GU13" s="3">
        <v>1699622766.3699999</v>
      </c>
      <c r="GV13" s="3">
        <v>10016000</v>
      </c>
      <c r="GW13" s="3">
        <v>642717000</v>
      </c>
      <c r="GX13" s="3">
        <v>0</v>
      </c>
      <c r="GY13" s="3">
        <v>652733000</v>
      </c>
      <c r="GZ13" s="3">
        <v>10016000</v>
      </c>
      <c r="HA13" s="3">
        <v>642717000</v>
      </c>
      <c r="HB13" s="3">
        <v>0</v>
      </c>
      <c r="HC13" s="3">
        <v>652733000</v>
      </c>
      <c r="HD13" s="3">
        <v>10944000</v>
      </c>
      <c r="HE13" s="3">
        <v>642717000</v>
      </c>
      <c r="HF13" s="3">
        <v>0</v>
      </c>
      <c r="HG13" s="3">
        <v>653661000</v>
      </c>
      <c r="HH13" s="3">
        <v>30179281.82</v>
      </c>
      <c r="HI13" s="3">
        <v>1599454372.48</v>
      </c>
      <c r="HJ13" s="3">
        <v>186433297.66</v>
      </c>
      <c r="HK13" s="3">
        <v>1816066951.96</v>
      </c>
      <c r="HL13" s="3">
        <v>30179281.82</v>
      </c>
      <c r="HM13" s="3">
        <v>1599454372.48</v>
      </c>
      <c r="HN13" s="3">
        <v>186433297.66</v>
      </c>
      <c r="HO13" s="3">
        <v>1816066951.96</v>
      </c>
      <c r="HP13" s="3">
        <v>30179281.82</v>
      </c>
      <c r="HQ13" s="3">
        <v>1381400535.8299999</v>
      </c>
      <c r="HR13" s="3">
        <v>9068977.8000000007</v>
      </c>
      <c r="HS13" s="3">
        <v>1420648795.45</v>
      </c>
      <c r="HT13" s="3">
        <v>29884392.050000001</v>
      </c>
      <c r="HU13" s="3">
        <v>1011172737.0700001</v>
      </c>
      <c r="HV13" s="3">
        <v>9068977.8000000007</v>
      </c>
      <c r="HW13" s="3">
        <v>1050126106.9299999</v>
      </c>
      <c r="HX13" s="3">
        <v>12831000</v>
      </c>
      <c r="HY13" s="3">
        <v>652491000</v>
      </c>
      <c r="HZ13" s="3">
        <v>0</v>
      </c>
      <c r="IA13" s="3">
        <v>665322000</v>
      </c>
      <c r="IB13" s="3">
        <v>12831000</v>
      </c>
      <c r="IC13" s="3">
        <v>1242883000</v>
      </c>
      <c r="ID13" s="3">
        <v>2516292000</v>
      </c>
      <c r="IE13" s="3">
        <v>3772006000</v>
      </c>
      <c r="IF13" s="3"/>
      <c r="IG13" s="3"/>
      <c r="IH13" s="3"/>
      <c r="II13" s="3"/>
      <c r="IJ13" s="3"/>
      <c r="IK13" s="3"/>
      <c r="IL13" s="3"/>
      <c r="IM13" s="3"/>
      <c r="IN13" s="3"/>
      <c r="IO13" s="3"/>
      <c r="IP13" s="3"/>
      <c r="IQ13" s="3"/>
      <c r="IR13" s="3"/>
      <c r="IS13" s="3"/>
      <c r="IT13" s="3"/>
      <c r="IU13" s="3"/>
      <c r="IV13" s="3"/>
      <c r="IW13" s="3"/>
      <c r="IX13" s="3"/>
      <c r="IY13" s="3"/>
      <c r="IZ13" s="3">
        <v>12107000</v>
      </c>
      <c r="JA13" s="3">
        <v>2197460000</v>
      </c>
      <c r="JB13" s="3">
        <v>0</v>
      </c>
      <c r="JC13" s="3">
        <v>2209567000</v>
      </c>
      <c r="JD13" s="3"/>
      <c r="JE13" s="3"/>
      <c r="JF13" s="3"/>
      <c r="JG13" s="3"/>
    </row>
    <row r="14" spans="1:267" x14ac:dyDescent="0.25">
      <c r="A14" t="s">
        <v>505</v>
      </c>
      <c r="B14" t="s">
        <v>397</v>
      </c>
      <c r="C14" t="s">
        <v>199</v>
      </c>
      <c r="D14" t="s">
        <v>200</v>
      </c>
      <c r="E14" t="s">
        <v>208</v>
      </c>
      <c r="F14" t="s">
        <v>513</v>
      </c>
      <c r="G14" t="s">
        <v>409</v>
      </c>
      <c r="H14" s="3">
        <v>91858000</v>
      </c>
      <c r="I14" s="3">
        <v>377838000</v>
      </c>
      <c r="J14" s="3">
        <v>0</v>
      </c>
      <c r="K14" s="3">
        <v>469696000</v>
      </c>
      <c r="L14" s="3">
        <v>91858000</v>
      </c>
      <c r="M14" s="3">
        <v>377838000</v>
      </c>
      <c r="N14" s="3">
        <v>0</v>
      </c>
      <c r="O14" s="3">
        <v>469696000</v>
      </c>
      <c r="P14" s="3">
        <v>100417000</v>
      </c>
      <c r="Q14" s="3">
        <v>377838000</v>
      </c>
      <c r="R14" s="3">
        <v>0</v>
      </c>
      <c r="S14" s="3">
        <v>478255000</v>
      </c>
      <c r="T14" s="3">
        <v>107381796.90000001</v>
      </c>
      <c r="U14" s="3">
        <v>377838000</v>
      </c>
      <c r="V14" s="3">
        <v>0</v>
      </c>
      <c r="W14" s="3">
        <v>485219796.89999998</v>
      </c>
      <c r="X14" s="3">
        <v>107381796.90000001</v>
      </c>
      <c r="Y14" s="3">
        <v>377838000</v>
      </c>
      <c r="Z14" s="3">
        <v>0</v>
      </c>
      <c r="AA14" s="3">
        <v>485219796.89999998</v>
      </c>
      <c r="AB14" s="3">
        <v>105582300.40000001</v>
      </c>
      <c r="AC14" s="3">
        <v>188237743.84999999</v>
      </c>
      <c r="AD14" s="3">
        <v>0</v>
      </c>
      <c r="AE14" s="3">
        <v>293820044.25</v>
      </c>
      <c r="AF14" s="3">
        <v>98971044.849999994</v>
      </c>
      <c r="AG14" s="3">
        <v>107149936.67</v>
      </c>
      <c r="AH14" s="3">
        <v>0</v>
      </c>
      <c r="AI14" s="3">
        <v>206120981.52000001</v>
      </c>
      <c r="AJ14" s="3">
        <v>109755000</v>
      </c>
      <c r="AK14" s="3">
        <v>211552000</v>
      </c>
      <c r="AL14" s="3">
        <v>0</v>
      </c>
      <c r="AM14" s="3">
        <v>321307000</v>
      </c>
      <c r="AN14" s="3">
        <v>109755000</v>
      </c>
      <c r="AO14" s="3">
        <v>211552000</v>
      </c>
      <c r="AP14" s="3">
        <v>0</v>
      </c>
      <c r="AQ14" s="3">
        <v>321307000</v>
      </c>
      <c r="AR14" s="3">
        <v>120036000</v>
      </c>
      <c r="AS14" s="3">
        <v>211552000</v>
      </c>
      <c r="AT14" s="3">
        <v>0</v>
      </c>
      <c r="AU14" s="3">
        <v>331588000</v>
      </c>
      <c r="AV14" s="3">
        <v>121047534.59</v>
      </c>
      <c r="AW14" s="3">
        <v>401152256.14999998</v>
      </c>
      <c r="AX14" s="3">
        <v>0</v>
      </c>
      <c r="AY14" s="3">
        <v>522199790.74000001</v>
      </c>
      <c r="AZ14" s="3">
        <v>121047534.59</v>
      </c>
      <c r="BA14" s="3">
        <v>401152256.14999998</v>
      </c>
      <c r="BB14" s="3">
        <v>0</v>
      </c>
      <c r="BC14" s="3">
        <v>522199790.74000001</v>
      </c>
      <c r="BD14" s="3">
        <v>119911205.43000001</v>
      </c>
      <c r="BE14" s="3">
        <v>238909048.5</v>
      </c>
      <c r="BF14" s="3">
        <v>0</v>
      </c>
      <c r="BG14" s="3">
        <v>358820253.93000001</v>
      </c>
      <c r="BH14" s="3">
        <v>118238290.72</v>
      </c>
      <c r="BI14" s="3">
        <v>175554912.77000001</v>
      </c>
      <c r="BJ14" s="3">
        <v>0</v>
      </c>
      <c r="BK14" s="3">
        <v>293793203.49000001</v>
      </c>
      <c r="BL14" s="3">
        <v>114125000</v>
      </c>
      <c r="BM14" s="3">
        <v>105526000</v>
      </c>
      <c r="BN14" s="3">
        <v>0</v>
      </c>
      <c r="BO14" s="3">
        <v>219651000</v>
      </c>
      <c r="BP14" s="3">
        <v>114125000</v>
      </c>
      <c r="BQ14" s="3">
        <v>105526000</v>
      </c>
      <c r="BR14" s="3">
        <v>0</v>
      </c>
      <c r="BS14" s="3">
        <v>219651000</v>
      </c>
      <c r="BT14" s="3">
        <v>124829000</v>
      </c>
      <c r="BU14" s="3">
        <v>105526000</v>
      </c>
      <c r="BV14" s="3">
        <v>0</v>
      </c>
      <c r="BW14" s="3">
        <v>230355000</v>
      </c>
      <c r="BX14" s="3">
        <v>109785546.3</v>
      </c>
      <c r="BY14" s="3">
        <v>21942733.489999998</v>
      </c>
      <c r="BZ14" s="3">
        <v>0</v>
      </c>
      <c r="CA14" s="3">
        <v>131728279.78</v>
      </c>
      <c r="CB14" s="3">
        <v>109785546.3</v>
      </c>
      <c r="CC14" s="3">
        <v>21942733.489999998</v>
      </c>
      <c r="CD14" s="3">
        <v>0</v>
      </c>
      <c r="CE14" s="3">
        <v>131728279.78</v>
      </c>
      <c r="CF14" s="3">
        <v>109733635.19</v>
      </c>
      <c r="CG14" s="3">
        <v>6953160.6699999999</v>
      </c>
      <c r="CH14" s="3">
        <v>0</v>
      </c>
      <c r="CI14" s="3">
        <v>116686795.86</v>
      </c>
      <c r="CJ14" s="3">
        <v>103609754.20999999</v>
      </c>
      <c r="CK14" s="3">
        <v>4792377.6100000003</v>
      </c>
      <c r="CL14" s="3">
        <v>0</v>
      </c>
      <c r="CM14" s="3">
        <v>108402131.81999999</v>
      </c>
      <c r="CN14" s="3">
        <v>113999000</v>
      </c>
      <c r="CO14" s="3">
        <v>107425000</v>
      </c>
      <c r="CP14" s="3">
        <v>0</v>
      </c>
      <c r="CQ14" s="3">
        <v>221424000</v>
      </c>
      <c r="CR14" s="3">
        <v>113999000</v>
      </c>
      <c r="CS14" s="3">
        <v>107425000</v>
      </c>
      <c r="CT14" s="3">
        <v>0</v>
      </c>
      <c r="CU14" s="3">
        <v>221424000</v>
      </c>
      <c r="CV14" s="3">
        <v>124761000</v>
      </c>
      <c r="CW14" s="3">
        <v>107425000</v>
      </c>
      <c r="CX14" s="3">
        <v>0</v>
      </c>
      <c r="CY14" s="3">
        <v>232186000</v>
      </c>
      <c r="CZ14" s="3">
        <v>135428720.37</v>
      </c>
      <c r="DA14" s="3">
        <v>110226134.45999999</v>
      </c>
      <c r="DB14" s="3">
        <v>0</v>
      </c>
      <c r="DC14" s="3">
        <v>245654854.83000001</v>
      </c>
      <c r="DD14" s="3">
        <v>135428720.37</v>
      </c>
      <c r="DE14" s="3">
        <v>110226134.45999999</v>
      </c>
      <c r="DF14" s="3">
        <v>0</v>
      </c>
      <c r="DG14" s="3">
        <v>245654854.83000001</v>
      </c>
      <c r="DH14" s="3">
        <v>135411806.52000001</v>
      </c>
      <c r="DI14" s="3">
        <v>73758843.549999997</v>
      </c>
      <c r="DJ14" s="3">
        <v>0</v>
      </c>
      <c r="DK14" s="3">
        <v>209170650.06999999</v>
      </c>
      <c r="DL14" s="3">
        <v>134257835.16999999</v>
      </c>
      <c r="DM14" s="3">
        <v>38379291.43</v>
      </c>
      <c r="DN14" s="3">
        <v>0</v>
      </c>
      <c r="DO14" s="3">
        <v>172637126.59999999</v>
      </c>
      <c r="DP14" s="3">
        <v>151577000</v>
      </c>
      <c r="DQ14" s="3">
        <v>107425000</v>
      </c>
      <c r="DR14" s="3">
        <v>0</v>
      </c>
      <c r="DS14" s="3">
        <v>259002000</v>
      </c>
      <c r="DT14" s="3">
        <v>151577000</v>
      </c>
      <c r="DU14" s="3">
        <v>107425000</v>
      </c>
      <c r="DV14" s="3">
        <v>0</v>
      </c>
      <c r="DW14" s="3">
        <v>259002000</v>
      </c>
      <c r="DX14" s="3">
        <v>165798000</v>
      </c>
      <c r="DY14" s="3">
        <v>107425000</v>
      </c>
      <c r="DZ14" s="3">
        <v>0</v>
      </c>
      <c r="EA14" s="3">
        <v>273223000</v>
      </c>
      <c r="EB14" s="3">
        <v>167612805.52000001</v>
      </c>
      <c r="EC14" s="3">
        <v>143844800.55000001</v>
      </c>
      <c r="ED14" s="3">
        <v>0</v>
      </c>
      <c r="EE14" s="3">
        <v>311457606.06999999</v>
      </c>
      <c r="EF14" s="3">
        <v>167612805.52000001</v>
      </c>
      <c r="EG14" s="3">
        <v>143844800.55000001</v>
      </c>
      <c r="EH14" s="3">
        <v>0</v>
      </c>
      <c r="EI14" s="3">
        <v>311457606.06999999</v>
      </c>
      <c r="EJ14" s="3">
        <v>161564573.58000001</v>
      </c>
      <c r="EK14" s="3">
        <v>97925185.079999998</v>
      </c>
      <c r="EL14" s="3">
        <v>0</v>
      </c>
      <c r="EM14" s="3">
        <v>259489758.66</v>
      </c>
      <c r="EN14" s="3">
        <v>161381845.91999999</v>
      </c>
      <c r="EO14" s="3">
        <v>82070063.719999999</v>
      </c>
      <c r="EP14" s="3">
        <v>0</v>
      </c>
      <c r="EQ14" s="3">
        <v>243451909.63999999</v>
      </c>
      <c r="ER14" s="3">
        <v>160194000</v>
      </c>
      <c r="ES14" s="3">
        <v>111350000</v>
      </c>
      <c r="ET14" s="3">
        <v>0</v>
      </c>
      <c r="EU14" s="3">
        <v>271544000</v>
      </c>
      <c r="EV14" s="3">
        <v>160194000</v>
      </c>
      <c r="EW14" s="3">
        <v>111350000</v>
      </c>
      <c r="EX14" s="3">
        <v>0</v>
      </c>
      <c r="EY14" s="3">
        <v>271544000</v>
      </c>
      <c r="EZ14" s="3">
        <v>175200000</v>
      </c>
      <c r="FA14" s="3">
        <v>111350000</v>
      </c>
      <c r="FB14" s="3">
        <v>0</v>
      </c>
      <c r="FC14" s="3">
        <v>286550000</v>
      </c>
      <c r="FD14" s="3">
        <v>175366971.87</v>
      </c>
      <c r="FE14" s="3">
        <v>154291297.31</v>
      </c>
      <c r="FF14" s="3">
        <v>0</v>
      </c>
      <c r="FG14" s="3">
        <v>329658269.18000001</v>
      </c>
      <c r="FH14" s="3">
        <v>175366971.87</v>
      </c>
      <c r="FI14" s="3">
        <v>154291297.31</v>
      </c>
      <c r="FJ14" s="3">
        <v>0</v>
      </c>
      <c r="FK14" s="3">
        <v>329658269.18000001</v>
      </c>
      <c r="FL14" s="3">
        <v>173545306.77000001</v>
      </c>
      <c r="FM14" s="3">
        <v>79779642.329999998</v>
      </c>
      <c r="FN14" s="3">
        <v>0</v>
      </c>
      <c r="FO14" s="3">
        <v>253324949.09999999</v>
      </c>
      <c r="FP14" s="3">
        <v>172416978.99000001</v>
      </c>
      <c r="FQ14" s="3">
        <v>60434752.32</v>
      </c>
      <c r="FR14" s="3">
        <v>0</v>
      </c>
      <c r="FS14" s="3">
        <v>232851731.31</v>
      </c>
      <c r="FT14" s="3">
        <v>164535000</v>
      </c>
      <c r="FU14" s="3">
        <v>148765000</v>
      </c>
      <c r="FV14" s="3">
        <v>0</v>
      </c>
      <c r="FW14" s="3">
        <v>313300000</v>
      </c>
      <c r="FX14" s="3">
        <v>164535000</v>
      </c>
      <c r="FY14" s="3">
        <v>148765000</v>
      </c>
      <c r="FZ14" s="3">
        <v>0</v>
      </c>
      <c r="GA14" s="3">
        <v>313300000</v>
      </c>
      <c r="GB14" s="3">
        <v>179950000</v>
      </c>
      <c r="GC14" s="3">
        <v>148765000</v>
      </c>
      <c r="GD14" s="3">
        <v>0</v>
      </c>
      <c r="GE14" s="3">
        <v>328715000</v>
      </c>
      <c r="GF14" s="3">
        <v>182311051.53999999</v>
      </c>
      <c r="GG14" s="3">
        <v>208206365.08000001</v>
      </c>
      <c r="GH14" s="3">
        <v>0</v>
      </c>
      <c r="GI14" s="3">
        <v>390517416.62</v>
      </c>
      <c r="GJ14" s="3">
        <v>182311051.53999999</v>
      </c>
      <c r="GK14" s="3">
        <v>208206365.08000001</v>
      </c>
      <c r="GL14" s="3">
        <v>0</v>
      </c>
      <c r="GM14" s="3">
        <v>390517416.62</v>
      </c>
      <c r="GN14" s="3">
        <v>180284250.69</v>
      </c>
      <c r="GO14" s="3">
        <v>122972719.06</v>
      </c>
      <c r="GP14" s="3">
        <v>0</v>
      </c>
      <c r="GQ14" s="3">
        <v>303256969.75</v>
      </c>
      <c r="GR14" s="3">
        <v>179638969.18000001</v>
      </c>
      <c r="GS14" s="3">
        <v>81196308.680000007</v>
      </c>
      <c r="GT14" s="3">
        <v>0</v>
      </c>
      <c r="GU14" s="3">
        <v>260835277.86000001</v>
      </c>
      <c r="GV14" s="3">
        <v>165844000</v>
      </c>
      <c r="GW14" s="3">
        <v>107288000</v>
      </c>
      <c r="GX14" s="3">
        <v>0</v>
      </c>
      <c r="GY14" s="3">
        <v>273132000</v>
      </c>
      <c r="GZ14" s="3">
        <v>165844000</v>
      </c>
      <c r="HA14" s="3">
        <v>107288000</v>
      </c>
      <c r="HB14" s="3">
        <v>0</v>
      </c>
      <c r="HC14" s="3">
        <v>273132000</v>
      </c>
      <c r="HD14" s="3">
        <v>181266000</v>
      </c>
      <c r="HE14" s="3">
        <v>107288000</v>
      </c>
      <c r="HF14" s="3">
        <v>0</v>
      </c>
      <c r="HG14" s="3">
        <v>288554000</v>
      </c>
      <c r="HH14" s="3">
        <v>184671689.08000001</v>
      </c>
      <c r="HI14" s="3">
        <v>190125583.02000001</v>
      </c>
      <c r="HJ14" s="3">
        <v>0</v>
      </c>
      <c r="HK14" s="3">
        <v>374797272.10000002</v>
      </c>
      <c r="HL14" s="3">
        <v>184671689.08000001</v>
      </c>
      <c r="HM14" s="3">
        <v>190125583.02000001</v>
      </c>
      <c r="HN14" s="3">
        <v>0</v>
      </c>
      <c r="HO14" s="3">
        <v>374797272.10000002</v>
      </c>
      <c r="HP14" s="3">
        <v>184300678.63</v>
      </c>
      <c r="HQ14" s="3">
        <v>104630404.79000001</v>
      </c>
      <c r="HR14" s="3">
        <v>0</v>
      </c>
      <c r="HS14" s="3">
        <v>288931083.42000002</v>
      </c>
      <c r="HT14" s="3">
        <v>182209535.62</v>
      </c>
      <c r="HU14" s="3">
        <v>58453840.82</v>
      </c>
      <c r="HV14" s="3">
        <v>0</v>
      </c>
      <c r="HW14" s="3">
        <v>240663376.44</v>
      </c>
      <c r="HX14" s="3">
        <v>188400000</v>
      </c>
      <c r="HY14" s="3">
        <v>107950000</v>
      </c>
      <c r="HZ14" s="3">
        <v>0</v>
      </c>
      <c r="IA14" s="3">
        <v>296350000</v>
      </c>
      <c r="IB14" s="3">
        <v>188400000</v>
      </c>
      <c r="IC14" s="3">
        <v>107950000</v>
      </c>
      <c r="ID14" s="3">
        <v>0</v>
      </c>
      <c r="IE14" s="3">
        <v>296350000</v>
      </c>
      <c r="IF14" s="3"/>
      <c r="IG14" s="3"/>
      <c r="IH14" s="3"/>
      <c r="II14" s="3"/>
      <c r="IJ14" s="3"/>
      <c r="IK14" s="3"/>
      <c r="IL14" s="3"/>
      <c r="IM14" s="3"/>
      <c r="IN14" s="3"/>
      <c r="IO14" s="3"/>
      <c r="IP14" s="3"/>
      <c r="IQ14" s="3"/>
      <c r="IR14" s="3"/>
      <c r="IS14" s="3"/>
      <c r="IT14" s="3"/>
      <c r="IU14" s="3"/>
      <c r="IV14" s="3"/>
      <c r="IW14" s="3"/>
      <c r="IX14" s="3"/>
      <c r="IY14" s="3"/>
      <c r="IZ14" s="3">
        <v>197705000</v>
      </c>
      <c r="JA14" s="3">
        <v>60474000</v>
      </c>
      <c r="JB14" s="3">
        <v>0</v>
      </c>
      <c r="JC14" s="3">
        <v>258179000</v>
      </c>
      <c r="JD14" s="3"/>
      <c r="JE14" s="3"/>
      <c r="JF14" s="3"/>
      <c r="JG14" s="3"/>
    </row>
    <row r="15" spans="1:267" x14ac:dyDescent="0.25">
      <c r="A15" t="s">
        <v>505</v>
      </c>
      <c r="B15" t="s">
        <v>397</v>
      </c>
      <c r="C15" t="s">
        <v>199</v>
      </c>
      <c r="D15" t="s">
        <v>200</v>
      </c>
      <c r="E15" t="s">
        <v>208</v>
      </c>
      <c r="F15" t="s">
        <v>514</v>
      </c>
      <c r="G15" t="s">
        <v>410</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v>0</v>
      </c>
      <c r="DQ15" s="3">
        <v>0</v>
      </c>
      <c r="DR15" s="3">
        <v>0</v>
      </c>
      <c r="DS15" s="3">
        <v>0</v>
      </c>
      <c r="DT15" s="3">
        <v>0</v>
      </c>
      <c r="DU15" s="3">
        <v>10000000</v>
      </c>
      <c r="DV15" s="3">
        <v>0</v>
      </c>
      <c r="DW15" s="3">
        <v>10000000</v>
      </c>
      <c r="DX15" s="3">
        <v>0</v>
      </c>
      <c r="DY15" s="3">
        <v>10000000</v>
      </c>
      <c r="DZ15" s="3">
        <v>0</v>
      </c>
      <c r="EA15" s="3">
        <v>10000000</v>
      </c>
      <c r="EB15" s="3">
        <v>0</v>
      </c>
      <c r="EC15" s="3">
        <v>9989000</v>
      </c>
      <c r="ED15" s="3">
        <v>0</v>
      </c>
      <c r="EE15" s="3">
        <v>9989000</v>
      </c>
      <c r="EF15" s="3">
        <v>0</v>
      </c>
      <c r="EG15" s="3">
        <v>9794000</v>
      </c>
      <c r="EH15" s="3">
        <v>0</v>
      </c>
      <c r="EI15" s="3">
        <v>9794000</v>
      </c>
      <c r="EJ15" s="3">
        <v>0</v>
      </c>
      <c r="EK15" s="3">
        <v>5962137.7800000003</v>
      </c>
      <c r="EL15" s="3">
        <v>0</v>
      </c>
      <c r="EM15" s="3">
        <v>5962137.7800000003</v>
      </c>
      <c r="EN15" s="3">
        <v>0</v>
      </c>
      <c r="EO15" s="3">
        <v>5429647.79</v>
      </c>
      <c r="EP15" s="3">
        <v>0</v>
      </c>
      <c r="EQ15" s="3">
        <v>5429647.79</v>
      </c>
      <c r="ER15" s="3">
        <v>0</v>
      </c>
      <c r="ES15" s="3">
        <v>0</v>
      </c>
      <c r="ET15" s="3">
        <v>0</v>
      </c>
      <c r="EU15" s="3">
        <v>0</v>
      </c>
      <c r="EV15" s="3">
        <v>0</v>
      </c>
      <c r="EW15" s="3">
        <v>0</v>
      </c>
      <c r="EX15" s="3">
        <v>0</v>
      </c>
      <c r="EY15" s="3">
        <v>0</v>
      </c>
      <c r="EZ15" s="3">
        <v>0</v>
      </c>
      <c r="FA15" s="3">
        <v>195000</v>
      </c>
      <c r="FB15" s="3">
        <v>0</v>
      </c>
      <c r="FC15" s="3">
        <v>195000</v>
      </c>
      <c r="FD15" s="3">
        <v>0</v>
      </c>
      <c r="FE15" s="3">
        <v>4026862.22</v>
      </c>
      <c r="FF15" s="3">
        <v>0</v>
      </c>
      <c r="FG15" s="3">
        <v>4026862.22</v>
      </c>
      <c r="FH15" s="3">
        <v>0</v>
      </c>
      <c r="FI15" s="3">
        <v>3831862.22</v>
      </c>
      <c r="FJ15" s="3">
        <v>0</v>
      </c>
      <c r="FK15" s="3">
        <v>3831862.22</v>
      </c>
      <c r="FL15" s="3">
        <v>0</v>
      </c>
      <c r="FM15" s="3">
        <v>820027.73</v>
      </c>
      <c r="FN15" s="3">
        <v>0</v>
      </c>
      <c r="FO15" s="3">
        <v>820027.73</v>
      </c>
      <c r="FP15" s="3">
        <v>0</v>
      </c>
      <c r="FQ15" s="3">
        <v>717226.46</v>
      </c>
      <c r="FR15" s="3">
        <v>0</v>
      </c>
      <c r="FS15" s="3">
        <v>717226.46</v>
      </c>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row>
    <row r="16" spans="1:267" x14ac:dyDescent="0.25">
      <c r="A16" t="s">
        <v>505</v>
      </c>
      <c r="B16" t="s">
        <v>397</v>
      </c>
      <c r="C16" t="s">
        <v>199</v>
      </c>
      <c r="D16" t="s">
        <v>200</v>
      </c>
      <c r="E16" t="s">
        <v>208</v>
      </c>
      <c r="F16" t="s">
        <v>515</v>
      </c>
      <c r="G16" t="s">
        <v>411</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v>0</v>
      </c>
      <c r="GW16" s="3">
        <v>0</v>
      </c>
      <c r="GX16" s="3">
        <v>0</v>
      </c>
      <c r="GY16" s="3">
        <v>0</v>
      </c>
      <c r="GZ16" s="3">
        <v>0</v>
      </c>
      <c r="HA16" s="3">
        <v>99301000</v>
      </c>
      <c r="HB16" s="3">
        <v>0</v>
      </c>
      <c r="HC16" s="3">
        <v>99301000</v>
      </c>
      <c r="HD16" s="3">
        <v>0</v>
      </c>
      <c r="HE16" s="3">
        <v>99301000</v>
      </c>
      <c r="HF16" s="3">
        <v>0</v>
      </c>
      <c r="HG16" s="3">
        <v>99301000</v>
      </c>
      <c r="HH16" s="3">
        <v>0</v>
      </c>
      <c r="HI16" s="3">
        <v>99301000</v>
      </c>
      <c r="HJ16" s="3">
        <v>0</v>
      </c>
      <c r="HK16" s="3">
        <v>99301000</v>
      </c>
      <c r="HL16" s="3">
        <v>0</v>
      </c>
      <c r="HM16" s="3">
        <v>99301000</v>
      </c>
      <c r="HN16" s="3">
        <v>0</v>
      </c>
      <c r="HO16" s="3">
        <v>99301000</v>
      </c>
      <c r="HP16" s="3">
        <v>0</v>
      </c>
      <c r="HQ16" s="3">
        <v>52055992.899999999</v>
      </c>
      <c r="HR16" s="3">
        <v>0</v>
      </c>
      <c r="HS16" s="3">
        <v>52055992.899999999</v>
      </c>
      <c r="HT16" s="3">
        <v>0</v>
      </c>
      <c r="HU16" s="3">
        <v>48725746.049999997</v>
      </c>
      <c r="HV16" s="3">
        <v>0</v>
      </c>
      <c r="HW16" s="3">
        <v>48725746.049999997</v>
      </c>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row>
    <row r="17" spans="1:267" x14ac:dyDescent="0.25">
      <c r="A17" t="s">
        <v>505</v>
      </c>
      <c r="B17" t="s">
        <v>397</v>
      </c>
      <c r="C17" t="s">
        <v>199</v>
      </c>
      <c r="D17" t="s">
        <v>200</v>
      </c>
      <c r="E17" t="s">
        <v>217</v>
      </c>
      <c r="F17" t="s">
        <v>218</v>
      </c>
      <c r="G17" t="s">
        <v>412</v>
      </c>
      <c r="H17" s="3">
        <v>19177000</v>
      </c>
      <c r="I17" s="3">
        <v>466047000</v>
      </c>
      <c r="J17" s="3">
        <v>0</v>
      </c>
      <c r="K17" s="3">
        <v>485224000</v>
      </c>
      <c r="L17" s="3">
        <v>19177000</v>
      </c>
      <c r="M17" s="3">
        <v>466047000</v>
      </c>
      <c r="N17" s="3">
        <v>0</v>
      </c>
      <c r="O17" s="3">
        <v>485224000</v>
      </c>
      <c r="P17" s="3">
        <v>20940000</v>
      </c>
      <c r="Q17" s="3">
        <v>466047000</v>
      </c>
      <c r="R17" s="3">
        <v>0</v>
      </c>
      <c r="S17" s="3">
        <v>486987000</v>
      </c>
      <c r="T17" s="3">
        <v>24594271.420000002</v>
      </c>
      <c r="U17" s="3">
        <v>465893351</v>
      </c>
      <c r="V17" s="3">
        <v>0</v>
      </c>
      <c r="W17" s="3">
        <v>490487622.42000002</v>
      </c>
      <c r="X17" s="3">
        <v>24594271.420000002</v>
      </c>
      <c r="Y17" s="3">
        <v>465893351</v>
      </c>
      <c r="Z17" s="3">
        <v>0</v>
      </c>
      <c r="AA17" s="3">
        <v>490487622.42000002</v>
      </c>
      <c r="AB17" s="3">
        <v>24594271.420000002</v>
      </c>
      <c r="AC17" s="3">
        <v>260160839</v>
      </c>
      <c r="AD17" s="3">
        <v>0</v>
      </c>
      <c r="AE17" s="3">
        <v>284755110.42000002</v>
      </c>
      <c r="AF17" s="3">
        <v>23845125.239999998</v>
      </c>
      <c r="AG17" s="3">
        <v>165171997.28</v>
      </c>
      <c r="AH17" s="3">
        <v>0</v>
      </c>
      <c r="AI17" s="3">
        <v>189017122.52000001</v>
      </c>
      <c r="AJ17" s="3">
        <v>22978000</v>
      </c>
      <c r="AK17" s="3">
        <v>213496000</v>
      </c>
      <c r="AL17" s="3">
        <v>0</v>
      </c>
      <c r="AM17" s="3">
        <v>236474000</v>
      </c>
      <c r="AN17" s="3">
        <v>22978000</v>
      </c>
      <c r="AO17" s="3">
        <v>482985000</v>
      </c>
      <c r="AP17" s="3">
        <v>0</v>
      </c>
      <c r="AQ17" s="3">
        <v>505963000</v>
      </c>
      <c r="AR17" s="3">
        <v>25104000</v>
      </c>
      <c r="AS17" s="3">
        <v>482985000</v>
      </c>
      <c r="AT17" s="3">
        <v>0</v>
      </c>
      <c r="AU17" s="3">
        <v>508089000</v>
      </c>
      <c r="AV17" s="3">
        <v>26389950.260000002</v>
      </c>
      <c r="AW17" s="3">
        <v>688717512</v>
      </c>
      <c r="AX17" s="3">
        <v>0</v>
      </c>
      <c r="AY17" s="3">
        <v>715107462.25999999</v>
      </c>
      <c r="AZ17" s="3">
        <v>26389950.260000002</v>
      </c>
      <c r="BA17" s="3">
        <v>688717512</v>
      </c>
      <c r="BB17" s="3">
        <v>0</v>
      </c>
      <c r="BC17" s="3">
        <v>715107462.25999999</v>
      </c>
      <c r="BD17" s="3">
        <v>26389950.260000002</v>
      </c>
      <c r="BE17" s="3">
        <v>470642075.37</v>
      </c>
      <c r="BF17" s="3">
        <v>0</v>
      </c>
      <c r="BG17" s="3">
        <v>497032025.63</v>
      </c>
      <c r="BH17" s="3">
        <v>26259413.579999998</v>
      </c>
      <c r="BI17" s="3">
        <v>76953210.920000002</v>
      </c>
      <c r="BJ17" s="3">
        <v>0</v>
      </c>
      <c r="BK17" s="3">
        <v>103212624.5</v>
      </c>
      <c r="BL17" s="3">
        <v>24097000</v>
      </c>
      <c r="BM17" s="3">
        <v>269616000</v>
      </c>
      <c r="BN17" s="3">
        <v>0</v>
      </c>
      <c r="BO17" s="3">
        <v>293713000</v>
      </c>
      <c r="BP17" s="3">
        <v>24097000</v>
      </c>
      <c r="BQ17" s="3">
        <v>369616000</v>
      </c>
      <c r="BR17" s="3">
        <v>0</v>
      </c>
      <c r="BS17" s="3">
        <v>393713000</v>
      </c>
      <c r="BT17" s="3">
        <v>26328000</v>
      </c>
      <c r="BU17" s="3">
        <v>369616000</v>
      </c>
      <c r="BV17" s="3">
        <v>0</v>
      </c>
      <c r="BW17" s="3">
        <v>395944000</v>
      </c>
      <c r="BX17" s="3">
        <v>16519389.810000001</v>
      </c>
      <c r="BY17" s="3">
        <v>451338572.72000003</v>
      </c>
      <c r="BZ17" s="3">
        <v>0</v>
      </c>
      <c r="CA17" s="3">
        <v>467857962.52999997</v>
      </c>
      <c r="CB17" s="3">
        <v>16519389.810000001</v>
      </c>
      <c r="CC17" s="3">
        <v>451338572.72000003</v>
      </c>
      <c r="CD17" s="3">
        <v>0</v>
      </c>
      <c r="CE17" s="3">
        <v>467857962.52999997</v>
      </c>
      <c r="CF17" s="3">
        <v>16519389.810000001</v>
      </c>
      <c r="CG17" s="3">
        <v>264744686.5</v>
      </c>
      <c r="CH17" s="3">
        <v>0</v>
      </c>
      <c r="CI17" s="3">
        <v>281264076.31</v>
      </c>
      <c r="CJ17" s="3">
        <v>15709035.050000001</v>
      </c>
      <c r="CK17" s="3">
        <v>8383581.75</v>
      </c>
      <c r="CL17" s="3">
        <v>0</v>
      </c>
      <c r="CM17" s="3">
        <v>24092616.800000001</v>
      </c>
      <c r="CN17" s="3">
        <v>24615000</v>
      </c>
      <c r="CO17" s="3">
        <v>123901000</v>
      </c>
      <c r="CP17" s="3">
        <v>0</v>
      </c>
      <c r="CQ17" s="3">
        <v>148516000</v>
      </c>
      <c r="CR17" s="3">
        <v>24615000</v>
      </c>
      <c r="CS17" s="3">
        <v>123901000</v>
      </c>
      <c r="CT17" s="3">
        <v>0</v>
      </c>
      <c r="CU17" s="3">
        <v>148516000</v>
      </c>
      <c r="CV17" s="3">
        <v>26908000</v>
      </c>
      <c r="CW17" s="3">
        <v>123901000</v>
      </c>
      <c r="CX17" s="3">
        <v>0</v>
      </c>
      <c r="CY17" s="3">
        <v>150809000</v>
      </c>
      <c r="CZ17" s="3">
        <v>23782392.18</v>
      </c>
      <c r="DA17" s="3">
        <v>301040446.99000001</v>
      </c>
      <c r="DB17" s="3">
        <v>0</v>
      </c>
      <c r="DC17" s="3">
        <v>324822839.17000002</v>
      </c>
      <c r="DD17" s="3">
        <v>23782392.18</v>
      </c>
      <c r="DE17" s="3">
        <v>301040446.99000001</v>
      </c>
      <c r="DF17" s="3">
        <v>0</v>
      </c>
      <c r="DG17" s="3">
        <v>324822839.17000002</v>
      </c>
      <c r="DH17" s="3">
        <v>23449112.91</v>
      </c>
      <c r="DI17" s="3">
        <v>15151391.689999999</v>
      </c>
      <c r="DJ17" s="3">
        <v>0</v>
      </c>
      <c r="DK17" s="3">
        <v>38600504.600000001</v>
      </c>
      <c r="DL17" s="3">
        <v>23446593.129999999</v>
      </c>
      <c r="DM17" s="3">
        <v>7761545.71</v>
      </c>
      <c r="DN17" s="3">
        <v>0</v>
      </c>
      <c r="DO17" s="3">
        <v>31208138.84</v>
      </c>
      <c r="DP17" s="3">
        <v>22621000</v>
      </c>
      <c r="DQ17" s="3">
        <v>123901000</v>
      </c>
      <c r="DR17" s="3">
        <v>0</v>
      </c>
      <c r="DS17" s="3">
        <v>146522000</v>
      </c>
      <c r="DT17" s="3">
        <v>22621000</v>
      </c>
      <c r="DU17" s="3">
        <v>123901000</v>
      </c>
      <c r="DV17" s="3">
        <v>0</v>
      </c>
      <c r="DW17" s="3">
        <v>146522000</v>
      </c>
      <c r="DX17" s="3">
        <v>24719000</v>
      </c>
      <c r="DY17" s="3">
        <v>123901000</v>
      </c>
      <c r="DZ17" s="3">
        <v>0</v>
      </c>
      <c r="EA17" s="3">
        <v>148620000</v>
      </c>
      <c r="EB17" s="3">
        <v>27201993.32</v>
      </c>
      <c r="EC17" s="3">
        <v>200435252.13</v>
      </c>
      <c r="ED17" s="3">
        <v>0</v>
      </c>
      <c r="EE17" s="3">
        <v>227637245.44999999</v>
      </c>
      <c r="EF17" s="3">
        <v>27201993.32</v>
      </c>
      <c r="EG17" s="3">
        <v>200435252.13</v>
      </c>
      <c r="EH17" s="3">
        <v>0</v>
      </c>
      <c r="EI17" s="3">
        <v>227637245.44999999</v>
      </c>
      <c r="EJ17" s="3">
        <v>27201993.32</v>
      </c>
      <c r="EK17" s="3">
        <v>36114529.149999999</v>
      </c>
      <c r="EL17" s="3">
        <v>0</v>
      </c>
      <c r="EM17" s="3">
        <v>63316522.469999999</v>
      </c>
      <c r="EN17" s="3">
        <v>27160785.98</v>
      </c>
      <c r="EO17" s="3">
        <v>32658710.719999999</v>
      </c>
      <c r="EP17" s="3">
        <v>0</v>
      </c>
      <c r="EQ17" s="3">
        <v>59819496.700000003</v>
      </c>
      <c r="ER17" s="3">
        <v>27080000</v>
      </c>
      <c r="ES17" s="3">
        <v>128428000</v>
      </c>
      <c r="ET17" s="3">
        <v>0</v>
      </c>
      <c r="EU17" s="3">
        <v>155508000</v>
      </c>
      <c r="EV17" s="3">
        <v>27080000</v>
      </c>
      <c r="EW17" s="3">
        <v>404699000</v>
      </c>
      <c r="EX17" s="3">
        <v>0</v>
      </c>
      <c r="EY17" s="3">
        <v>431779000</v>
      </c>
      <c r="EZ17" s="3">
        <v>29585000</v>
      </c>
      <c r="FA17" s="3">
        <v>404699000</v>
      </c>
      <c r="FB17" s="3">
        <v>0</v>
      </c>
      <c r="FC17" s="3">
        <v>434284000</v>
      </c>
      <c r="FD17" s="3">
        <v>36362341.869999997</v>
      </c>
      <c r="FE17" s="3">
        <v>466572100.67000002</v>
      </c>
      <c r="FF17" s="3">
        <v>0</v>
      </c>
      <c r="FG17" s="3">
        <v>502934442.54000002</v>
      </c>
      <c r="FH17" s="3">
        <v>36362341.869999997</v>
      </c>
      <c r="FI17" s="3">
        <v>466572100.67000002</v>
      </c>
      <c r="FJ17" s="3">
        <v>0</v>
      </c>
      <c r="FK17" s="3">
        <v>502934442.54000002</v>
      </c>
      <c r="FL17" s="3">
        <v>36336341.869999997</v>
      </c>
      <c r="FM17" s="3">
        <v>98664766.510000005</v>
      </c>
      <c r="FN17" s="3">
        <v>0</v>
      </c>
      <c r="FO17" s="3">
        <v>135001108.38</v>
      </c>
      <c r="FP17" s="3">
        <v>31000752.07</v>
      </c>
      <c r="FQ17" s="3">
        <v>76262153.890000001</v>
      </c>
      <c r="FR17" s="3">
        <v>0</v>
      </c>
      <c r="FS17" s="3">
        <v>107262905.95999999</v>
      </c>
      <c r="FT17" s="3">
        <v>26358000</v>
      </c>
      <c r="FU17" s="3">
        <v>1053359000</v>
      </c>
      <c r="FV17" s="3">
        <v>351340000</v>
      </c>
      <c r="FW17" s="3">
        <v>1431057000</v>
      </c>
      <c r="FX17" s="3">
        <v>26358000</v>
      </c>
      <c r="FY17" s="3">
        <v>1053359000</v>
      </c>
      <c r="FZ17" s="3">
        <v>351340000</v>
      </c>
      <c r="GA17" s="3">
        <v>1431057000</v>
      </c>
      <c r="GB17" s="3">
        <v>28795000</v>
      </c>
      <c r="GC17" s="3">
        <v>1053359000</v>
      </c>
      <c r="GD17" s="3">
        <v>351340000</v>
      </c>
      <c r="GE17" s="3">
        <v>1433494000</v>
      </c>
      <c r="GF17" s="3">
        <v>37785822.640000001</v>
      </c>
      <c r="GG17" s="3">
        <v>1410176264.3699999</v>
      </c>
      <c r="GH17" s="3">
        <v>351340000</v>
      </c>
      <c r="GI17" s="3">
        <v>1799302087.01</v>
      </c>
      <c r="GJ17" s="3">
        <v>37785822.640000001</v>
      </c>
      <c r="GK17" s="3">
        <v>1410176264.3699999</v>
      </c>
      <c r="GL17" s="3">
        <v>351340000</v>
      </c>
      <c r="GM17" s="3">
        <v>1799302087.01</v>
      </c>
      <c r="GN17" s="3">
        <v>37785822.640000001</v>
      </c>
      <c r="GO17" s="3">
        <v>419835768.06999999</v>
      </c>
      <c r="GP17" s="3">
        <v>0</v>
      </c>
      <c r="GQ17" s="3">
        <v>457621590.70999998</v>
      </c>
      <c r="GR17" s="3">
        <v>37244304.009999998</v>
      </c>
      <c r="GS17" s="3">
        <v>312970968.22000003</v>
      </c>
      <c r="GT17" s="3">
        <v>0</v>
      </c>
      <c r="GU17" s="3">
        <v>350215272.23000002</v>
      </c>
      <c r="GV17" s="3">
        <v>27053000</v>
      </c>
      <c r="GW17" s="3">
        <v>490334000</v>
      </c>
      <c r="GX17" s="3">
        <v>0</v>
      </c>
      <c r="GY17" s="3">
        <v>517387000</v>
      </c>
      <c r="GZ17" s="3">
        <v>27053000</v>
      </c>
      <c r="HA17" s="3">
        <v>490334000</v>
      </c>
      <c r="HB17" s="3">
        <v>0</v>
      </c>
      <c r="HC17" s="3">
        <v>517387000</v>
      </c>
      <c r="HD17" s="3">
        <v>29532000</v>
      </c>
      <c r="HE17" s="3">
        <v>490334000</v>
      </c>
      <c r="HF17" s="3">
        <v>0</v>
      </c>
      <c r="HG17" s="3">
        <v>519866000</v>
      </c>
      <c r="HH17" s="3">
        <v>151589594.81999999</v>
      </c>
      <c r="HI17" s="3">
        <v>1311737558.5</v>
      </c>
      <c r="HJ17" s="3">
        <v>351340000</v>
      </c>
      <c r="HK17" s="3">
        <v>1814667153.4100001</v>
      </c>
      <c r="HL17" s="3">
        <v>151589594.81999999</v>
      </c>
      <c r="HM17" s="3">
        <v>1311737558.5899999</v>
      </c>
      <c r="HN17" s="3">
        <v>351340000</v>
      </c>
      <c r="HO17" s="3">
        <v>1814667153.4100001</v>
      </c>
      <c r="HP17" s="3">
        <v>151589594.81999999</v>
      </c>
      <c r="HQ17" s="3">
        <v>884450326.79999995</v>
      </c>
      <c r="HR17" s="3">
        <v>0</v>
      </c>
      <c r="HS17" s="3">
        <v>1240150769.27</v>
      </c>
      <c r="HT17" s="3">
        <v>150968648.06</v>
      </c>
      <c r="HU17" s="3">
        <v>263713866.53</v>
      </c>
      <c r="HV17" s="3">
        <v>0</v>
      </c>
      <c r="HW17" s="3">
        <v>419068174.81999999</v>
      </c>
      <c r="HX17" s="3">
        <v>37273000</v>
      </c>
      <c r="HY17" s="3">
        <v>491611000</v>
      </c>
      <c r="HZ17" s="3">
        <v>0</v>
      </c>
      <c r="IA17" s="3">
        <v>528884000</v>
      </c>
      <c r="IB17" s="3">
        <v>37273000</v>
      </c>
      <c r="IC17" s="3">
        <v>491611000</v>
      </c>
      <c r="ID17" s="3">
        <v>0</v>
      </c>
      <c r="IE17" s="3">
        <v>528884000</v>
      </c>
      <c r="IF17" s="3"/>
      <c r="IG17" s="3"/>
      <c r="IH17" s="3"/>
      <c r="II17" s="3"/>
      <c r="IJ17" s="3"/>
      <c r="IK17" s="3"/>
      <c r="IL17" s="3"/>
      <c r="IM17" s="3"/>
      <c r="IN17" s="3"/>
      <c r="IO17" s="3"/>
      <c r="IP17" s="3"/>
      <c r="IQ17" s="3"/>
      <c r="IR17" s="3"/>
      <c r="IS17" s="3"/>
      <c r="IT17" s="3"/>
      <c r="IU17" s="3"/>
      <c r="IV17" s="3"/>
      <c r="IW17" s="3"/>
      <c r="IX17" s="3"/>
      <c r="IY17" s="3"/>
      <c r="IZ17" s="3">
        <v>40847000</v>
      </c>
      <c r="JA17" s="3">
        <v>500460000</v>
      </c>
      <c r="JB17" s="3">
        <v>0</v>
      </c>
      <c r="JC17" s="3">
        <v>541307000</v>
      </c>
      <c r="JD17" s="3"/>
      <c r="JE17" s="3"/>
      <c r="JF17" s="3"/>
      <c r="JG17" s="3"/>
    </row>
    <row r="18" spans="1:267" x14ac:dyDescent="0.25">
      <c r="A18" t="s">
        <v>505</v>
      </c>
      <c r="B18" t="s">
        <v>397</v>
      </c>
      <c r="C18" t="s">
        <v>199</v>
      </c>
      <c r="D18" t="s">
        <v>200</v>
      </c>
      <c r="E18" t="s">
        <v>217</v>
      </c>
      <c r="F18" t="s">
        <v>220</v>
      </c>
      <c r="G18" t="s">
        <v>413</v>
      </c>
      <c r="H18" s="3">
        <v>1331371000</v>
      </c>
      <c r="I18" s="3">
        <v>69468000</v>
      </c>
      <c r="J18" s="3">
        <v>0</v>
      </c>
      <c r="K18" s="3">
        <v>1400839000</v>
      </c>
      <c r="L18" s="3">
        <v>1331371000</v>
      </c>
      <c r="M18" s="3">
        <v>69468000</v>
      </c>
      <c r="N18" s="3">
        <v>0</v>
      </c>
      <c r="O18" s="3">
        <v>1400839000</v>
      </c>
      <c r="P18" s="3">
        <v>1454833000</v>
      </c>
      <c r="Q18" s="3">
        <v>69468000</v>
      </c>
      <c r="R18" s="3">
        <v>0</v>
      </c>
      <c r="S18" s="3">
        <v>1524301000</v>
      </c>
      <c r="T18" s="3">
        <v>1451875164.23</v>
      </c>
      <c r="U18" s="3">
        <v>69468000</v>
      </c>
      <c r="V18" s="3">
        <v>0</v>
      </c>
      <c r="W18" s="3">
        <v>1521343164.23</v>
      </c>
      <c r="X18" s="3">
        <v>1451875164.23</v>
      </c>
      <c r="Y18" s="3">
        <v>69468000</v>
      </c>
      <c r="Z18" s="3">
        <v>0</v>
      </c>
      <c r="AA18" s="3">
        <v>1521343164.23</v>
      </c>
      <c r="AB18" s="3">
        <v>1369104086.3399999</v>
      </c>
      <c r="AC18" s="3">
        <v>45689181.869999997</v>
      </c>
      <c r="AD18" s="3">
        <v>0</v>
      </c>
      <c r="AE18" s="3">
        <v>1414793268.21</v>
      </c>
      <c r="AF18" s="3">
        <v>1335841009.3800001</v>
      </c>
      <c r="AG18" s="3">
        <v>34058513.390000001</v>
      </c>
      <c r="AH18" s="3">
        <v>0</v>
      </c>
      <c r="AI18" s="3">
        <v>1369899522.77</v>
      </c>
      <c r="AJ18" s="3">
        <v>1634139000</v>
      </c>
      <c r="AK18" s="3">
        <v>69468000</v>
      </c>
      <c r="AL18" s="3">
        <v>0</v>
      </c>
      <c r="AM18" s="3">
        <v>1703607000</v>
      </c>
      <c r="AN18" s="3">
        <v>1634139000</v>
      </c>
      <c r="AO18" s="3">
        <v>69468000</v>
      </c>
      <c r="AP18" s="3">
        <v>0</v>
      </c>
      <c r="AQ18" s="3">
        <v>1703607000</v>
      </c>
      <c r="AR18" s="3">
        <v>1786210000</v>
      </c>
      <c r="AS18" s="3">
        <v>69468000</v>
      </c>
      <c r="AT18" s="3">
        <v>0</v>
      </c>
      <c r="AU18" s="3">
        <v>1855678000</v>
      </c>
      <c r="AV18" s="3">
        <v>1772864144.2</v>
      </c>
      <c r="AW18" s="3">
        <v>91246818.129999995</v>
      </c>
      <c r="AX18" s="3">
        <v>0</v>
      </c>
      <c r="AY18" s="3">
        <v>1864110962.3299999</v>
      </c>
      <c r="AZ18" s="3">
        <v>1772864144.2</v>
      </c>
      <c r="BA18" s="3">
        <v>91246818.129999995</v>
      </c>
      <c r="BB18" s="3">
        <v>0</v>
      </c>
      <c r="BC18" s="3">
        <v>1864110962.3299999</v>
      </c>
      <c r="BD18" s="3">
        <v>1743544018.27</v>
      </c>
      <c r="BE18" s="3">
        <v>49373052.729999997</v>
      </c>
      <c r="BF18" s="3">
        <v>0</v>
      </c>
      <c r="BG18" s="3">
        <v>1792917071</v>
      </c>
      <c r="BH18" s="3">
        <v>1721107607.4300001</v>
      </c>
      <c r="BI18" s="3">
        <v>33227116.879999999</v>
      </c>
      <c r="BJ18" s="3">
        <v>0</v>
      </c>
      <c r="BK18" s="3">
        <v>1754334724.3099999</v>
      </c>
      <c r="BL18" s="3">
        <v>1645852000</v>
      </c>
      <c r="BM18" s="3">
        <v>45689000</v>
      </c>
      <c r="BN18" s="3">
        <v>0</v>
      </c>
      <c r="BO18" s="3">
        <v>1691541000</v>
      </c>
      <c r="BP18" s="3">
        <v>1645852000</v>
      </c>
      <c r="BQ18" s="3">
        <v>45689000</v>
      </c>
      <c r="BR18" s="3">
        <v>0</v>
      </c>
      <c r="BS18" s="3">
        <v>1691541000</v>
      </c>
      <c r="BT18" s="3">
        <v>1799308000</v>
      </c>
      <c r="BU18" s="3">
        <v>45689000</v>
      </c>
      <c r="BV18" s="3">
        <v>0</v>
      </c>
      <c r="BW18" s="3">
        <v>1844997000</v>
      </c>
      <c r="BX18" s="3">
        <v>1691335027.22</v>
      </c>
      <c r="BY18" s="3">
        <v>47500838.380000003</v>
      </c>
      <c r="BZ18" s="3">
        <v>0</v>
      </c>
      <c r="CA18" s="3">
        <v>1738835865.5999999</v>
      </c>
      <c r="CB18" s="3">
        <v>1691335027.22</v>
      </c>
      <c r="CC18" s="3">
        <v>47500838.380000003</v>
      </c>
      <c r="CD18" s="3">
        <v>0</v>
      </c>
      <c r="CE18" s="3">
        <v>1738835865.5999999</v>
      </c>
      <c r="CF18" s="3">
        <v>1661230561.9100001</v>
      </c>
      <c r="CG18" s="3">
        <v>27729718.239999998</v>
      </c>
      <c r="CH18" s="3">
        <v>0</v>
      </c>
      <c r="CI18" s="3">
        <v>1688960280.1500001</v>
      </c>
      <c r="CJ18" s="3">
        <v>1642841614.6199999</v>
      </c>
      <c r="CK18" s="3">
        <v>18054511.030000001</v>
      </c>
      <c r="CL18" s="3">
        <v>0</v>
      </c>
      <c r="CM18" s="3">
        <v>1660896125.6500001</v>
      </c>
      <c r="CN18" s="3">
        <v>1752234000</v>
      </c>
      <c r="CO18" s="3">
        <v>33543000</v>
      </c>
      <c r="CP18" s="3">
        <v>0</v>
      </c>
      <c r="CQ18" s="3">
        <v>1785777000</v>
      </c>
      <c r="CR18" s="3">
        <v>1752234000</v>
      </c>
      <c r="CS18" s="3">
        <v>33543000</v>
      </c>
      <c r="CT18" s="3">
        <v>0</v>
      </c>
      <c r="CU18" s="3">
        <v>1785777000</v>
      </c>
      <c r="CV18" s="3">
        <v>1916684000</v>
      </c>
      <c r="CW18" s="3">
        <v>33543000</v>
      </c>
      <c r="CX18" s="3">
        <v>0</v>
      </c>
      <c r="CY18" s="3">
        <v>1950227000</v>
      </c>
      <c r="CZ18" s="3">
        <v>1913511384.02</v>
      </c>
      <c r="DA18" s="3">
        <v>46302376.399999999</v>
      </c>
      <c r="DB18" s="3">
        <v>0</v>
      </c>
      <c r="DC18" s="3">
        <v>1959813760.4200001</v>
      </c>
      <c r="DD18" s="3">
        <v>1913511384.02</v>
      </c>
      <c r="DE18" s="3">
        <v>46302376.399999999</v>
      </c>
      <c r="DF18" s="3">
        <v>0</v>
      </c>
      <c r="DG18" s="3">
        <v>1959813760.4200001</v>
      </c>
      <c r="DH18" s="3">
        <v>1858263652.75</v>
      </c>
      <c r="DI18" s="3">
        <v>24412113.16</v>
      </c>
      <c r="DJ18" s="3">
        <v>0</v>
      </c>
      <c r="DK18" s="3">
        <v>1882675765.9100001</v>
      </c>
      <c r="DL18" s="3">
        <v>1824303048.3800001</v>
      </c>
      <c r="DM18" s="3">
        <v>19562053.449999999</v>
      </c>
      <c r="DN18" s="3">
        <v>0</v>
      </c>
      <c r="DO18" s="3">
        <v>1843865101.8299999</v>
      </c>
      <c r="DP18" s="3">
        <v>1829037000</v>
      </c>
      <c r="DQ18" s="3">
        <v>33543000</v>
      </c>
      <c r="DR18" s="3">
        <v>0</v>
      </c>
      <c r="DS18" s="3">
        <v>1862580000</v>
      </c>
      <c r="DT18" s="3">
        <v>1829037000</v>
      </c>
      <c r="DU18" s="3">
        <v>33543000</v>
      </c>
      <c r="DV18" s="3">
        <v>0</v>
      </c>
      <c r="DW18" s="3">
        <v>1862580000</v>
      </c>
      <c r="DX18" s="3">
        <v>2000352000</v>
      </c>
      <c r="DY18" s="3">
        <v>33543000</v>
      </c>
      <c r="DZ18" s="3">
        <v>0</v>
      </c>
      <c r="EA18" s="3">
        <v>2033895000</v>
      </c>
      <c r="EB18" s="3">
        <v>1978545534.1500001</v>
      </c>
      <c r="EC18" s="3">
        <v>52133911.57</v>
      </c>
      <c r="ED18" s="3">
        <v>0</v>
      </c>
      <c r="EE18" s="3">
        <v>2030679445.72</v>
      </c>
      <c r="EF18" s="3">
        <v>1978545534.1500001</v>
      </c>
      <c r="EG18" s="3">
        <v>52133911.57</v>
      </c>
      <c r="EH18" s="3">
        <v>0</v>
      </c>
      <c r="EI18" s="3">
        <v>2030679445.72</v>
      </c>
      <c r="EJ18" s="3">
        <v>1936993001.76</v>
      </c>
      <c r="EK18" s="3">
        <v>28254386.530000001</v>
      </c>
      <c r="EL18" s="3">
        <v>0</v>
      </c>
      <c r="EM18" s="3">
        <v>1965247388.29</v>
      </c>
      <c r="EN18" s="3">
        <v>1908731231.5999999</v>
      </c>
      <c r="EO18" s="3">
        <v>22249282.010000002</v>
      </c>
      <c r="EP18" s="3">
        <v>0</v>
      </c>
      <c r="EQ18" s="3">
        <v>1930980513.6099999</v>
      </c>
      <c r="ER18" s="3">
        <v>1894013000</v>
      </c>
      <c r="ES18" s="3">
        <v>34769000</v>
      </c>
      <c r="ET18" s="3">
        <v>0</v>
      </c>
      <c r="EU18" s="3">
        <v>1928782000</v>
      </c>
      <c r="EV18" s="3">
        <v>1894013000</v>
      </c>
      <c r="EW18" s="3">
        <v>34769000</v>
      </c>
      <c r="EX18" s="3">
        <v>0</v>
      </c>
      <c r="EY18" s="3">
        <v>1928782000</v>
      </c>
      <c r="EZ18" s="3">
        <v>2071216000</v>
      </c>
      <c r="FA18" s="3">
        <v>34769000</v>
      </c>
      <c r="FB18" s="3">
        <v>0</v>
      </c>
      <c r="FC18" s="3">
        <v>2105985000</v>
      </c>
      <c r="FD18" s="3">
        <v>2029050709.48</v>
      </c>
      <c r="FE18" s="3">
        <v>49249231.119999997</v>
      </c>
      <c r="FF18" s="3">
        <v>0</v>
      </c>
      <c r="FG18" s="3">
        <v>2078299940.5999999</v>
      </c>
      <c r="FH18" s="3">
        <v>2029050709.48</v>
      </c>
      <c r="FI18" s="3">
        <v>49249231.119999997</v>
      </c>
      <c r="FJ18" s="3">
        <v>0</v>
      </c>
      <c r="FK18" s="3">
        <v>2078299940.5999999</v>
      </c>
      <c r="FL18" s="3">
        <v>2011621227</v>
      </c>
      <c r="FM18" s="3">
        <v>34458949.450000003</v>
      </c>
      <c r="FN18" s="3">
        <v>0</v>
      </c>
      <c r="FO18" s="3">
        <v>2046080176.45</v>
      </c>
      <c r="FP18" s="3">
        <v>1998026545.3699999</v>
      </c>
      <c r="FQ18" s="3">
        <v>30384398.09</v>
      </c>
      <c r="FR18" s="3">
        <v>0</v>
      </c>
      <c r="FS18" s="3">
        <v>2028410943.46</v>
      </c>
      <c r="FT18" s="3">
        <v>1910233000</v>
      </c>
      <c r="FU18" s="3">
        <v>35880000</v>
      </c>
      <c r="FV18" s="3">
        <v>0</v>
      </c>
      <c r="FW18" s="3">
        <v>1946113000</v>
      </c>
      <c r="FX18" s="3">
        <v>1910233000</v>
      </c>
      <c r="FY18" s="3">
        <v>35880000</v>
      </c>
      <c r="FZ18" s="3">
        <v>0</v>
      </c>
      <c r="GA18" s="3">
        <v>1946113000</v>
      </c>
      <c r="GB18" s="3">
        <v>2089056000</v>
      </c>
      <c r="GC18" s="3">
        <v>35880000</v>
      </c>
      <c r="GD18" s="3">
        <v>0</v>
      </c>
      <c r="GE18" s="3">
        <v>2124936000</v>
      </c>
      <c r="GF18" s="3">
        <v>2089274154.5999999</v>
      </c>
      <c r="GG18" s="3">
        <v>49190622</v>
      </c>
      <c r="GH18" s="3">
        <v>0</v>
      </c>
      <c r="GI18" s="3">
        <v>2138464776.5999999</v>
      </c>
      <c r="GJ18" s="3">
        <v>2089274154.5999999</v>
      </c>
      <c r="GK18" s="3">
        <v>49190622</v>
      </c>
      <c r="GL18" s="3">
        <v>0</v>
      </c>
      <c r="GM18" s="3">
        <v>2138464776.5999999</v>
      </c>
      <c r="GN18" s="3">
        <v>2068135300.0799999</v>
      </c>
      <c r="GO18" s="3">
        <v>27512415.18</v>
      </c>
      <c r="GP18" s="3">
        <v>0</v>
      </c>
      <c r="GQ18" s="3">
        <v>2095647715.26</v>
      </c>
      <c r="GR18" s="3">
        <v>2061406800.1400001</v>
      </c>
      <c r="GS18" s="3">
        <v>24368132.109999999</v>
      </c>
      <c r="GT18" s="3">
        <v>0</v>
      </c>
      <c r="GU18" s="3">
        <v>2085774932.25</v>
      </c>
      <c r="GV18" s="3">
        <v>1958219000</v>
      </c>
      <c r="GW18" s="3">
        <v>30221000</v>
      </c>
      <c r="GX18" s="3">
        <v>0</v>
      </c>
      <c r="GY18" s="3">
        <v>1988440000</v>
      </c>
      <c r="GZ18" s="3">
        <v>1958219000</v>
      </c>
      <c r="HA18" s="3">
        <v>30221000</v>
      </c>
      <c r="HB18" s="3">
        <v>0</v>
      </c>
      <c r="HC18" s="3">
        <v>1988440000</v>
      </c>
      <c r="HD18" s="3">
        <v>2139980000</v>
      </c>
      <c r="HE18" s="3">
        <v>30221000</v>
      </c>
      <c r="HF18" s="3">
        <v>0</v>
      </c>
      <c r="HG18" s="3">
        <v>2170201000</v>
      </c>
      <c r="HH18" s="3">
        <v>2141898420.8900001</v>
      </c>
      <c r="HI18" s="3">
        <v>45021691.93</v>
      </c>
      <c r="HJ18" s="3">
        <v>0</v>
      </c>
      <c r="HK18" s="3">
        <v>2186920112.8200002</v>
      </c>
      <c r="HL18" s="3">
        <v>2141898420.8900001</v>
      </c>
      <c r="HM18" s="3">
        <v>45021691.93</v>
      </c>
      <c r="HN18" s="3">
        <v>0</v>
      </c>
      <c r="HO18" s="3">
        <v>2186920112.8200002</v>
      </c>
      <c r="HP18" s="3">
        <v>2131170759.9000001</v>
      </c>
      <c r="HQ18" s="3">
        <v>35752307.850000001</v>
      </c>
      <c r="HR18" s="3">
        <v>0</v>
      </c>
      <c r="HS18" s="3">
        <v>2166923067.75</v>
      </c>
      <c r="HT18" s="3">
        <v>2108434559.99</v>
      </c>
      <c r="HU18" s="3">
        <v>20692554.550000001</v>
      </c>
      <c r="HV18" s="3">
        <v>0</v>
      </c>
      <c r="HW18" s="3">
        <v>2129127114.54</v>
      </c>
      <c r="HX18" s="3">
        <v>2262877000</v>
      </c>
      <c r="HY18" s="3">
        <v>30389000</v>
      </c>
      <c r="HZ18" s="3">
        <v>0</v>
      </c>
      <c r="IA18" s="3">
        <v>2293266000</v>
      </c>
      <c r="IB18" s="3">
        <v>2262877000</v>
      </c>
      <c r="IC18" s="3">
        <v>80389000</v>
      </c>
      <c r="ID18" s="3">
        <v>0</v>
      </c>
      <c r="IE18" s="3">
        <v>2343266000</v>
      </c>
      <c r="IF18" s="3"/>
      <c r="IG18" s="3"/>
      <c r="IH18" s="3"/>
      <c r="II18" s="3"/>
      <c r="IJ18" s="3"/>
      <c r="IK18" s="3"/>
      <c r="IL18" s="3"/>
      <c r="IM18" s="3"/>
      <c r="IN18" s="3"/>
      <c r="IO18" s="3"/>
      <c r="IP18" s="3"/>
      <c r="IQ18" s="3"/>
      <c r="IR18" s="3"/>
      <c r="IS18" s="3"/>
      <c r="IT18" s="3"/>
      <c r="IU18" s="3"/>
      <c r="IV18" s="3"/>
      <c r="IW18" s="3"/>
      <c r="IX18" s="3"/>
      <c r="IY18" s="3"/>
      <c r="IZ18" s="3">
        <v>2413744000</v>
      </c>
      <c r="JA18" s="3">
        <v>30800000</v>
      </c>
      <c r="JB18" s="3">
        <v>0</v>
      </c>
      <c r="JC18" s="3">
        <v>2444544000</v>
      </c>
      <c r="JD18" s="3"/>
      <c r="JE18" s="3"/>
      <c r="JF18" s="3"/>
      <c r="JG18" s="3"/>
    </row>
    <row r="19" spans="1:267" x14ac:dyDescent="0.25">
      <c r="A19" t="s">
        <v>505</v>
      </c>
      <c r="B19" t="s">
        <v>397</v>
      </c>
      <c r="C19" t="s">
        <v>199</v>
      </c>
      <c r="D19" t="s">
        <v>200</v>
      </c>
      <c r="E19" t="s">
        <v>217</v>
      </c>
      <c r="F19" t="s">
        <v>222</v>
      </c>
      <c r="G19" t="s">
        <v>414</v>
      </c>
      <c r="H19" s="3">
        <v>75699000</v>
      </c>
      <c r="I19" s="3">
        <v>203143000</v>
      </c>
      <c r="J19" s="3">
        <v>0</v>
      </c>
      <c r="K19" s="3">
        <v>278842000</v>
      </c>
      <c r="L19" s="3">
        <v>75699000</v>
      </c>
      <c r="M19" s="3">
        <v>203143000</v>
      </c>
      <c r="N19" s="3">
        <v>0</v>
      </c>
      <c r="O19" s="3">
        <v>278842000</v>
      </c>
      <c r="P19" s="3">
        <v>82825000</v>
      </c>
      <c r="Q19" s="3">
        <v>203143000</v>
      </c>
      <c r="R19" s="3">
        <v>0</v>
      </c>
      <c r="S19" s="3">
        <v>285968000</v>
      </c>
      <c r="T19" s="3">
        <v>93179446.75</v>
      </c>
      <c r="U19" s="3">
        <v>203092391</v>
      </c>
      <c r="V19" s="3">
        <v>0</v>
      </c>
      <c r="W19" s="3">
        <v>296271837.75</v>
      </c>
      <c r="X19" s="3">
        <v>93179446.75</v>
      </c>
      <c r="Y19" s="3">
        <v>203092391</v>
      </c>
      <c r="Z19" s="3">
        <v>0</v>
      </c>
      <c r="AA19" s="3">
        <v>296271837.75</v>
      </c>
      <c r="AB19" s="3">
        <v>93179446.75</v>
      </c>
      <c r="AC19" s="3">
        <v>133769511.13</v>
      </c>
      <c r="AD19" s="3">
        <v>0</v>
      </c>
      <c r="AE19" s="3">
        <v>226948957.88</v>
      </c>
      <c r="AF19" s="3">
        <v>90809300.959999993</v>
      </c>
      <c r="AG19" s="3">
        <v>105924972.15000001</v>
      </c>
      <c r="AH19" s="3">
        <v>0</v>
      </c>
      <c r="AI19" s="3">
        <v>196734273.11000001</v>
      </c>
      <c r="AJ19" s="3">
        <v>88110000</v>
      </c>
      <c r="AK19" s="3">
        <v>107535000</v>
      </c>
      <c r="AL19" s="3">
        <v>0</v>
      </c>
      <c r="AM19" s="3">
        <v>195645000</v>
      </c>
      <c r="AN19" s="3">
        <v>88110000</v>
      </c>
      <c r="AO19" s="3">
        <v>109535000</v>
      </c>
      <c r="AP19" s="3">
        <v>0</v>
      </c>
      <c r="AQ19" s="3">
        <v>197645000</v>
      </c>
      <c r="AR19" s="3">
        <v>96452000</v>
      </c>
      <c r="AS19" s="3">
        <v>109535000</v>
      </c>
      <c r="AT19" s="3">
        <v>0</v>
      </c>
      <c r="AU19" s="3">
        <v>205987000</v>
      </c>
      <c r="AV19" s="3">
        <v>115024299.20999999</v>
      </c>
      <c r="AW19" s="3">
        <v>178857879.87</v>
      </c>
      <c r="AX19" s="3">
        <v>0</v>
      </c>
      <c r="AY19" s="3">
        <v>293882179.07999998</v>
      </c>
      <c r="AZ19" s="3">
        <v>115024299.20999999</v>
      </c>
      <c r="BA19" s="3">
        <v>178857879.87</v>
      </c>
      <c r="BB19" s="3">
        <v>0</v>
      </c>
      <c r="BC19" s="3">
        <v>293882179.07999998</v>
      </c>
      <c r="BD19" s="3">
        <v>115024299.20999999</v>
      </c>
      <c r="BE19" s="3">
        <v>127684307.44</v>
      </c>
      <c r="BF19" s="3">
        <v>0</v>
      </c>
      <c r="BG19" s="3">
        <v>242708606.65000001</v>
      </c>
      <c r="BH19" s="3">
        <v>113795912.5</v>
      </c>
      <c r="BI19" s="3">
        <v>97736919.560000002</v>
      </c>
      <c r="BJ19" s="3">
        <v>0</v>
      </c>
      <c r="BK19" s="3">
        <v>211532832.06</v>
      </c>
      <c r="BL19" s="3">
        <v>96445000</v>
      </c>
      <c r="BM19" s="3">
        <v>73345000</v>
      </c>
      <c r="BN19" s="3">
        <v>0</v>
      </c>
      <c r="BO19" s="3">
        <v>169790000</v>
      </c>
      <c r="BP19" s="3">
        <v>96445000</v>
      </c>
      <c r="BQ19" s="3">
        <v>88345000</v>
      </c>
      <c r="BR19" s="3">
        <v>0</v>
      </c>
      <c r="BS19" s="3">
        <v>184790000</v>
      </c>
      <c r="BT19" s="3">
        <v>105588000</v>
      </c>
      <c r="BU19" s="3">
        <v>88345000</v>
      </c>
      <c r="BV19" s="3">
        <v>0</v>
      </c>
      <c r="BW19" s="3">
        <v>193933000</v>
      </c>
      <c r="BX19" s="3">
        <v>72937144.950000003</v>
      </c>
      <c r="BY19" s="3">
        <v>58436466</v>
      </c>
      <c r="BZ19" s="3">
        <v>0</v>
      </c>
      <c r="CA19" s="3">
        <v>131373610.95</v>
      </c>
      <c r="CB19" s="3">
        <v>72937144.950000003</v>
      </c>
      <c r="CC19" s="3">
        <v>58436466</v>
      </c>
      <c r="CD19" s="3">
        <v>0</v>
      </c>
      <c r="CE19" s="3">
        <v>131373610.95</v>
      </c>
      <c r="CF19" s="3">
        <v>72937144.950000003</v>
      </c>
      <c r="CG19" s="3">
        <v>31007291.280000001</v>
      </c>
      <c r="CH19" s="3">
        <v>0</v>
      </c>
      <c r="CI19" s="3">
        <v>103944436.23</v>
      </c>
      <c r="CJ19" s="3">
        <v>71102778.200000003</v>
      </c>
      <c r="CK19" s="3">
        <v>16797280.719999999</v>
      </c>
      <c r="CL19" s="3">
        <v>0</v>
      </c>
      <c r="CM19" s="3">
        <v>87900058.920000002</v>
      </c>
      <c r="CN19" s="3">
        <v>106556000</v>
      </c>
      <c r="CO19" s="3">
        <v>73165000</v>
      </c>
      <c r="CP19" s="3">
        <v>0</v>
      </c>
      <c r="CQ19" s="3">
        <v>179721000</v>
      </c>
      <c r="CR19" s="3">
        <v>106556000</v>
      </c>
      <c r="CS19" s="3">
        <v>73165000</v>
      </c>
      <c r="CT19" s="3">
        <v>0</v>
      </c>
      <c r="CU19" s="3">
        <v>179721000</v>
      </c>
      <c r="CV19" s="3">
        <v>116710000</v>
      </c>
      <c r="CW19" s="3">
        <v>73165000</v>
      </c>
      <c r="CX19" s="3">
        <v>0</v>
      </c>
      <c r="CY19" s="3">
        <v>189875000</v>
      </c>
      <c r="CZ19" s="3">
        <v>110742051.03</v>
      </c>
      <c r="DA19" s="3">
        <v>84413683.349999994</v>
      </c>
      <c r="DB19" s="3">
        <v>0</v>
      </c>
      <c r="DC19" s="3">
        <v>195155734.38</v>
      </c>
      <c r="DD19" s="3">
        <v>110742051.03</v>
      </c>
      <c r="DE19" s="3">
        <v>84413683.349999994</v>
      </c>
      <c r="DF19" s="3">
        <v>0</v>
      </c>
      <c r="DG19" s="3">
        <v>195155734.38</v>
      </c>
      <c r="DH19" s="3">
        <v>110649491.83</v>
      </c>
      <c r="DI19" s="3">
        <v>41054492.420000002</v>
      </c>
      <c r="DJ19" s="3">
        <v>0</v>
      </c>
      <c r="DK19" s="3">
        <v>151703984.25</v>
      </c>
      <c r="DL19" s="3">
        <v>109820002.65000001</v>
      </c>
      <c r="DM19" s="3">
        <v>25830681.239999998</v>
      </c>
      <c r="DN19" s="3">
        <v>0</v>
      </c>
      <c r="DO19" s="3">
        <v>135650683.88999999</v>
      </c>
      <c r="DP19" s="3">
        <v>105535000</v>
      </c>
      <c r="DQ19" s="3">
        <v>73165000</v>
      </c>
      <c r="DR19" s="3">
        <v>0</v>
      </c>
      <c r="DS19" s="3">
        <v>178700000</v>
      </c>
      <c r="DT19" s="3">
        <v>105535000</v>
      </c>
      <c r="DU19" s="3">
        <v>73165000</v>
      </c>
      <c r="DV19" s="3">
        <v>0</v>
      </c>
      <c r="DW19" s="3">
        <v>178700000</v>
      </c>
      <c r="DX19" s="3">
        <v>115552000</v>
      </c>
      <c r="DY19" s="3">
        <v>73165000</v>
      </c>
      <c r="DZ19" s="3">
        <v>0</v>
      </c>
      <c r="EA19" s="3">
        <v>188717000</v>
      </c>
      <c r="EB19" s="3">
        <v>119855027.66</v>
      </c>
      <c r="EC19" s="3">
        <v>84357633.450000003</v>
      </c>
      <c r="ED19" s="3">
        <v>0</v>
      </c>
      <c r="EE19" s="3">
        <v>204212661.11000001</v>
      </c>
      <c r="EF19" s="3">
        <v>119855027.66</v>
      </c>
      <c r="EG19" s="3">
        <v>84357633.450000003</v>
      </c>
      <c r="EH19" s="3">
        <v>0</v>
      </c>
      <c r="EI19" s="3">
        <v>204212661.11000001</v>
      </c>
      <c r="EJ19" s="3">
        <v>119845763.79000001</v>
      </c>
      <c r="EK19" s="3">
        <v>66067960</v>
      </c>
      <c r="EL19" s="3">
        <v>0</v>
      </c>
      <c r="EM19" s="3">
        <v>185913723.78999999</v>
      </c>
      <c r="EN19" s="3">
        <v>117981786.79000001</v>
      </c>
      <c r="EO19" s="3">
        <v>57387201.170000002</v>
      </c>
      <c r="EP19" s="3">
        <v>0</v>
      </c>
      <c r="EQ19" s="3">
        <v>175368987.96000001</v>
      </c>
      <c r="ER19" s="3">
        <v>110703000</v>
      </c>
      <c r="ES19" s="3">
        <v>75838000</v>
      </c>
      <c r="ET19" s="3">
        <v>0</v>
      </c>
      <c r="EU19" s="3">
        <v>186541000</v>
      </c>
      <c r="EV19" s="3">
        <v>110703000</v>
      </c>
      <c r="EW19" s="3">
        <v>5093291000</v>
      </c>
      <c r="EX19" s="3">
        <v>0</v>
      </c>
      <c r="EY19" s="3">
        <v>5203994000</v>
      </c>
      <c r="EZ19" s="3">
        <v>121189000</v>
      </c>
      <c r="FA19" s="3">
        <v>5093291000</v>
      </c>
      <c r="FB19" s="3">
        <v>0</v>
      </c>
      <c r="FC19" s="3">
        <v>5214480000</v>
      </c>
      <c r="FD19" s="3">
        <v>149463833</v>
      </c>
      <c r="FE19" s="3">
        <v>5100277883.0500002</v>
      </c>
      <c r="FF19" s="3">
        <v>0</v>
      </c>
      <c r="FG19" s="3">
        <v>5249741716.0500002</v>
      </c>
      <c r="FH19" s="3">
        <v>149463833</v>
      </c>
      <c r="FI19" s="3">
        <v>5100277883.0500002</v>
      </c>
      <c r="FJ19" s="3">
        <v>0</v>
      </c>
      <c r="FK19" s="3">
        <v>5249741716.0500002</v>
      </c>
      <c r="FL19" s="3">
        <v>149393833</v>
      </c>
      <c r="FM19" s="3">
        <v>1401624607.9200001</v>
      </c>
      <c r="FN19" s="3">
        <v>0</v>
      </c>
      <c r="FO19" s="3">
        <v>1551018440.9200001</v>
      </c>
      <c r="FP19" s="3">
        <v>147315438.16</v>
      </c>
      <c r="FQ19" s="3">
        <v>1234696189.22</v>
      </c>
      <c r="FR19" s="3">
        <v>0</v>
      </c>
      <c r="FS19" s="3">
        <v>1382011627.3800001</v>
      </c>
      <c r="FT19" s="3">
        <v>123125000</v>
      </c>
      <c r="FU19" s="3">
        <v>4000000000</v>
      </c>
      <c r="FV19" s="3">
        <v>0</v>
      </c>
      <c r="FW19" s="3">
        <v>4123125000</v>
      </c>
      <c r="FX19" s="3">
        <v>123125000</v>
      </c>
      <c r="FY19" s="3">
        <v>4000000000</v>
      </c>
      <c r="FZ19" s="3">
        <v>0</v>
      </c>
      <c r="GA19" s="3">
        <v>4123125000</v>
      </c>
      <c r="GB19" s="3">
        <v>134758000</v>
      </c>
      <c r="GC19" s="3">
        <v>4000000000</v>
      </c>
      <c r="GD19" s="3">
        <v>0</v>
      </c>
      <c r="GE19" s="3">
        <v>4134758000</v>
      </c>
      <c r="GF19" s="3">
        <v>165206551.06999999</v>
      </c>
      <c r="GG19" s="3">
        <v>7695154741.0699997</v>
      </c>
      <c r="GH19" s="3">
        <v>0</v>
      </c>
      <c r="GI19" s="3">
        <v>7860361292.1400003</v>
      </c>
      <c r="GJ19" s="3">
        <v>165206551.06999999</v>
      </c>
      <c r="GK19" s="3">
        <v>7695154741.0699997</v>
      </c>
      <c r="GL19" s="3">
        <v>0</v>
      </c>
      <c r="GM19" s="3">
        <v>7860361292.1400003</v>
      </c>
      <c r="GN19" s="3">
        <v>165206551.06999999</v>
      </c>
      <c r="GO19" s="3">
        <v>5272788681.4099998</v>
      </c>
      <c r="GP19" s="3">
        <v>0</v>
      </c>
      <c r="GQ19" s="3">
        <v>5437995232.4799995</v>
      </c>
      <c r="GR19" s="3">
        <v>163884379.34</v>
      </c>
      <c r="GS19" s="3">
        <v>2792261619.1599998</v>
      </c>
      <c r="GT19" s="3">
        <v>0</v>
      </c>
      <c r="GU19" s="3">
        <v>2956145998.5</v>
      </c>
      <c r="GV19" s="3">
        <v>136890000</v>
      </c>
      <c r="GW19" s="3">
        <v>3400231000</v>
      </c>
      <c r="GX19" s="3">
        <v>0</v>
      </c>
      <c r="GY19" s="3">
        <v>3537121000</v>
      </c>
      <c r="GZ19" s="3">
        <v>136890000</v>
      </c>
      <c r="HA19" s="3">
        <v>3557231000</v>
      </c>
      <c r="HB19" s="3">
        <v>0</v>
      </c>
      <c r="HC19" s="3">
        <v>3694121000</v>
      </c>
      <c r="HD19" s="3">
        <v>149763000</v>
      </c>
      <c r="HE19" s="3">
        <v>3557231000</v>
      </c>
      <c r="HF19" s="3">
        <v>0</v>
      </c>
      <c r="HG19" s="3">
        <v>3706994000</v>
      </c>
      <c r="HH19" s="3">
        <v>180860756.88999999</v>
      </c>
      <c r="HI19" s="3">
        <v>5276802075.8699999</v>
      </c>
      <c r="HJ19" s="3">
        <v>0</v>
      </c>
      <c r="HK19" s="3">
        <v>5457662832.7600002</v>
      </c>
      <c r="HL19" s="3">
        <v>180860756.88999999</v>
      </c>
      <c r="HM19" s="3">
        <v>5119802075.8699999</v>
      </c>
      <c r="HN19" s="3">
        <v>0</v>
      </c>
      <c r="HO19" s="3">
        <v>5300662832.7600002</v>
      </c>
      <c r="HP19" s="3">
        <v>180860756.88999999</v>
      </c>
      <c r="HQ19" s="3">
        <v>3859835582.4000001</v>
      </c>
      <c r="HR19" s="3">
        <v>0</v>
      </c>
      <c r="HS19" s="3">
        <v>4040696339.29</v>
      </c>
      <c r="HT19" s="3">
        <v>178134313.72</v>
      </c>
      <c r="HU19" s="3">
        <v>2722747629.1999998</v>
      </c>
      <c r="HV19" s="3">
        <v>0</v>
      </c>
      <c r="HW19" s="3">
        <v>2900881942.9200001</v>
      </c>
      <c r="HX19" s="3">
        <v>161377000</v>
      </c>
      <c r="HY19" s="3">
        <v>3400231000</v>
      </c>
      <c r="HZ19" s="3">
        <v>0</v>
      </c>
      <c r="IA19" s="3">
        <v>3561608000</v>
      </c>
      <c r="IB19" s="3">
        <v>161377000</v>
      </c>
      <c r="IC19" s="3">
        <v>5513232000</v>
      </c>
      <c r="ID19" s="3">
        <v>0</v>
      </c>
      <c r="IE19" s="3">
        <v>5674609000</v>
      </c>
      <c r="IF19" s="3"/>
      <c r="IG19" s="3"/>
      <c r="IH19" s="3"/>
      <c r="II19" s="3"/>
      <c r="IJ19" s="3"/>
      <c r="IK19" s="3"/>
      <c r="IL19" s="3"/>
      <c r="IM19" s="3"/>
      <c r="IN19" s="3"/>
      <c r="IO19" s="3"/>
      <c r="IP19" s="3"/>
      <c r="IQ19" s="3"/>
      <c r="IR19" s="3"/>
      <c r="IS19" s="3"/>
      <c r="IT19" s="3"/>
      <c r="IU19" s="3"/>
      <c r="IV19" s="3"/>
      <c r="IW19" s="3"/>
      <c r="IX19" s="3"/>
      <c r="IY19" s="3"/>
      <c r="IZ19" s="3">
        <v>182898000</v>
      </c>
      <c r="JA19" s="3">
        <v>2609576000</v>
      </c>
      <c r="JB19" s="3">
        <v>0</v>
      </c>
      <c r="JC19" s="3">
        <v>2792474000</v>
      </c>
      <c r="JD19" s="3"/>
      <c r="JE19" s="3"/>
      <c r="JF19" s="3"/>
      <c r="JG19" s="3"/>
    </row>
    <row r="20" spans="1:267" x14ac:dyDescent="0.25">
      <c r="A20" t="s">
        <v>505</v>
      </c>
      <c r="B20" t="s">
        <v>397</v>
      </c>
      <c r="C20" t="s">
        <v>199</v>
      </c>
      <c r="D20" t="s">
        <v>200</v>
      </c>
      <c r="E20" t="s">
        <v>217</v>
      </c>
      <c r="F20" t="s">
        <v>516</v>
      </c>
      <c r="G20" t="s">
        <v>415</v>
      </c>
      <c r="H20" s="3">
        <v>4988639000</v>
      </c>
      <c r="I20" s="3">
        <v>2147000</v>
      </c>
      <c r="J20" s="3">
        <v>0</v>
      </c>
      <c r="K20" s="3">
        <v>4990786000</v>
      </c>
      <c r="L20" s="3">
        <v>4988639000</v>
      </c>
      <c r="M20" s="3">
        <v>2147000</v>
      </c>
      <c r="N20" s="3">
        <v>0</v>
      </c>
      <c r="O20" s="3">
        <v>4990786000</v>
      </c>
      <c r="P20" s="3">
        <v>5468096000</v>
      </c>
      <c r="Q20" s="3">
        <v>2147000</v>
      </c>
      <c r="R20" s="3">
        <v>0</v>
      </c>
      <c r="S20" s="3">
        <v>5470243000</v>
      </c>
      <c r="T20" s="3">
        <v>5465251628.4899998</v>
      </c>
      <c r="U20" s="3">
        <v>2147000</v>
      </c>
      <c r="V20" s="3">
        <v>0</v>
      </c>
      <c r="W20" s="3">
        <v>5467398628.4899998</v>
      </c>
      <c r="X20" s="3">
        <v>5465251628.4899998</v>
      </c>
      <c r="Y20" s="3">
        <v>2147000</v>
      </c>
      <c r="Z20" s="3">
        <v>0</v>
      </c>
      <c r="AA20" s="3">
        <v>5467398628.4899998</v>
      </c>
      <c r="AB20" s="3">
        <v>5369261807.4200001</v>
      </c>
      <c r="AC20" s="3">
        <v>1680</v>
      </c>
      <c r="AD20" s="3">
        <v>0</v>
      </c>
      <c r="AE20" s="3">
        <v>5369263487.4200001</v>
      </c>
      <c r="AF20" s="3">
        <v>5304694157.6800003</v>
      </c>
      <c r="AG20" s="3">
        <v>1680</v>
      </c>
      <c r="AH20" s="3">
        <v>0</v>
      </c>
      <c r="AI20" s="3">
        <v>5304695837.6800003</v>
      </c>
      <c r="AJ20" s="3">
        <v>5428843000</v>
      </c>
      <c r="AK20" s="3">
        <v>21000</v>
      </c>
      <c r="AL20" s="3">
        <v>0</v>
      </c>
      <c r="AM20" s="3">
        <v>5428864000</v>
      </c>
      <c r="AN20" s="3">
        <v>5428843000</v>
      </c>
      <c r="AO20" s="3">
        <v>0</v>
      </c>
      <c r="AP20" s="3">
        <v>0</v>
      </c>
      <c r="AQ20" s="3">
        <v>5428843000</v>
      </c>
      <c r="AR20" s="3">
        <v>5952803000</v>
      </c>
      <c r="AS20" s="3">
        <v>0</v>
      </c>
      <c r="AT20" s="3">
        <v>0</v>
      </c>
      <c r="AU20" s="3">
        <v>5952803000</v>
      </c>
      <c r="AV20" s="3">
        <v>5921300500.4399996</v>
      </c>
      <c r="AW20" s="3">
        <v>2145320</v>
      </c>
      <c r="AX20" s="3">
        <v>0</v>
      </c>
      <c r="AY20" s="3">
        <v>5923445820.4399996</v>
      </c>
      <c r="AZ20" s="3">
        <v>5921300500.4399996</v>
      </c>
      <c r="BA20" s="3">
        <v>2145320</v>
      </c>
      <c r="BB20" s="3">
        <v>0</v>
      </c>
      <c r="BC20" s="3">
        <v>5923445820.4399996</v>
      </c>
      <c r="BD20" s="3">
        <v>5879919808.5600004</v>
      </c>
      <c r="BE20" s="3">
        <v>0</v>
      </c>
      <c r="BF20" s="3">
        <v>0</v>
      </c>
      <c r="BG20" s="3">
        <v>5879919808.5600004</v>
      </c>
      <c r="BH20" s="3">
        <v>5796152683.0500002</v>
      </c>
      <c r="BI20" s="3">
        <v>0</v>
      </c>
      <c r="BJ20" s="3">
        <v>0</v>
      </c>
      <c r="BK20" s="3">
        <v>5796152683.0500002</v>
      </c>
      <c r="BL20" s="3">
        <v>5505062000</v>
      </c>
      <c r="BM20" s="3">
        <v>0</v>
      </c>
      <c r="BN20" s="3">
        <v>0</v>
      </c>
      <c r="BO20" s="3">
        <v>5505062000</v>
      </c>
      <c r="BP20" s="3">
        <v>5505062000</v>
      </c>
      <c r="BQ20" s="3">
        <v>0</v>
      </c>
      <c r="BR20" s="3">
        <v>0</v>
      </c>
      <c r="BS20" s="3">
        <v>5505062000</v>
      </c>
      <c r="BT20" s="3">
        <v>6036529000</v>
      </c>
      <c r="BU20" s="3">
        <v>0</v>
      </c>
      <c r="BV20" s="3">
        <v>0</v>
      </c>
      <c r="BW20" s="3">
        <v>6036529000</v>
      </c>
      <c r="BX20" s="3">
        <v>5618696169.0600004</v>
      </c>
      <c r="BY20" s="3">
        <v>0</v>
      </c>
      <c r="BZ20" s="3">
        <v>0</v>
      </c>
      <c r="CA20" s="3">
        <v>5618696169.0600004</v>
      </c>
      <c r="CB20" s="3">
        <v>5618696169.0600004</v>
      </c>
      <c r="CC20" s="3">
        <v>0</v>
      </c>
      <c r="CD20" s="3">
        <v>0</v>
      </c>
      <c r="CE20" s="3">
        <v>5618696169.0600004</v>
      </c>
      <c r="CF20" s="3">
        <v>5564385492.6599998</v>
      </c>
      <c r="CG20" s="3">
        <v>0</v>
      </c>
      <c r="CH20" s="3">
        <v>0</v>
      </c>
      <c r="CI20" s="3">
        <v>5564385492.6599998</v>
      </c>
      <c r="CJ20" s="3">
        <v>5534432220.3000002</v>
      </c>
      <c r="CK20" s="3">
        <v>0</v>
      </c>
      <c r="CL20" s="3">
        <v>0</v>
      </c>
      <c r="CM20" s="3">
        <v>5534432220.3000002</v>
      </c>
      <c r="CN20" s="3">
        <v>5777432000</v>
      </c>
      <c r="CO20" s="3">
        <v>1500000</v>
      </c>
      <c r="CP20" s="3">
        <v>0</v>
      </c>
      <c r="CQ20" s="3">
        <v>5778932000</v>
      </c>
      <c r="CR20" s="3">
        <v>5777432000</v>
      </c>
      <c r="CS20" s="3">
        <v>1500000</v>
      </c>
      <c r="CT20" s="3">
        <v>0</v>
      </c>
      <c r="CU20" s="3">
        <v>5778932000</v>
      </c>
      <c r="CV20" s="3">
        <v>6336814000</v>
      </c>
      <c r="CW20" s="3">
        <v>1500000</v>
      </c>
      <c r="CX20" s="3">
        <v>0</v>
      </c>
      <c r="CY20" s="3">
        <v>6338314000</v>
      </c>
      <c r="CZ20" s="3">
        <v>6346304230</v>
      </c>
      <c r="DA20" s="3">
        <v>1500000</v>
      </c>
      <c r="DB20" s="3">
        <v>0</v>
      </c>
      <c r="DC20" s="3">
        <v>6347804230.04</v>
      </c>
      <c r="DD20" s="3">
        <v>6346304230.04</v>
      </c>
      <c r="DE20" s="3">
        <v>1500000</v>
      </c>
      <c r="DF20" s="3">
        <v>0</v>
      </c>
      <c r="DG20" s="3">
        <v>6347804230.04</v>
      </c>
      <c r="DH20" s="3">
        <v>6225832591.8100004</v>
      </c>
      <c r="DI20" s="3">
        <v>0</v>
      </c>
      <c r="DJ20" s="3">
        <v>0</v>
      </c>
      <c r="DK20" s="3">
        <v>6225832591.8100004</v>
      </c>
      <c r="DL20" s="3">
        <v>6100057500.0799999</v>
      </c>
      <c r="DM20" s="3">
        <v>0</v>
      </c>
      <c r="DN20" s="3">
        <v>0</v>
      </c>
      <c r="DO20" s="3">
        <v>6100057500.0799999</v>
      </c>
      <c r="DP20" s="3">
        <v>5989007000</v>
      </c>
      <c r="DQ20" s="3">
        <v>1500000</v>
      </c>
      <c r="DR20" s="3">
        <v>0</v>
      </c>
      <c r="DS20" s="3">
        <v>5990507000</v>
      </c>
      <c r="DT20" s="3">
        <v>5989007000</v>
      </c>
      <c r="DU20" s="3">
        <v>1500000</v>
      </c>
      <c r="DV20" s="3">
        <v>0</v>
      </c>
      <c r="DW20" s="3">
        <v>5990507000</v>
      </c>
      <c r="DX20" s="3">
        <v>6565582000</v>
      </c>
      <c r="DY20" s="3">
        <v>1500000</v>
      </c>
      <c r="DZ20" s="3">
        <v>0</v>
      </c>
      <c r="EA20" s="3">
        <v>6567082000</v>
      </c>
      <c r="EB20" s="3">
        <v>6525891100.6300001</v>
      </c>
      <c r="EC20" s="3">
        <v>1500000</v>
      </c>
      <c r="ED20" s="3">
        <v>0</v>
      </c>
      <c r="EE20" s="3">
        <v>6527391100.6300001</v>
      </c>
      <c r="EF20" s="3">
        <v>6525891100.6300001</v>
      </c>
      <c r="EG20" s="3">
        <v>1500000</v>
      </c>
      <c r="EH20" s="3">
        <v>0</v>
      </c>
      <c r="EI20" s="3">
        <v>6527391100.6300001</v>
      </c>
      <c r="EJ20" s="3">
        <v>6460862724.1700001</v>
      </c>
      <c r="EK20" s="3">
        <v>0</v>
      </c>
      <c r="EL20" s="3">
        <v>0</v>
      </c>
      <c r="EM20" s="3">
        <v>6460862724.1700001</v>
      </c>
      <c r="EN20" s="3">
        <v>6418904644.1000004</v>
      </c>
      <c r="EO20" s="3">
        <v>0</v>
      </c>
      <c r="EP20" s="3">
        <v>0</v>
      </c>
      <c r="EQ20" s="3">
        <v>6418904644.1000004</v>
      </c>
      <c r="ER20" s="3">
        <v>6118482000</v>
      </c>
      <c r="ES20" s="3">
        <v>1555000</v>
      </c>
      <c r="ET20" s="3">
        <v>0</v>
      </c>
      <c r="EU20" s="3">
        <v>6120037000</v>
      </c>
      <c r="EV20" s="3">
        <v>6118482000</v>
      </c>
      <c r="EW20" s="3">
        <v>1555000</v>
      </c>
      <c r="EX20" s="3">
        <v>0</v>
      </c>
      <c r="EY20" s="3">
        <v>6120037000</v>
      </c>
      <c r="EZ20" s="3">
        <v>6705739000</v>
      </c>
      <c r="FA20" s="3">
        <v>1555000</v>
      </c>
      <c r="FB20" s="3">
        <v>0</v>
      </c>
      <c r="FC20" s="3">
        <v>6707294000</v>
      </c>
      <c r="FD20" s="3">
        <v>6636626469.5900002</v>
      </c>
      <c r="FE20" s="3">
        <v>1555000</v>
      </c>
      <c r="FF20" s="3">
        <v>0</v>
      </c>
      <c r="FG20" s="3">
        <v>6638181469.5900002</v>
      </c>
      <c r="FH20" s="3">
        <v>6636626469.5900002</v>
      </c>
      <c r="FI20" s="3">
        <v>1555000</v>
      </c>
      <c r="FJ20" s="3">
        <v>0</v>
      </c>
      <c r="FK20" s="3">
        <v>6638181469.5900002</v>
      </c>
      <c r="FL20" s="3">
        <v>6592318276.8900003</v>
      </c>
      <c r="FM20" s="3">
        <v>0</v>
      </c>
      <c r="FN20" s="3">
        <v>0</v>
      </c>
      <c r="FO20" s="3">
        <v>6592318276.8900003</v>
      </c>
      <c r="FP20" s="3">
        <v>6562199254.3400002</v>
      </c>
      <c r="FQ20" s="3">
        <v>0</v>
      </c>
      <c r="FR20" s="3">
        <v>0</v>
      </c>
      <c r="FS20" s="3">
        <v>6562199254.3400002</v>
      </c>
      <c r="FT20" s="3">
        <v>6218761000</v>
      </c>
      <c r="FU20" s="3">
        <v>1583000</v>
      </c>
      <c r="FV20" s="3">
        <v>0</v>
      </c>
      <c r="FW20" s="3">
        <v>6220344000</v>
      </c>
      <c r="FX20" s="3">
        <v>6218761000</v>
      </c>
      <c r="FY20" s="3">
        <v>1583000</v>
      </c>
      <c r="FZ20" s="3">
        <v>0</v>
      </c>
      <c r="GA20" s="3">
        <v>6220344000</v>
      </c>
      <c r="GB20" s="3">
        <v>6815602000</v>
      </c>
      <c r="GC20" s="3">
        <v>1583000</v>
      </c>
      <c r="GD20" s="3">
        <v>0</v>
      </c>
      <c r="GE20" s="3">
        <v>6817185000</v>
      </c>
      <c r="GF20" s="3">
        <v>6802250337.3100004</v>
      </c>
      <c r="GG20" s="3">
        <v>3138000</v>
      </c>
      <c r="GH20" s="3">
        <v>0</v>
      </c>
      <c r="GI20" s="3">
        <v>6805388337.3100004</v>
      </c>
      <c r="GJ20" s="3">
        <v>6802250337.3100004</v>
      </c>
      <c r="GK20" s="3">
        <v>3138000</v>
      </c>
      <c r="GL20" s="3">
        <v>0</v>
      </c>
      <c r="GM20" s="3">
        <v>6805388337.3100004</v>
      </c>
      <c r="GN20" s="3">
        <v>6765571823.4799995</v>
      </c>
      <c r="GO20" s="3">
        <v>0</v>
      </c>
      <c r="GP20" s="3">
        <v>0</v>
      </c>
      <c r="GQ20" s="3">
        <v>6765571823.4799995</v>
      </c>
      <c r="GR20" s="3">
        <v>6742711121.0600004</v>
      </c>
      <c r="GS20" s="3">
        <v>0</v>
      </c>
      <c r="GT20" s="3">
        <v>0</v>
      </c>
      <c r="GU20" s="3">
        <v>6742711121.0600004</v>
      </c>
      <c r="GV20" s="3">
        <v>6254157000</v>
      </c>
      <c r="GW20" s="3">
        <v>1612000</v>
      </c>
      <c r="GX20" s="3">
        <v>0</v>
      </c>
      <c r="GY20" s="3">
        <v>6255769000</v>
      </c>
      <c r="GZ20" s="3">
        <v>6254157000</v>
      </c>
      <c r="HA20" s="3">
        <v>1612000</v>
      </c>
      <c r="HB20" s="3">
        <v>0</v>
      </c>
      <c r="HC20" s="3">
        <v>6255769000</v>
      </c>
      <c r="HD20" s="3">
        <v>6851397000</v>
      </c>
      <c r="HE20" s="3">
        <v>1612000</v>
      </c>
      <c r="HF20" s="3">
        <v>0</v>
      </c>
      <c r="HG20" s="3">
        <v>6853009000</v>
      </c>
      <c r="HH20" s="3">
        <v>6845930345.1000004</v>
      </c>
      <c r="HI20" s="3">
        <v>3195000</v>
      </c>
      <c r="HJ20" s="3">
        <v>0</v>
      </c>
      <c r="HK20" s="3">
        <v>6849125345.1000004</v>
      </c>
      <c r="HL20" s="3">
        <v>6845930345.1000004</v>
      </c>
      <c r="HM20" s="3">
        <v>3195000</v>
      </c>
      <c r="HN20" s="3">
        <v>0</v>
      </c>
      <c r="HO20" s="3">
        <v>6849125345.1000004</v>
      </c>
      <c r="HP20" s="3">
        <v>6828816240.8500004</v>
      </c>
      <c r="HQ20" s="3">
        <v>0</v>
      </c>
      <c r="HR20" s="3">
        <v>0</v>
      </c>
      <c r="HS20" s="3">
        <v>6828816240.8500004</v>
      </c>
      <c r="HT20" s="3">
        <v>6756796026.7299995</v>
      </c>
      <c r="HU20" s="3">
        <v>0</v>
      </c>
      <c r="HV20" s="3">
        <v>0</v>
      </c>
      <c r="HW20" s="3">
        <v>6756796026.7299995</v>
      </c>
      <c r="HX20" s="3">
        <v>7179817000</v>
      </c>
      <c r="HY20" s="3">
        <v>1641000</v>
      </c>
      <c r="HZ20" s="3">
        <v>0</v>
      </c>
      <c r="IA20" s="3">
        <v>7181458000</v>
      </c>
      <c r="IB20" s="3">
        <v>7179817000</v>
      </c>
      <c r="IC20" s="3">
        <v>1641000</v>
      </c>
      <c r="ID20" s="3">
        <v>0</v>
      </c>
      <c r="IE20" s="3">
        <v>7181458000</v>
      </c>
      <c r="IF20" s="3"/>
      <c r="IG20" s="3"/>
      <c r="IH20" s="3"/>
      <c r="II20" s="3"/>
      <c r="IJ20" s="3"/>
      <c r="IK20" s="3"/>
      <c r="IL20" s="3"/>
      <c r="IM20" s="3"/>
      <c r="IN20" s="3"/>
      <c r="IO20" s="3"/>
      <c r="IP20" s="3"/>
      <c r="IQ20" s="3"/>
      <c r="IR20" s="3"/>
      <c r="IS20" s="3"/>
      <c r="IT20" s="3"/>
      <c r="IU20" s="3"/>
      <c r="IV20" s="3"/>
      <c r="IW20" s="3"/>
      <c r="IX20" s="3"/>
      <c r="IY20" s="3"/>
      <c r="IZ20" s="3">
        <v>7563749000</v>
      </c>
      <c r="JA20" s="3">
        <v>0</v>
      </c>
      <c r="JB20" s="3">
        <v>0</v>
      </c>
      <c r="JC20" s="3">
        <v>7563749000</v>
      </c>
      <c r="JD20" s="3"/>
      <c r="JE20" s="3"/>
      <c r="JF20" s="3"/>
      <c r="JG20" s="3"/>
    </row>
    <row r="21" spans="1:267" x14ac:dyDescent="0.25">
      <c r="A21" t="s">
        <v>505</v>
      </c>
      <c r="B21" t="s">
        <v>397</v>
      </c>
      <c r="C21" t="s">
        <v>199</v>
      </c>
      <c r="D21" t="s">
        <v>200</v>
      </c>
      <c r="E21" t="s">
        <v>217</v>
      </c>
      <c r="F21" t="s">
        <v>517</v>
      </c>
      <c r="G21" t="s">
        <v>416</v>
      </c>
      <c r="H21" s="3">
        <v>0</v>
      </c>
      <c r="I21" s="3">
        <v>9608000</v>
      </c>
      <c r="J21" s="3">
        <v>0</v>
      </c>
      <c r="K21" s="3">
        <v>9608000</v>
      </c>
      <c r="L21" s="3">
        <v>0</v>
      </c>
      <c r="M21" s="3">
        <v>9608000</v>
      </c>
      <c r="N21" s="3">
        <v>0</v>
      </c>
      <c r="O21" s="3">
        <v>9608000</v>
      </c>
      <c r="P21" s="3">
        <v>0</v>
      </c>
      <c r="Q21" s="3">
        <v>9608000</v>
      </c>
      <c r="R21" s="3">
        <v>0</v>
      </c>
      <c r="S21" s="3">
        <v>9608000</v>
      </c>
      <c r="T21" s="3">
        <v>0</v>
      </c>
      <c r="U21" s="3">
        <v>9608000</v>
      </c>
      <c r="V21" s="3">
        <v>0</v>
      </c>
      <c r="W21" s="3">
        <v>9608000</v>
      </c>
      <c r="X21" s="3">
        <v>0</v>
      </c>
      <c r="Y21" s="3">
        <v>9608000</v>
      </c>
      <c r="Z21" s="3">
        <v>0</v>
      </c>
      <c r="AA21" s="3">
        <v>9608000</v>
      </c>
      <c r="AB21" s="3">
        <v>0</v>
      </c>
      <c r="AC21" s="3">
        <v>8714771.3599999994</v>
      </c>
      <c r="AD21" s="3">
        <v>0</v>
      </c>
      <c r="AE21" s="3">
        <v>8714771.3599999994</v>
      </c>
      <c r="AF21" s="3">
        <v>0</v>
      </c>
      <c r="AG21" s="3">
        <v>7614153.6399999997</v>
      </c>
      <c r="AH21" s="3">
        <v>0</v>
      </c>
      <c r="AI21" s="3">
        <v>7614153.6399999997</v>
      </c>
      <c r="AJ21" s="3">
        <v>0</v>
      </c>
      <c r="AK21" s="3">
        <v>2152000</v>
      </c>
      <c r="AL21" s="3">
        <v>0</v>
      </c>
      <c r="AM21" s="3">
        <v>2152000</v>
      </c>
      <c r="AN21" s="3">
        <v>0</v>
      </c>
      <c r="AO21" s="3">
        <v>49172000</v>
      </c>
      <c r="AP21" s="3">
        <v>0</v>
      </c>
      <c r="AQ21" s="3">
        <v>49172000</v>
      </c>
      <c r="AR21" s="3">
        <v>0</v>
      </c>
      <c r="AS21" s="3">
        <v>49172000</v>
      </c>
      <c r="AT21" s="3">
        <v>0</v>
      </c>
      <c r="AU21" s="3">
        <v>49172000</v>
      </c>
      <c r="AV21" s="3">
        <v>0</v>
      </c>
      <c r="AW21" s="3">
        <v>50065228.640000001</v>
      </c>
      <c r="AX21" s="3">
        <v>0</v>
      </c>
      <c r="AY21" s="3">
        <v>50065228.640000001</v>
      </c>
      <c r="AZ21" s="3">
        <v>0</v>
      </c>
      <c r="BA21" s="3">
        <v>50065228.640000001</v>
      </c>
      <c r="BB21" s="3">
        <v>0</v>
      </c>
      <c r="BC21" s="3">
        <v>50065228.640000001</v>
      </c>
      <c r="BD21" s="3">
        <v>0</v>
      </c>
      <c r="BE21" s="3">
        <v>26256791.379999999</v>
      </c>
      <c r="BF21" s="3">
        <v>0</v>
      </c>
      <c r="BG21" s="3">
        <v>26256791.379999999</v>
      </c>
      <c r="BH21" s="3">
        <v>0</v>
      </c>
      <c r="BI21" s="3">
        <v>16733484.220000001</v>
      </c>
      <c r="BJ21" s="3">
        <v>0</v>
      </c>
      <c r="BK21" s="3">
        <v>16733484.220000001</v>
      </c>
      <c r="BL21" s="3">
        <v>0</v>
      </c>
      <c r="BM21" s="3">
        <v>48715000</v>
      </c>
      <c r="BN21" s="3">
        <v>0</v>
      </c>
      <c r="BO21" s="3">
        <v>48715000</v>
      </c>
      <c r="BP21" s="3">
        <v>0</v>
      </c>
      <c r="BQ21" s="3">
        <v>48715000</v>
      </c>
      <c r="BR21" s="3">
        <v>0</v>
      </c>
      <c r="BS21" s="3">
        <v>48715000</v>
      </c>
      <c r="BT21" s="3">
        <v>0</v>
      </c>
      <c r="BU21" s="3">
        <v>48715000</v>
      </c>
      <c r="BV21" s="3">
        <v>0</v>
      </c>
      <c r="BW21" s="3">
        <v>48715000</v>
      </c>
      <c r="BX21" s="3">
        <v>0</v>
      </c>
      <c r="BY21" s="3">
        <v>39427861.450000003</v>
      </c>
      <c r="BZ21" s="3">
        <v>0</v>
      </c>
      <c r="CA21" s="3">
        <v>39427861.450000003</v>
      </c>
      <c r="CB21" s="3">
        <v>0</v>
      </c>
      <c r="CC21" s="3">
        <v>39427861.450000003</v>
      </c>
      <c r="CD21" s="3">
        <v>0</v>
      </c>
      <c r="CE21" s="3">
        <v>39427861.450000003</v>
      </c>
      <c r="CF21" s="3">
        <v>0</v>
      </c>
      <c r="CG21" s="3">
        <v>36248210.380000003</v>
      </c>
      <c r="CH21" s="3">
        <v>0</v>
      </c>
      <c r="CI21" s="3">
        <v>36248210.380000003</v>
      </c>
      <c r="CJ21" s="3">
        <v>0</v>
      </c>
      <c r="CK21" s="3">
        <v>29992233.219999999</v>
      </c>
      <c r="CL21" s="3">
        <v>0</v>
      </c>
      <c r="CM21" s="3">
        <v>29992233.219999999</v>
      </c>
      <c r="CN21" s="3">
        <v>0</v>
      </c>
      <c r="CO21" s="3">
        <v>1984000</v>
      </c>
      <c r="CP21" s="3">
        <v>0</v>
      </c>
      <c r="CQ21" s="3">
        <v>1984000</v>
      </c>
      <c r="CR21" s="3">
        <v>0</v>
      </c>
      <c r="CS21" s="3">
        <v>1984000</v>
      </c>
      <c r="CT21" s="3">
        <v>0</v>
      </c>
      <c r="CU21" s="3">
        <v>1984000</v>
      </c>
      <c r="CV21" s="3">
        <v>0</v>
      </c>
      <c r="CW21" s="3">
        <v>1984000</v>
      </c>
      <c r="CX21" s="3">
        <v>0</v>
      </c>
      <c r="CY21" s="3">
        <v>1984000</v>
      </c>
      <c r="CZ21" s="3">
        <v>0</v>
      </c>
      <c r="DA21" s="3">
        <v>1984000.32</v>
      </c>
      <c r="DB21" s="3">
        <v>0</v>
      </c>
      <c r="DC21" s="3">
        <v>1984000.32</v>
      </c>
      <c r="DD21" s="3">
        <v>0</v>
      </c>
      <c r="DE21" s="3">
        <v>1984000.32</v>
      </c>
      <c r="DF21" s="3">
        <v>0</v>
      </c>
      <c r="DG21" s="3">
        <v>1984000.32</v>
      </c>
      <c r="DH21" s="3">
        <v>0</v>
      </c>
      <c r="DI21" s="3">
        <v>498830</v>
      </c>
      <c r="DJ21" s="3">
        <v>0</v>
      </c>
      <c r="DK21" s="3">
        <v>498830</v>
      </c>
      <c r="DL21" s="3">
        <v>0</v>
      </c>
      <c r="DM21" s="3">
        <v>482910</v>
      </c>
      <c r="DN21" s="3">
        <v>0</v>
      </c>
      <c r="DO21" s="3">
        <v>482910</v>
      </c>
      <c r="DP21" s="3">
        <v>0</v>
      </c>
      <c r="DQ21" s="3">
        <v>1984000</v>
      </c>
      <c r="DR21" s="3">
        <v>0</v>
      </c>
      <c r="DS21" s="3">
        <v>1984000</v>
      </c>
      <c r="DT21" s="3">
        <v>0</v>
      </c>
      <c r="DU21" s="3">
        <v>1984000</v>
      </c>
      <c r="DV21" s="3">
        <v>0</v>
      </c>
      <c r="DW21" s="3">
        <v>1984000</v>
      </c>
      <c r="DX21" s="3">
        <v>0</v>
      </c>
      <c r="DY21" s="3">
        <v>1984000</v>
      </c>
      <c r="DZ21" s="3">
        <v>0</v>
      </c>
      <c r="EA21" s="3">
        <v>1984000</v>
      </c>
      <c r="EB21" s="3">
        <v>0</v>
      </c>
      <c r="EC21" s="3">
        <v>3192170</v>
      </c>
      <c r="ED21" s="3">
        <v>0</v>
      </c>
      <c r="EE21" s="3">
        <v>3192170</v>
      </c>
      <c r="EF21" s="3">
        <v>0</v>
      </c>
      <c r="EG21" s="3">
        <v>3192170</v>
      </c>
      <c r="EH21" s="3">
        <v>0</v>
      </c>
      <c r="EI21" s="3">
        <v>3192170</v>
      </c>
      <c r="EJ21" s="3">
        <v>0</v>
      </c>
      <c r="EK21" s="3">
        <v>1803852.81</v>
      </c>
      <c r="EL21" s="3">
        <v>0</v>
      </c>
      <c r="EM21" s="3">
        <v>1803852.81</v>
      </c>
      <c r="EN21" s="3">
        <v>0</v>
      </c>
      <c r="EO21" s="3">
        <v>943748.26</v>
      </c>
      <c r="EP21" s="3">
        <v>0</v>
      </c>
      <c r="EQ21" s="3">
        <v>943748.26</v>
      </c>
      <c r="ER21" s="3">
        <v>0</v>
      </c>
      <c r="ES21" s="3">
        <v>2056000</v>
      </c>
      <c r="ET21" s="3">
        <v>0</v>
      </c>
      <c r="EU21" s="3">
        <v>2056000</v>
      </c>
      <c r="EV21" s="3">
        <v>0</v>
      </c>
      <c r="EW21" s="3">
        <v>46904000</v>
      </c>
      <c r="EX21" s="3">
        <v>0</v>
      </c>
      <c r="EY21" s="3">
        <v>46904000</v>
      </c>
      <c r="EZ21" s="3">
        <v>0</v>
      </c>
      <c r="FA21" s="3">
        <v>46904000</v>
      </c>
      <c r="FB21" s="3">
        <v>0</v>
      </c>
      <c r="FC21" s="3">
        <v>46904000</v>
      </c>
      <c r="FD21" s="3">
        <v>47434042.939999998</v>
      </c>
      <c r="FE21" s="3">
        <v>0</v>
      </c>
      <c r="FF21" s="3">
        <v>0</v>
      </c>
      <c r="FG21" s="3">
        <v>47434042.939999998</v>
      </c>
      <c r="FH21" s="3">
        <v>0</v>
      </c>
      <c r="FI21" s="3">
        <v>47434042.939999998</v>
      </c>
      <c r="FJ21" s="3">
        <v>0</v>
      </c>
      <c r="FK21" s="3">
        <v>47434042.939999998</v>
      </c>
      <c r="FL21" s="3">
        <v>0</v>
      </c>
      <c r="FM21" s="3">
        <v>40083438.130000003</v>
      </c>
      <c r="FN21" s="3">
        <v>0</v>
      </c>
      <c r="FO21" s="3">
        <v>40083438.130000003</v>
      </c>
      <c r="FP21" s="3">
        <v>0</v>
      </c>
      <c r="FQ21" s="3">
        <v>37381316.039999999</v>
      </c>
      <c r="FR21" s="3">
        <v>0</v>
      </c>
      <c r="FS21" s="3">
        <v>37381316.039999999</v>
      </c>
      <c r="FT21" s="3">
        <v>0</v>
      </c>
      <c r="FU21" s="3">
        <v>75204000</v>
      </c>
      <c r="FV21" s="3">
        <v>0</v>
      </c>
      <c r="FW21" s="3">
        <v>75204000</v>
      </c>
      <c r="FX21" s="3">
        <v>0</v>
      </c>
      <c r="FY21" s="3">
        <v>75204000</v>
      </c>
      <c r="FZ21" s="3">
        <v>0</v>
      </c>
      <c r="GA21" s="3">
        <v>75204000</v>
      </c>
      <c r="GB21" s="3">
        <v>0</v>
      </c>
      <c r="GC21" s="3">
        <v>75204000</v>
      </c>
      <c r="GD21" s="3">
        <v>0</v>
      </c>
      <c r="GE21" s="3">
        <v>75204000</v>
      </c>
      <c r="GF21" s="3">
        <v>0</v>
      </c>
      <c r="GG21" s="3">
        <v>82257255.870000005</v>
      </c>
      <c r="GH21" s="3">
        <v>0</v>
      </c>
      <c r="GI21" s="3">
        <v>82257255.870000005</v>
      </c>
      <c r="GJ21" s="3">
        <v>0</v>
      </c>
      <c r="GK21" s="3">
        <v>82257255.870000005</v>
      </c>
      <c r="GL21" s="3">
        <v>0</v>
      </c>
      <c r="GM21" s="3">
        <v>82257255.870000005</v>
      </c>
      <c r="GN21" s="3">
        <v>0</v>
      </c>
      <c r="GO21" s="3">
        <v>71498759.099999994</v>
      </c>
      <c r="GP21" s="3">
        <v>0</v>
      </c>
      <c r="GQ21" s="3">
        <v>71498759.099999994</v>
      </c>
      <c r="GR21" s="3">
        <v>0</v>
      </c>
      <c r="GS21" s="3">
        <v>68189680.939999998</v>
      </c>
      <c r="GT21" s="3">
        <v>0</v>
      </c>
      <c r="GU21" s="3">
        <v>68189680.939999998</v>
      </c>
      <c r="GV21" s="3">
        <v>0</v>
      </c>
      <c r="GW21" s="3">
        <v>65272000</v>
      </c>
      <c r="GX21" s="3">
        <v>0</v>
      </c>
      <c r="GY21" s="3">
        <v>65272000</v>
      </c>
      <c r="GZ21" s="3">
        <v>0</v>
      </c>
      <c r="HA21" s="3">
        <v>65272000</v>
      </c>
      <c r="HB21" s="3">
        <v>0</v>
      </c>
      <c r="HC21" s="3">
        <v>65272000</v>
      </c>
      <c r="HD21" s="3">
        <v>0</v>
      </c>
      <c r="HE21" s="3">
        <v>65272000</v>
      </c>
      <c r="HF21" s="3">
        <v>0</v>
      </c>
      <c r="HG21" s="3">
        <v>65272000</v>
      </c>
      <c r="HH21" s="3">
        <v>0</v>
      </c>
      <c r="HI21" s="3">
        <v>73736032.450000003</v>
      </c>
      <c r="HJ21" s="3">
        <v>0</v>
      </c>
      <c r="HK21" s="3">
        <v>73736032.450000003</v>
      </c>
      <c r="HL21" s="3">
        <v>0</v>
      </c>
      <c r="HM21" s="3">
        <v>73736032.450000003</v>
      </c>
      <c r="HN21" s="3">
        <v>0</v>
      </c>
      <c r="HO21" s="3">
        <v>73736032.450000003</v>
      </c>
      <c r="HP21" s="3">
        <v>0</v>
      </c>
      <c r="HQ21" s="3">
        <v>65336131.420000002</v>
      </c>
      <c r="HR21" s="3">
        <v>0</v>
      </c>
      <c r="HS21" s="3">
        <v>65336131.420000002</v>
      </c>
      <c r="HT21" s="3">
        <v>0</v>
      </c>
      <c r="HU21" s="3">
        <v>61508902.270000003</v>
      </c>
      <c r="HV21" s="3">
        <v>0</v>
      </c>
      <c r="HW21" s="3">
        <v>61508902.270000003</v>
      </c>
      <c r="HX21" s="3">
        <v>0</v>
      </c>
      <c r="HY21" s="3">
        <v>66420000</v>
      </c>
      <c r="HZ21" s="3">
        <v>0</v>
      </c>
      <c r="IA21" s="3">
        <v>66420000</v>
      </c>
      <c r="IB21" s="3">
        <v>0</v>
      </c>
      <c r="IC21" s="3">
        <v>66420000</v>
      </c>
      <c r="ID21" s="3">
        <v>0</v>
      </c>
      <c r="IE21" s="3">
        <v>66420000</v>
      </c>
      <c r="IF21" s="3"/>
      <c r="IG21" s="3"/>
      <c r="IH21" s="3"/>
      <c r="II21" s="3"/>
      <c r="IJ21" s="3"/>
      <c r="IK21" s="3"/>
      <c r="IL21" s="3"/>
      <c r="IM21" s="3"/>
      <c r="IN21" s="3"/>
      <c r="IO21" s="3"/>
      <c r="IP21" s="3"/>
      <c r="IQ21" s="3"/>
      <c r="IR21" s="3"/>
      <c r="IS21" s="3"/>
      <c r="IT21" s="3"/>
      <c r="IU21" s="3"/>
      <c r="IV21" s="3"/>
      <c r="IW21" s="3"/>
      <c r="IX21" s="3"/>
      <c r="IY21" s="3"/>
      <c r="IZ21" s="3">
        <v>0</v>
      </c>
      <c r="JA21" s="3">
        <v>62118000</v>
      </c>
      <c r="JB21" s="3">
        <v>0</v>
      </c>
      <c r="JC21" s="3">
        <v>62118000</v>
      </c>
      <c r="JD21" s="3"/>
      <c r="JE21" s="3"/>
      <c r="JF21" s="3"/>
      <c r="JG21" s="3"/>
    </row>
    <row r="22" spans="1:267" x14ac:dyDescent="0.25">
      <c r="A22" t="s">
        <v>505</v>
      </c>
      <c r="B22" t="s">
        <v>397</v>
      </c>
      <c r="C22" t="s">
        <v>199</v>
      </c>
      <c r="D22" t="s">
        <v>200</v>
      </c>
      <c r="E22" t="s">
        <v>217</v>
      </c>
      <c r="F22" t="s">
        <v>518</v>
      </c>
      <c r="G22" t="s">
        <v>417</v>
      </c>
      <c r="H22" s="3">
        <v>1032000</v>
      </c>
      <c r="I22" s="3">
        <v>3664000</v>
      </c>
      <c r="J22" s="3">
        <v>0</v>
      </c>
      <c r="K22" s="3">
        <v>4696000</v>
      </c>
      <c r="L22" s="3">
        <v>1032000</v>
      </c>
      <c r="M22" s="3">
        <v>13664000</v>
      </c>
      <c r="N22" s="3">
        <v>0</v>
      </c>
      <c r="O22" s="3">
        <v>14696000</v>
      </c>
      <c r="P22" s="3">
        <v>1129000</v>
      </c>
      <c r="Q22" s="3">
        <v>13664000</v>
      </c>
      <c r="R22" s="3">
        <v>0</v>
      </c>
      <c r="S22" s="3">
        <v>14793000</v>
      </c>
      <c r="T22" s="3">
        <v>2528692.7200000002</v>
      </c>
      <c r="U22" s="3">
        <v>13664000</v>
      </c>
      <c r="V22" s="3">
        <v>0</v>
      </c>
      <c r="W22" s="3">
        <v>16192692.720000001</v>
      </c>
      <c r="X22" s="3">
        <v>2528692.7200000002</v>
      </c>
      <c r="Y22" s="3">
        <v>13664000</v>
      </c>
      <c r="Z22" s="3">
        <v>0</v>
      </c>
      <c r="AA22" s="3">
        <v>16192692.720000001</v>
      </c>
      <c r="AB22" s="3">
        <v>2528692.7200000002</v>
      </c>
      <c r="AC22" s="3">
        <v>11651135.050000001</v>
      </c>
      <c r="AD22" s="3">
        <v>0</v>
      </c>
      <c r="AE22" s="3">
        <v>14179827.77</v>
      </c>
      <c r="AF22" s="3">
        <v>2459468.7000000002</v>
      </c>
      <c r="AG22" s="3">
        <v>10532340.199999999</v>
      </c>
      <c r="AH22" s="3">
        <v>0</v>
      </c>
      <c r="AI22" s="3">
        <v>12991808.9</v>
      </c>
      <c r="AJ22" s="3">
        <v>2436000</v>
      </c>
      <c r="AK22" s="3">
        <v>8346000</v>
      </c>
      <c r="AL22" s="3">
        <v>0</v>
      </c>
      <c r="AM22" s="3">
        <v>10782000</v>
      </c>
      <c r="AN22" s="3">
        <v>2436000</v>
      </c>
      <c r="AO22" s="3">
        <v>13664000</v>
      </c>
      <c r="AP22" s="3">
        <v>0</v>
      </c>
      <c r="AQ22" s="3">
        <v>16100000</v>
      </c>
      <c r="AR22" s="3">
        <v>2659000</v>
      </c>
      <c r="AS22" s="3">
        <v>13664000</v>
      </c>
      <c r="AT22" s="3">
        <v>0</v>
      </c>
      <c r="AU22" s="3">
        <v>16323000</v>
      </c>
      <c r="AV22" s="3">
        <v>2679184.19</v>
      </c>
      <c r="AW22" s="3">
        <v>15676864.949999999</v>
      </c>
      <c r="AX22" s="3">
        <v>0</v>
      </c>
      <c r="AY22" s="3">
        <v>18356049.140000001</v>
      </c>
      <c r="AZ22" s="3">
        <v>2679184.19</v>
      </c>
      <c r="BA22" s="3">
        <v>15676864.949999999</v>
      </c>
      <c r="BB22" s="3">
        <v>0</v>
      </c>
      <c r="BC22" s="3">
        <v>18356049.140000001</v>
      </c>
      <c r="BD22" s="3">
        <v>2679184.19</v>
      </c>
      <c r="BE22" s="3">
        <v>9377829.2100000009</v>
      </c>
      <c r="BF22" s="3">
        <v>0</v>
      </c>
      <c r="BG22" s="3">
        <v>12057013.4</v>
      </c>
      <c r="BH22" s="3">
        <v>2635725.96</v>
      </c>
      <c r="BI22" s="3">
        <v>6978921.96</v>
      </c>
      <c r="BJ22" s="3">
        <v>0</v>
      </c>
      <c r="BK22" s="3">
        <v>9614647.9199999999</v>
      </c>
      <c r="BL22" s="3">
        <v>2771000</v>
      </c>
      <c r="BM22" s="3">
        <v>11651000</v>
      </c>
      <c r="BN22" s="3">
        <v>0</v>
      </c>
      <c r="BO22" s="3">
        <v>14422000</v>
      </c>
      <c r="BP22" s="3">
        <v>2771000</v>
      </c>
      <c r="BQ22" s="3">
        <v>11651000</v>
      </c>
      <c r="BR22" s="3">
        <v>0</v>
      </c>
      <c r="BS22" s="3">
        <v>14422000</v>
      </c>
      <c r="BT22" s="3">
        <v>3023000</v>
      </c>
      <c r="BU22" s="3">
        <v>11651000</v>
      </c>
      <c r="BV22" s="3">
        <v>0</v>
      </c>
      <c r="BW22" s="3">
        <v>14674000</v>
      </c>
      <c r="BX22" s="3">
        <v>1697516.69</v>
      </c>
      <c r="BY22" s="3">
        <v>12123483.810000001</v>
      </c>
      <c r="BZ22" s="3">
        <v>0</v>
      </c>
      <c r="CA22" s="3">
        <v>13821000.5</v>
      </c>
      <c r="CB22" s="3">
        <v>1697516.69</v>
      </c>
      <c r="CC22" s="3">
        <v>12123483.810000001</v>
      </c>
      <c r="CD22" s="3">
        <v>0</v>
      </c>
      <c r="CE22" s="3">
        <v>13821000.5</v>
      </c>
      <c r="CF22" s="3">
        <v>1697516.69</v>
      </c>
      <c r="CG22" s="3">
        <v>4316256.18</v>
      </c>
      <c r="CH22" s="3">
        <v>0</v>
      </c>
      <c r="CI22" s="3">
        <v>6013772.8700000001</v>
      </c>
      <c r="CJ22" s="3">
        <v>1675341.48</v>
      </c>
      <c r="CK22" s="3">
        <v>3256932.22</v>
      </c>
      <c r="CL22" s="3">
        <v>0</v>
      </c>
      <c r="CM22" s="3">
        <v>4932273.7</v>
      </c>
      <c r="CN22" s="3">
        <v>3087000</v>
      </c>
      <c r="CO22" s="3">
        <v>7439000</v>
      </c>
      <c r="CP22" s="3">
        <v>0</v>
      </c>
      <c r="CQ22" s="3">
        <v>10526000</v>
      </c>
      <c r="CR22" s="3">
        <v>3087000</v>
      </c>
      <c r="CS22" s="3">
        <v>7439000</v>
      </c>
      <c r="CT22" s="3">
        <v>0</v>
      </c>
      <c r="CU22" s="3">
        <v>10526000</v>
      </c>
      <c r="CV22" s="3">
        <v>3372000</v>
      </c>
      <c r="CW22" s="3">
        <v>7439000</v>
      </c>
      <c r="CX22" s="3">
        <v>0</v>
      </c>
      <c r="CY22" s="3">
        <v>10811000</v>
      </c>
      <c r="CZ22" s="3">
        <v>3457027.05</v>
      </c>
      <c r="DA22" s="3">
        <v>11616179.119999999</v>
      </c>
      <c r="DB22" s="3">
        <v>0</v>
      </c>
      <c r="DC22" s="3">
        <v>15073206.17</v>
      </c>
      <c r="DD22" s="3">
        <v>3457027.05</v>
      </c>
      <c r="DE22" s="3">
        <v>11616179.119999999</v>
      </c>
      <c r="DF22" s="3">
        <v>0</v>
      </c>
      <c r="DG22" s="3">
        <v>15073206.17</v>
      </c>
      <c r="DH22" s="3">
        <v>3449359.41</v>
      </c>
      <c r="DI22" s="3">
        <v>7043525.4900000002</v>
      </c>
      <c r="DJ22" s="3">
        <v>0</v>
      </c>
      <c r="DK22" s="3">
        <v>10492884.9</v>
      </c>
      <c r="DL22" s="3">
        <v>3406756.84</v>
      </c>
      <c r="DM22" s="3">
        <v>3434314.3</v>
      </c>
      <c r="DN22" s="3">
        <v>0</v>
      </c>
      <c r="DO22" s="3">
        <v>6841071.1399999997</v>
      </c>
      <c r="DP22" s="3">
        <v>3619000</v>
      </c>
      <c r="DQ22" s="3">
        <v>7439000</v>
      </c>
      <c r="DR22" s="3">
        <v>0</v>
      </c>
      <c r="DS22" s="3">
        <v>11058000</v>
      </c>
      <c r="DT22" s="3">
        <v>3619000</v>
      </c>
      <c r="DU22" s="3">
        <v>7439000</v>
      </c>
      <c r="DV22" s="3">
        <v>0</v>
      </c>
      <c r="DW22" s="3">
        <v>11058000</v>
      </c>
      <c r="DX22" s="3">
        <v>3952000</v>
      </c>
      <c r="DY22" s="3">
        <v>7439000</v>
      </c>
      <c r="DZ22" s="3">
        <v>0</v>
      </c>
      <c r="EA22" s="3">
        <v>11391000</v>
      </c>
      <c r="EB22" s="3">
        <v>3926122.48</v>
      </c>
      <c r="EC22" s="3">
        <v>8921451.5099999998</v>
      </c>
      <c r="ED22" s="3">
        <v>0</v>
      </c>
      <c r="EE22" s="3">
        <v>12847573.99</v>
      </c>
      <c r="EF22" s="3">
        <v>3926122.48</v>
      </c>
      <c r="EG22" s="3">
        <v>8921451.5099999998</v>
      </c>
      <c r="EH22" s="3">
        <v>0</v>
      </c>
      <c r="EI22" s="3">
        <v>12847573.99</v>
      </c>
      <c r="EJ22" s="3">
        <v>3719181.6</v>
      </c>
      <c r="EK22" s="3">
        <v>7943128.0599999996</v>
      </c>
      <c r="EL22" s="3">
        <v>0</v>
      </c>
      <c r="EM22" s="3">
        <v>11662309.66</v>
      </c>
      <c r="EN22" s="3">
        <v>3453534.85</v>
      </c>
      <c r="EO22" s="3">
        <v>7371018.8399999999</v>
      </c>
      <c r="EP22" s="3">
        <v>0</v>
      </c>
      <c r="EQ22" s="3">
        <v>10824553.689999999</v>
      </c>
      <c r="ER22" s="3">
        <v>3749000</v>
      </c>
      <c r="ES22" s="3">
        <v>7711000</v>
      </c>
      <c r="ET22" s="3">
        <v>0</v>
      </c>
      <c r="EU22" s="3">
        <v>11460000</v>
      </c>
      <c r="EV22" s="3">
        <v>3749000</v>
      </c>
      <c r="EW22" s="3">
        <v>20000000</v>
      </c>
      <c r="EX22" s="3">
        <v>0</v>
      </c>
      <c r="EY22" s="3">
        <v>23749000</v>
      </c>
      <c r="EZ22" s="3">
        <v>4093000</v>
      </c>
      <c r="FA22" s="3">
        <v>20000000</v>
      </c>
      <c r="FB22" s="3">
        <v>0</v>
      </c>
      <c r="FC22" s="3">
        <v>24093000</v>
      </c>
      <c r="FD22" s="3">
        <v>4686176.1900000004</v>
      </c>
      <c r="FE22" s="3">
        <v>20210955.609999999</v>
      </c>
      <c r="FF22" s="3">
        <v>0</v>
      </c>
      <c r="FG22" s="3">
        <v>24897131.800000001</v>
      </c>
      <c r="FH22" s="3">
        <v>4686176.1900000004</v>
      </c>
      <c r="FI22" s="3">
        <v>20210955.609999999</v>
      </c>
      <c r="FJ22" s="3">
        <v>0</v>
      </c>
      <c r="FK22" s="3">
        <v>24897131.800000001</v>
      </c>
      <c r="FL22" s="3">
        <v>4668299.1500000004</v>
      </c>
      <c r="FM22" s="3">
        <v>11406973.619999999</v>
      </c>
      <c r="FN22" s="3">
        <v>0</v>
      </c>
      <c r="FO22" s="3">
        <v>16075272.77</v>
      </c>
      <c r="FP22" s="3">
        <v>4499381.67</v>
      </c>
      <c r="FQ22" s="3">
        <v>5796479.4100000001</v>
      </c>
      <c r="FR22" s="3">
        <v>0</v>
      </c>
      <c r="FS22" s="3">
        <v>10295861.08</v>
      </c>
      <c r="FT22" s="3">
        <v>3754000</v>
      </c>
      <c r="FU22" s="3">
        <v>20000000</v>
      </c>
      <c r="FV22" s="3">
        <v>0</v>
      </c>
      <c r="FW22" s="3">
        <v>23754000</v>
      </c>
      <c r="FX22" s="3">
        <v>3754000</v>
      </c>
      <c r="FY22" s="3">
        <v>20000000</v>
      </c>
      <c r="FZ22" s="3">
        <v>0</v>
      </c>
      <c r="GA22" s="3">
        <v>23754000</v>
      </c>
      <c r="GB22" s="3">
        <v>4099000</v>
      </c>
      <c r="GC22" s="3">
        <v>20000000</v>
      </c>
      <c r="GD22" s="3">
        <v>0</v>
      </c>
      <c r="GE22" s="3">
        <v>24099000</v>
      </c>
      <c r="GF22" s="3">
        <v>4119764.56</v>
      </c>
      <c r="GG22" s="3">
        <v>28624537.34</v>
      </c>
      <c r="GH22" s="3">
        <v>0</v>
      </c>
      <c r="GI22" s="3">
        <v>32744301.899999999</v>
      </c>
      <c r="GJ22" s="3">
        <v>4119764.56</v>
      </c>
      <c r="GK22" s="3">
        <v>28624537.34</v>
      </c>
      <c r="GL22" s="3">
        <v>0</v>
      </c>
      <c r="GM22" s="3">
        <v>32744301.899999999</v>
      </c>
      <c r="GN22" s="3">
        <v>4066082.08</v>
      </c>
      <c r="GO22" s="3">
        <v>15462537.24</v>
      </c>
      <c r="GP22" s="3">
        <v>0</v>
      </c>
      <c r="GQ22" s="3">
        <v>19528619.32</v>
      </c>
      <c r="GR22" s="3">
        <v>3989457.74</v>
      </c>
      <c r="GS22" s="3">
        <v>8363744.5700000003</v>
      </c>
      <c r="GT22" s="3">
        <v>0</v>
      </c>
      <c r="GU22" s="3">
        <v>12353202.310000001</v>
      </c>
      <c r="GV22" s="3">
        <v>3245000</v>
      </c>
      <c r="GW22" s="3">
        <v>14959000</v>
      </c>
      <c r="GX22" s="3">
        <v>0</v>
      </c>
      <c r="GY22" s="3">
        <v>18204000</v>
      </c>
      <c r="GZ22" s="3">
        <v>3245000</v>
      </c>
      <c r="HA22" s="3">
        <v>14959000</v>
      </c>
      <c r="HB22" s="3">
        <v>0</v>
      </c>
      <c r="HC22" s="3">
        <v>18204000</v>
      </c>
      <c r="HD22" s="3">
        <v>3539000</v>
      </c>
      <c r="HE22" s="3">
        <v>14959000</v>
      </c>
      <c r="HF22" s="3">
        <v>0</v>
      </c>
      <c r="HG22" s="3">
        <v>18498000</v>
      </c>
      <c r="HH22" s="3">
        <v>3539000</v>
      </c>
      <c r="HI22" s="3">
        <v>23657286.449999999</v>
      </c>
      <c r="HJ22" s="3">
        <v>0</v>
      </c>
      <c r="HK22" s="3">
        <v>27196286.449999999</v>
      </c>
      <c r="HL22" s="3">
        <v>3539000</v>
      </c>
      <c r="HM22" s="3">
        <v>23657286.449999999</v>
      </c>
      <c r="HN22" s="3">
        <v>0</v>
      </c>
      <c r="HO22" s="3">
        <v>27196286.449999999</v>
      </c>
      <c r="HP22" s="3">
        <v>3488444.81</v>
      </c>
      <c r="HQ22" s="3">
        <v>16663807.560000001</v>
      </c>
      <c r="HR22" s="3">
        <v>0</v>
      </c>
      <c r="HS22" s="3">
        <v>20152252.370000001</v>
      </c>
      <c r="HT22" s="3">
        <v>3448202.5</v>
      </c>
      <c r="HU22" s="3">
        <v>12658576.26</v>
      </c>
      <c r="HV22" s="3">
        <v>0</v>
      </c>
      <c r="HW22" s="3">
        <v>16106778.76</v>
      </c>
      <c r="HX22" s="3">
        <v>3675000</v>
      </c>
      <c r="HY22" s="3">
        <v>15082000</v>
      </c>
      <c r="HZ22" s="3">
        <v>0</v>
      </c>
      <c r="IA22" s="3">
        <v>18757000</v>
      </c>
      <c r="IB22" s="3">
        <v>3675000</v>
      </c>
      <c r="IC22" s="3">
        <v>101899000</v>
      </c>
      <c r="ID22" s="3">
        <v>0</v>
      </c>
      <c r="IE22" s="3">
        <v>105574000</v>
      </c>
      <c r="IF22" s="3"/>
      <c r="IG22" s="3"/>
      <c r="IH22" s="3"/>
      <c r="II22" s="3"/>
      <c r="IJ22" s="3"/>
      <c r="IK22" s="3"/>
      <c r="IL22" s="3"/>
      <c r="IM22" s="3"/>
      <c r="IN22" s="3"/>
      <c r="IO22" s="3"/>
      <c r="IP22" s="3"/>
      <c r="IQ22" s="3"/>
      <c r="IR22" s="3"/>
      <c r="IS22" s="3"/>
      <c r="IT22" s="3"/>
      <c r="IU22" s="3"/>
      <c r="IV22" s="3"/>
      <c r="IW22" s="3"/>
      <c r="IX22" s="3"/>
      <c r="IY22" s="3"/>
      <c r="IZ22" s="3">
        <v>4554000</v>
      </c>
      <c r="JA22" s="3">
        <v>10815000</v>
      </c>
      <c r="JB22" s="3">
        <v>0</v>
      </c>
      <c r="JC22" s="3">
        <v>15369000</v>
      </c>
      <c r="JD22" s="3"/>
      <c r="JE22" s="3"/>
      <c r="JF22" s="3"/>
      <c r="JG22" s="3"/>
    </row>
    <row r="23" spans="1:267" x14ac:dyDescent="0.25">
      <c r="A23" t="s">
        <v>505</v>
      </c>
      <c r="B23" t="s">
        <v>397</v>
      </c>
      <c r="C23" t="s">
        <v>199</v>
      </c>
      <c r="D23" t="s">
        <v>200</v>
      </c>
      <c r="E23" t="s">
        <v>217</v>
      </c>
      <c r="F23" t="s">
        <v>519</v>
      </c>
      <c r="G23" t="s">
        <v>418</v>
      </c>
      <c r="H23" s="3">
        <v>0</v>
      </c>
      <c r="I23" s="3">
        <v>56487000</v>
      </c>
      <c r="J23" s="3">
        <v>0</v>
      </c>
      <c r="K23" s="3">
        <v>56487000</v>
      </c>
      <c r="L23" s="3">
        <v>0</v>
      </c>
      <c r="M23" s="3">
        <v>56487000</v>
      </c>
      <c r="N23" s="3">
        <v>0</v>
      </c>
      <c r="O23" s="3">
        <v>56487000</v>
      </c>
      <c r="P23" s="3">
        <v>0</v>
      </c>
      <c r="Q23" s="3">
        <v>56487000</v>
      </c>
      <c r="R23" s="3">
        <v>0</v>
      </c>
      <c r="S23" s="3">
        <v>56487000</v>
      </c>
      <c r="T23" s="3">
        <v>0</v>
      </c>
      <c r="U23" s="3">
        <v>56487000</v>
      </c>
      <c r="V23" s="3">
        <v>0</v>
      </c>
      <c r="W23" s="3">
        <v>56487000</v>
      </c>
      <c r="X23" s="3">
        <v>0</v>
      </c>
      <c r="Y23" s="3">
        <v>56487000</v>
      </c>
      <c r="Z23" s="3">
        <v>0</v>
      </c>
      <c r="AA23" s="3">
        <v>56487000</v>
      </c>
      <c r="AB23" s="3">
        <v>0</v>
      </c>
      <c r="AC23" s="3">
        <v>47941947.920000002</v>
      </c>
      <c r="AD23" s="3">
        <v>0</v>
      </c>
      <c r="AE23" s="3">
        <v>47941947.920000002</v>
      </c>
      <c r="AF23" s="3">
        <v>0</v>
      </c>
      <c r="AG23" s="3">
        <v>41043218.719999999</v>
      </c>
      <c r="AH23" s="3">
        <v>0</v>
      </c>
      <c r="AI23" s="3">
        <v>41043218.719999999</v>
      </c>
      <c r="AJ23" s="3">
        <v>0</v>
      </c>
      <c r="AK23" s="3">
        <v>25877000</v>
      </c>
      <c r="AL23" s="3">
        <v>0</v>
      </c>
      <c r="AM23" s="3">
        <v>25877000</v>
      </c>
      <c r="AN23" s="3">
        <v>0</v>
      </c>
      <c r="AO23" s="3">
        <v>25877000</v>
      </c>
      <c r="AP23" s="3">
        <v>0</v>
      </c>
      <c r="AQ23" s="3">
        <v>25877000</v>
      </c>
      <c r="AR23" s="3">
        <v>0</v>
      </c>
      <c r="AS23" s="3">
        <v>25877000</v>
      </c>
      <c r="AT23" s="3">
        <v>0</v>
      </c>
      <c r="AU23" s="3">
        <v>25877000</v>
      </c>
      <c r="AV23" s="3">
        <v>0</v>
      </c>
      <c r="AW23" s="3">
        <v>34422052.079999998</v>
      </c>
      <c r="AX23" s="3">
        <v>0</v>
      </c>
      <c r="AY23" s="3">
        <v>34422052.079999998</v>
      </c>
      <c r="AZ23" s="3">
        <v>0</v>
      </c>
      <c r="BA23" s="3">
        <v>34422052.079999998</v>
      </c>
      <c r="BB23" s="3">
        <v>0</v>
      </c>
      <c r="BC23" s="3">
        <v>34422052.079999998</v>
      </c>
      <c r="BD23" s="3">
        <v>0</v>
      </c>
      <c r="BE23" s="3">
        <v>29022011.289999999</v>
      </c>
      <c r="BF23" s="3">
        <v>0</v>
      </c>
      <c r="BG23" s="3">
        <v>29022011.289999999</v>
      </c>
      <c r="BH23" s="3">
        <v>0</v>
      </c>
      <c r="BI23" s="3">
        <v>22214298.75</v>
      </c>
      <c r="BJ23" s="3">
        <v>0</v>
      </c>
      <c r="BK23" s="3">
        <v>22214298.75</v>
      </c>
      <c r="BL23" s="3">
        <v>0</v>
      </c>
      <c r="BM23" s="3">
        <v>22391000</v>
      </c>
      <c r="BN23" s="3">
        <v>0</v>
      </c>
      <c r="BO23" s="3">
        <v>22391000</v>
      </c>
      <c r="BP23" s="3">
        <v>0</v>
      </c>
      <c r="BQ23" s="3">
        <v>42391000</v>
      </c>
      <c r="BR23" s="3">
        <v>0</v>
      </c>
      <c r="BS23" s="3">
        <v>42391000</v>
      </c>
      <c r="BT23" s="3">
        <v>0</v>
      </c>
      <c r="BU23" s="3">
        <v>42391000</v>
      </c>
      <c r="BV23" s="3">
        <v>0</v>
      </c>
      <c r="BW23" s="3">
        <v>42391000</v>
      </c>
      <c r="BX23" s="3">
        <v>0</v>
      </c>
      <c r="BY23" s="3">
        <v>33004111.18</v>
      </c>
      <c r="BZ23" s="3">
        <v>0</v>
      </c>
      <c r="CA23" s="3">
        <v>33004111.18</v>
      </c>
      <c r="CB23" s="3">
        <v>0</v>
      </c>
      <c r="CC23" s="3">
        <v>14254111.18</v>
      </c>
      <c r="CD23" s="3">
        <v>0</v>
      </c>
      <c r="CE23" s="3">
        <v>14254111.18</v>
      </c>
      <c r="CF23" s="3">
        <v>0</v>
      </c>
      <c r="CG23" s="3">
        <v>6349615.0700000003</v>
      </c>
      <c r="CH23" s="3">
        <v>0</v>
      </c>
      <c r="CI23" s="3">
        <v>6349615.0700000003</v>
      </c>
      <c r="CJ23" s="3">
        <v>0</v>
      </c>
      <c r="CK23" s="3">
        <v>3145100.69</v>
      </c>
      <c r="CL23" s="3">
        <v>0</v>
      </c>
      <c r="CM23" s="3">
        <v>3145100.69</v>
      </c>
      <c r="CN23" s="3">
        <v>0</v>
      </c>
      <c r="CO23" s="3">
        <v>22794000</v>
      </c>
      <c r="CP23" s="3">
        <v>0</v>
      </c>
      <c r="CQ23" s="3">
        <v>22794000</v>
      </c>
      <c r="CR23" s="3">
        <v>0</v>
      </c>
      <c r="CS23" s="3">
        <v>22794000</v>
      </c>
      <c r="CT23" s="3">
        <v>0</v>
      </c>
      <c r="CU23" s="3">
        <v>22794000</v>
      </c>
      <c r="CV23" s="3">
        <v>0</v>
      </c>
      <c r="CW23" s="3">
        <v>22794000</v>
      </c>
      <c r="CX23" s="3">
        <v>0</v>
      </c>
      <c r="CY23" s="3">
        <v>22794000</v>
      </c>
      <c r="CZ23" s="3">
        <v>0</v>
      </c>
      <c r="DA23" s="3">
        <v>48040738.850000001</v>
      </c>
      <c r="DB23" s="3">
        <v>0</v>
      </c>
      <c r="DC23" s="3">
        <v>48040738.850000001</v>
      </c>
      <c r="DD23" s="3">
        <v>0</v>
      </c>
      <c r="DE23" s="3">
        <v>46790738.850000001</v>
      </c>
      <c r="DF23" s="3">
        <v>0</v>
      </c>
      <c r="DG23" s="3">
        <v>46790738.799999997</v>
      </c>
      <c r="DH23" s="3">
        <v>0</v>
      </c>
      <c r="DI23" s="3">
        <v>32338667</v>
      </c>
      <c r="DJ23" s="3">
        <v>0</v>
      </c>
      <c r="DK23" s="3">
        <v>32338667</v>
      </c>
      <c r="DL23" s="3">
        <v>0</v>
      </c>
      <c r="DM23" s="3">
        <v>20598148.030000001</v>
      </c>
      <c r="DN23" s="3">
        <v>0</v>
      </c>
      <c r="DO23" s="3">
        <v>20598148.030000001</v>
      </c>
      <c r="DP23" s="3">
        <v>0</v>
      </c>
      <c r="DQ23" s="3">
        <v>22794000</v>
      </c>
      <c r="DR23" s="3">
        <v>0</v>
      </c>
      <c r="DS23" s="3">
        <v>22794000</v>
      </c>
      <c r="DT23" s="3">
        <v>0</v>
      </c>
      <c r="DU23" s="3">
        <v>22794000</v>
      </c>
      <c r="DV23" s="3">
        <v>0</v>
      </c>
      <c r="DW23" s="3">
        <v>22794000</v>
      </c>
      <c r="DX23" s="3">
        <v>0</v>
      </c>
      <c r="DY23" s="3">
        <v>22794000</v>
      </c>
      <c r="DZ23" s="3">
        <v>0</v>
      </c>
      <c r="EA23" s="3">
        <v>22794000</v>
      </c>
      <c r="EB23" s="3">
        <v>0</v>
      </c>
      <c r="EC23" s="3">
        <v>31567157.710000001</v>
      </c>
      <c r="ED23" s="3">
        <v>0</v>
      </c>
      <c r="EE23" s="3">
        <v>31567157.710000001</v>
      </c>
      <c r="EF23" s="3">
        <v>0</v>
      </c>
      <c r="EG23" s="3">
        <v>31567157.710000001</v>
      </c>
      <c r="EH23" s="3">
        <v>0</v>
      </c>
      <c r="EI23" s="3">
        <v>31567157.710000001</v>
      </c>
      <c r="EJ23" s="3">
        <v>0</v>
      </c>
      <c r="EK23" s="3">
        <v>27455813.25</v>
      </c>
      <c r="EL23" s="3">
        <v>0</v>
      </c>
      <c r="EM23" s="3">
        <v>27455813.25</v>
      </c>
      <c r="EN23" s="3">
        <v>0</v>
      </c>
      <c r="EO23" s="3">
        <v>23899230.079999998</v>
      </c>
      <c r="EP23" s="3">
        <v>0</v>
      </c>
      <c r="EQ23" s="3">
        <v>23899230.079999998</v>
      </c>
      <c r="ER23" s="3">
        <v>0</v>
      </c>
      <c r="ES23" s="3">
        <v>23627000</v>
      </c>
      <c r="ET23" s="3">
        <v>0</v>
      </c>
      <c r="EU23" s="3">
        <v>23627000</v>
      </c>
      <c r="EV23" s="3">
        <v>0</v>
      </c>
      <c r="EW23" s="3">
        <v>81675000</v>
      </c>
      <c r="EX23" s="3">
        <v>0</v>
      </c>
      <c r="EY23" s="3">
        <v>81675000</v>
      </c>
      <c r="EZ23" s="3">
        <v>0</v>
      </c>
      <c r="FA23" s="3">
        <v>81675000</v>
      </c>
      <c r="FB23" s="3">
        <v>0</v>
      </c>
      <c r="FC23" s="3">
        <v>81675000</v>
      </c>
      <c r="FD23" s="3">
        <v>0</v>
      </c>
      <c r="FE23" s="3">
        <v>84436963.900000006</v>
      </c>
      <c r="FF23" s="3">
        <v>0</v>
      </c>
      <c r="FG23" s="3">
        <v>84436963.900000006</v>
      </c>
      <c r="FH23" s="3">
        <v>0</v>
      </c>
      <c r="FI23" s="3">
        <v>84436963.900000006</v>
      </c>
      <c r="FJ23" s="3">
        <v>0</v>
      </c>
      <c r="FK23" s="3">
        <v>84436963.900000006</v>
      </c>
      <c r="FL23" s="3">
        <v>0</v>
      </c>
      <c r="FM23" s="3">
        <v>48311421.420000002</v>
      </c>
      <c r="FN23" s="3">
        <v>0</v>
      </c>
      <c r="FO23" s="3">
        <v>48311421.420000002</v>
      </c>
      <c r="FP23" s="3">
        <v>0</v>
      </c>
      <c r="FQ23" s="3">
        <v>37373459.920000002</v>
      </c>
      <c r="FR23" s="3">
        <v>0</v>
      </c>
      <c r="FS23" s="3">
        <v>37373459.920000002</v>
      </c>
      <c r="FT23" s="3">
        <v>0</v>
      </c>
      <c r="FU23" s="3">
        <v>81675000</v>
      </c>
      <c r="FV23" s="3">
        <v>0</v>
      </c>
      <c r="FW23" s="3">
        <v>81675000</v>
      </c>
      <c r="FX23" s="3">
        <v>0</v>
      </c>
      <c r="FY23" s="3">
        <v>81675000</v>
      </c>
      <c r="FZ23" s="3">
        <v>0</v>
      </c>
      <c r="GA23" s="3">
        <v>81675000</v>
      </c>
      <c r="GB23" s="3">
        <v>0</v>
      </c>
      <c r="GC23" s="3">
        <v>81675000</v>
      </c>
      <c r="GD23" s="3">
        <v>0</v>
      </c>
      <c r="GE23" s="3">
        <v>81675000</v>
      </c>
      <c r="GF23" s="3">
        <v>0</v>
      </c>
      <c r="GG23" s="3">
        <v>116590244.01000001</v>
      </c>
      <c r="GH23" s="3">
        <v>0</v>
      </c>
      <c r="GI23" s="3">
        <v>116590244.01000001</v>
      </c>
      <c r="GJ23" s="3">
        <v>0</v>
      </c>
      <c r="GK23" s="3">
        <v>116590244.01000001</v>
      </c>
      <c r="GL23" s="3">
        <v>0</v>
      </c>
      <c r="GM23" s="3">
        <v>116590244.01000001</v>
      </c>
      <c r="GN23" s="3">
        <v>0</v>
      </c>
      <c r="GO23" s="3">
        <v>83852541</v>
      </c>
      <c r="GP23" s="3">
        <v>0</v>
      </c>
      <c r="GQ23" s="3">
        <v>83852541</v>
      </c>
      <c r="GR23" s="3">
        <v>0</v>
      </c>
      <c r="GS23" s="3">
        <v>58030082.880000003</v>
      </c>
      <c r="GT23" s="3">
        <v>0</v>
      </c>
      <c r="GU23" s="3">
        <v>58030082.880000003</v>
      </c>
      <c r="GV23" s="3">
        <v>0</v>
      </c>
      <c r="GW23" s="3">
        <v>56231000</v>
      </c>
      <c r="GX23" s="3">
        <v>0</v>
      </c>
      <c r="GY23" s="3">
        <v>56231000</v>
      </c>
      <c r="GZ23" s="3">
        <v>0</v>
      </c>
      <c r="HA23" s="3">
        <v>106231000</v>
      </c>
      <c r="HB23" s="3">
        <v>0</v>
      </c>
      <c r="HC23" s="3">
        <v>106231000</v>
      </c>
      <c r="HD23" s="3">
        <v>0</v>
      </c>
      <c r="HE23" s="3">
        <v>106231000</v>
      </c>
      <c r="HF23" s="3">
        <v>0</v>
      </c>
      <c r="HG23" s="3">
        <v>106231000</v>
      </c>
      <c r="HH23" s="3">
        <v>0</v>
      </c>
      <c r="HI23" s="3">
        <v>134080668.61</v>
      </c>
      <c r="HJ23" s="3">
        <v>0</v>
      </c>
      <c r="HK23" s="3">
        <v>134080668.61</v>
      </c>
      <c r="HL23" s="3">
        <v>0</v>
      </c>
      <c r="HM23" s="3">
        <v>84080668.609999999</v>
      </c>
      <c r="HN23" s="3">
        <v>0</v>
      </c>
      <c r="HO23" s="3">
        <v>84080668.609999999</v>
      </c>
      <c r="HP23" s="3">
        <v>0</v>
      </c>
      <c r="HQ23" s="3">
        <v>58814634.979999997</v>
      </c>
      <c r="HR23" s="3">
        <v>0</v>
      </c>
      <c r="HS23" s="3">
        <v>58814634.979999997</v>
      </c>
      <c r="HT23" s="3">
        <v>0</v>
      </c>
      <c r="HU23" s="3">
        <v>36663093.109999999</v>
      </c>
      <c r="HV23" s="3">
        <v>0</v>
      </c>
      <c r="HW23" s="3">
        <v>36663093.109999999</v>
      </c>
      <c r="HX23" s="3">
        <v>0</v>
      </c>
      <c r="HY23" s="3">
        <v>106231000</v>
      </c>
      <c r="HZ23" s="3">
        <v>0</v>
      </c>
      <c r="IA23" s="3">
        <v>106231000</v>
      </c>
      <c r="IB23" s="3">
        <v>0</v>
      </c>
      <c r="IC23" s="3">
        <v>106231000</v>
      </c>
      <c r="ID23" s="3">
        <v>0</v>
      </c>
      <c r="IE23" s="3">
        <v>106231000</v>
      </c>
      <c r="IF23" s="3"/>
      <c r="IG23" s="3"/>
      <c r="IH23" s="3"/>
      <c r="II23" s="3"/>
      <c r="IJ23" s="3"/>
      <c r="IK23" s="3"/>
      <c r="IL23" s="3"/>
      <c r="IM23" s="3"/>
      <c r="IN23" s="3"/>
      <c r="IO23" s="3"/>
      <c r="IP23" s="3"/>
      <c r="IQ23" s="3"/>
      <c r="IR23" s="3"/>
      <c r="IS23" s="3"/>
      <c r="IT23" s="3"/>
      <c r="IU23" s="3"/>
      <c r="IV23" s="3"/>
      <c r="IW23" s="3"/>
      <c r="IX23" s="3"/>
      <c r="IY23" s="3"/>
      <c r="IZ23" s="3">
        <v>0</v>
      </c>
      <c r="JA23" s="3">
        <v>106231000</v>
      </c>
      <c r="JB23" s="3">
        <v>0</v>
      </c>
      <c r="JC23" s="3">
        <v>106231000</v>
      </c>
      <c r="JD23" s="3"/>
      <c r="JE23" s="3"/>
      <c r="JF23" s="3"/>
      <c r="JG23" s="3"/>
    </row>
    <row r="24" spans="1:267" x14ac:dyDescent="0.25">
      <c r="A24" t="s">
        <v>505</v>
      </c>
      <c r="B24" t="s">
        <v>397</v>
      </c>
      <c r="C24" t="s">
        <v>199</v>
      </c>
      <c r="D24" t="s">
        <v>200</v>
      </c>
      <c r="E24" t="s">
        <v>224</v>
      </c>
      <c r="F24" t="s">
        <v>520</v>
      </c>
      <c r="G24" t="s">
        <v>419</v>
      </c>
      <c r="H24" s="3">
        <v>0</v>
      </c>
      <c r="I24" s="3">
        <v>11453000</v>
      </c>
      <c r="J24" s="3">
        <v>65000000</v>
      </c>
      <c r="K24" s="3">
        <v>76453000</v>
      </c>
      <c r="L24" s="3">
        <v>0</v>
      </c>
      <c r="M24" s="3">
        <v>11453000</v>
      </c>
      <c r="N24" s="3">
        <v>65000000</v>
      </c>
      <c r="O24" s="3">
        <v>76453000</v>
      </c>
      <c r="P24" s="3">
        <v>0</v>
      </c>
      <c r="Q24" s="3">
        <v>11453000</v>
      </c>
      <c r="R24" s="3">
        <v>65000000</v>
      </c>
      <c r="S24" s="3">
        <v>76453000</v>
      </c>
      <c r="T24" s="3">
        <v>0</v>
      </c>
      <c r="U24" s="3">
        <v>11453000</v>
      </c>
      <c r="V24" s="3">
        <v>65000000</v>
      </c>
      <c r="W24" s="3">
        <v>76453000</v>
      </c>
      <c r="X24" s="3">
        <v>0</v>
      </c>
      <c r="Y24" s="3">
        <v>11453000</v>
      </c>
      <c r="Z24" s="3">
        <v>65000000</v>
      </c>
      <c r="AA24" s="3">
        <v>76453000</v>
      </c>
      <c r="AB24" s="3">
        <v>0</v>
      </c>
      <c r="AC24" s="3">
        <v>5165456.21</v>
      </c>
      <c r="AD24" s="3">
        <v>19305299.239999998</v>
      </c>
      <c r="AE24" s="3">
        <v>24470755.449999999</v>
      </c>
      <c r="AF24" s="3">
        <v>0</v>
      </c>
      <c r="AG24" s="3">
        <v>1779289.04</v>
      </c>
      <c r="AH24" s="3">
        <v>2276799.2400000002</v>
      </c>
      <c r="AI24" s="3">
        <v>4056088.28</v>
      </c>
      <c r="AJ24" s="3">
        <v>0</v>
      </c>
      <c r="AK24" s="3">
        <v>11453000</v>
      </c>
      <c r="AL24" s="3">
        <v>65000000</v>
      </c>
      <c r="AM24" s="3">
        <v>76453000</v>
      </c>
      <c r="AN24" s="3">
        <v>0</v>
      </c>
      <c r="AO24" s="3">
        <v>11453000</v>
      </c>
      <c r="AP24" s="3">
        <v>150000000</v>
      </c>
      <c r="AQ24" s="3">
        <v>161453000</v>
      </c>
      <c r="AR24" s="3">
        <v>0</v>
      </c>
      <c r="AS24" s="3">
        <v>11453000</v>
      </c>
      <c r="AT24" s="3">
        <v>150000000</v>
      </c>
      <c r="AU24" s="3">
        <v>161453000</v>
      </c>
      <c r="AV24" s="3">
        <v>0</v>
      </c>
      <c r="AW24" s="3">
        <v>17740543.829999998</v>
      </c>
      <c r="AX24" s="3">
        <v>195694700.75999999</v>
      </c>
      <c r="AY24" s="3">
        <v>213435244.59</v>
      </c>
      <c r="AZ24" s="3">
        <v>0</v>
      </c>
      <c r="BA24" s="6">
        <v>17740543.829999998</v>
      </c>
      <c r="BB24" s="3">
        <v>110694700.76000001</v>
      </c>
      <c r="BC24" s="6">
        <v>128435244.59</v>
      </c>
      <c r="BD24" s="3">
        <v>0</v>
      </c>
      <c r="BE24" s="3">
        <v>5216456.4800000004</v>
      </c>
      <c r="BF24" s="3">
        <v>51377730</v>
      </c>
      <c r="BG24" s="3">
        <v>56594186.479999997</v>
      </c>
      <c r="BH24" s="6">
        <v>0</v>
      </c>
      <c r="BI24" s="6">
        <v>2123547.23</v>
      </c>
      <c r="BJ24" s="6">
        <v>6905980</v>
      </c>
      <c r="BK24" s="6">
        <v>9029527.2300000004</v>
      </c>
      <c r="BL24" s="3">
        <v>0</v>
      </c>
      <c r="BM24" s="3">
        <v>80227000</v>
      </c>
      <c r="BN24" s="3">
        <v>65000000</v>
      </c>
      <c r="BO24" s="3">
        <v>145227000</v>
      </c>
      <c r="BP24" s="3">
        <v>0</v>
      </c>
      <c r="BQ24" s="3">
        <v>80227000</v>
      </c>
      <c r="BR24" s="3">
        <v>65000000</v>
      </c>
      <c r="BS24" s="3">
        <v>145227000</v>
      </c>
      <c r="BT24" s="3">
        <v>0</v>
      </c>
      <c r="BU24" s="3">
        <v>80227000</v>
      </c>
      <c r="BV24" s="3">
        <v>65000000</v>
      </c>
      <c r="BW24" s="3">
        <v>145227000</v>
      </c>
      <c r="BX24" s="3">
        <v>0</v>
      </c>
      <c r="BY24" s="3">
        <v>48889787.43</v>
      </c>
      <c r="BZ24" s="3">
        <v>118524504.23</v>
      </c>
      <c r="CA24" s="3">
        <v>167414291.66</v>
      </c>
      <c r="CB24" s="3">
        <v>0</v>
      </c>
      <c r="CC24" s="3">
        <v>48889787.43</v>
      </c>
      <c r="CD24" s="3">
        <v>118524504.23</v>
      </c>
      <c r="CE24" s="3">
        <v>167414291.66</v>
      </c>
      <c r="CF24" s="3">
        <v>0</v>
      </c>
      <c r="CG24" s="3">
        <v>32385338.649999999</v>
      </c>
      <c r="CH24" s="3">
        <v>41932334.75</v>
      </c>
      <c r="CI24" s="3">
        <v>74317673.400000006</v>
      </c>
      <c r="CJ24" s="3">
        <v>0</v>
      </c>
      <c r="CK24" s="3">
        <v>21237448.489999998</v>
      </c>
      <c r="CL24" s="3">
        <v>13588500</v>
      </c>
      <c r="CM24" s="3">
        <v>34825948.490000002</v>
      </c>
      <c r="CN24" s="3">
        <v>0</v>
      </c>
      <c r="CO24" s="3">
        <v>80227000</v>
      </c>
      <c r="CP24" s="3">
        <v>65000000</v>
      </c>
      <c r="CQ24" s="3">
        <v>145227000</v>
      </c>
      <c r="CR24" s="3">
        <v>0</v>
      </c>
      <c r="CS24" s="3">
        <v>80227000</v>
      </c>
      <c r="CT24" s="3">
        <v>65000000</v>
      </c>
      <c r="CU24" s="3">
        <v>145227000</v>
      </c>
      <c r="CV24" s="3">
        <v>0</v>
      </c>
      <c r="CW24" s="3">
        <v>80227000</v>
      </c>
      <c r="CX24" s="3">
        <v>65000000</v>
      </c>
      <c r="CY24" s="3">
        <v>145227000</v>
      </c>
      <c r="CZ24" s="3">
        <v>0</v>
      </c>
      <c r="DA24" s="3">
        <v>94574954.629999995</v>
      </c>
      <c r="DB24" s="3">
        <v>130000000</v>
      </c>
      <c r="DC24" s="3">
        <v>224574954.63</v>
      </c>
      <c r="DD24" s="3">
        <v>0</v>
      </c>
      <c r="DE24" s="3">
        <v>94674954.629999995</v>
      </c>
      <c r="DF24" s="3">
        <v>130000000</v>
      </c>
      <c r="DG24" s="3">
        <v>224574954.63</v>
      </c>
      <c r="DH24" s="3">
        <v>0</v>
      </c>
      <c r="DI24" s="3">
        <v>54081006.530000001</v>
      </c>
      <c r="DJ24" s="3">
        <v>20735870</v>
      </c>
      <c r="DK24" s="3">
        <v>74816876.530000001</v>
      </c>
      <c r="DL24" s="3">
        <v>0</v>
      </c>
      <c r="DM24" s="3">
        <v>26108109.120000001</v>
      </c>
      <c r="DN24" s="3">
        <v>20735870</v>
      </c>
      <c r="DO24" s="3">
        <v>46843979.119999997</v>
      </c>
      <c r="DP24" s="3">
        <v>0</v>
      </c>
      <c r="DQ24" s="3">
        <v>80227000</v>
      </c>
      <c r="DR24" s="3">
        <v>65000000</v>
      </c>
      <c r="DS24" s="3">
        <v>145227000</v>
      </c>
      <c r="DT24" s="3">
        <v>0</v>
      </c>
      <c r="DU24" s="3">
        <v>80227000</v>
      </c>
      <c r="DV24" s="3">
        <v>65000000</v>
      </c>
      <c r="DW24" s="3">
        <v>145227000</v>
      </c>
      <c r="DX24" s="3">
        <v>0</v>
      </c>
      <c r="DY24" s="3">
        <v>80227000</v>
      </c>
      <c r="DZ24" s="3">
        <v>65000000</v>
      </c>
      <c r="EA24" s="3">
        <v>145227000</v>
      </c>
      <c r="EB24" s="3">
        <v>0</v>
      </c>
      <c r="EC24" s="3">
        <v>89788437.900000006</v>
      </c>
      <c r="ED24" s="3">
        <v>130000000</v>
      </c>
      <c r="EE24" s="3">
        <v>219788437.90000001</v>
      </c>
      <c r="EF24" s="3">
        <v>0</v>
      </c>
      <c r="EG24" s="3">
        <v>89788437.900000006</v>
      </c>
      <c r="EH24" s="3">
        <v>130000000</v>
      </c>
      <c r="EI24" s="3">
        <v>219788437.90000001</v>
      </c>
      <c r="EJ24" s="3">
        <v>0</v>
      </c>
      <c r="EK24" s="3">
        <v>39499628.329999998</v>
      </c>
      <c r="EL24" s="3">
        <v>0</v>
      </c>
      <c r="EM24" s="3">
        <v>39499628.329999998</v>
      </c>
      <c r="EN24" s="3">
        <v>0</v>
      </c>
      <c r="EO24" s="3">
        <v>19606348.379999999</v>
      </c>
      <c r="EP24" s="3">
        <v>0</v>
      </c>
      <c r="EQ24" s="3">
        <v>19606348.379999999</v>
      </c>
      <c r="ER24" s="3">
        <v>0</v>
      </c>
      <c r="ES24" s="3">
        <v>83158000</v>
      </c>
      <c r="ET24" s="3">
        <v>65000000</v>
      </c>
      <c r="EU24" s="3">
        <v>148158000</v>
      </c>
      <c r="EV24" s="3">
        <v>0</v>
      </c>
      <c r="EW24" s="3">
        <v>83158000</v>
      </c>
      <c r="EX24" s="3">
        <v>65000000</v>
      </c>
      <c r="EY24" s="3">
        <v>148158000</v>
      </c>
      <c r="EZ24" s="3">
        <v>0</v>
      </c>
      <c r="FA24" s="3">
        <v>83158000</v>
      </c>
      <c r="FB24" s="3">
        <v>65000000</v>
      </c>
      <c r="FC24" s="3">
        <v>148158000</v>
      </c>
      <c r="FD24" s="3">
        <v>0</v>
      </c>
      <c r="FE24" s="3">
        <v>119128664.05</v>
      </c>
      <c r="FF24" s="3">
        <v>130000000</v>
      </c>
      <c r="FG24" s="3">
        <v>249128664.05000001</v>
      </c>
      <c r="FH24" s="3">
        <v>0</v>
      </c>
      <c r="FI24" s="3">
        <v>119128664</v>
      </c>
      <c r="FJ24" s="3">
        <v>130000000</v>
      </c>
      <c r="FK24" s="3">
        <v>249128664.05000001</v>
      </c>
      <c r="FL24" s="3">
        <v>0</v>
      </c>
      <c r="FM24" s="3">
        <v>27669545.420000002</v>
      </c>
      <c r="FN24" s="3">
        <v>0</v>
      </c>
      <c r="FO24" s="3">
        <v>27669545.420000002</v>
      </c>
      <c r="FP24" s="3">
        <v>0</v>
      </c>
      <c r="FQ24" s="3">
        <v>15067606.609999999</v>
      </c>
      <c r="FR24" s="3">
        <v>0</v>
      </c>
      <c r="FS24" s="3">
        <v>15067606.609999999</v>
      </c>
      <c r="FT24" s="3">
        <v>0</v>
      </c>
      <c r="FU24" s="3">
        <v>31322000</v>
      </c>
      <c r="FV24" s="3">
        <v>65000000</v>
      </c>
      <c r="FW24" s="3">
        <v>96322000</v>
      </c>
      <c r="FX24" s="3">
        <v>0</v>
      </c>
      <c r="FY24" s="3">
        <v>31322000</v>
      </c>
      <c r="FZ24" s="3">
        <v>71500000</v>
      </c>
      <c r="GA24" s="3">
        <v>102822000</v>
      </c>
      <c r="GB24" s="3">
        <v>0</v>
      </c>
      <c r="GC24" s="3">
        <v>31322000</v>
      </c>
      <c r="GD24" s="3">
        <v>71500000</v>
      </c>
      <c r="GE24" s="3">
        <v>102822000</v>
      </c>
      <c r="GF24" s="3">
        <v>0</v>
      </c>
      <c r="GG24" s="3">
        <v>112997439.16</v>
      </c>
      <c r="GH24" s="3">
        <v>136500000</v>
      </c>
      <c r="GI24" s="3">
        <v>249497439.16</v>
      </c>
      <c r="GJ24" s="3">
        <v>0</v>
      </c>
      <c r="GK24" s="3">
        <v>112997439.16</v>
      </c>
      <c r="GL24" s="3">
        <v>136500000</v>
      </c>
      <c r="GM24" s="3">
        <v>249497439.16</v>
      </c>
      <c r="GN24" s="3">
        <v>0</v>
      </c>
      <c r="GO24" s="3">
        <v>66868823.229999997</v>
      </c>
      <c r="GP24" s="3">
        <v>78129240</v>
      </c>
      <c r="GQ24" s="3">
        <v>144998063.22999999</v>
      </c>
      <c r="GR24" s="3">
        <v>0</v>
      </c>
      <c r="GS24" s="3">
        <v>25485482.399999999</v>
      </c>
      <c r="GT24" s="3">
        <v>78129240</v>
      </c>
      <c r="GU24" s="3">
        <v>103614722.40000001</v>
      </c>
      <c r="GV24" s="3">
        <v>0</v>
      </c>
      <c r="GW24" s="3">
        <v>31886000</v>
      </c>
      <c r="GX24" s="3">
        <v>65000000</v>
      </c>
      <c r="GY24" s="3">
        <v>96886000</v>
      </c>
      <c r="GZ24" s="3">
        <v>0</v>
      </c>
      <c r="HA24" s="3">
        <v>69886000</v>
      </c>
      <c r="HB24" s="3">
        <v>65000000</v>
      </c>
      <c r="HC24" s="3">
        <v>134886000</v>
      </c>
      <c r="HD24" s="3">
        <v>0</v>
      </c>
      <c r="HE24" s="3">
        <v>69886000</v>
      </c>
      <c r="HF24" s="3">
        <v>65000000</v>
      </c>
      <c r="HG24" s="3">
        <v>134886000</v>
      </c>
      <c r="HH24" s="3">
        <v>0</v>
      </c>
      <c r="HI24" s="3">
        <v>91700537.480000004</v>
      </c>
      <c r="HJ24" s="3">
        <v>123370760</v>
      </c>
      <c r="HK24" s="3">
        <v>215071297.47999999</v>
      </c>
      <c r="HL24" s="3">
        <v>0</v>
      </c>
      <c r="HM24" s="3">
        <v>53700537.479999997</v>
      </c>
      <c r="HN24" s="3">
        <v>123370760</v>
      </c>
      <c r="HO24" s="3">
        <v>177071297.47999999</v>
      </c>
      <c r="HP24" s="3">
        <v>0</v>
      </c>
      <c r="HQ24" s="3">
        <v>31602797.75</v>
      </c>
      <c r="HR24" s="3">
        <v>66032189.530000001</v>
      </c>
      <c r="HS24" s="3">
        <v>97634987.280000001</v>
      </c>
      <c r="HT24" s="3">
        <v>0</v>
      </c>
      <c r="HU24" s="3">
        <v>15546674.710000001</v>
      </c>
      <c r="HV24" s="3">
        <v>27489789.530000001</v>
      </c>
      <c r="HW24" s="3">
        <v>43036464.240000002</v>
      </c>
      <c r="HX24" s="3">
        <v>0</v>
      </c>
      <c r="HY24" s="3">
        <v>32460000</v>
      </c>
      <c r="HZ24" s="3">
        <v>65000000</v>
      </c>
      <c r="IA24" s="3">
        <v>97460000</v>
      </c>
      <c r="IB24" s="3">
        <v>0</v>
      </c>
      <c r="IC24" s="3">
        <v>32460000</v>
      </c>
      <c r="ID24" s="3">
        <v>65000000</v>
      </c>
      <c r="IE24" s="3">
        <v>97460000</v>
      </c>
      <c r="IF24" s="3"/>
      <c r="IG24" s="3"/>
      <c r="IH24" s="3"/>
      <c r="II24" s="3"/>
      <c r="IJ24" s="3"/>
      <c r="IK24" s="3"/>
      <c r="IL24" s="3"/>
      <c r="IM24" s="3"/>
      <c r="IN24" s="3"/>
      <c r="IO24" s="3"/>
      <c r="IP24" s="3"/>
      <c r="IQ24" s="3"/>
      <c r="IR24" s="3"/>
      <c r="IS24" s="3"/>
      <c r="IT24" s="3"/>
      <c r="IU24" s="3"/>
      <c r="IV24" s="3"/>
      <c r="IW24" s="3"/>
      <c r="IX24" s="3"/>
      <c r="IY24" s="3"/>
      <c r="IZ24" s="3">
        <v>0</v>
      </c>
      <c r="JA24" s="3">
        <v>32460000</v>
      </c>
      <c r="JB24" s="3">
        <v>65000000</v>
      </c>
      <c r="JC24" s="3">
        <v>97460000</v>
      </c>
      <c r="JD24" s="3"/>
      <c r="JE24" s="3"/>
      <c r="JF24" s="3"/>
      <c r="JG24" s="3"/>
    </row>
    <row r="25" spans="1:267" x14ac:dyDescent="0.25">
      <c r="A25" t="s">
        <v>505</v>
      </c>
      <c r="B25" t="s">
        <v>397</v>
      </c>
      <c r="C25" t="s">
        <v>199</v>
      </c>
      <c r="D25" t="s">
        <v>200</v>
      </c>
      <c r="E25" t="s">
        <v>224</v>
      </c>
      <c r="F25" t="s">
        <v>521</v>
      </c>
      <c r="G25" t="s">
        <v>420</v>
      </c>
      <c r="H25" s="3">
        <v>44920048000</v>
      </c>
      <c r="I25" s="3">
        <v>237068000</v>
      </c>
      <c r="J25" s="3">
        <v>0</v>
      </c>
      <c r="K25" s="3">
        <v>45157116000</v>
      </c>
      <c r="L25" s="3">
        <v>38920048000</v>
      </c>
      <c r="M25" s="3">
        <v>237068000</v>
      </c>
      <c r="N25" s="3">
        <v>0</v>
      </c>
      <c r="O25" s="3">
        <v>39157116000</v>
      </c>
      <c r="P25" s="3">
        <v>38920048000</v>
      </c>
      <c r="Q25" s="3">
        <v>237068000</v>
      </c>
      <c r="R25" s="3">
        <v>0</v>
      </c>
      <c r="S25" s="3">
        <v>39157116000</v>
      </c>
      <c r="T25" s="3">
        <v>41437926369.389999</v>
      </c>
      <c r="U25" s="3">
        <v>237068000</v>
      </c>
      <c r="V25" s="3">
        <v>0</v>
      </c>
      <c r="W25" s="3">
        <v>41674994369.389999</v>
      </c>
      <c r="X25" s="3">
        <v>30795019153.389999</v>
      </c>
      <c r="Y25" s="3">
        <v>37840000</v>
      </c>
      <c r="Z25" s="3">
        <v>0</v>
      </c>
      <c r="AA25" s="3">
        <v>30832859153.389999</v>
      </c>
      <c r="AB25" s="3">
        <v>29586201124.389999</v>
      </c>
      <c r="AC25" s="3">
        <v>29988480</v>
      </c>
      <c r="AD25" s="3">
        <v>0</v>
      </c>
      <c r="AE25" s="3">
        <v>29616189604.389999</v>
      </c>
      <c r="AF25" s="3">
        <v>28097369797.59</v>
      </c>
      <c r="AG25" s="3">
        <v>4679980</v>
      </c>
      <c r="AH25" s="3">
        <v>0</v>
      </c>
      <c r="AI25" s="3">
        <v>28102049777.59</v>
      </c>
      <c r="AJ25" s="3">
        <v>32136492000</v>
      </c>
      <c r="AK25" s="3">
        <v>55461000</v>
      </c>
      <c r="AL25" s="3">
        <v>0</v>
      </c>
      <c r="AM25" s="3">
        <v>32191953000</v>
      </c>
      <c r="AN25" s="3">
        <v>32136492000</v>
      </c>
      <c r="AO25" s="3">
        <v>55461000</v>
      </c>
      <c r="AP25" s="3">
        <v>0</v>
      </c>
      <c r="AQ25" s="3">
        <v>32191953000</v>
      </c>
      <c r="AR25" s="3">
        <v>32136492000</v>
      </c>
      <c r="AS25" s="3">
        <v>55461000</v>
      </c>
      <c r="AT25" s="3">
        <v>0</v>
      </c>
      <c r="AU25" s="3">
        <v>32191953000</v>
      </c>
      <c r="AV25" s="3">
        <v>33559194488.66</v>
      </c>
      <c r="AW25" s="3">
        <v>262540520</v>
      </c>
      <c r="AX25" s="3">
        <v>0</v>
      </c>
      <c r="AY25" s="3">
        <v>33821735008.66</v>
      </c>
      <c r="AZ25" s="3">
        <v>30286720106.66</v>
      </c>
      <c r="BA25" s="6">
        <v>7851520</v>
      </c>
      <c r="BB25" s="3">
        <v>0</v>
      </c>
      <c r="BC25" s="6">
        <v>30294571626.66</v>
      </c>
      <c r="BD25" s="3">
        <v>29053003738.599998</v>
      </c>
      <c r="BE25" s="3">
        <v>2711947.69</v>
      </c>
      <c r="BF25" s="3">
        <v>0</v>
      </c>
      <c r="BG25" s="3">
        <v>29055715686.290001</v>
      </c>
      <c r="BH25" s="6">
        <v>27495421657.720001</v>
      </c>
      <c r="BI25" s="6">
        <v>1369009.69</v>
      </c>
      <c r="BJ25" s="6">
        <v>0</v>
      </c>
      <c r="BK25" s="6">
        <v>27496790667.41</v>
      </c>
      <c r="BL25" s="3">
        <v>15033110000</v>
      </c>
      <c r="BM25" s="3">
        <v>70000000</v>
      </c>
      <c r="BN25" s="3">
        <v>0</v>
      </c>
      <c r="BO25" s="3">
        <v>15103110000</v>
      </c>
      <c r="BP25" s="3">
        <v>15033110000</v>
      </c>
      <c r="BQ25" s="3">
        <v>70000000</v>
      </c>
      <c r="BR25" s="3">
        <v>0</v>
      </c>
      <c r="BS25" s="3">
        <v>15103110000</v>
      </c>
      <c r="BT25" s="3">
        <v>15033110000</v>
      </c>
      <c r="BU25" s="3">
        <v>70000000</v>
      </c>
      <c r="BV25" s="3">
        <v>0</v>
      </c>
      <c r="BW25" s="3">
        <v>15103110000</v>
      </c>
      <c r="BX25" s="3">
        <v>17271986246.57</v>
      </c>
      <c r="BY25" s="3">
        <v>125461000</v>
      </c>
      <c r="BZ25" s="3">
        <v>0</v>
      </c>
      <c r="CA25" s="3">
        <v>17397447246.57</v>
      </c>
      <c r="CB25" s="3">
        <v>17236048481.57</v>
      </c>
      <c r="CC25" s="3">
        <v>0</v>
      </c>
      <c r="CD25" s="3">
        <v>0</v>
      </c>
      <c r="CE25" s="3">
        <v>17236048481.57</v>
      </c>
      <c r="CF25" s="3">
        <v>15865231744.559999</v>
      </c>
      <c r="CG25" s="3">
        <v>0</v>
      </c>
      <c r="CH25" s="3">
        <v>0</v>
      </c>
      <c r="CI25" s="3">
        <v>15865231744.559999</v>
      </c>
      <c r="CJ25" s="3">
        <v>14793666978.85</v>
      </c>
      <c r="CK25" s="3">
        <v>0</v>
      </c>
      <c r="CL25" s="3">
        <v>0</v>
      </c>
      <c r="CM25" s="3">
        <v>14793666978.85</v>
      </c>
      <c r="CN25" s="3">
        <v>15858328000</v>
      </c>
      <c r="CO25" s="3">
        <v>68741000</v>
      </c>
      <c r="CP25" s="3">
        <v>0</v>
      </c>
      <c r="CQ25" s="3">
        <v>15927069000</v>
      </c>
      <c r="CR25" s="3">
        <v>15252988000</v>
      </c>
      <c r="CS25" s="3">
        <v>68741000</v>
      </c>
      <c r="CT25" s="3">
        <v>0</v>
      </c>
      <c r="CU25" s="3">
        <v>15321729000</v>
      </c>
      <c r="CV25" s="3">
        <v>15252988000</v>
      </c>
      <c r="CW25" s="3">
        <v>68741000</v>
      </c>
      <c r="CX25" s="3">
        <v>0</v>
      </c>
      <c r="CY25" s="3">
        <v>15321729000</v>
      </c>
      <c r="CZ25" s="3">
        <v>15203912441.58</v>
      </c>
      <c r="DA25" s="3">
        <v>138741000</v>
      </c>
      <c r="DB25" s="3">
        <v>0</v>
      </c>
      <c r="DC25" s="3">
        <v>15342653441.58</v>
      </c>
      <c r="DD25" s="3">
        <v>15203912441.58</v>
      </c>
      <c r="DE25" s="3">
        <v>0</v>
      </c>
      <c r="DF25" s="3">
        <v>0</v>
      </c>
      <c r="DG25" s="3">
        <v>15203912441.58</v>
      </c>
      <c r="DH25" s="3">
        <v>14611081320.280001</v>
      </c>
      <c r="DI25" s="3">
        <v>0</v>
      </c>
      <c r="DJ25" s="3">
        <v>0</v>
      </c>
      <c r="DK25" s="3">
        <v>14611081320.280001</v>
      </c>
      <c r="DL25" s="3">
        <v>13622028010.879999</v>
      </c>
      <c r="DM25" s="3">
        <v>0</v>
      </c>
      <c r="DN25" s="3">
        <v>0</v>
      </c>
      <c r="DO25" s="3">
        <v>13622028010.879999</v>
      </c>
      <c r="DP25" s="3">
        <v>19988504000</v>
      </c>
      <c r="DQ25" s="3">
        <v>68741000</v>
      </c>
      <c r="DR25" s="3">
        <v>0</v>
      </c>
      <c r="DS25" s="3">
        <v>20057245000</v>
      </c>
      <c r="DT25" s="3">
        <v>19988504000</v>
      </c>
      <c r="DU25" s="3">
        <v>68741000</v>
      </c>
      <c r="DV25" s="3">
        <v>0</v>
      </c>
      <c r="DW25" s="3">
        <v>20057245000</v>
      </c>
      <c r="DX25" s="3">
        <v>19988504000</v>
      </c>
      <c r="DY25" s="3">
        <v>137482000</v>
      </c>
      <c r="DZ25" s="3">
        <v>0</v>
      </c>
      <c r="EA25" s="3">
        <v>20125986000</v>
      </c>
      <c r="EB25" s="3">
        <v>20546086159.889999</v>
      </c>
      <c r="EC25" s="3">
        <v>137482000</v>
      </c>
      <c r="ED25" s="3">
        <v>0</v>
      </c>
      <c r="EE25" s="3">
        <v>20683568159.889999</v>
      </c>
      <c r="EF25" s="3">
        <v>20545277932.889999</v>
      </c>
      <c r="EG25" s="3">
        <v>0</v>
      </c>
      <c r="EH25" s="3">
        <v>0</v>
      </c>
      <c r="EI25" s="3">
        <v>20545277932.889999</v>
      </c>
      <c r="EJ25" s="3">
        <v>18968646537.009998</v>
      </c>
      <c r="EK25" s="3">
        <v>0</v>
      </c>
      <c r="EL25" s="3">
        <v>0</v>
      </c>
      <c r="EM25" s="3">
        <v>18968646537.009998</v>
      </c>
      <c r="EN25" s="3">
        <v>17060115014.129999</v>
      </c>
      <c r="EO25" s="3">
        <v>0</v>
      </c>
      <c r="EP25" s="3">
        <v>0</v>
      </c>
      <c r="EQ25" s="3">
        <v>17060115014.129999</v>
      </c>
      <c r="ER25" s="3">
        <v>23816776000</v>
      </c>
      <c r="ES25" s="3">
        <v>100000000</v>
      </c>
      <c r="ET25" s="3">
        <v>0</v>
      </c>
      <c r="EU25" s="3">
        <v>23916776000</v>
      </c>
      <c r="EV25" s="3">
        <v>23816776000</v>
      </c>
      <c r="EW25" s="3">
        <v>100000000</v>
      </c>
      <c r="EX25" s="3">
        <v>0</v>
      </c>
      <c r="EY25" s="3">
        <v>23916776000</v>
      </c>
      <c r="EZ25" s="3">
        <v>23816776000</v>
      </c>
      <c r="FA25" s="3">
        <v>168741000</v>
      </c>
      <c r="FB25" s="3">
        <v>0</v>
      </c>
      <c r="FC25" s="3">
        <v>23985517000</v>
      </c>
      <c r="FD25" s="3">
        <v>22269026989.720001</v>
      </c>
      <c r="FE25" s="3">
        <v>168741000</v>
      </c>
      <c r="FF25" s="3">
        <v>0</v>
      </c>
      <c r="FG25" s="3">
        <v>22437767989.720001</v>
      </c>
      <c r="FH25" s="3">
        <v>22269026989.720001</v>
      </c>
      <c r="FI25" s="3">
        <v>0</v>
      </c>
      <c r="FJ25" s="3">
        <v>0</v>
      </c>
      <c r="FK25" s="3">
        <v>22269026989.720001</v>
      </c>
      <c r="FL25" s="3">
        <v>21842872246.439999</v>
      </c>
      <c r="FM25" s="3">
        <v>0</v>
      </c>
      <c r="FN25" s="3">
        <v>0</v>
      </c>
      <c r="FO25" s="3">
        <v>21842872246.439999</v>
      </c>
      <c r="FP25" s="3">
        <v>20913163569.43</v>
      </c>
      <c r="FQ25" s="3">
        <v>0</v>
      </c>
      <c r="FR25" s="3">
        <v>0</v>
      </c>
      <c r="FS25" s="3">
        <v>20913163569.43</v>
      </c>
      <c r="FT25" s="3">
        <v>26101899000</v>
      </c>
      <c r="FU25" s="3">
        <v>100000000</v>
      </c>
      <c r="FV25" s="3">
        <v>0</v>
      </c>
      <c r="FW25" s="3">
        <v>26201899000</v>
      </c>
      <c r="FX25" s="3">
        <v>26101899000</v>
      </c>
      <c r="FY25" s="3">
        <v>100000000</v>
      </c>
      <c r="FZ25" s="3">
        <v>0</v>
      </c>
      <c r="GA25" s="3">
        <v>26201899000</v>
      </c>
      <c r="GB25" s="3">
        <v>26101899000</v>
      </c>
      <c r="GC25" s="3">
        <v>200000000</v>
      </c>
      <c r="GD25" s="3">
        <v>0</v>
      </c>
      <c r="GE25" s="3">
        <v>26301899000</v>
      </c>
      <c r="GF25" s="3">
        <v>25936353684.709999</v>
      </c>
      <c r="GG25" s="3">
        <v>200000000</v>
      </c>
      <c r="GH25" s="3">
        <v>0</v>
      </c>
      <c r="GI25" s="3">
        <v>26136353684.709999</v>
      </c>
      <c r="GJ25" s="3">
        <v>25936353684.709999</v>
      </c>
      <c r="GK25" s="3">
        <v>0</v>
      </c>
      <c r="GL25" s="3">
        <v>0</v>
      </c>
      <c r="GM25" s="3">
        <v>25936353684.709999</v>
      </c>
      <c r="GN25" s="3">
        <v>25280548151.669998</v>
      </c>
      <c r="GO25" s="3">
        <v>0</v>
      </c>
      <c r="GP25" s="3">
        <v>0</v>
      </c>
      <c r="GQ25" s="3">
        <v>25280548151.669998</v>
      </c>
      <c r="GR25" s="3">
        <v>23369997400.349998</v>
      </c>
      <c r="GS25" s="3">
        <v>0</v>
      </c>
      <c r="GT25" s="3">
        <v>0</v>
      </c>
      <c r="GU25" s="3">
        <v>23369997400.349998</v>
      </c>
      <c r="GV25" s="3">
        <v>33604713000</v>
      </c>
      <c r="GW25" s="3">
        <v>400000000</v>
      </c>
      <c r="GX25" s="3">
        <v>0</v>
      </c>
      <c r="GY25" s="3">
        <v>34004713000</v>
      </c>
      <c r="GZ25" s="3">
        <v>31912074000</v>
      </c>
      <c r="HA25" s="3">
        <v>400000000</v>
      </c>
      <c r="HB25" s="3">
        <v>0</v>
      </c>
      <c r="HC25" s="3">
        <v>32312074000</v>
      </c>
      <c r="HD25" s="3">
        <v>31912074000</v>
      </c>
      <c r="HE25" s="3">
        <v>500000000</v>
      </c>
      <c r="HF25" s="3"/>
      <c r="HG25" s="3">
        <v>32412074000</v>
      </c>
      <c r="HH25" s="3">
        <v>31216860904.220001</v>
      </c>
      <c r="HI25" s="3">
        <v>500000000</v>
      </c>
      <c r="HJ25" s="3">
        <v>0</v>
      </c>
      <c r="HK25" s="3">
        <v>31716860904.220001</v>
      </c>
      <c r="HL25" s="3">
        <v>31216860904.220001</v>
      </c>
      <c r="HM25" s="3">
        <v>0</v>
      </c>
      <c r="HN25" s="3">
        <v>0</v>
      </c>
      <c r="HO25" s="3">
        <v>31216860904.220001</v>
      </c>
      <c r="HP25" s="3">
        <v>30875253371.040001</v>
      </c>
      <c r="HQ25" s="3">
        <v>0</v>
      </c>
      <c r="HR25" s="3">
        <v>0</v>
      </c>
      <c r="HS25" s="3">
        <v>30875253371.040001</v>
      </c>
      <c r="HT25" s="3">
        <v>27559218400.82</v>
      </c>
      <c r="HU25" s="3">
        <v>0</v>
      </c>
      <c r="HV25" s="3">
        <v>0</v>
      </c>
      <c r="HW25" s="3">
        <v>27559218400.82</v>
      </c>
      <c r="HX25" s="3">
        <v>41802170000</v>
      </c>
      <c r="HY25" s="3">
        <v>496244000</v>
      </c>
      <c r="HZ25" s="3">
        <v>0</v>
      </c>
      <c r="IA25" s="3">
        <v>42298414000</v>
      </c>
      <c r="IB25" s="3">
        <v>41802170000</v>
      </c>
      <c r="IC25" s="3">
        <v>496244000</v>
      </c>
      <c r="ID25" s="3">
        <v>0</v>
      </c>
      <c r="IE25" s="3">
        <v>42298414000</v>
      </c>
      <c r="IF25" s="3"/>
      <c r="IG25" s="3"/>
      <c r="IH25" s="3"/>
      <c r="II25" s="3"/>
      <c r="IJ25" s="3"/>
      <c r="IK25" s="3"/>
      <c r="IL25" s="3"/>
      <c r="IM25" s="3"/>
      <c r="IN25" s="3"/>
      <c r="IO25" s="3"/>
      <c r="IP25" s="3"/>
      <c r="IQ25" s="3"/>
      <c r="IR25" s="3"/>
      <c r="IS25" s="3"/>
      <c r="IT25" s="3"/>
      <c r="IU25" s="3"/>
      <c r="IV25" s="3"/>
      <c r="IW25" s="3"/>
      <c r="IX25" s="3"/>
      <c r="IY25" s="3"/>
      <c r="IZ25" s="3">
        <v>31739474000</v>
      </c>
      <c r="JA25" s="3">
        <v>0</v>
      </c>
      <c r="JB25" s="3">
        <v>0</v>
      </c>
      <c r="JC25" s="3">
        <v>31739474000</v>
      </c>
      <c r="JD25" s="3"/>
      <c r="JE25" s="3"/>
      <c r="JF25" s="3"/>
      <c r="JG25" s="3"/>
    </row>
    <row r="26" spans="1:267" x14ac:dyDescent="0.25">
      <c r="A26" t="s">
        <v>505</v>
      </c>
      <c r="B26" t="s">
        <v>397</v>
      </c>
      <c r="C26" t="s">
        <v>199</v>
      </c>
      <c r="D26" t="s">
        <v>200</v>
      </c>
      <c r="E26" t="s">
        <v>224</v>
      </c>
      <c r="F26" t="s">
        <v>522</v>
      </c>
      <c r="G26" t="s">
        <v>421</v>
      </c>
      <c r="H26" s="3">
        <v>0</v>
      </c>
      <c r="I26" s="3">
        <v>0</v>
      </c>
      <c r="J26" s="3">
        <v>7800516000</v>
      </c>
      <c r="K26" s="3">
        <v>7800516000</v>
      </c>
      <c r="L26" s="3">
        <v>0</v>
      </c>
      <c r="M26" s="3">
        <v>0</v>
      </c>
      <c r="N26" s="3">
        <v>7800516000</v>
      </c>
      <c r="O26" s="3">
        <v>7800516000</v>
      </c>
      <c r="P26" s="3">
        <v>0</v>
      </c>
      <c r="Q26" s="3">
        <v>0</v>
      </c>
      <c r="R26" s="3">
        <v>7800516000</v>
      </c>
      <c r="S26" s="3">
        <v>7800516000</v>
      </c>
      <c r="T26" s="3">
        <v>0</v>
      </c>
      <c r="U26" s="3">
        <v>0</v>
      </c>
      <c r="V26" s="3">
        <v>7800516000</v>
      </c>
      <c r="W26" s="3">
        <v>7800516000</v>
      </c>
      <c r="X26" s="3">
        <v>0</v>
      </c>
      <c r="Y26" s="3">
        <v>0</v>
      </c>
      <c r="Z26" s="3">
        <v>7800516000</v>
      </c>
      <c r="AA26" s="3">
        <v>7800516000</v>
      </c>
      <c r="AB26" s="3">
        <v>0</v>
      </c>
      <c r="AC26" s="3">
        <v>0</v>
      </c>
      <c r="AD26" s="3">
        <v>4998274764.46</v>
      </c>
      <c r="AE26" s="3">
        <v>4998274764.46</v>
      </c>
      <c r="AF26" s="3">
        <v>0</v>
      </c>
      <c r="AG26" s="3">
        <v>0</v>
      </c>
      <c r="AH26" s="3">
        <v>283690994.48000002</v>
      </c>
      <c r="AI26" s="3">
        <v>283690994.48000002</v>
      </c>
      <c r="AJ26" s="3">
        <v>0</v>
      </c>
      <c r="AK26" s="3">
        <v>0</v>
      </c>
      <c r="AL26" s="3">
        <v>4116997000</v>
      </c>
      <c r="AM26" s="3">
        <v>4116997000</v>
      </c>
      <c r="AN26" s="3">
        <v>0</v>
      </c>
      <c r="AO26" s="3">
        <v>0</v>
      </c>
      <c r="AP26" s="3">
        <v>4116997000</v>
      </c>
      <c r="AQ26" s="3">
        <v>4116997000</v>
      </c>
      <c r="AR26" s="3">
        <v>0</v>
      </c>
      <c r="AS26" s="3">
        <v>0</v>
      </c>
      <c r="AT26" s="3">
        <v>4116997000</v>
      </c>
      <c r="AU26" s="3">
        <v>4116997000</v>
      </c>
      <c r="AV26" s="3">
        <v>0</v>
      </c>
      <c r="AW26" s="3">
        <v>0</v>
      </c>
      <c r="AX26" s="3">
        <v>6940600742.1800003</v>
      </c>
      <c r="AY26" s="3">
        <v>6940600742.1800003</v>
      </c>
      <c r="AZ26" s="3">
        <v>0</v>
      </c>
      <c r="BA26" s="6">
        <v>0</v>
      </c>
      <c r="BB26" s="3">
        <v>6940600742.1800003</v>
      </c>
      <c r="BC26" s="6">
        <v>6940600742.1800003</v>
      </c>
      <c r="BD26" s="3">
        <v>0</v>
      </c>
      <c r="BE26" s="3">
        <v>0</v>
      </c>
      <c r="BF26" s="3">
        <v>2336695051.7600002</v>
      </c>
      <c r="BG26" s="3">
        <v>2336695051.7600002</v>
      </c>
      <c r="BH26" s="6">
        <v>0</v>
      </c>
      <c r="BI26" s="6">
        <v>0</v>
      </c>
      <c r="BJ26" s="6">
        <v>488572448.76999998</v>
      </c>
      <c r="BK26" s="6">
        <v>488572448.76999998</v>
      </c>
      <c r="BL26" s="3">
        <v>0</v>
      </c>
      <c r="BM26" s="3">
        <v>0</v>
      </c>
      <c r="BN26" s="3">
        <v>2719309000</v>
      </c>
      <c r="BO26" s="3">
        <v>2719309000</v>
      </c>
      <c r="BP26" s="3">
        <v>0</v>
      </c>
      <c r="BQ26" s="3">
        <v>2288514000</v>
      </c>
      <c r="BR26" s="3">
        <v>419395000</v>
      </c>
      <c r="BS26" s="3">
        <v>2707909000</v>
      </c>
      <c r="BT26" s="3">
        <v>0</v>
      </c>
      <c r="BU26" s="3">
        <v>2288514000</v>
      </c>
      <c r="BV26" s="3">
        <v>419395000</v>
      </c>
      <c r="BW26" s="3">
        <v>2707909000</v>
      </c>
      <c r="BX26" s="3">
        <v>0</v>
      </c>
      <c r="BY26" s="3">
        <v>0</v>
      </c>
      <c r="BZ26" s="3">
        <v>1045266535.13</v>
      </c>
      <c r="CA26" s="3">
        <v>1045266535.13</v>
      </c>
      <c r="CB26" s="3">
        <v>0</v>
      </c>
      <c r="CC26" s="3">
        <v>0</v>
      </c>
      <c r="CD26" s="3">
        <v>1045266535.13</v>
      </c>
      <c r="CE26" s="3">
        <v>1045266535.13</v>
      </c>
      <c r="CF26" s="3">
        <v>0</v>
      </c>
      <c r="CG26" s="3">
        <v>0</v>
      </c>
      <c r="CH26" s="3">
        <v>1038917935.38</v>
      </c>
      <c r="CI26" s="3">
        <v>1038917935.38</v>
      </c>
      <c r="CJ26" s="3">
        <v>0</v>
      </c>
      <c r="CK26" s="3">
        <v>0</v>
      </c>
      <c r="CL26" s="3">
        <v>0</v>
      </c>
      <c r="CM26" s="3">
        <v>0</v>
      </c>
      <c r="CN26" s="3">
        <v>0</v>
      </c>
      <c r="CO26" s="3">
        <v>2283383000</v>
      </c>
      <c r="CP26" s="3">
        <v>435926000</v>
      </c>
      <c r="CQ26" s="3">
        <v>2719309000</v>
      </c>
      <c r="CR26" s="3">
        <v>0</v>
      </c>
      <c r="CS26" s="3">
        <v>2283383000</v>
      </c>
      <c r="CT26" s="3">
        <v>435926000</v>
      </c>
      <c r="CU26" s="3">
        <v>2719309000</v>
      </c>
      <c r="CV26" s="3">
        <v>0</v>
      </c>
      <c r="CW26" s="3">
        <v>2283383000</v>
      </c>
      <c r="CX26" s="3">
        <v>435926000</v>
      </c>
      <c r="CY26" s="3">
        <v>2719309000</v>
      </c>
      <c r="CZ26" s="3">
        <v>0</v>
      </c>
      <c r="DA26" s="3">
        <v>2283383000</v>
      </c>
      <c r="DB26" s="3">
        <v>435926000</v>
      </c>
      <c r="DC26" s="3">
        <v>2719309000</v>
      </c>
      <c r="DD26" s="3">
        <v>0</v>
      </c>
      <c r="DE26" s="3">
        <v>2283383000</v>
      </c>
      <c r="DF26" s="3">
        <v>435926000</v>
      </c>
      <c r="DG26" s="3">
        <v>2719309000</v>
      </c>
      <c r="DH26" s="3">
        <v>0</v>
      </c>
      <c r="DI26" s="3">
        <v>1336067703.0999999</v>
      </c>
      <c r="DJ26" s="3">
        <v>309011818.18000001</v>
      </c>
      <c r="DK26" s="3">
        <v>1645079521.28</v>
      </c>
      <c r="DL26" s="3">
        <v>0</v>
      </c>
      <c r="DM26" s="3">
        <v>22660818.789999999</v>
      </c>
      <c r="DN26" s="3">
        <v>11499045</v>
      </c>
      <c r="DO26" s="3">
        <v>34159863.789999999</v>
      </c>
      <c r="DP26" s="3">
        <v>0</v>
      </c>
      <c r="DQ26" s="3">
        <v>2319133000</v>
      </c>
      <c r="DR26" s="3">
        <v>400050000</v>
      </c>
      <c r="DS26" s="3">
        <v>2719183000</v>
      </c>
      <c r="DT26" s="3">
        <v>0</v>
      </c>
      <c r="DU26" s="3">
        <v>2319133000</v>
      </c>
      <c r="DV26" s="3">
        <v>405050000</v>
      </c>
      <c r="DW26" s="3">
        <v>2724183000</v>
      </c>
      <c r="DX26" s="3">
        <v>0</v>
      </c>
      <c r="DY26" s="3">
        <v>2319133000</v>
      </c>
      <c r="DZ26" s="3">
        <v>405050000</v>
      </c>
      <c r="EA26" s="3">
        <v>2724183000</v>
      </c>
      <c r="EB26" s="3">
        <v>0</v>
      </c>
      <c r="EC26" s="3">
        <v>3266448296.9000001</v>
      </c>
      <c r="ED26" s="3">
        <v>531964181.81999999</v>
      </c>
      <c r="EE26" s="3">
        <v>3798412478.7199998</v>
      </c>
      <c r="EF26" s="3">
        <v>0</v>
      </c>
      <c r="EG26" s="3">
        <v>3266448296.9000001</v>
      </c>
      <c r="EH26" s="3">
        <v>531964181.81999999</v>
      </c>
      <c r="EI26" s="3">
        <v>3798412478.7199998</v>
      </c>
      <c r="EJ26" s="3">
        <v>0</v>
      </c>
      <c r="EK26" s="3">
        <v>423132808.97000003</v>
      </c>
      <c r="EL26" s="3">
        <v>129191977.44</v>
      </c>
      <c r="EM26" s="3">
        <v>552324786.40999997</v>
      </c>
      <c r="EN26" s="3">
        <v>0</v>
      </c>
      <c r="EO26" s="3">
        <v>189548943.05000001</v>
      </c>
      <c r="EP26" s="3">
        <v>17624690.539999999</v>
      </c>
      <c r="EQ26" s="3">
        <v>207173633.59</v>
      </c>
      <c r="ER26" s="3">
        <v>0</v>
      </c>
      <c r="ES26" s="3">
        <v>2366818000</v>
      </c>
      <c r="ET26" s="3">
        <v>435926000</v>
      </c>
      <c r="EU26" s="3">
        <v>2802744000</v>
      </c>
      <c r="EV26" s="3">
        <v>0</v>
      </c>
      <c r="EW26" s="3">
        <v>2802744000</v>
      </c>
      <c r="EX26" s="3">
        <v>0</v>
      </c>
      <c r="EY26" s="3">
        <v>2802744000</v>
      </c>
      <c r="EZ26" s="3">
        <v>0</v>
      </c>
      <c r="FA26" s="3">
        <v>2802744000</v>
      </c>
      <c r="FB26" s="3">
        <v>0</v>
      </c>
      <c r="FC26" s="3">
        <v>2802744000</v>
      </c>
      <c r="FD26" s="3">
        <v>0</v>
      </c>
      <c r="FE26" s="3">
        <v>4813758810.3100004</v>
      </c>
      <c r="FF26" s="3">
        <v>282517926.57999998</v>
      </c>
      <c r="FG26" s="3">
        <v>5096276736.8900003</v>
      </c>
      <c r="FH26" s="3">
        <v>0</v>
      </c>
      <c r="FI26" s="3">
        <v>4813758810.3100004</v>
      </c>
      <c r="FJ26" s="3">
        <v>282517926.57999998</v>
      </c>
      <c r="FK26" s="3">
        <v>5096276736.8900003</v>
      </c>
      <c r="FL26" s="3">
        <v>0</v>
      </c>
      <c r="FM26" s="3">
        <v>2539005833.29</v>
      </c>
      <c r="FN26" s="3">
        <v>14077276.699999999</v>
      </c>
      <c r="FO26" s="3">
        <v>2553083109.9899998</v>
      </c>
      <c r="FP26" s="3">
        <v>0</v>
      </c>
      <c r="FQ26" s="3">
        <v>1026075420.42</v>
      </c>
      <c r="FR26" s="3">
        <v>8357762.0999999996</v>
      </c>
      <c r="FS26" s="3">
        <v>1034433182.52</v>
      </c>
      <c r="FT26" s="3">
        <v>0</v>
      </c>
      <c r="FU26" s="3">
        <v>3948690000</v>
      </c>
      <c r="FV26" s="3">
        <v>0</v>
      </c>
      <c r="FW26" s="3">
        <v>3948690000</v>
      </c>
      <c r="FX26" s="3">
        <v>0</v>
      </c>
      <c r="FY26" s="3">
        <v>3948690000</v>
      </c>
      <c r="FZ26" s="3">
        <v>0</v>
      </c>
      <c r="GA26" s="3">
        <v>3948690000</v>
      </c>
      <c r="GB26" s="3">
        <v>0</v>
      </c>
      <c r="GC26" s="3">
        <v>3948690000</v>
      </c>
      <c r="GD26" s="3">
        <v>0</v>
      </c>
      <c r="GE26" s="3">
        <v>3948690000</v>
      </c>
      <c r="GF26" s="3">
        <v>0</v>
      </c>
      <c r="GG26" s="3">
        <v>5853845000.8699999</v>
      </c>
      <c r="GH26" s="3">
        <v>0</v>
      </c>
      <c r="GI26" s="3">
        <v>5853845000.8699999</v>
      </c>
      <c r="GJ26" s="3">
        <v>0</v>
      </c>
      <c r="GK26" s="3">
        <v>5853845000.8699999</v>
      </c>
      <c r="GL26" s="3">
        <v>0</v>
      </c>
      <c r="GM26" s="3">
        <v>5853845000.8699999</v>
      </c>
      <c r="GN26" s="3">
        <v>0</v>
      </c>
      <c r="GO26" s="3">
        <v>4077135884.75</v>
      </c>
      <c r="GP26" s="3">
        <v>0</v>
      </c>
      <c r="GQ26" s="3">
        <v>4077135884.75</v>
      </c>
      <c r="GR26" s="3">
        <v>0</v>
      </c>
      <c r="GS26" s="3">
        <v>1366511536.1400001</v>
      </c>
      <c r="GT26" s="3">
        <v>0</v>
      </c>
      <c r="GU26" s="3">
        <v>1366511536.1400001</v>
      </c>
      <c r="GV26" s="3">
        <v>0</v>
      </c>
      <c r="GW26" s="3">
        <v>3500000000</v>
      </c>
      <c r="GX26" s="3">
        <v>46077000</v>
      </c>
      <c r="GY26" s="3">
        <v>3546077000</v>
      </c>
      <c r="GZ26" s="3">
        <v>0</v>
      </c>
      <c r="HA26" s="3">
        <v>3500000000</v>
      </c>
      <c r="HB26" s="3">
        <v>46077000</v>
      </c>
      <c r="HC26" s="3">
        <v>3546077000</v>
      </c>
      <c r="HD26" s="3">
        <v>0</v>
      </c>
      <c r="HE26" s="3">
        <v>3500000000</v>
      </c>
      <c r="HF26" s="3">
        <v>46077000</v>
      </c>
      <c r="HG26" s="3">
        <v>3546077000</v>
      </c>
      <c r="HH26" s="3">
        <v>0</v>
      </c>
      <c r="HI26" s="3">
        <v>4345074232.0200005</v>
      </c>
      <c r="HJ26" s="3">
        <v>46077000</v>
      </c>
      <c r="HK26" s="3">
        <v>4391151232.0200005</v>
      </c>
      <c r="HL26" s="3">
        <v>0</v>
      </c>
      <c r="HM26" s="3">
        <v>4345074232.0200005</v>
      </c>
      <c r="HN26" s="3">
        <v>46077000</v>
      </c>
      <c r="HO26" s="3">
        <v>4391151232.0200005</v>
      </c>
      <c r="HP26" s="3">
        <v>0</v>
      </c>
      <c r="HQ26" s="3">
        <v>2141690190.5999999</v>
      </c>
      <c r="HR26" s="3"/>
      <c r="HS26" s="3">
        <v>2141690190.5999999</v>
      </c>
      <c r="HT26" s="3">
        <v>0</v>
      </c>
      <c r="HU26" s="3">
        <v>449544484</v>
      </c>
      <c r="HV26" s="3">
        <v>0</v>
      </c>
      <c r="HW26" s="3">
        <v>449544484</v>
      </c>
      <c r="HX26" s="3">
        <v>0</v>
      </c>
      <c r="HY26" s="3">
        <v>2888717000</v>
      </c>
      <c r="HZ26" s="3">
        <v>0</v>
      </c>
      <c r="IA26" s="3">
        <v>2888717000</v>
      </c>
      <c r="IB26" s="3">
        <v>0</v>
      </c>
      <c r="IC26" s="3">
        <v>2888717000</v>
      </c>
      <c r="ID26" s="3">
        <v>0</v>
      </c>
      <c r="IE26" s="3">
        <v>2888717000</v>
      </c>
      <c r="IF26" s="3"/>
      <c r="IG26" s="3"/>
      <c r="IH26" s="3"/>
      <c r="II26" s="3"/>
      <c r="IJ26" s="3"/>
      <c r="IK26" s="3"/>
      <c r="IL26" s="3"/>
      <c r="IM26" s="3"/>
      <c r="IN26" s="3"/>
      <c r="IO26" s="3"/>
      <c r="IP26" s="3"/>
      <c r="IQ26" s="3"/>
      <c r="IR26" s="3"/>
      <c r="IS26" s="3"/>
      <c r="IT26" s="3"/>
      <c r="IU26" s="3"/>
      <c r="IV26" s="3"/>
      <c r="IW26" s="3"/>
      <c r="IX26" s="3"/>
      <c r="IY26" s="3"/>
      <c r="IZ26" s="3">
        <v>0</v>
      </c>
      <c r="JA26" s="3">
        <v>2888717000</v>
      </c>
      <c r="JB26" s="3">
        <v>0</v>
      </c>
      <c r="JC26" s="3">
        <v>2888717000</v>
      </c>
      <c r="JD26" s="3"/>
      <c r="JE26" s="3"/>
      <c r="JF26" s="3"/>
      <c r="JG26" s="3"/>
    </row>
    <row r="27" spans="1:267" x14ac:dyDescent="0.25">
      <c r="A27" t="s">
        <v>505</v>
      </c>
      <c r="B27" t="s">
        <v>397</v>
      </c>
      <c r="C27" t="s">
        <v>199</v>
      </c>
      <c r="D27" t="s">
        <v>200</v>
      </c>
      <c r="E27" t="s">
        <v>224</v>
      </c>
      <c r="F27" t="s">
        <v>523</v>
      </c>
      <c r="G27" t="s">
        <v>422</v>
      </c>
      <c r="H27" s="3">
        <v>0</v>
      </c>
      <c r="I27" s="3">
        <v>2990831000</v>
      </c>
      <c r="J27" s="3">
        <v>0</v>
      </c>
      <c r="K27" s="3">
        <v>2990831000</v>
      </c>
      <c r="L27" s="3">
        <v>0</v>
      </c>
      <c r="M27" s="3">
        <v>2990831000</v>
      </c>
      <c r="N27" s="3">
        <v>0</v>
      </c>
      <c r="O27" s="3">
        <v>2990831000</v>
      </c>
      <c r="P27" s="3">
        <v>0</v>
      </c>
      <c r="Q27" s="3">
        <v>2990831000</v>
      </c>
      <c r="R27" s="3">
        <v>0</v>
      </c>
      <c r="S27" s="3">
        <v>2990831000</v>
      </c>
      <c r="T27" s="3">
        <v>0</v>
      </c>
      <c r="U27" s="3">
        <v>2990246389.0300002</v>
      </c>
      <c r="V27" s="3">
        <v>0</v>
      </c>
      <c r="W27" s="3">
        <v>2990246389.0300002</v>
      </c>
      <c r="X27" s="3">
        <v>0</v>
      </c>
      <c r="Y27" s="3">
        <v>2990246389.0300002</v>
      </c>
      <c r="Z27" s="3">
        <v>0</v>
      </c>
      <c r="AA27" s="3">
        <v>2990246389.0300002</v>
      </c>
      <c r="AB27" s="3">
        <v>0</v>
      </c>
      <c r="AC27" s="3">
        <v>1041727820.55</v>
      </c>
      <c r="AD27" s="3">
        <v>0</v>
      </c>
      <c r="AE27" s="3">
        <v>1041727820.55</v>
      </c>
      <c r="AF27" s="3">
        <v>0</v>
      </c>
      <c r="AG27" s="3">
        <v>108284356.05</v>
      </c>
      <c r="AH27" s="3">
        <v>0</v>
      </c>
      <c r="AI27" s="3">
        <v>108284356.05</v>
      </c>
      <c r="AJ27" s="3">
        <v>0</v>
      </c>
      <c r="AK27" s="3">
        <v>1794499000</v>
      </c>
      <c r="AL27" s="3">
        <v>0</v>
      </c>
      <c r="AM27" s="3">
        <v>1794499000</v>
      </c>
      <c r="AN27" s="3">
        <v>0</v>
      </c>
      <c r="AO27" s="3">
        <v>1844499000</v>
      </c>
      <c r="AP27" s="3">
        <v>0</v>
      </c>
      <c r="AQ27" s="3">
        <v>1844499000</v>
      </c>
      <c r="AR27" s="3">
        <v>0</v>
      </c>
      <c r="AS27" s="3">
        <v>1844499000</v>
      </c>
      <c r="AT27" s="3">
        <v>0</v>
      </c>
      <c r="AU27" s="3">
        <v>1844499000</v>
      </c>
      <c r="AV27" s="3">
        <v>0</v>
      </c>
      <c r="AW27" s="3">
        <v>3793017568.48</v>
      </c>
      <c r="AX27" s="3">
        <v>0</v>
      </c>
      <c r="AY27" s="3">
        <v>3793017568.48</v>
      </c>
      <c r="AZ27" s="3">
        <v>0</v>
      </c>
      <c r="BA27" s="6">
        <v>3793017568.48</v>
      </c>
      <c r="BB27" s="3">
        <v>0</v>
      </c>
      <c r="BC27" s="6">
        <v>3793017568.48</v>
      </c>
      <c r="BD27" s="3">
        <v>0</v>
      </c>
      <c r="BE27" s="3">
        <v>1009339311.8200001</v>
      </c>
      <c r="BF27" s="3">
        <v>0</v>
      </c>
      <c r="BG27" s="3">
        <v>1009339311.8200001</v>
      </c>
      <c r="BH27" s="6">
        <v>0</v>
      </c>
      <c r="BI27" s="6">
        <v>158961752.53</v>
      </c>
      <c r="BJ27" s="6">
        <v>0</v>
      </c>
      <c r="BK27" s="6">
        <v>158961752.53</v>
      </c>
      <c r="BL27" s="3">
        <v>0</v>
      </c>
      <c r="BM27" s="3">
        <v>963257000</v>
      </c>
      <c r="BN27" s="3">
        <v>0</v>
      </c>
      <c r="BO27" s="3">
        <v>963257000</v>
      </c>
      <c r="BP27" s="3">
        <v>0</v>
      </c>
      <c r="BQ27" s="3">
        <v>963257000</v>
      </c>
      <c r="BR27" s="3">
        <v>0</v>
      </c>
      <c r="BS27" s="3">
        <v>963257000</v>
      </c>
      <c r="BT27" s="3">
        <v>0</v>
      </c>
      <c r="BU27" s="3">
        <v>963257000</v>
      </c>
      <c r="BV27" s="3">
        <v>0</v>
      </c>
      <c r="BW27" s="3">
        <v>963257000</v>
      </c>
      <c r="BX27" s="3">
        <v>0</v>
      </c>
      <c r="BY27" s="3">
        <v>2705559875.25</v>
      </c>
      <c r="BZ27" s="3">
        <v>0</v>
      </c>
      <c r="CA27" s="3">
        <v>2705559875.25</v>
      </c>
      <c r="CB27" s="3">
        <v>0</v>
      </c>
      <c r="CC27" s="3">
        <v>2705559875.25</v>
      </c>
      <c r="CD27" s="3">
        <v>0</v>
      </c>
      <c r="CE27" s="3">
        <v>2705559875.25</v>
      </c>
      <c r="CF27" s="3">
        <v>0</v>
      </c>
      <c r="CG27" s="3">
        <v>1856553135.0799999</v>
      </c>
      <c r="CH27" s="3">
        <v>0</v>
      </c>
      <c r="CI27" s="3">
        <v>1856553135.0799999</v>
      </c>
      <c r="CJ27" s="3">
        <v>0</v>
      </c>
      <c r="CK27" s="3">
        <v>401064534.01999998</v>
      </c>
      <c r="CL27" s="3">
        <v>0</v>
      </c>
      <c r="CM27" s="3">
        <v>401064534.01999998</v>
      </c>
      <c r="CN27" s="3">
        <v>0</v>
      </c>
      <c r="CO27" s="3">
        <v>963257000</v>
      </c>
      <c r="CP27" s="3">
        <v>0</v>
      </c>
      <c r="CQ27" s="3">
        <v>963257000</v>
      </c>
      <c r="CR27" s="3">
        <v>0</v>
      </c>
      <c r="CS27" s="3">
        <v>963257000</v>
      </c>
      <c r="CT27" s="3">
        <v>0</v>
      </c>
      <c r="CU27" s="3">
        <v>963257000</v>
      </c>
      <c r="CV27" s="3">
        <v>0</v>
      </c>
      <c r="CW27" s="3">
        <v>963257000</v>
      </c>
      <c r="CX27" s="3">
        <v>0</v>
      </c>
      <c r="CY27" s="3">
        <v>963257000</v>
      </c>
      <c r="CZ27" s="3">
        <v>0</v>
      </c>
      <c r="DA27" s="3">
        <v>1519061108.1900001</v>
      </c>
      <c r="DB27" s="3">
        <v>0</v>
      </c>
      <c r="DC27" s="3">
        <v>1519061108.1900001</v>
      </c>
      <c r="DD27" s="3">
        <v>0</v>
      </c>
      <c r="DE27" s="3">
        <v>1519061108.1900001</v>
      </c>
      <c r="DF27" s="3">
        <v>0</v>
      </c>
      <c r="DG27" s="3">
        <v>1519061108.1900001</v>
      </c>
      <c r="DH27" s="3">
        <v>0</v>
      </c>
      <c r="DI27" s="3">
        <v>394078829.57999998</v>
      </c>
      <c r="DJ27" s="3">
        <v>0</v>
      </c>
      <c r="DK27" s="3">
        <v>394078829.57999998</v>
      </c>
      <c r="DL27" s="3">
        <v>0</v>
      </c>
      <c r="DM27" s="3">
        <v>251188361.50999999</v>
      </c>
      <c r="DN27" s="3">
        <v>0</v>
      </c>
      <c r="DO27" s="3">
        <v>251188361.50999999</v>
      </c>
      <c r="DP27" s="3">
        <v>0</v>
      </c>
      <c r="DQ27" s="3">
        <v>963257000</v>
      </c>
      <c r="DR27" s="3">
        <v>0</v>
      </c>
      <c r="DS27" s="3">
        <v>963257000</v>
      </c>
      <c r="DT27" s="3">
        <v>0</v>
      </c>
      <c r="DU27" s="3">
        <v>963257000</v>
      </c>
      <c r="DV27" s="3">
        <v>0</v>
      </c>
      <c r="DW27" s="3">
        <v>963257000</v>
      </c>
      <c r="DX27" s="3">
        <v>0</v>
      </c>
      <c r="DY27" s="3">
        <v>963257000</v>
      </c>
      <c r="DZ27" s="3">
        <v>0</v>
      </c>
      <c r="EA27" s="3">
        <v>963257000</v>
      </c>
      <c r="EB27" s="3">
        <v>0</v>
      </c>
      <c r="EC27" s="3">
        <v>1640131130.1500001</v>
      </c>
      <c r="ED27" s="3">
        <v>0</v>
      </c>
      <c r="EE27" s="3">
        <v>1640131130.1500001</v>
      </c>
      <c r="EF27" s="3">
        <v>0</v>
      </c>
      <c r="EG27" s="3">
        <v>1640131130.1500001</v>
      </c>
      <c r="EH27" s="3">
        <v>0</v>
      </c>
      <c r="EI27" s="3">
        <v>1640131130.1500001</v>
      </c>
      <c r="EJ27" s="3">
        <v>0</v>
      </c>
      <c r="EK27" s="3">
        <v>169185589.56999999</v>
      </c>
      <c r="EL27" s="3">
        <v>0</v>
      </c>
      <c r="EM27" s="3">
        <v>169185589.56999999</v>
      </c>
      <c r="EN27" s="3">
        <v>0</v>
      </c>
      <c r="EO27" s="3">
        <v>32260580.84</v>
      </c>
      <c r="EP27" s="3">
        <v>0</v>
      </c>
      <c r="EQ27" s="3">
        <v>32260580.84</v>
      </c>
      <c r="ER27" s="3">
        <v>0</v>
      </c>
      <c r="ES27" s="3">
        <v>998454000</v>
      </c>
      <c r="ET27" s="3">
        <v>0</v>
      </c>
      <c r="EU27" s="3">
        <v>998454000</v>
      </c>
      <c r="EV27" s="3">
        <v>0</v>
      </c>
      <c r="EW27" s="3">
        <v>998454000</v>
      </c>
      <c r="EX27" s="3">
        <v>0</v>
      </c>
      <c r="EY27" s="3">
        <v>998454000</v>
      </c>
      <c r="EZ27" s="3">
        <v>0</v>
      </c>
      <c r="FA27" s="3">
        <v>998454000</v>
      </c>
      <c r="FB27" s="3">
        <v>0</v>
      </c>
      <c r="FC27" s="3">
        <v>998454000</v>
      </c>
      <c r="FD27" s="3">
        <v>0</v>
      </c>
      <c r="FE27" s="3">
        <v>1675063182.05</v>
      </c>
      <c r="FF27" s="3">
        <v>0</v>
      </c>
      <c r="FG27" s="3">
        <v>1675063182.05</v>
      </c>
      <c r="FH27" s="3">
        <v>0</v>
      </c>
      <c r="FI27" s="3">
        <v>1675063182.05</v>
      </c>
      <c r="FJ27" s="3">
        <v>0</v>
      </c>
      <c r="FK27" s="3">
        <v>1675063182.05</v>
      </c>
      <c r="FL27" s="3">
        <v>0</v>
      </c>
      <c r="FM27" s="3">
        <v>808286673.07000005</v>
      </c>
      <c r="FN27" s="3">
        <v>0</v>
      </c>
      <c r="FO27" s="3">
        <v>808286673.07000005</v>
      </c>
      <c r="FP27" s="3">
        <v>0</v>
      </c>
      <c r="FQ27" s="3">
        <v>89731346.230000004</v>
      </c>
      <c r="FR27" s="3">
        <v>0</v>
      </c>
      <c r="FS27" s="3">
        <v>89731346.230000004</v>
      </c>
      <c r="FT27" s="3">
        <v>0</v>
      </c>
      <c r="FU27" s="3">
        <v>12038902000</v>
      </c>
      <c r="FV27" s="3">
        <v>0</v>
      </c>
      <c r="FW27" s="3">
        <v>12038902000</v>
      </c>
      <c r="FX27" s="3">
        <v>0</v>
      </c>
      <c r="FY27" s="3">
        <v>12038902000</v>
      </c>
      <c r="FZ27" s="3">
        <v>0</v>
      </c>
      <c r="GA27" s="3">
        <v>12038902000</v>
      </c>
      <c r="GB27" s="3">
        <v>0</v>
      </c>
      <c r="GC27" s="3">
        <v>12038902000</v>
      </c>
      <c r="GD27" s="3">
        <v>0</v>
      </c>
      <c r="GE27" s="3">
        <v>12038902000</v>
      </c>
      <c r="GF27" s="3">
        <v>0</v>
      </c>
      <c r="GG27" s="3">
        <v>12734952426.59</v>
      </c>
      <c r="GH27" s="3">
        <v>0</v>
      </c>
      <c r="GI27" s="3">
        <v>12734952426.59</v>
      </c>
      <c r="GJ27" s="3">
        <v>0</v>
      </c>
      <c r="GK27" s="3">
        <v>12734952426.59</v>
      </c>
      <c r="GL27" s="3">
        <v>0</v>
      </c>
      <c r="GM27" s="3">
        <v>12734952426.59</v>
      </c>
      <c r="GN27" s="3">
        <v>0</v>
      </c>
      <c r="GO27" s="3">
        <v>7803690739.46</v>
      </c>
      <c r="GP27" s="3">
        <v>0</v>
      </c>
      <c r="GQ27" s="3">
        <v>7803690739.46</v>
      </c>
      <c r="GR27" s="3">
        <v>0</v>
      </c>
      <c r="GS27" s="3">
        <v>1340301996.8399999</v>
      </c>
      <c r="GT27" s="3">
        <v>0</v>
      </c>
      <c r="GU27" s="3">
        <v>1340301996.8399999</v>
      </c>
      <c r="GV27" s="3">
        <v>0</v>
      </c>
      <c r="GW27" s="3">
        <v>12412000000</v>
      </c>
      <c r="GX27" s="3">
        <v>0</v>
      </c>
      <c r="GY27" s="3">
        <v>12412000000</v>
      </c>
      <c r="GZ27" s="3">
        <v>0</v>
      </c>
      <c r="HA27" s="3">
        <v>12412000000</v>
      </c>
      <c r="HB27" s="3">
        <v>0</v>
      </c>
      <c r="HC27" s="3">
        <v>12412000000</v>
      </c>
      <c r="HD27" s="3">
        <v>0</v>
      </c>
      <c r="HE27" s="3">
        <v>12412000000</v>
      </c>
      <c r="HF27" s="3">
        <v>0</v>
      </c>
      <c r="HG27" s="3">
        <v>12412000000</v>
      </c>
      <c r="HH27" s="3">
        <v>100000000</v>
      </c>
      <c r="HI27" s="3">
        <v>17090968164.780001</v>
      </c>
      <c r="HJ27" s="3">
        <v>0</v>
      </c>
      <c r="HK27" s="3">
        <v>17190968164.779999</v>
      </c>
      <c r="HL27" s="3">
        <v>100000000</v>
      </c>
      <c r="HM27" s="3">
        <v>17090968164.780001</v>
      </c>
      <c r="HN27" s="3">
        <v>0</v>
      </c>
      <c r="HO27" s="3">
        <v>17190968164.779999</v>
      </c>
      <c r="HP27" s="3">
        <v>100000000</v>
      </c>
      <c r="HQ27" s="3">
        <v>9882380632.6700001</v>
      </c>
      <c r="HR27" s="3">
        <v>0</v>
      </c>
      <c r="HS27" s="3">
        <v>9982380632.6700001</v>
      </c>
      <c r="HT27" s="3">
        <v>100000000</v>
      </c>
      <c r="HU27" s="3">
        <v>2295118997.5</v>
      </c>
      <c r="HV27" s="3">
        <v>0</v>
      </c>
      <c r="HW27" s="3">
        <v>2395118997.5</v>
      </c>
      <c r="HX27" s="3">
        <v>0</v>
      </c>
      <c r="HY27" s="3">
        <v>11157962000</v>
      </c>
      <c r="HZ27" s="3">
        <v>0</v>
      </c>
      <c r="IA27" s="3">
        <v>11157962000</v>
      </c>
      <c r="IB27" s="3">
        <v>0</v>
      </c>
      <c r="IC27" s="3">
        <v>19506158000</v>
      </c>
      <c r="ID27" s="3">
        <v>0</v>
      </c>
      <c r="IE27" s="3">
        <v>19506158000</v>
      </c>
      <c r="IF27" s="3"/>
      <c r="IG27" s="3"/>
      <c r="IH27" s="3"/>
      <c r="II27" s="3"/>
      <c r="IJ27" s="3"/>
      <c r="IK27" s="3"/>
      <c r="IL27" s="3"/>
      <c r="IM27" s="3"/>
      <c r="IN27" s="3"/>
      <c r="IO27" s="3"/>
      <c r="IP27" s="3"/>
      <c r="IQ27" s="3"/>
      <c r="IR27" s="3"/>
      <c r="IS27" s="3"/>
      <c r="IT27" s="3"/>
      <c r="IU27" s="3"/>
      <c r="IV27" s="3"/>
      <c r="IW27" s="3"/>
      <c r="IX27" s="3"/>
      <c r="IY27" s="3"/>
      <c r="IZ27" s="3">
        <v>0</v>
      </c>
      <c r="JA27" s="3">
        <v>6471618000</v>
      </c>
      <c r="JB27" s="3">
        <v>0</v>
      </c>
      <c r="JC27" s="3">
        <v>6471618000</v>
      </c>
      <c r="JD27" s="3"/>
      <c r="JE27" s="3"/>
      <c r="JF27" s="3"/>
      <c r="JG27" s="3"/>
    </row>
    <row r="28" spans="1:267" x14ac:dyDescent="0.25">
      <c r="A28" t="s">
        <v>505</v>
      </c>
      <c r="B28" t="s">
        <v>397</v>
      </c>
      <c r="C28" t="s">
        <v>199</v>
      </c>
      <c r="D28" t="s">
        <v>200</v>
      </c>
      <c r="E28" t="s">
        <v>224</v>
      </c>
      <c r="F28" t="s">
        <v>524</v>
      </c>
      <c r="G28" t="s">
        <v>423</v>
      </c>
      <c r="H28" s="3">
        <v>11790000</v>
      </c>
      <c r="I28" s="3">
        <v>0</v>
      </c>
      <c r="J28" s="3">
        <v>8647590000</v>
      </c>
      <c r="K28" s="3">
        <v>8659380000</v>
      </c>
      <c r="L28" s="3">
        <v>11790000</v>
      </c>
      <c r="M28" s="3">
        <v>1463841000</v>
      </c>
      <c r="N28" s="3">
        <v>7183749000</v>
      </c>
      <c r="O28" s="3">
        <v>8659380000</v>
      </c>
      <c r="P28" s="3">
        <v>12877000</v>
      </c>
      <c r="Q28" s="3">
        <v>1463841000</v>
      </c>
      <c r="R28" s="3">
        <v>7183749000</v>
      </c>
      <c r="S28" s="3">
        <v>8660467000</v>
      </c>
      <c r="T28" s="3">
        <v>14229006.6</v>
      </c>
      <c r="U28" s="3">
        <v>1463841000</v>
      </c>
      <c r="V28" s="3">
        <v>7183749000</v>
      </c>
      <c r="W28" s="3">
        <v>8661819006.6000004</v>
      </c>
      <c r="X28" s="3">
        <v>14229006.6</v>
      </c>
      <c r="Y28" s="3">
        <v>1463841000</v>
      </c>
      <c r="Z28" s="3">
        <v>7183749000</v>
      </c>
      <c r="AA28" s="3">
        <v>8661819006.6000004</v>
      </c>
      <c r="AB28" s="3">
        <v>14229006.6</v>
      </c>
      <c r="AC28" s="3">
        <v>112213590.69</v>
      </c>
      <c r="AD28" s="3">
        <v>1048661754.47</v>
      </c>
      <c r="AE28" s="3">
        <v>1175104351.76</v>
      </c>
      <c r="AF28" s="3">
        <v>13586592.789999999</v>
      </c>
      <c r="AG28" s="3">
        <v>73430195.280000001</v>
      </c>
      <c r="AH28" s="3">
        <v>1048661754.47</v>
      </c>
      <c r="AI28" s="3">
        <v>1135678542.54</v>
      </c>
      <c r="AJ28" s="3">
        <v>13386000</v>
      </c>
      <c r="AK28" s="3">
        <v>178823000</v>
      </c>
      <c r="AL28" s="3">
        <v>4084200000</v>
      </c>
      <c r="AM28" s="3">
        <v>4276409000</v>
      </c>
      <c r="AN28" s="3">
        <v>13386000</v>
      </c>
      <c r="AO28" s="3">
        <v>178823000</v>
      </c>
      <c r="AP28" s="3">
        <v>4186280000</v>
      </c>
      <c r="AQ28" s="3">
        <v>4378489000</v>
      </c>
      <c r="AR28" s="3">
        <v>14628000</v>
      </c>
      <c r="AS28" s="3">
        <v>178823000</v>
      </c>
      <c r="AT28" s="3">
        <v>4186280000</v>
      </c>
      <c r="AU28" s="3">
        <v>4379731000</v>
      </c>
      <c r="AV28" s="3">
        <v>20469356.109999999</v>
      </c>
      <c r="AW28" s="3">
        <v>1530450409.3099999</v>
      </c>
      <c r="AX28" s="3">
        <v>10321367245.530001</v>
      </c>
      <c r="AY28" s="3">
        <v>11872287010.950001</v>
      </c>
      <c r="AZ28" s="3">
        <v>20469356.109999999</v>
      </c>
      <c r="BA28" s="6">
        <v>1530450409.3099999</v>
      </c>
      <c r="BB28" s="3">
        <v>10219287245.530001</v>
      </c>
      <c r="BC28" s="6">
        <v>11770207010.950001</v>
      </c>
      <c r="BD28" s="3">
        <v>20469356.109999999</v>
      </c>
      <c r="BE28" s="3">
        <v>1332910256.78</v>
      </c>
      <c r="BF28" s="3">
        <v>8722493466.6800003</v>
      </c>
      <c r="BG28" s="3">
        <v>10075873079.57</v>
      </c>
      <c r="BH28" s="6">
        <v>20137632.73</v>
      </c>
      <c r="BI28" s="6">
        <v>222868987.28</v>
      </c>
      <c r="BJ28" s="6">
        <v>2877794473.2399998</v>
      </c>
      <c r="BK28" s="6">
        <v>3120801093.25</v>
      </c>
      <c r="BL28" s="3">
        <v>17090000</v>
      </c>
      <c r="BM28" s="3">
        <v>14564000</v>
      </c>
      <c r="BN28" s="3">
        <v>8962340000</v>
      </c>
      <c r="BO28" s="3">
        <v>8993994000</v>
      </c>
      <c r="BP28" s="3">
        <v>17090000</v>
      </c>
      <c r="BQ28" s="3">
        <v>14564000</v>
      </c>
      <c r="BR28" s="3">
        <v>4787340000</v>
      </c>
      <c r="BS28" s="3">
        <v>4818994000</v>
      </c>
      <c r="BT28" s="3">
        <v>18687000</v>
      </c>
      <c r="BU28" s="3">
        <v>14564000</v>
      </c>
      <c r="BV28" s="3">
        <v>4787340000</v>
      </c>
      <c r="BW28" s="3">
        <v>4820591000</v>
      </c>
      <c r="BX28" s="3">
        <v>12405534.49</v>
      </c>
      <c r="BY28" s="3">
        <v>78367039.799999997</v>
      </c>
      <c r="BZ28" s="3">
        <v>5065403121.6899996</v>
      </c>
      <c r="CA28" s="3">
        <v>5156175695.9799995</v>
      </c>
      <c r="CB28" s="3">
        <v>12405534.49</v>
      </c>
      <c r="CC28" s="3">
        <v>78367039.799999997</v>
      </c>
      <c r="CD28" s="3">
        <v>5065403121.6899996</v>
      </c>
      <c r="CE28" s="3">
        <v>5156175695.9799995</v>
      </c>
      <c r="CF28" s="3">
        <v>12405534.49</v>
      </c>
      <c r="CG28" s="3">
        <v>55686543.619999997</v>
      </c>
      <c r="CH28" s="3">
        <v>3389896078.7600002</v>
      </c>
      <c r="CI28" s="3">
        <v>3457988156.8699999</v>
      </c>
      <c r="CJ28" s="3">
        <v>12185620.85</v>
      </c>
      <c r="CK28" s="3">
        <v>30599919.899999999</v>
      </c>
      <c r="CL28" s="3">
        <v>1412784873.0999999</v>
      </c>
      <c r="CM28" s="3">
        <v>1455570413.8499999</v>
      </c>
      <c r="CN28" s="3">
        <v>18918000</v>
      </c>
      <c r="CO28" s="3">
        <v>314826000</v>
      </c>
      <c r="CP28" s="3">
        <v>8662340000</v>
      </c>
      <c r="CQ28" s="3">
        <v>8996084000</v>
      </c>
      <c r="CR28" s="3">
        <v>18918000</v>
      </c>
      <c r="CS28" s="3">
        <v>314826000</v>
      </c>
      <c r="CT28" s="3">
        <v>5662340000</v>
      </c>
      <c r="CU28" s="3">
        <v>5996084000</v>
      </c>
      <c r="CV28" s="3">
        <v>20697000</v>
      </c>
      <c r="CW28" s="3">
        <v>314826000</v>
      </c>
      <c r="CX28" s="3">
        <v>5662340000</v>
      </c>
      <c r="CY28" s="3">
        <v>5997863000</v>
      </c>
      <c r="CZ28" s="3">
        <v>20063217.420000002</v>
      </c>
      <c r="DA28" s="3">
        <v>315066647.64999998</v>
      </c>
      <c r="DB28" s="3">
        <v>7059783921.2399998</v>
      </c>
      <c r="DC28" s="3">
        <v>7394913786.3100004</v>
      </c>
      <c r="DD28" s="3">
        <v>20063217.420000002</v>
      </c>
      <c r="DE28" s="3">
        <v>315066647.64999998</v>
      </c>
      <c r="DF28" s="3">
        <v>7059783921.2399998</v>
      </c>
      <c r="DG28" s="3">
        <v>7394913786.3100004</v>
      </c>
      <c r="DH28" s="3">
        <v>19968912.18</v>
      </c>
      <c r="DI28" s="3">
        <v>252178168.63999999</v>
      </c>
      <c r="DJ28" s="3">
        <v>5382480407.71</v>
      </c>
      <c r="DK28" s="3">
        <v>5654627488.5299997</v>
      </c>
      <c r="DL28" s="3">
        <v>19961308.210000001</v>
      </c>
      <c r="DM28" s="3">
        <v>72856113.790000007</v>
      </c>
      <c r="DN28" s="3">
        <v>1599440119.4100001</v>
      </c>
      <c r="DO28" s="3">
        <v>1692257541.4100001</v>
      </c>
      <c r="DP28" s="3">
        <v>18740000</v>
      </c>
      <c r="DQ28" s="3">
        <v>314826000</v>
      </c>
      <c r="DR28" s="3">
        <v>11315149000</v>
      </c>
      <c r="DS28" s="3">
        <v>11648715000</v>
      </c>
      <c r="DT28" s="3">
        <v>18740000</v>
      </c>
      <c r="DU28" s="3">
        <v>424826000</v>
      </c>
      <c r="DV28" s="3">
        <v>11317307000</v>
      </c>
      <c r="DW28" s="3">
        <v>11760873000</v>
      </c>
      <c r="DX28" s="3">
        <v>20497000</v>
      </c>
      <c r="DY28" s="3">
        <v>424826000</v>
      </c>
      <c r="DZ28" s="3">
        <v>11317307000</v>
      </c>
      <c r="EA28" s="3">
        <v>11762630000</v>
      </c>
      <c r="EB28" s="3">
        <v>23847872.300000001</v>
      </c>
      <c r="EC28" s="3">
        <v>2529059368.3600001</v>
      </c>
      <c r="ED28" s="3">
        <v>10515709121.379999</v>
      </c>
      <c r="EE28" s="3">
        <v>13068616362.040001</v>
      </c>
      <c r="EF28" s="3">
        <v>23847872.300000001</v>
      </c>
      <c r="EG28" s="3">
        <v>2529059368.3600001</v>
      </c>
      <c r="EH28" s="3">
        <v>10515709121.379999</v>
      </c>
      <c r="EI28" s="3">
        <v>13068616362.040001</v>
      </c>
      <c r="EJ28" s="3">
        <v>23846533.850000001</v>
      </c>
      <c r="EK28" s="3">
        <v>2095175939.05</v>
      </c>
      <c r="EL28" s="3">
        <v>915342566.76999998</v>
      </c>
      <c r="EM28" s="3">
        <v>3034365039.6700001</v>
      </c>
      <c r="EN28" s="3">
        <v>23741729.07</v>
      </c>
      <c r="EO28" s="3">
        <v>2007965682.1600001</v>
      </c>
      <c r="EP28" s="3">
        <v>127359958.45</v>
      </c>
      <c r="EQ28" s="3">
        <v>2159067369.6799998</v>
      </c>
      <c r="ER28" s="3">
        <v>21416000</v>
      </c>
      <c r="ES28" s="3">
        <v>2859394000</v>
      </c>
      <c r="ET28" s="3">
        <v>6021118000</v>
      </c>
      <c r="EU28" s="3">
        <v>8901928000</v>
      </c>
      <c r="EV28" s="3">
        <v>21416000</v>
      </c>
      <c r="EW28" s="3">
        <v>2859394000</v>
      </c>
      <c r="EX28" s="3">
        <v>8479719000</v>
      </c>
      <c r="EY28" s="3">
        <v>11360529000</v>
      </c>
      <c r="EZ28" s="3">
        <v>23421000</v>
      </c>
      <c r="FA28" s="3">
        <v>2859394000</v>
      </c>
      <c r="FB28" s="3">
        <v>8479719000</v>
      </c>
      <c r="FC28" s="3">
        <v>11362534000</v>
      </c>
      <c r="FD28" s="3">
        <v>26685421.550000001</v>
      </c>
      <c r="FE28" s="3">
        <v>3242739560.3699999</v>
      </c>
      <c r="FF28" s="3">
        <v>17280814543.09</v>
      </c>
      <c r="FG28" s="3">
        <v>20550239525.009998</v>
      </c>
      <c r="FH28" s="3">
        <v>26685421.550000001</v>
      </c>
      <c r="FI28" s="3">
        <v>3242739560.3699999</v>
      </c>
      <c r="FJ28" s="3">
        <v>17279510343.09</v>
      </c>
      <c r="FK28" s="3">
        <v>20548935325.009998</v>
      </c>
      <c r="FL28" s="3">
        <v>26643871.079999998</v>
      </c>
      <c r="FM28" s="3">
        <v>2382818820.8200002</v>
      </c>
      <c r="FN28" s="3">
        <v>7879659791.1199999</v>
      </c>
      <c r="FO28" s="3">
        <v>10289122483.02</v>
      </c>
      <c r="FP28" s="3">
        <v>25634032.850000001</v>
      </c>
      <c r="FQ28" s="3">
        <v>2275244876.8400002</v>
      </c>
      <c r="FR28" s="3">
        <v>94067136.700000003</v>
      </c>
      <c r="FS28" s="3">
        <v>2394946046.3899999</v>
      </c>
      <c r="FT28" s="3">
        <v>21580000</v>
      </c>
      <c r="FU28" s="3">
        <v>2859394000</v>
      </c>
      <c r="FV28" s="3">
        <v>6021118000</v>
      </c>
      <c r="FW28" s="3">
        <v>8902092000</v>
      </c>
      <c r="FX28" s="3">
        <v>21580000</v>
      </c>
      <c r="FY28" s="3">
        <v>2859394000</v>
      </c>
      <c r="FZ28" s="3">
        <v>6021118000</v>
      </c>
      <c r="GA28" s="3">
        <v>8902092000</v>
      </c>
      <c r="GB28" s="3">
        <v>23601000</v>
      </c>
      <c r="GC28" s="3">
        <v>2859394000</v>
      </c>
      <c r="GD28" s="3">
        <v>6022422200</v>
      </c>
      <c r="GE28" s="3">
        <v>8905417200</v>
      </c>
      <c r="GF28" s="3">
        <v>24978725.399999999</v>
      </c>
      <c r="GG28" s="3">
        <v>17390223856.369999</v>
      </c>
      <c r="GH28" s="3">
        <v>670029247.46000004</v>
      </c>
      <c r="GI28" s="3">
        <v>18085231829.23</v>
      </c>
      <c r="GJ28" s="3">
        <v>24978725.399999999</v>
      </c>
      <c r="GK28" s="3">
        <v>17390223856.369999</v>
      </c>
      <c r="GL28" s="3">
        <v>670029247.46000004</v>
      </c>
      <c r="GM28" s="3">
        <v>18085231829.23</v>
      </c>
      <c r="GN28" s="3">
        <v>24741679.68</v>
      </c>
      <c r="GO28" s="3">
        <v>16312427920.24</v>
      </c>
      <c r="GP28" s="3">
        <v>244835863.65000001</v>
      </c>
      <c r="GQ28" s="3">
        <v>16582005463.57</v>
      </c>
      <c r="GR28" s="3">
        <v>24403826.710000001</v>
      </c>
      <c r="GS28" s="3">
        <v>7413085439.5600004</v>
      </c>
      <c r="GT28" s="3">
        <v>172814759.78</v>
      </c>
      <c r="GU28" s="3">
        <v>7610304026.0500002</v>
      </c>
      <c r="GV28" s="3">
        <v>21430000</v>
      </c>
      <c r="GW28" s="3">
        <v>12357631000</v>
      </c>
      <c r="GX28" s="3">
        <v>0</v>
      </c>
      <c r="GY28" s="3">
        <v>12379061000</v>
      </c>
      <c r="GZ28" s="3">
        <v>21430000</v>
      </c>
      <c r="HA28" s="3">
        <v>2409131000</v>
      </c>
      <c r="HB28" s="3">
        <v>0</v>
      </c>
      <c r="HC28" s="3">
        <v>2430561000</v>
      </c>
      <c r="HD28" s="3">
        <v>23425000</v>
      </c>
      <c r="HE28" s="3">
        <v>2409131000</v>
      </c>
      <c r="HF28" s="3">
        <v>0</v>
      </c>
      <c r="HG28" s="3">
        <v>2432556000</v>
      </c>
      <c r="HH28" s="3">
        <v>223425000</v>
      </c>
      <c r="HI28" s="3">
        <v>3148928711</v>
      </c>
      <c r="HJ28" s="3">
        <v>419288369</v>
      </c>
      <c r="HK28" s="3">
        <v>3791642080</v>
      </c>
      <c r="HL28" s="3">
        <v>223425000</v>
      </c>
      <c r="HM28" s="3">
        <v>3148928711</v>
      </c>
      <c r="HN28" s="3">
        <v>419288369</v>
      </c>
      <c r="HO28" s="3">
        <v>3791642080</v>
      </c>
      <c r="HP28" s="3">
        <v>221225751.25</v>
      </c>
      <c r="HQ28" s="3">
        <v>2907106542.1500001</v>
      </c>
      <c r="HR28" s="3">
        <v>389307025.07999998</v>
      </c>
      <c r="HS28" s="3">
        <v>3517639318.48</v>
      </c>
      <c r="HT28" s="3">
        <v>220948107.19999999</v>
      </c>
      <c r="HU28" s="3">
        <v>1583742874.97</v>
      </c>
      <c r="HV28" s="3">
        <v>33132427.280000001</v>
      </c>
      <c r="HW28" s="3">
        <v>1837823409.45</v>
      </c>
      <c r="HX28" s="3">
        <v>20108000</v>
      </c>
      <c r="HY28" s="3">
        <v>16428816000</v>
      </c>
      <c r="HZ28" s="3">
        <v>0</v>
      </c>
      <c r="IA28" s="3">
        <v>16448924000</v>
      </c>
      <c r="IB28" s="3">
        <v>20108000</v>
      </c>
      <c r="IC28" s="3">
        <v>10660167000</v>
      </c>
      <c r="ID28" s="3">
        <v>0</v>
      </c>
      <c r="IE28" s="3">
        <v>10680275000</v>
      </c>
      <c r="IF28" s="3"/>
      <c r="IG28" s="3"/>
      <c r="IH28" s="3"/>
      <c r="II28" s="3"/>
      <c r="IJ28" s="3"/>
      <c r="IK28" s="3"/>
      <c r="IL28" s="3"/>
      <c r="IM28" s="3"/>
      <c r="IN28" s="3"/>
      <c r="IO28" s="3"/>
      <c r="IP28" s="3"/>
      <c r="IQ28" s="3"/>
      <c r="IR28" s="3"/>
      <c r="IS28" s="3"/>
      <c r="IT28" s="3"/>
      <c r="IU28" s="3"/>
      <c r="IV28" s="3"/>
      <c r="IW28" s="3"/>
      <c r="IX28" s="3"/>
      <c r="IY28" s="3"/>
      <c r="IZ28" s="3">
        <v>18913000</v>
      </c>
      <c r="JA28" s="3">
        <v>5768671000</v>
      </c>
      <c r="JB28" s="3">
        <v>0</v>
      </c>
      <c r="JC28" s="3">
        <v>5787584000</v>
      </c>
      <c r="JD28" s="3"/>
      <c r="JE28" s="3"/>
      <c r="JF28" s="3"/>
      <c r="JG28" s="3"/>
    </row>
    <row r="29" spans="1:267" x14ac:dyDescent="0.25">
      <c r="A29" t="s">
        <v>505</v>
      </c>
      <c r="B29" t="s">
        <v>397</v>
      </c>
      <c r="C29" t="s">
        <v>199</v>
      </c>
      <c r="D29" t="s">
        <v>200</v>
      </c>
      <c r="E29" t="s">
        <v>224</v>
      </c>
      <c r="F29" t="s">
        <v>525</v>
      </c>
      <c r="G29" t="s">
        <v>424</v>
      </c>
      <c r="H29" s="3">
        <v>0</v>
      </c>
      <c r="I29" s="3">
        <v>3478385000</v>
      </c>
      <c r="J29" s="3">
        <v>122554916000</v>
      </c>
      <c r="K29" s="3">
        <v>126033301000</v>
      </c>
      <c r="L29" s="3">
        <v>0</v>
      </c>
      <c r="M29" s="3">
        <v>3478385000</v>
      </c>
      <c r="N29" s="3">
        <v>101982902000</v>
      </c>
      <c r="O29" s="3">
        <v>105461287000</v>
      </c>
      <c r="P29" s="3">
        <v>0</v>
      </c>
      <c r="Q29" s="3">
        <v>3478385000</v>
      </c>
      <c r="R29" s="3">
        <v>101982902000</v>
      </c>
      <c r="S29" s="3">
        <v>105461287000</v>
      </c>
      <c r="T29" s="3">
        <v>0</v>
      </c>
      <c r="U29" s="3">
        <v>3478385000</v>
      </c>
      <c r="V29" s="3">
        <v>13419047049</v>
      </c>
      <c r="W29" s="3">
        <v>16897432049</v>
      </c>
      <c r="X29" s="3">
        <v>0</v>
      </c>
      <c r="Y29" s="3">
        <v>3478385000</v>
      </c>
      <c r="Z29" s="3">
        <v>13417103401</v>
      </c>
      <c r="AA29" s="3">
        <v>16895488401</v>
      </c>
      <c r="AB29" s="3">
        <v>0</v>
      </c>
      <c r="AC29" s="3">
        <v>2935367795.75</v>
      </c>
      <c r="AD29" s="3">
        <v>12076794826.969999</v>
      </c>
      <c r="AE29" s="3">
        <v>15012162622.719999</v>
      </c>
      <c r="AF29" s="3">
        <v>0</v>
      </c>
      <c r="AG29" s="3">
        <v>52981849.539999999</v>
      </c>
      <c r="AH29" s="3">
        <v>7779435193.1499996</v>
      </c>
      <c r="AI29" s="3">
        <v>7832417042.6899996</v>
      </c>
      <c r="AJ29" s="3">
        <v>0</v>
      </c>
      <c r="AK29" s="3">
        <v>2137968000</v>
      </c>
      <c r="AL29" s="3">
        <v>32604486000</v>
      </c>
      <c r="AM29" s="3">
        <v>34742454000</v>
      </c>
      <c r="AN29" s="3">
        <v>0</v>
      </c>
      <c r="AO29" s="3">
        <v>2137968000</v>
      </c>
      <c r="AP29" s="3">
        <v>28835048000</v>
      </c>
      <c r="AQ29" s="3">
        <v>30973016000</v>
      </c>
      <c r="AR29" s="3">
        <v>0</v>
      </c>
      <c r="AS29" s="3">
        <v>2137968000</v>
      </c>
      <c r="AT29" s="3">
        <v>28835048000</v>
      </c>
      <c r="AU29" s="3">
        <v>30973016000</v>
      </c>
      <c r="AV29" s="3">
        <v>0</v>
      </c>
      <c r="AW29" s="3">
        <v>2689599988.25</v>
      </c>
      <c r="AX29" s="3">
        <v>13266186784.07</v>
      </c>
      <c r="AY29" s="3">
        <v>15955786772.32</v>
      </c>
      <c r="AZ29" s="3">
        <v>0</v>
      </c>
      <c r="BA29" s="6">
        <v>2689599988.25</v>
      </c>
      <c r="BB29" s="3">
        <v>13265962201.07</v>
      </c>
      <c r="BC29" s="6">
        <v>15955562189.32</v>
      </c>
      <c r="BD29" s="3">
        <v>0</v>
      </c>
      <c r="BE29" s="3">
        <v>2536590767.4299998</v>
      </c>
      <c r="BF29" s="3">
        <v>11431337997.84</v>
      </c>
      <c r="BG29" s="3">
        <v>13967928765.27</v>
      </c>
      <c r="BH29" s="6">
        <v>0</v>
      </c>
      <c r="BI29" s="6">
        <v>763369997.78999996</v>
      </c>
      <c r="BJ29" s="6">
        <v>6142330769.8900003</v>
      </c>
      <c r="BK29" s="6">
        <v>6905700767.6800003</v>
      </c>
      <c r="BL29" s="3">
        <v>0</v>
      </c>
      <c r="BM29" s="3">
        <v>4833515000</v>
      </c>
      <c r="BN29" s="3">
        <v>31172579000</v>
      </c>
      <c r="BO29" s="3">
        <v>36006094000</v>
      </c>
      <c r="BP29" s="3">
        <v>0</v>
      </c>
      <c r="BQ29" s="3">
        <v>4833515000</v>
      </c>
      <c r="BR29" s="3">
        <v>24672579000</v>
      </c>
      <c r="BS29" s="3">
        <v>29506094000</v>
      </c>
      <c r="BT29" s="3">
        <v>0</v>
      </c>
      <c r="BU29" s="3">
        <v>4833515000</v>
      </c>
      <c r="BV29" s="3">
        <v>24672579000</v>
      </c>
      <c r="BW29" s="3">
        <v>29506094000</v>
      </c>
      <c r="BX29" s="3">
        <v>0</v>
      </c>
      <c r="BY29" s="3">
        <v>142883241.78999999</v>
      </c>
      <c r="BZ29" s="3">
        <v>11727051416.110001</v>
      </c>
      <c r="CA29" s="3">
        <v>11869934657.9</v>
      </c>
      <c r="CB29" s="3">
        <v>0</v>
      </c>
      <c r="CC29" s="3">
        <v>142883241.78999999</v>
      </c>
      <c r="CD29" s="3">
        <v>11226330024.110001</v>
      </c>
      <c r="CE29" s="3">
        <v>11369213265.9</v>
      </c>
      <c r="CF29" s="3">
        <v>0</v>
      </c>
      <c r="CG29" s="3">
        <v>114985003.2</v>
      </c>
      <c r="CH29" s="3">
        <v>10370718701.290001</v>
      </c>
      <c r="CI29" s="3">
        <v>10485703704.49</v>
      </c>
      <c r="CJ29" s="3">
        <v>0</v>
      </c>
      <c r="CK29" s="3">
        <v>2347100</v>
      </c>
      <c r="CL29" s="3">
        <v>4459419638.4200001</v>
      </c>
      <c r="CM29" s="3">
        <v>4461766738.4200001</v>
      </c>
      <c r="CN29" s="3">
        <v>0</v>
      </c>
      <c r="CO29" s="3">
        <v>4833515000</v>
      </c>
      <c r="CP29" s="3">
        <v>19313016000</v>
      </c>
      <c r="CQ29" s="3">
        <v>24146531000</v>
      </c>
      <c r="CR29" s="3">
        <v>0</v>
      </c>
      <c r="CS29" s="3">
        <v>1833515000</v>
      </c>
      <c r="CT29" s="3">
        <v>9313016000</v>
      </c>
      <c r="CU29" s="3">
        <v>11146531000</v>
      </c>
      <c r="CV29" s="3">
        <v>0</v>
      </c>
      <c r="CW29" s="3">
        <v>1833515000</v>
      </c>
      <c r="CX29" s="3">
        <v>9313016000</v>
      </c>
      <c r="CY29" s="3">
        <v>11146531000</v>
      </c>
      <c r="CZ29" s="3">
        <v>0</v>
      </c>
      <c r="DA29" s="3">
        <v>1833515000</v>
      </c>
      <c r="DB29" s="3">
        <v>7633850701.8299999</v>
      </c>
      <c r="DC29" s="3">
        <v>9467365701.8299999</v>
      </c>
      <c r="DD29" s="3">
        <v>0</v>
      </c>
      <c r="DE29" s="3">
        <v>1833515000</v>
      </c>
      <c r="DF29" s="3">
        <v>7633813514.8299999</v>
      </c>
      <c r="DG29" s="3">
        <v>9467328514.8299999</v>
      </c>
      <c r="DH29" s="3">
        <v>0</v>
      </c>
      <c r="DI29" s="3">
        <v>121721865.06999999</v>
      </c>
      <c r="DJ29" s="3">
        <v>7361545588.3900003</v>
      </c>
      <c r="DK29" s="3">
        <v>7483267453.46</v>
      </c>
      <c r="DL29" s="3">
        <v>0</v>
      </c>
      <c r="DM29" s="3">
        <v>14537440</v>
      </c>
      <c r="DN29" s="3">
        <v>5088716592.3900003</v>
      </c>
      <c r="DO29" s="3">
        <v>5103254032.3900003</v>
      </c>
      <c r="DP29" s="3">
        <v>0</v>
      </c>
      <c r="DQ29" s="3">
        <v>1115744000</v>
      </c>
      <c r="DR29" s="3">
        <v>4325919000</v>
      </c>
      <c r="DS29" s="3">
        <v>5441663000</v>
      </c>
      <c r="DT29" s="3">
        <v>0</v>
      </c>
      <c r="DU29" s="3">
        <v>1115744000</v>
      </c>
      <c r="DV29" s="3">
        <v>4833669000</v>
      </c>
      <c r="DW29" s="3">
        <v>5949413000</v>
      </c>
      <c r="DX29" s="3">
        <v>0</v>
      </c>
      <c r="DY29" s="3">
        <v>1115744000</v>
      </c>
      <c r="DZ29" s="3">
        <v>4833706187</v>
      </c>
      <c r="EA29" s="3">
        <v>5949450187</v>
      </c>
      <c r="EB29" s="3">
        <v>0</v>
      </c>
      <c r="EC29" s="3">
        <v>2827537134.9299998</v>
      </c>
      <c r="ED29" s="3">
        <v>1758744308.8599999</v>
      </c>
      <c r="EE29" s="3">
        <v>4586281443.79</v>
      </c>
      <c r="EF29" s="3">
        <v>0</v>
      </c>
      <c r="EG29" s="3">
        <v>2827537134.9299998</v>
      </c>
      <c r="EH29" s="3">
        <v>1682713071.8599999</v>
      </c>
      <c r="EI29" s="3">
        <v>4510250206.79</v>
      </c>
      <c r="EJ29" s="3">
        <v>0</v>
      </c>
      <c r="EK29" s="3">
        <v>1499734028.99</v>
      </c>
      <c r="EL29" s="3">
        <v>1411438029.6700001</v>
      </c>
      <c r="EM29" s="3">
        <v>2911172058.6599998</v>
      </c>
      <c r="EN29" s="3">
        <v>0</v>
      </c>
      <c r="EO29" s="3">
        <v>1266575972.6300001</v>
      </c>
      <c r="EP29" s="3">
        <v>917297228.57000005</v>
      </c>
      <c r="EQ29" s="3">
        <v>2183873201.1999998</v>
      </c>
      <c r="ER29" s="3">
        <v>0</v>
      </c>
      <c r="ES29" s="3">
        <v>1833515000</v>
      </c>
      <c r="ET29" s="3">
        <v>7968800000</v>
      </c>
      <c r="EU29" s="3">
        <v>9802315000</v>
      </c>
      <c r="EV29" s="3">
        <v>0</v>
      </c>
      <c r="EW29" s="3">
        <v>1833515000</v>
      </c>
      <c r="EX29" s="3">
        <v>21584382000</v>
      </c>
      <c r="EY29" s="3">
        <v>23417897000</v>
      </c>
      <c r="EZ29" s="3">
        <v>0</v>
      </c>
      <c r="FA29" s="3">
        <v>1833515000</v>
      </c>
      <c r="FB29" s="3">
        <v>21660376050</v>
      </c>
      <c r="FC29" s="3">
        <v>23493891050</v>
      </c>
      <c r="FD29" s="3">
        <v>0</v>
      </c>
      <c r="FE29" s="3">
        <v>2844334578.8600001</v>
      </c>
      <c r="FF29" s="3">
        <v>1313919320.48</v>
      </c>
      <c r="FG29" s="3">
        <v>4158253899.3400002</v>
      </c>
      <c r="FH29" s="3">
        <v>0</v>
      </c>
      <c r="FI29" s="3">
        <v>2844334578.8600001</v>
      </c>
      <c r="FJ29" s="3">
        <v>1212440440.48</v>
      </c>
      <c r="FK29" s="3">
        <v>4056775019.3400002</v>
      </c>
      <c r="FL29" s="3">
        <v>0</v>
      </c>
      <c r="FM29" s="3">
        <v>938074882.79999995</v>
      </c>
      <c r="FN29" s="3">
        <v>766380560.61000001</v>
      </c>
      <c r="FO29" s="3">
        <v>1704455443.4100001</v>
      </c>
      <c r="FP29" s="3">
        <v>0</v>
      </c>
      <c r="FQ29" s="3">
        <v>44270064.600000001</v>
      </c>
      <c r="FR29" s="3">
        <v>611022971.52999997</v>
      </c>
      <c r="FS29" s="3">
        <v>655293036.13</v>
      </c>
      <c r="FT29" s="3">
        <v>0</v>
      </c>
      <c r="FU29" s="3">
        <v>2466095000</v>
      </c>
      <c r="FV29" s="3">
        <v>31289800000</v>
      </c>
      <c r="FW29" s="3">
        <v>33755895000</v>
      </c>
      <c r="FX29" s="3">
        <v>0</v>
      </c>
      <c r="FY29" s="3">
        <v>2466095000</v>
      </c>
      <c r="FZ29" s="3">
        <v>31389800000</v>
      </c>
      <c r="GA29" s="3">
        <v>33855895000</v>
      </c>
      <c r="GB29" s="3">
        <v>0</v>
      </c>
      <c r="GC29" s="3">
        <v>2466095000</v>
      </c>
      <c r="GD29" s="3">
        <v>31415284830</v>
      </c>
      <c r="GE29" s="3">
        <v>33881379830</v>
      </c>
      <c r="GF29" s="3">
        <v>0</v>
      </c>
      <c r="GG29" s="3">
        <v>4096061298.9099998</v>
      </c>
      <c r="GH29" s="3">
        <v>5198040067.9799995</v>
      </c>
      <c r="GI29" s="3">
        <v>9294101366.8899994</v>
      </c>
      <c r="GJ29" s="3">
        <v>0</v>
      </c>
      <c r="GK29" s="3">
        <v>4096061298.9099998</v>
      </c>
      <c r="GL29" s="3">
        <v>4500699433.9799995</v>
      </c>
      <c r="GM29" s="3">
        <v>8596760732.8899994</v>
      </c>
      <c r="GN29" s="3">
        <v>0</v>
      </c>
      <c r="GO29" s="3">
        <v>1458361454.9100001</v>
      </c>
      <c r="GP29" s="3">
        <v>2842985373.6300001</v>
      </c>
      <c r="GQ29" s="3">
        <v>4301346828.54</v>
      </c>
      <c r="GR29" s="3">
        <v>0</v>
      </c>
      <c r="GS29" s="3">
        <v>814575723.96000004</v>
      </c>
      <c r="GT29" s="3">
        <v>1542993980.1600001</v>
      </c>
      <c r="GU29" s="3">
        <v>2357569704.1199999</v>
      </c>
      <c r="GV29" s="3">
        <v>0</v>
      </c>
      <c r="GW29" s="3">
        <v>2615216000</v>
      </c>
      <c r="GX29" s="3">
        <v>26692800000</v>
      </c>
      <c r="GY29" s="3">
        <v>29308016000</v>
      </c>
      <c r="GZ29" s="3">
        <v>0</v>
      </c>
      <c r="HA29" s="3">
        <v>2615216000</v>
      </c>
      <c r="HB29" s="3">
        <v>25440800000</v>
      </c>
      <c r="HC29" s="3">
        <v>28056016000</v>
      </c>
      <c r="HD29" s="3">
        <v>0</v>
      </c>
      <c r="HE29" s="3">
        <v>2615216000</v>
      </c>
      <c r="HF29" s="3">
        <v>26138140634</v>
      </c>
      <c r="HG29" s="3">
        <v>28753356634</v>
      </c>
      <c r="HH29" s="3">
        <v>0</v>
      </c>
      <c r="HI29" s="3">
        <v>5081311000</v>
      </c>
      <c r="HJ29" s="3">
        <v>3871363675.3299999</v>
      </c>
      <c r="HK29" s="3">
        <v>8952674675.3299999</v>
      </c>
      <c r="HL29" s="3">
        <v>0</v>
      </c>
      <c r="HM29" s="3">
        <v>5081308010</v>
      </c>
      <c r="HN29" s="3">
        <v>3853185822.3299999</v>
      </c>
      <c r="HO29" s="3">
        <v>8934493832.3299999</v>
      </c>
      <c r="HP29" s="3">
        <v>0</v>
      </c>
      <c r="HQ29" s="3">
        <v>2301692036.8000002</v>
      </c>
      <c r="HR29" s="3">
        <v>3447838281.6700001</v>
      </c>
      <c r="HS29" s="3">
        <v>5749530318.4700003</v>
      </c>
      <c r="HT29" s="3">
        <v>0</v>
      </c>
      <c r="HU29" s="3">
        <v>198078941.18000001</v>
      </c>
      <c r="HV29" s="3">
        <v>2257322650.3000002</v>
      </c>
      <c r="HW29" s="3">
        <v>2455401591.48</v>
      </c>
      <c r="HX29" s="3">
        <v>0</v>
      </c>
      <c r="HY29" s="3">
        <v>2615216000</v>
      </c>
      <c r="HZ29" s="3">
        <v>25440800000</v>
      </c>
      <c r="IA29" s="3">
        <v>28056016000</v>
      </c>
      <c r="IB29" s="3">
        <v>0</v>
      </c>
      <c r="IC29" s="3">
        <v>5190476000</v>
      </c>
      <c r="ID29" s="3">
        <v>80206105000</v>
      </c>
      <c r="IE29" s="3">
        <v>85396581000</v>
      </c>
      <c r="IF29" s="3"/>
      <c r="IG29" s="3"/>
      <c r="IH29" s="3"/>
      <c r="II29" s="3"/>
      <c r="IJ29" s="3"/>
      <c r="IK29" s="3"/>
      <c r="IL29" s="3"/>
      <c r="IM29" s="3"/>
      <c r="IN29" s="3"/>
      <c r="IO29" s="3"/>
      <c r="IP29" s="3"/>
      <c r="IQ29" s="3"/>
      <c r="IR29" s="3"/>
      <c r="IS29" s="3"/>
      <c r="IT29" s="3"/>
      <c r="IU29" s="3"/>
      <c r="IV29" s="3"/>
      <c r="IW29" s="3"/>
      <c r="IX29" s="3"/>
      <c r="IY29" s="3"/>
      <c r="IZ29" s="3">
        <v>0</v>
      </c>
      <c r="JA29" s="3">
        <v>3660380000</v>
      </c>
      <c r="JB29" s="3">
        <v>26890636000</v>
      </c>
      <c r="JC29" s="3">
        <v>30551016000</v>
      </c>
      <c r="JD29" s="3"/>
      <c r="JE29" s="3"/>
      <c r="JF29" s="3"/>
      <c r="JG29" s="3"/>
    </row>
    <row r="30" spans="1:267" x14ac:dyDescent="0.25">
      <c r="A30" t="s">
        <v>505</v>
      </c>
      <c r="B30" t="s">
        <v>397</v>
      </c>
      <c r="C30" t="s">
        <v>199</v>
      </c>
      <c r="D30" t="s">
        <v>200</v>
      </c>
      <c r="E30" t="s">
        <v>224</v>
      </c>
      <c r="F30" t="s">
        <v>526</v>
      </c>
      <c r="G30" t="s">
        <v>425</v>
      </c>
      <c r="H30" s="3">
        <v>0</v>
      </c>
      <c r="I30" s="3">
        <v>0</v>
      </c>
      <c r="J30" s="3">
        <v>300000000</v>
      </c>
      <c r="K30" s="3">
        <v>300000000</v>
      </c>
      <c r="L30" s="3">
        <v>0</v>
      </c>
      <c r="M30" s="3">
        <v>0</v>
      </c>
      <c r="N30" s="3">
        <v>2000000000</v>
      </c>
      <c r="O30" s="3">
        <v>2000000000</v>
      </c>
      <c r="P30" s="3">
        <v>0</v>
      </c>
      <c r="Q30" s="3">
        <v>0</v>
      </c>
      <c r="R30" s="3">
        <v>2000000000</v>
      </c>
      <c r="S30" s="3">
        <v>2000000000</v>
      </c>
      <c r="T30" s="3">
        <v>0</v>
      </c>
      <c r="U30" s="3">
        <v>0</v>
      </c>
      <c r="V30" s="3">
        <v>2000000000</v>
      </c>
      <c r="W30" s="3">
        <v>2000000000</v>
      </c>
      <c r="X30" s="3">
        <v>0</v>
      </c>
      <c r="Y30" s="3">
        <v>0</v>
      </c>
      <c r="Z30" s="3">
        <v>1999790554</v>
      </c>
      <c r="AA30" s="3">
        <v>1999790554</v>
      </c>
      <c r="AB30" s="3">
        <v>0</v>
      </c>
      <c r="AC30" s="3">
        <v>0</v>
      </c>
      <c r="AD30" s="3">
        <v>1941690231.4200001</v>
      </c>
      <c r="AE30" s="3">
        <v>1941690231.4200001</v>
      </c>
      <c r="AF30" s="3">
        <v>0</v>
      </c>
      <c r="AG30" s="3">
        <v>0</v>
      </c>
      <c r="AH30" s="3">
        <v>1210713229.4200001</v>
      </c>
      <c r="AI30" s="3">
        <v>1210713229.4200001</v>
      </c>
      <c r="AJ30" s="3">
        <v>0</v>
      </c>
      <c r="AK30" s="3">
        <v>0</v>
      </c>
      <c r="AL30" s="3">
        <v>2000000000</v>
      </c>
      <c r="AM30" s="3">
        <v>2000000000</v>
      </c>
      <c r="AN30" s="3">
        <v>0</v>
      </c>
      <c r="AO30" s="3">
        <v>0</v>
      </c>
      <c r="AP30" s="3">
        <v>2060448000</v>
      </c>
      <c r="AQ30" s="3">
        <v>2060448000</v>
      </c>
      <c r="AR30" s="3">
        <v>0</v>
      </c>
      <c r="AS30" s="3">
        <v>0</v>
      </c>
      <c r="AT30" s="3">
        <v>2060448000</v>
      </c>
      <c r="AU30" s="3">
        <v>2060448000</v>
      </c>
      <c r="AV30" s="3">
        <v>0</v>
      </c>
      <c r="AW30" s="3">
        <v>0</v>
      </c>
      <c r="AX30" s="3">
        <v>2106499377.4400001</v>
      </c>
      <c r="AY30" s="3">
        <v>2106499377.4400001</v>
      </c>
      <c r="AZ30" s="3">
        <v>0</v>
      </c>
      <c r="BA30" s="6">
        <v>0</v>
      </c>
      <c r="BB30" s="3">
        <v>2106289931.4400001</v>
      </c>
      <c r="BC30" s="6">
        <v>2106289931.4400001</v>
      </c>
      <c r="BD30" s="3">
        <v>0</v>
      </c>
      <c r="BE30" s="3">
        <v>0</v>
      </c>
      <c r="BF30" s="3">
        <v>1960204890.1400001</v>
      </c>
      <c r="BG30" s="3">
        <v>1960204890.1400001</v>
      </c>
      <c r="BH30" s="6">
        <v>0</v>
      </c>
      <c r="BI30" s="6">
        <v>0</v>
      </c>
      <c r="BJ30" s="6">
        <v>736419520.38999999</v>
      </c>
      <c r="BK30" s="6">
        <v>736419520.38999999</v>
      </c>
      <c r="BL30" s="3">
        <v>0</v>
      </c>
      <c r="BM30" s="3">
        <v>0</v>
      </c>
      <c r="BN30" s="3">
        <v>383965000</v>
      </c>
      <c r="BO30" s="3">
        <v>383965000</v>
      </c>
      <c r="BP30" s="3">
        <v>0</v>
      </c>
      <c r="BQ30" s="3">
        <v>0</v>
      </c>
      <c r="BR30" s="3">
        <v>1000000000</v>
      </c>
      <c r="BS30" s="3">
        <v>1000000000</v>
      </c>
      <c r="BT30" s="3">
        <v>0</v>
      </c>
      <c r="BU30" s="3">
        <v>0</v>
      </c>
      <c r="BV30" s="3">
        <v>1000000000</v>
      </c>
      <c r="BW30" s="3">
        <v>1000000000</v>
      </c>
      <c r="BX30" s="3">
        <v>0</v>
      </c>
      <c r="BY30" s="3">
        <v>0</v>
      </c>
      <c r="BZ30" s="3">
        <v>1117407814.9400001</v>
      </c>
      <c r="CA30" s="3">
        <v>1117407814.9400001</v>
      </c>
      <c r="CB30" s="3">
        <v>0</v>
      </c>
      <c r="CC30" s="3">
        <v>0</v>
      </c>
      <c r="CD30" s="3">
        <v>501372814.94</v>
      </c>
      <c r="CE30" s="3">
        <v>501372814.94</v>
      </c>
      <c r="CF30" s="3">
        <v>0</v>
      </c>
      <c r="CG30" s="3">
        <v>0</v>
      </c>
      <c r="CH30" s="3">
        <v>420389899.67000002</v>
      </c>
      <c r="CI30" s="3">
        <v>420389899.67000002</v>
      </c>
      <c r="CJ30" s="3">
        <v>0</v>
      </c>
      <c r="CK30" s="3">
        <v>0</v>
      </c>
      <c r="CL30" s="3">
        <v>93657748.230000004</v>
      </c>
      <c r="CM30" s="3">
        <v>93657748.230000004</v>
      </c>
      <c r="CN30" s="3">
        <v>0</v>
      </c>
      <c r="CO30" s="3">
        <v>0</v>
      </c>
      <c r="CP30" s="3">
        <v>383965000</v>
      </c>
      <c r="CQ30" s="3">
        <v>383965000</v>
      </c>
      <c r="CR30" s="3">
        <v>0</v>
      </c>
      <c r="CS30" s="3">
        <v>0</v>
      </c>
      <c r="CT30" s="3">
        <v>383965000</v>
      </c>
      <c r="CU30" s="3">
        <v>383965000</v>
      </c>
      <c r="CV30" s="3">
        <v>0</v>
      </c>
      <c r="CW30" s="3">
        <v>0</v>
      </c>
      <c r="CX30" s="3">
        <v>383965000</v>
      </c>
      <c r="CY30" s="3">
        <v>383965000</v>
      </c>
      <c r="CZ30" s="3">
        <v>0</v>
      </c>
      <c r="DA30" s="3">
        <v>0</v>
      </c>
      <c r="DB30" s="3">
        <v>1061204431.51</v>
      </c>
      <c r="DC30" s="3">
        <v>1061204431.51</v>
      </c>
      <c r="DD30" s="3">
        <v>0</v>
      </c>
      <c r="DE30" s="3">
        <v>0</v>
      </c>
      <c r="DF30" s="3">
        <v>1061204431.51</v>
      </c>
      <c r="DG30" s="3">
        <v>1061204431.51</v>
      </c>
      <c r="DH30" s="3">
        <v>0</v>
      </c>
      <c r="DI30" s="3">
        <v>0</v>
      </c>
      <c r="DJ30" s="3">
        <v>935566715.05999994</v>
      </c>
      <c r="DK30" s="3">
        <v>935566715.05999994</v>
      </c>
      <c r="DL30" s="3">
        <v>0</v>
      </c>
      <c r="DM30" s="3">
        <v>0</v>
      </c>
      <c r="DN30" s="3">
        <v>505478113.10000002</v>
      </c>
      <c r="DO30" s="3">
        <v>505478113.10000002</v>
      </c>
      <c r="DP30" s="3">
        <v>0</v>
      </c>
      <c r="DQ30" s="3">
        <v>0</v>
      </c>
      <c r="DR30" s="3">
        <v>97958000</v>
      </c>
      <c r="DS30" s="3">
        <v>97958000</v>
      </c>
      <c r="DT30" s="3">
        <v>0</v>
      </c>
      <c r="DU30" s="3">
        <v>0</v>
      </c>
      <c r="DV30" s="3">
        <v>97958000</v>
      </c>
      <c r="DW30" s="3">
        <v>97958000</v>
      </c>
      <c r="DX30" s="3">
        <v>0</v>
      </c>
      <c r="DY30" s="3">
        <v>0</v>
      </c>
      <c r="DZ30" s="3">
        <v>97958000</v>
      </c>
      <c r="EA30" s="3">
        <v>97958000</v>
      </c>
      <c r="EB30" s="3">
        <v>0</v>
      </c>
      <c r="EC30" s="3">
        <v>0</v>
      </c>
      <c r="ED30" s="3">
        <v>134648898.63</v>
      </c>
      <c r="EE30" s="3">
        <v>134648898.63</v>
      </c>
      <c r="EF30" s="3">
        <v>0</v>
      </c>
      <c r="EG30" s="3">
        <v>0</v>
      </c>
      <c r="EH30" s="3">
        <v>134648898.63</v>
      </c>
      <c r="EI30" s="3">
        <v>134648898.63</v>
      </c>
      <c r="EJ30" s="3">
        <v>0</v>
      </c>
      <c r="EK30" s="3">
        <v>0</v>
      </c>
      <c r="EL30" s="3">
        <v>119846361.23999999</v>
      </c>
      <c r="EM30" s="3">
        <v>119846361.23999999</v>
      </c>
      <c r="EN30" s="3">
        <v>0</v>
      </c>
      <c r="EO30" s="3">
        <v>0</v>
      </c>
      <c r="EP30" s="3">
        <v>30427482.809999999</v>
      </c>
      <c r="EQ30" s="3">
        <v>30427482.809999999</v>
      </c>
      <c r="ER30" s="3">
        <v>0</v>
      </c>
      <c r="ES30" s="3">
        <v>0</v>
      </c>
      <c r="ET30" s="3">
        <v>383965000</v>
      </c>
      <c r="EU30" s="3">
        <v>383965000</v>
      </c>
      <c r="EV30" s="3">
        <v>0</v>
      </c>
      <c r="EW30" s="3">
        <v>0</v>
      </c>
      <c r="EX30" s="3">
        <v>383965000</v>
      </c>
      <c r="EY30" s="3">
        <v>383965000</v>
      </c>
      <c r="EZ30" s="3">
        <v>0</v>
      </c>
      <c r="FA30" s="3">
        <v>0</v>
      </c>
      <c r="FB30" s="3">
        <v>383965000</v>
      </c>
      <c r="FC30" s="3">
        <v>383965000</v>
      </c>
      <c r="FD30" s="3">
        <v>0</v>
      </c>
      <c r="FE30" s="3">
        <v>0</v>
      </c>
      <c r="FF30" s="3">
        <v>392530171.85000002</v>
      </c>
      <c r="FG30" s="3">
        <v>392530171.85000002</v>
      </c>
      <c r="FH30" s="3">
        <v>0</v>
      </c>
      <c r="FI30" s="3">
        <v>0</v>
      </c>
      <c r="FJ30" s="3">
        <v>392530171.85000002</v>
      </c>
      <c r="FK30" s="3">
        <v>392530171.85000002</v>
      </c>
      <c r="FL30" s="3">
        <v>0</v>
      </c>
      <c r="FM30" s="3">
        <v>0</v>
      </c>
      <c r="FN30" s="3">
        <v>215685322.30000001</v>
      </c>
      <c r="FO30" s="3">
        <v>215685322.30000001</v>
      </c>
      <c r="FP30" s="3">
        <v>0</v>
      </c>
      <c r="FQ30" s="3">
        <v>0</v>
      </c>
      <c r="FR30" s="3">
        <v>81616013.329999998</v>
      </c>
      <c r="FS30" s="3">
        <v>81616013.329999998</v>
      </c>
      <c r="FT30" s="3">
        <v>0</v>
      </c>
      <c r="FU30" s="3">
        <v>0</v>
      </c>
      <c r="FV30" s="3">
        <v>1133965000</v>
      </c>
      <c r="FW30" s="3">
        <v>1133965000</v>
      </c>
      <c r="FX30" s="3">
        <v>0</v>
      </c>
      <c r="FY30" s="3">
        <v>0</v>
      </c>
      <c r="FZ30" s="3">
        <v>1133965000</v>
      </c>
      <c r="GA30" s="3">
        <v>1133965000</v>
      </c>
      <c r="GB30" s="3">
        <v>0</v>
      </c>
      <c r="GC30" s="3">
        <v>0</v>
      </c>
      <c r="GD30" s="3">
        <v>1133965000</v>
      </c>
      <c r="GE30" s="3">
        <v>1133965000</v>
      </c>
      <c r="GF30" s="3">
        <v>0</v>
      </c>
      <c r="GG30" s="3">
        <v>0</v>
      </c>
      <c r="GH30" s="3">
        <v>1307330138.0899999</v>
      </c>
      <c r="GI30" s="3">
        <v>1307330138.0899999</v>
      </c>
      <c r="GJ30" s="3">
        <v>0</v>
      </c>
      <c r="GK30" s="3">
        <v>0</v>
      </c>
      <c r="GL30" s="3">
        <v>1307330138.0899999</v>
      </c>
      <c r="GM30" s="3">
        <v>1307330138.0899999</v>
      </c>
      <c r="GN30" s="3">
        <v>0</v>
      </c>
      <c r="GO30" s="3">
        <v>0</v>
      </c>
      <c r="GP30" s="3">
        <v>916523494.45000005</v>
      </c>
      <c r="GQ30" s="3">
        <v>916523494.45000005</v>
      </c>
      <c r="GR30" s="3">
        <v>0</v>
      </c>
      <c r="GS30" s="3">
        <v>0</v>
      </c>
      <c r="GT30" s="3">
        <v>449088102.11000001</v>
      </c>
      <c r="GU30" s="3">
        <v>449088102.11000001</v>
      </c>
      <c r="GV30" s="3">
        <v>0</v>
      </c>
      <c r="GW30" s="3">
        <v>0</v>
      </c>
      <c r="GX30" s="3">
        <v>1133965000</v>
      </c>
      <c r="GY30" s="3">
        <v>1133965000</v>
      </c>
      <c r="GZ30" s="3">
        <v>0</v>
      </c>
      <c r="HA30" s="3">
        <v>0</v>
      </c>
      <c r="HB30" s="3">
        <v>1133965000</v>
      </c>
      <c r="HC30" s="3">
        <v>1133965000</v>
      </c>
      <c r="HD30" s="3">
        <v>0</v>
      </c>
      <c r="HE30" s="3">
        <v>0</v>
      </c>
      <c r="HF30" s="3">
        <v>1133965000</v>
      </c>
      <c r="HG30" s="3">
        <v>1133965000</v>
      </c>
      <c r="HH30" s="3">
        <v>0</v>
      </c>
      <c r="HI30" s="3">
        <v>0</v>
      </c>
      <c r="HJ30" s="3">
        <v>377216678.41000003</v>
      </c>
      <c r="HK30" s="3">
        <v>377216678.41000003</v>
      </c>
      <c r="HL30" s="3">
        <v>0</v>
      </c>
      <c r="HM30" s="3">
        <v>0</v>
      </c>
      <c r="HN30" s="3">
        <v>377216678.41000003</v>
      </c>
      <c r="HO30" s="3">
        <v>377216678.41000003</v>
      </c>
      <c r="HP30" s="3">
        <v>0</v>
      </c>
      <c r="HQ30" s="3">
        <v>0</v>
      </c>
      <c r="HR30" s="3">
        <v>340578203.91000003</v>
      </c>
      <c r="HS30" s="3">
        <v>340578203.91000003</v>
      </c>
      <c r="HT30" s="3">
        <v>0</v>
      </c>
      <c r="HU30" s="3">
        <v>0</v>
      </c>
      <c r="HV30" s="3">
        <v>112664516.52</v>
      </c>
      <c r="HW30" s="3">
        <v>112664516.52</v>
      </c>
      <c r="HX30" s="3">
        <v>0</v>
      </c>
      <c r="HY30" s="3">
        <v>0</v>
      </c>
      <c r="HZ30" s="3">
        <v>1133965000</v>
      </c>
      <c r="IA30" s="3">
        <v>1133965000</v>
      </c>
      <c r="IB30" s="3">
        <v>0</v>
      </c>
      <c r="IC30" s="3">
        <v>0</v>
      </c>
      <c r="ID30" s="3">
        <v>1133965000</v>
      </c>
      <c r="IE30" s="3">
        <v>1133965000</v>
      </c>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row>
    <row r="31" spans="1:267" x14ac:dyDescent="0.25">
      <c r="A31" t="s">
        <v>505</v>
      </c>
      <c r="B31" t="s">
        <v>397</v>
      </c>
      <c r="C31" t="s">
        <v>199</v>
      </c>
      <c r="D31" t="s">
        <v>200</v>
      </c>
      <c r="E31" t="s">
        <v>224</v>
      </c>
      <c r="F31" s="4" t="s">
        <v>634</v>
      </c>
      <c r="G31" t="s">
        <v>636</v>
      </c>
      <c r="H31" s="3">
        <v>0</v>
      </c>
      <c r="I31" s="3">
        <v>0</v>
      </c>
      <c r="J31" s="3">
        <v>0</v>
      </c>
      <c r="K31" s="3">
        <v>0</v>
      </c>
      <c r="L31" s="3">
        <v>0</v>
      </c>
      <c r="M31" s="3">
        <v>435000000</v>
      </c>
      <c r="N31" s="3">
        <v>0</v>
      </c>
      <c r="O31" s="3">
        <v>435000000</v>
      </c>
      <c r="P31" s="3">
        <v>0</v>
      </c>
      <c r="Q31" s="3">
        <v>435000000</v>
      </c>
      <c r="R31" s="3">
        <v>0</v>
      </c>
      <c r="S31" s="3">
        <v>435000000</v>
      </c>
      <c r="T31" s="3">
        <v>0</v>
      </c>
      <c r="U31" s="3">
        <v>435000000</v>
      </c>
      <c r="V31" s="3">
        <v>0</v>
      </c>
      <c r="W31" s="3">
        <v>435000000</v>
      </c>
      <c r="X31" s="3">
        <v>0</v>
      </c>
      <c r="Y31" s="3">
        <v>434998012</v>
      </c>
      <c r="Z31" s="3">
        <v>0</v>
      </c>
      <c r="AA31" s="3">
        <v>434998012</v>
      </c>
      <c r="AB31" s="3">
        <v>0</v>
      </c>
      <c r="AC31" s="3">
        <v>0</v>
      </c>
      <c r="AD31" s="3">
        <v>0</v>
      </c>
      <c r="AE31" s="3">
        <v>0</v>
      </c>
      <c r="AF31" s="3">
        <v>0</v>
      </c>
      <c r="AG31" s="3">
        <v>0</v>
      </c>
      <c r="AH31" s="3">
        <v>0</v>
      </c>
      <c r="AI31" s="3">
        <v>0</v>
      </c>
      <c r="AJ31" s="3">
        <v>0</v>
      </c>
      <c r="AK31" s="3">
        <v>0</v>
      </c>
      <c r="AL31" s="3">
        <v>0</v>
      </c>
      <c r="AM31" s="3">
        <v>0</v>
      </c>
      <c r="AN31" s="3">
        <v>0</v>
      </c>
      <c r="AO31" s="3">
        <v>0</v>
      </c>
      <c r="AP31" s="3">
        <v>0</v>
      </c>
      <c r="AQ31" s="3">
        <v>0</v>
      </c>
      <c r="AR31" s="3">
        <v>0</v>
      </c>
      <c r="AS31" s="3">
        <v>0</v>
      </c>
      <c r="AT31" s="3">
        <v>0</v>
      </c>
      <c r="AU31" s="3">
        <v>0</v>
      </c>
      <c r="AV31" s="3">
        <v>0</v>
      </c>
      <c r="AW31" s="3">
        <v>434998012</v>
      </c>
      <c r="AX31" s="3">
        <v>0</v>
      </c>
      <c r="AY31" s="3">
        <v>434998012</v>
      </c>
      <c r="AZ31" s="3">
        <v>0</v>
      </c>
      <c r="BA31" s="6">
        <v>434998012</v>
      </c>
      <c r="BB31" s="3">
        <v>0</v>
      </c>
      <c r="BC31" s="6">
        <v>434998012</v>
      </c>
      <c r="BD31" s="3">
        <v>0</v>
      </c>
      <c r="BE31" s="3">
        <v>400388125.44999999</v>
      </c>
      <c r="BF31" s="3">
        <v>0</v>
      </c>
      <c r="BG31" s="3">
        <v>400388125.44999999</v>
      </c>
      <c r="BH31" s="6">
        <v>0</v>
      </c>
      <c r="BI31" s="6">
        <v>0</v>
      </c>
      <c r="BJ31" s="6">
        <v>0</v>
      </c>
      <c r="BK31" s="6">
        <v>0</v>
      </c>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row>
    <row r="32" spans="1:267" x14ac:dyDescent="0.25">
      <c r="A32" t="s">
        <v>505</v>
      </c>
      <c r="B32" t="s">
        <v>397</v>
      </c>
      <c r="C32" t="s">
        <v>199</v>
      </c>
      <c r="D32" t="s">
        <v>200</v>
      </c>
      <c r="E32" t="s">
        <v>224</v>
      </c>
      <c r="F32" s="4" t="s">
        <v>635</v>
      </c>
      <c r="G32" t="s">
        <v>637</v>
      </c>
      <c r="H32" s="3">
        <v>0</v>
      </c>
      <c r="I32" s="3">
        <v>0</v>
      </c>
      <c r="J32" s="3">
        <v>0</v>
      </c>
      <c r="K32" s="3">
        <v>0</v>
      </c>
      <c r="L32" s="3">
        <v>0</v>
      </c>
      <c r="M32" s="3">
        <v>500000000</v>
      </c>
      <c r="N32" s="3">
        <v>0</v>
      </c>
      <c r="O32" s="3">
        <v>500000000</v>
      </c>
      <c r="P32" s="3">
        <v>0</v>
      </c>
      <c r="Q32" s="3">
        <v>500000000</v>
      </c>
      <c r="R32" s="3">
        <v>0</v>
      </c>
      <c r="S32" s="3">
        <v>500000000</v>
      </c>
      <c r="T32" s="3">
        <v>0</v>
      </c>
      <c r="U32" s="3">
        <v>500000000</v>
      </c>
      <c r="V32" s="3">
        <v>0</v>
      </c>
      <c r="W32" s="3">
        <v>500000000</v>
      </c>
      <c r="X32" s="3">
        <v>0</v>
      </c>
      <c r="Y32" s="3">
        <v>500000000</v>
      </c>
      <c r="Z32" s="3">
        <v>0</v>
      </c>
      <c r="AA32" s="3">
        <v>500000000</v>
      </c>
      <c r="AB32" s="3">
        <v>0</v>
      </c>
      <c r="AC32" s="3">
        <v>0</v>
      </c>
      <c r="AD32" s="3">
        <v>0</v>
      </c>
      <c r="AE32" s="3">
        <v>0</v>
      </c>
      <c r="AF32" s="3">
        <v>0</v>
      </c>
      <c r="AG32" s="3">
        <v>0</v>
      </c>
      <c r="AH32" s="3">
        <v>0</v>
      </c>
      <c r="AI32" s="3">
        <v>0</v>
      </c>
      <c r="AJ32" s="3">
        <v>0</v>
      </c>
      <c r="AK32" s="3">
        <v>0</v>
      </c>
      <c r="AL32" s="3">
        <v>0</v>
      </c>
      <c r="AM32" s="3">
        <v>0</v>
      </c>
      <c r="AN32" s="3">
        <v>0</v>
      </c>
      <c r="AO32" s="3">
        <v>0</v>
      </c>
      <c r="AP32" s="3">
        <v>0</v>
      </c>
      <c r="AQ32" s="3">
        <v>0</v>
      </c>
      <c r="AR32" s="3">
        <v>0</v>
      </c>
      <c r="AS32" s="3">
        <v>0</v>
      </c>
      <c r="AT32" s="3">
        <v>0</v>
      </c>
      <c r="AU32" s="3">
        <v>0</v>
      </c>
      <c r="AV32" s="3">
        <v>0</v>
      </c>
      <c r="AW32" s="3">
        <v>500000000</v>
      </c>
      <c r="AX32" s="3">
        <v>0</v>
      </c>
      <c r="AY32" s="3">
        <v>500000000</v>
      </c>
      <c r="AZ32" s="3">
        <v>0</v>
      </c>
      <c r="BA32" s="6">
        <v>500000000</v>
      </c>
      <c r="BB32" s="3">
        <v>0</v>
      </c>
      <c r="BC32" s="6">
        <v>500000000</v>
      </c>
      <c r="BD32" s="3">
        <v>0</v>
      </c>
      <c r="BE32" s="3">
        <v>71269440.780000001</v>
      </c>
      <c r="BF32" s="3">
        <v>0</v>
      </c>
      <c r="BG32" s="3">
        <v>71269440.780000001</v>
      </c>
      <c r="BH32" s="6">
        <v>0</v>
      </c>
      <c r="BI32" s="6">
        <v>10542221.75</v>
      </c>
      <c r="BJ32" s="6">
        <v>0</v>
      </c>
      <c r="BK32" s="6">
        <v>10542221.75</v>
      </c>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row>
    <row r="33" spans="1:267" x14ac:dyDescent="0.25">
      <c r="A33" t="s">
        <v>505</v>
      </c>
      <c r="B33" t="s">
        <v>397</v>
      </c>
      <c r="C33" t="s">
        <v>199</v>
      </c>
      <c r="D33" t="s">
        <v>200</v>
      </c>
      <c r="E33" t="s">
        <v>224</v>
      </c>
      <c r="F33" t="s">
        <v>527</v>
      </c>
      <c r="G33" t="s">
        <v>299</v>
      </c>
      <c r="H33" s="3">
        <v>0</v>
      </c>
      <c r="I33" s="3">
        <v>0</v>
      </c>
      <c r="J33" s="3">
        <v>0</v>
      </c>
      <c r="K33" s="3">
        <v>0</v>
      </c>
      <c r="L33" s="3">
        <v>0</v>
      </c>
      <c r="M33" s="3">
        <v>0</v>
      </c>
      <c r="N33" s="3">
        <v>2000000000</v>
      </c>
      <c r="O33" s="3">
        <v>2000000000</v>
      </c>
      <c r="P33" s="3">
        <v>0</v>
      </c>
      <c r="Q33" s="3">
        <v>0</v>
      </c>
      <c r="R33" s="3">
        <v>2000000000</v>
      </c>
      <c r="S33" s="3">
        <v>2000000000</v>
      </c>
      <c r="T33" s="3">
        <v>0</v>
      </c>
      <c r="U33" s="3">
        <v>0</v>
      </c>
      <c r="V33" s="3">
        <v>2000000000</v>
      </c>
      <c r="W33" s="3">
        <v>2000000000</v>
      </c>
      <c r="X33" s="3">
        <v>0</v>
      </c>
      <c r="Y33" s="3">
        <v>0</v>
      </c>
      <c r="Z33" s="3">
        <v>2000000000</v>
      </c>
      <c r="AA33" s="3">
        <v>2000000000</v>
      </c>
      <c r="AB33" s="3">
        <v>0</v>
      </c>
      <c r="AC33" s="3">
        <v>0</v>
      </c>
      <c r="AD33" s="3">
        <v>1831288806.53</v>
      </c>
      <c r="AE33" s="3">
        <v>1831288806.53</v>
      </c>
      <c r="AF33" s="3">
        <v>0</v>
      </c>
      <c r="AG33" s="3">
        <v>0</v>
      </c>
      <c r="AH33" s="3">
        <v>274453796.50999999</v>
      </c>
      <c r="AI33" s="3">
        <v>274453796.50999999</v>
      </c>
      <c r="AJ33" s="3">
        <v>0</v>
      </c>
      <c r="AK33" s="3">
        <v>0</v>
      </c>
      <c r="AL33" s="3">
        <v>2000000000</v>
      </c>
      <c r="AM33" s="3">
        <v>2000000000</v>
      </c>
      <c r="AN33" s="3">
        <v>0</v>
      </c>
      <c r="AO33" s="3">
        <v>0</v>
      </c>
      <c r="AP33" s="3">
        <v>2000000000</v>
      </c>
      <c r="AQ33" s="3">
        <v>2000000000</v>
      </c>
      <c r="AR33" s="3">
        <v>0</v>
      </c>
      <c r="AS33" s="3">
        <v>0</v>
      </c>
      <c r="AT33" s="3">
        <v>2000000000</v>
      </c>
      <c r="AU33" s="3">
        <v>2000000000</v>
      </c>
      <c r="AV33" s="3">
        <v>0</v>
      </c>
      <c r="AW33" s="3">
        <v>0</v>
      </c>
      <c r="AX33" s="3">
        <v>2168711193.4699998</v>
      </c>
      <c r="AY33" s="3">
        <v>2168711193.4699998</v>
      </c>
      <c r="AZ33" s="3">
        <v>0</v>
      </c>
      <c r="BA33" s="6">
        <v>0</v>
      </c>
      <c r="BB33" s="3">
        <v>2168711193.4699998</v>
      </c>
      <c r="BC33" s="6">
        <v>2168711193.4699998</v>
      </c>
      <c r="BD33" s="3">
        <v>0</v>
      </c>
      <c r="BE33" s="3">
        <v>0</v>
      </c>
      <c r="BF33" s="3">
        <v>2013642743.22</v>
      </c>
      <c r="BG33" s="3">
        <v>2013642743.22</v>
      </c>
      <c r="BH33" s="6">
        <v>0</v>
      </c>
      <c r="BI33" s="6">
        <v>0</v>
      </c>
      <c r="BJ33" s="6">
        <v>758004439.51999998</v>
      </c>
      <c r="BK33" s="6">
        <v>758004439.51999998</v>
      </c>
      <c r="BL33" s="3">
        <v>0</v>
      </c>
      <c r="BM33" s="3">
        <v>0</v>
      </c>
      <c r="BN33" s="3">
        <v>2000000000</v>
      </c>
      <c r="BO33" s="3">
        <v>2000000000</v>
      </c>
      <c r="BP33" s="3">
        <v>0</v>
      </c>
      <c r="BQ33" s="3">
        <v>0</v>
      </c>
      <c r="BR33" s="3">
        <v>2100000000</v>
      </c>
      <c r="BS33" s="3">
        <v>2100000000</v>
      </c>
      <c r="BT33" s="3">
        <v>0</v>
      </c>
      <c r="BU33" s="3">
        <v>0</v>
      </c>
      <c r="BV33" s="3">
        <v>2100000000</v>
      </c>
      <c r="BW33" s="3">
        <v>2100000000</v>
      </c>
      <c r="BX33" s="3">
        <v>0</v>
      </c>
      <c r="BY33" s="3">
        <v>0</v>
      </c>
      <c r="BZ33" s="3">
        <v>2233779490.54</v>
      </c>
      <c r="CA33" s="3">
        <v>2233779490.54</v>
      </c>
      <c r="CB33" s="3">
        <v>0</v>
      </c>
      <c r="CC33" s="3">
        <v>0</v>
      </c>
      <c r="CD33" s="3">
        <v>2133779490.54</v>
      </c>
      <c r="CE33" s="3">
        <v>2133779490.54</v>
      </c>
      <c r="CF33" s="3">
        <v>0</v>
      </c>
      <c r="CG33" s="3">
        <v>0</v>
      </c>
      <c r="CH33" s="3">
        <v>2059289476.52</v>
      </c>
      <c r="CI33" s="3">
        <v>2059289476.52</v>
      </c>
      <c r="CJ33" s="3">
        <v>0</v>
      </c>
      <c r="CK33" s="3">
        <v>0</v>
      </c>
      <c r="CL33" s="3">
        <v>1052537527.66</v>
      </c>
      <c r="CM33" s="3">
        <v>1052537527.66</v>
      </c>
      <c r="CN33" s="3">
        <v>0</v>
      </c>
      <c r="CO33" s="3">
        <v>0</v>
      </c>
      <c r="CP33" s="3">
        <v>2000000000</v>
      </c>
      <c r="CQ33" s="3">
        <v>2000000000</v>
      </c>
      <c r="CR33" s="3">
        <v>0</v>
      </c>
      <c r="CS33" s="3">
        <v>20000000</v>
      </c>
      <c r="CT33" s="3">
        <v>1980000000</v>
      </c>
      <c r="CU33" s="3">
        <v>2000000000</v>
      </c>
      <c r="CV33" s="3">
        <v>0</v>
      </c>
      <c r="CW33" s="3">
        <v>20000000</v>
      </c>
      <c r="CX33" s="3">
        <v>1980000000</v>
      </c>
      <c r="CY33" s="3">
        <v>2000000000</v>
      </c>
      <c r="CZ33" s="3">
        <v>0</v>
      </c>
      <c r="DA33" s="3">
        <v>20000000</v>
      </c>
      <c r="DB33" s="3">
        <v>2143261223.3800001</v>
      </c>
      <c r="DC33" s="3">
        <v>2163261223.3800001</v>
      </c>
      <c r="DD33" s="3">
        <v>0</v>
      </c>
      <c r="DE33" s="3">
        <v>20000000</v>
      </c>
      <c r="DF33" s="3">
        <v>2143261223.3800001</v>
      </c>
      <c r="DG33" s="3">
        <v>2163261223.3800001</v>
      </c>
      <c r="DH33" s="3">
        <v>0</v>
      </c>
      <c r="DI33" s="3">
        <v>3687000</v>
      </c>
      <c r="DJ33" s="3">
        <v>2049055052.3499999</v>
      </c>
      <c r="DK33" s="3">
        <v>2052742052.3499999</v>
      </c>
      <c r="DL33" s="3">
        <v>0</v>
      </c>
      <c r="DM33" s="3">
        <v>74271</v>
      </c>
      <c r="DN33" s="3">
        <v>772404132.39999998</v>
      </c>
      <c r="DO33" s="3">
        <v>772478403.39999998</v>
      </c>
      <c r="DP33" s="3">
        <v>0</v>
      </c>
      <c r="DQ33" s="3">
        <v>0</v>
      </c>
      <c r="DR33" s="3">
        <v>2000000000</v>
      </c>
      <c r="DS33" s="3">
        <v>2000000000</v>
      </c>
      <c r="DT33" s="3">
        <v>0</v>
      </c>
      <c r="DU33" s="3">
        <v>0</v>
      </c>
      <c r="DV33" s="3">
        <v>2000000000</v>
      </c>
      <c r="DW33" s="3">
        <v>2000000000</v>
      </c>
      <c r="DX33" s="3">
        <v>0</v>
      </c>
      <c r="DY33" s="3">
        <v>0</v>
      </c>
      <c r="DZ33" s="3">
        <v>2000000000</v>
      </c>
      <c r="EA33" s="3">
        <v>2000000000</v>
      </c>
      <c r="EB33" s="3">
        <v>0</v>
      </c>
      <c r="EC33" s="3">
        <v>16313000</v>
      </c>
      <c r="ED33" s="3">
        <v>2053138279.0899999</v>
      </c>
      <c r="EE33" s="3">
        <v>2069451279.0899999</v>
      </c>
      <c r="EF33" s="3">
        <v>0</v>
      </c>
      <c r="EG33" s="3">
        <v>16313000</v>
      </c>
      <c r="EH33" s="3">
        <v>2053138279.0899999</v>
      </c>
      <c r="EI33" s="3">
        <v>2069451279.0899999</v>
      </c>
      <c r="EJ33" s="3">
        <v>0</v>
      </c>
      <c r="EK33" s="3">
        <v>8457000</v>
      </c>
      <c r="EL33" s="3">
        <v>1719710962.8800001</v>
      </c>
      <c r="EM33" s="3">
        <v>1728167962.8800001</v>
      </c>
      <c r="EN33" s="3">
        <v>0</v>
      </c>
      <c r="EO33" s="3">
        <v>19500</v>
      </c>
      <c r="EP33" s="3">
        <v>841033814.05999994</v>
      </c>
      <c r="EQ33" s="3">
        <v>841053314.05999994</v>
      </c>
      <c r="ER33" s="3">
        <v>0</v>
      </c>
      <c r="ES33" s="3">
        <v>0</v>
      </c>
      <c r="ET33" s="3">
        <v>2000000000</v>
      </c>
      <c r="EU33" s="3">
        <v>2000000000</v>
      </c>
      <c r="EV33" s="3">
        <v>0</v>
      </c>
      <c r="EW33" s="3">
        <v>0</v>
      </c>
      <c r="EX33" s="3">
        <v>2000000000</v>
      </c>
      <c r="EY33" s="3">
        <v>2000000000</v>
      </c>
      <c r="EZ33" s="3">
        <v>0</v>
      </c>
      <c r="FA33" s="3">
        <v>0</v>
      </c>
      <c r="FB33" s="3">
        <v>2000000000</v>
      </c>
      <c r="FC33" s="3">
        <v>2000000000</v>
      </c>
      <c r="FD33" s="3">
        <v>0</v>
      </c>
      <c r="FE33" s="3">
        <v>0</v>
      </c>
      <c r="FF33" s="3">
        <v>2304752121.9400001</v>
      </c>
      <c r="FG33" s="3">
        <v>2304752121.9400001</v>
      </c>
      <c r="FH33" s="3">
        <v>0</v>
      </c>
      <c r="FI33" s="3">
        <v>0</v>
      </c>
      <c r="FJ33" s="3">
        <v>2304752121.9400001</v>
      </c>
      <c r="FK33" s="3">
        <v>2304752121.9400001</v>
      </c>
      <c r="FL33" s="3">
        <v>0</v>
      </c>
      <c r="FM33" s="3">
        <v>0</v>
      </c>
      <c r="FN33" s="3">
        <v>1755787082.6900001</v>
      </c>
      <c r="FO33" s="3">
        <v>1755787082.6900001</v>
      </c>
      <c r="FP33" s="3">
        <v>0</v>
      </c>
      <c r="FQ33" s="3">
        <v>0</v>
      </c>
      <c r="FR33" s="3">
        <v>1045957179.7</v>
      </c>
      <c r="FS33" s="3">
        <v>1045957179.7</v>
      </c>
      <c r="FT33" s="3">
        <v>0</v>
      </c>
      <c r="FU33" s="3">
        <v>0</v>
      </c>
      <c r="FV33" s="3">
        <v>3000000000</v>
      </c>
      <c r="FW33" s="3">
        <v>3000000000</v>
      </c>
      <c r="FX33" s="3">
        <v>0</v>
      </c>
      <c r="FY33" s="3">
        <v>0</v>
      </c>
      <c r="FZ33" s="3">
        <v>3000000000</v>
      </c>
      <c r="GA33" s="3">
        <v>3000000000</v>
      </c>
      <c r="GB33" s="3">
        <v>0</v>
      </c>
      <c r="GC33" s="3">
        <v>0</v>
      </c>
      <c r="GD33" s="3">
        <v>3000000000</v>
      </c>
      <c r="GE33" s="3">
        <v>3000000000</v>
      </c>
      <c r="GF33" s="3">
        <v>0</v>
      </c>
      <c r="GG33" s="3">
        <v>0</v>
      </c>
      <c r="GH33" s="3">
        <v>3508097715.2600002</v>
      </c>
      <c r="GI33" s="3">
        <v>3508097715.2600002</v>
      </c>
      <c r="GJ33" s="3">
        <v>0</v>
      </c>
      <c r="GK33" s="3">
        <v>0</v>
      </c>
      <c r="GL33" s="3">
        <v>3508097715.2600002</v>
      </c>
      <c r="GM33" s="3">
        <v>3508097715.2600002</v>
      </c>
      <c r="GN33" s="3">
        <v>0</v>
      </c>
      <c r="GO33" s="3">
        <v>0</v>
      </c>
      <c r="GP33" s="3">
        <v>857582799.13999999</v>
      </c>
      <c r="GQ33" s="3">
        <v>857582799.13999999</v>
      </c>
      <c r="GR33" s="3">
        <v>0</v>
      </c>
      <c r="GS33" s="3">
        <v>0</v>
      </c>
      <c r="GT33" s="3">
        <v>317963389.72000003</v>
      </c>
      <c r="GU33" s="3">
        <v>317963389.72000003</v>
      </c>
      <c r="GV33" s="3">
        <v>0</v>
      </c>
      <c r="GW33" s="3">
        <v>0</v>
      </c>
      <c r="GX33" s="3">
        <v>3000000000</v>
      </c>
      <c r="GY33" s="3">
        <v>3000000000</v>
      </c>
      <c r="GZ33" s="3">
        <v>0</v>
      </c>
      <c r="HA33" s="3">
        <v>0</v>
      </c>
      <c r="HB33" s="3">
        <v>3000000000</v>
      </c>
      <c r="HC33" s="3">
        <v>3000000000</v>
      </c>
      <c r="HD33" s="3">
        <v>0</v>
      </c>
      <c r="HE33" s="3">
        <v>0</v>
      </c>
      <c r="HF33" s="3">
        <v>3000000000</v>
      </c>
      <c r="HG33" s="3">
        <v>3000000000</v>
      </c>
      <c r="HH33" s="3">
        <v>0</v>
      </c>
      <c r="HI33" s="3">
        <v>0</v>
      </c>
      <c r="HJ33" s="3">
        <v>2612175731.9200001</v>
      </c>
      <c r="HK33" s="3">
        <v>2612175731.9200001</v>
      </c>
      <c r="HL33" s="3">
        <v>0</v>
      </c>
      <c r="HM33" s="3">
        <v>0</v>
      </c>
      <c r="HN33" s="3">
        <v>2612175731.9200001</v>
      </c>
      <c r="HO33" s="3">
        <v>2612175731.9200001</v>
      </c>
      <c r="HP33" s="3">
        <v>0</v>
      </c>
      <c r="HQ33" s="3">
        <v>0</v>
      </c>
      <c r="HR33" s="3">
        <v>2595612381.3400002</v>
      </c>
      <c r="HS33" s="3">
        <v>2595612381.3400002</v>
      </c>
      <c r="HT33" s="3">
        <v>0</v>
      </c>
      <c r="HU33" s="3">
        <v>0</v>
      </c>
      <c r="HV33" s="3">
        <v>2383619318.0100002</v>
      </c>
      <c r="HW33" s="3">
        <v>2383619318.0100002</v>
      </c>
      <c r="HX33" s="3">
        <v>0</v>
      </c>
      <c r="HY33" s="3">
        <v>0</v>
      </c>
      <c r="HZ33" s="3">
        <v>3000000000</v>
      </c>
      <c r="IA33" s="3">
        <v>3000000000</v>
      </c>
      <c r="IB33" s="3">
        <v>0</v>
      </c>
      <c r="IC33" s="3">
        <v>0</v>
      </c>
      <c r="ID33" s="3">
        <v>3000000000</v>
      </c>
      <c r="IE33" s="3">
        <v>3000000000</v>
      </c>
      <c r="IF33" s="3"/>
      <c r="IG33" s="3"/>
      <c r="IH33" s="3"/>
      <c r="II33" s="3"/>
      <c r="IJ33" s="3"/>
      <c r="IK33" s="3"/>
      <c r="IL33" s="3"/>
      <c r="IM33" s="3"/>
      <c r="IN33" s="3"/>
      <c r="IO33" s="3"/>
      <c r="IP33" s="3"/>
      <c r="IQ33" s="3"/>
      <c r="IR33" s="3"/>
      <c r="IS33" s="3"/>
      <c r="IT33" s="3"/>
      <c r="IU33" s="3"/>
      <c r="IV33" s="3"/>
      <c r="IW33" s="3"/>
      <c r="IX33" s="3"/>
      <c r="IY33" s="3"/>
      <c r="IZ33">
        <v>0</v>
      </c>
      <c r="JA33">
        <v>0</v>
      </c>
      <c r="JB33">
        <v>3000000000</v>
      </c>
      <c r="JC33">
        <v>3000000000</v>
      </c>
      <c r="JD33" s="3"/>
      <c r="JE33" s="3"/>
      <c r="JF33" s="3"/>
      <c r="JG33" s="3"/>
    </row>
    <row r="34" spans="1:267" x14ac:dyDescent="0.25">
      <c r="A34" t="s">
        <v>505</v>
      </c>
      <c r="B34" t="s">
        <v>397</v>
      </c>
      <c r="C34" t="s">
        <v>199</v>
      </c>
      <c r="D34" t="s">
        <v>200</v>
      </c>
      <c r="E34" t="s">
        <v>224</v>
      </c>
      <c r="F34" t="s">
        <v>528</v>
      </c>
      <c r="G34" t="s">
        <v>426</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6"/>
      <c r="BL34" s="3">
        <v>0</v>
      </c>
      <c r="BM34" s="3">
        <v>0</v>
      </c>
      <c r="BN34" s="3">
        <v>0</v>
      </c>
      <c r="BO34" s="3">
        <v>0</v>
      </c>
      <c r="BP34" s="3">
        <v>0</v>
      </c>
      <c r="BQ34" s="3">
        <v>0</v>
      </c>
      <c r="BR34" s="3">
        <v>6500000000</v>
      </c>
      <c r="BS34" s="3">
        <v>6500000000</v>
      </c>
      <c r="BT34" s="3">
        <v>0</v>
      </c>
      <c r="BU34" s="3">
        <v>0</v>
      </c>
      <c r="BV34" s="3">
        <v>6500000000</v>
      </c>
      <c r="BW34" s="3">
        <v>6500000000</v>
      </c>
      <c r="BX34" s="3">
        <v>0</v>
      </c>
      <c r="BY34" s="3">
        <v>0</v>
      </c>
      <c r="BZ34" s="3">
        <v>1500000000</v>
      </c>
      <c r="CA34" s="3">
        <v>1500000000</v>
      </c>
      <c r="CB34" s="3">
        <v>0</v>
      </c>
      <c r="CC34" s="3">
        <v>0</v>
      </c>
      <c r="CD34" s="3">
        <v>1500000000</v>
      </c>
      <c r="CE34" s="3">
        <v>1500000000</v>
      </c>
      <c r="CF34" s="3">
        <v>0</v>
      </c>
      <c r="CG34" s="3">
        <v>0</v>
      </c>
      <c r="CH34" s="3">
        <v>0</v>
      </c>
      <c r="CI34" s="3">
        <v>0</v>
      </c>
      <c r="CJ34" s="3">
        <v>0</v>
      </c>
      <c r="CK34" s="3">
        <v>0</v>
      </c>
      <c r="CL34" s="3">
        <v>0</v>
      </c>
      <c r="CM34" s="3">
        <v>0</v>
      </c>
      <c r="CN34" s="3">
        <v>0</v>
      </c>
      <c r="CO34" s="3">
        <v>0</v>
      </c>
      <c r="CP34" s="3">
        <v>1500000000</v>
      </c>
      <c r="CQ34" s="3">
        <v>1500000000</v>
      </c>
      <c r="CR34" s="3">
        <v>0</v>
      </c>
      <c r="CS34" s="3">
        <v>0</v>
      </c>
      <c r="CT34" s="3">
        <v>1500000000</v>
      </c>
      <c r="CU34" s="3">
        <v>1500000000</v>
      </c>
      <c r="CV34" s="3">
        <v>0</v>
      </c>
      <c r="CW34" s="3">
        <v>0</v>
      </c>
      <c r="CX34" s="3">
        <v>1500000000</v>
      </c>
      <c r="CY34" s="3">
        <v>1500000000</v>
      </c>
      <c r="CZ34" s="3">
        <v>0</v>
      </c>
      <c r="DA34" s="3">
        <v>0</v>
      </c>
      <c r="DB34" s="3">
        <v>2999168902.5999999</v>
      </c>
      <c r="DC34" s="3">
        <v>2999168902.5999999</v>
      </c>
      <c r="DD34" s="3">
        <v>0</v>
      </c>
      <c r="DE34" s="3">
        <v>0</v>
      </c>
      <c r="DF34" s="3">
        <v>2999168902.5999999</v>
      </c>
      <c r="DG34" s="3">
        <v>2999168902.5999999</v>
      </c>
      <c r="DH34" s="3">
        <v>0</v>
      </c>
      <c r="DI34" s="3">
        <v>0</v>
      </c>
      <c r="DJ34" s="3">
        <v>1419706591.3599999</v>
      </c>
      <c r="DK34" s="3">
        <v>1419706591.3599999</v>
      </c>
      <c r="DL34" s="3">
        <v>0</v>
      </c>
      <c r="DM34" s="3">
        <v>0</v>
      </c>
      <c r="DN34" s="3">
        <v>668057944.62</v>
      </c>
      <c r="DO34" s="3">
        <v>668057944.62</v>
      </c>
      <c r="DP34" s="3">
        <v>0</v>
      </c>
      <c r="DQ34" s="3">
        <v>0</v>
      </c>
      <c r="DR34" s="3">
        <v>1500000000</v>
      </c>
      <c r="DS34" s="3">
        <v>1500000000</v>
      </c>
      <c r="DT34" s="3">
        <v>0</v>
      </c>
      <c r="DU34" s="3">
        <v>0</v>
      </c>
      <c r="DV34" s="3">
        <v>1510000000</v>
      </c>
      <c r="DW34" s="3">
        <v>1510000000</v>
      </c>
      <c r="DX34" s="3">
        <v>0</v>
      </c>
      <c r="DY34" s="3">
        <v>0</v>
      </c>
      <c r="DZ34" s="3">
        <v>1510000000</v>
      </c>
      <c r="EA34" s="3">
        <v>1510000000</v>
      </c>
      <c r="EB34" s="3">
        <v>0</v>
      </c>
      <c r="EC34" s="3">
        <v>0</v>
      </c>
      <c r="ED34" s="3">
        <v>3010000000</v>
      </c>
      <c r="EE34" s="3">
        <v>3010000000</v>
      </c>
      <c r="EF34" s="3">
        <v>0</v>
      </c>
      <c r="EG34" s="3">
        <v>0</v>
      </c>
      <c r="EH34" s="3">
        <v>3010000000</v>
      </c>
      <c r="EI34" s="3">
        <v>3010000000</v>
      </c>
      <c r="EJ34" s="3">
        <v>0</v>
      </c>
      <c r="EK34" s="3">
        <v>0</v>
      </c>
      <c r="EL34" s="3">
        <v>2498110959.3600001</v>
      </c>
      <c r="EM34" s="3">
        <v>2498110959.3600001</v>
      </c>
      <c r="EN34" s="3">
        <v>0</v>
      </c>
      <c r="EO34" s="3">
        <v>0</v>
      </c>
      <c r="EP34" s="3">
        <v>572137596.01999998</v>
      </c>
      <c r="EQ34" s="3">
        <v>572137596.01999998</v>
      </c>
      <c r="ER34" s="3">
        <v>0</v>
      </c>
      <c r="ES34" s="3">
        <v>0</v>
      </c>
      <c r="ET34" s="3">
        <v>1500000000</v>
      </c>
      <c r="EU34" s="3">
        <v>1500000000</v>
      </c>
      <c r="EV34" s="3">
        <v>0</v>
      </c>
      <c r="EW34" s="3">
        <v>0</v>
      </c>
      <c r="EX34" s="3">
        <v>1500000000</v>
      </c>
      <c r="EY34" s="3">
        <v>1500000000</v>
      </c>
      <c r="EZ34" s="3">
        <v>0</v>
      </c>
      <c r="FA34" s="3">
        <v>0</v>
      </c>
      <c r="FB34" s="3">
        <v>1500000000</v>
      </c>
      <c r="FC34" s="3">
        <v>1500000000</v>
      </c>
      <c r="FD34" s="3">
        <v>0</v>
      </c>
      <c r="FE34" s="3">
        <v>0</v>
      </c>
      <c r="FF34" s="3">
        <v>1994151320.6800001</v>
      </c>
      <c r="FG34" s="3">
        <v>1994151320.6800001</v>
      </c>
      <c r="FH34" s="3">
        <v>0</v>
      </c>
      <c r="FI34" s="3">
        <v>0</v>
      </c>
      <c r="FJ34" s="3">
        <v>1994151320.6800001</v>
      </c>
      <c r="FK34" s="3">
        <v>1994151320.6800001</v>
      </c>
      <c r="FL34" s="3">
        <v>0</v>
      </c>
      <c r="FM34" s="3">
        <v>0</v>
      </c>
      <c r="FN34" s="3">
        <v>1723820474.8099999</v>
      </c>
      <c r="FO34" s="3">
        <v>1723820474.8099999</v>
      </c>
      <c r="FP34" s="3">
        <v>0</v>
      </c>
      <c r="FQ34" s="3">
        <v>0</v>
      </c>
      <c r="FR34" s="3">
        <v>770052412.49000001</v>
      </c>
      <c r="FS34" s="3">
        <v>770052412.49000001</v>
      </c>
      <c r="FT34" s="3">
        <v>0</v>
      </c>
      <c r="FU34" s="3">
        <v>0</v>
      </c>
      <c r="FV34" s="3">
        <v>3000000000</v>
      </c>
      <c r="FW34" s="3">
        <v>3000000000</v>
      </c>
      <c r="FX34" s="3">
        <v>0</v>
      </c>
      <c r="FY34" s="3">
        <v>0</v>
      </c>
      <c r="FZ34" s="3">
        <v>3000000000</v>
      </c>
      <c r="GA34" s="3">
        <v>3000000000</v>
      </c>
      <c r="GB34" s="3">
        <v>0</v>
      </c>
      <c r="GC34" s="3">
        <v>0</v>
      </c>
      <c r="GD34" s="3">
        <v>3000000000</v>
      </c>
      <c r="GE34" s="3">
        <v>3000000000</v>
      </c>
      <c r="GF34" s="3">
        <v>0</v>
      </c>
      <c r="GG34" s="3">
        <v>0</v>
      </c>
      <c r="GH34" s="3">
        <v>3215832645.96</v>
      </c>
      <c r="GI34" s="3">
        <v>3215832645.96</v>
      </c>
      <c r="GJ34" s="3">
        <v>0</v>
      </c>
      <c r="GK34" s="3">
        <v>0</v>
      </c>
      <c r="GL34" s="3">
        <v>3215832645.96</v>
      </c>
      <c r="GM34" s="3">
        <v>3215832645.96</v>
      </c>
      <c r="GN34" s="3">
        <v>0</v>
      </c>
      <c r="GO34" s="3">
        <v>0</v>
      </c>
      <c r="GP34" s="3">
        <v>2646718071.0900002</v>
      </c>
      <c r="GQ34" s="3">
        <v>2646718071.0900002</v>
      </c>
      <c r="GR34" s="3">
        <v>0</v>
      </c>
      <c r="GS34" s="3">
        <v>0</v>
      </c>
      <c r="GT34" s="3">
        <v>1535522099.27</v>
      </c>
      <c r="GU34" s="3">
        <v>1535522099.27</v>
      </c>
      <c r="GV34" s="3">
        <v>0</v>
      </c>
      <c r="GW34" s="3">
        <v>0</v>
      </c>
      <c r="GX34" s="3">
        <v>3000000000</v>
      </c>
      <c r="GY34" s="3">
        <v>3000000000</v>
      </c>
      <c r="GZ34" s="3">
        <v>0</v>
      </c>
      <c r="HA34" s="3">
        <v>0</v>
      </c>
      <c r="HB34" s="3">
        <v>3000000000</v>
      </c>
      <c r="HC34" s="3">
        <v>3000000000</v>
      </c>
      <c r="HD34" s="3">
        <v>0</v>
      </c>
      <c r="HE34" s="3">
        <v>0</v>
      </c>
      <c r="HF34" s="3">
        <v>3000000000</v>
      </c>
      <c r="HG34" s="3">
        <v>3000000000</v>
      </c>
      <c r="HH34" s="3">
        <v>0</v>
      </c>
      <c r="HI34" s="3">
        <v>0</v>
      </c>
      <c r="HJ34" s="3">
        <v>565225510.72000003</v>
      </c>
      <c r="HK34" s="3">
        <v>565225510.72000003</v>
      </c>
      <c r="HL34" s="3">
        <v>0</v>
      </c>
      <c r="HM34" s="3">
        <v>0</v>
      </c>
      <c r="HN34" s="3">
        <v>563340688.72000003</v>
      </c>
      <c r="HO34" s="3">
        <v>563340688.72000003</v>
      </c>
      <c r="HP34" s="3">
        <v>0</v>
      </c>
      <c r="HQ34" s="3">
        <v>0</v>
      </c>
      <c r="HR34" s="3">
        <v>544450205.25999999</v>
      </c>
      <c r="HS34" s="3">
        <v>544450205.25999999</v>
      </c>
      <c r="HT34" s="3">
        <v>0</v>
      </c>
      <c r="HU34" s="3">
        <v>0</v>
      </c>
      <c r="HV34" s="3">
        <v>119739585.42</v>
      </c>
      <c r="HW34" s="3">
        <v>119739585.42</v>
      </c>
      <c r="HX34" s="3">
        <v>0</v>
      </c>
      <c r="HY34" s="3">
        <v>0</v>
      </c>
      <c r="HZ34" s="3">
        <v>3000000000</v>
      </c>
      <c r="IA34" s="3">
        <v>3000000000</v>
      </c>
      <c r="IB34" s="3">
        <v>0</v>
      </c>
      <c r="IC34" s="3">
        <v>0</v>
      </c>
      <c r="ID34" s="3">
        <v>0</v>
      </c>
      <c r="IE34" s="3">
        <v>0</v>
      </c>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row>
    <row r="35" spans="1:267" x14ac:dyDescent="0.25">
      <c r="A35" t="s">
        <v>505</v>
      </c>
      <c r="B35" t="s">
        <v>397</v>
      </c>
      <c r="C35" t="s">
        <v>199</v>
      </c>
      <c r="D35" t="s">
        <v>200</v>
      </c>
      <c r="E35" t="s">
        <v>224</v>
      </c>
      <c r="F35" t="s">
        <v>529</v>
      </c>
      <c r="G35" t="s">
        <v>427</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v>0</v>
      </c>
      <c r="BM35" s="3">
        <v>0</v>
      </c>
      <c r="BN35" s="3">
        <v>1500000000</v>
      </c>
      <c r="BO35" s="3">
        <v>1500000000</v>
      </c>
      <c r="BP35" s="3">
        <v>0</v>
      </c>
      <c r="BQ35" s="3">
        <v>0</v>
      </c>
      <c r="BR35" s="3">
        <v>0</v>
      </c>
      <c r="BS35" s="3">
        <v>0</v>
      </c>
      <c r="BT35" s="3">
        <v>0</v>
      </c>
      <c r="BU35" s="3">
        <v>0</v>
      </c>
      <c r="BV35" s="3">
        <v>0</v>
      </c>
      <c r="BW35" s="3">
        <v>0</v>
      </c>
      <c r="BX35" s="3">
        <v>0</v>
      </c>
      <c r="BY35" s="3">
        <v>0</v>
      </c>
      <c r="BZ35" s="3">
        <v>0</v>
      </c>
      <c r="CA35" s="3">
        <v>0</v>
      </c>
      <c r="CB35" s="3">
        <v>0</v>
      </c>
      <c r="CC35" s="3">
        <v>0</v>
      </c>
      <c r="CD35" s="3">
        <v>0</v>
      </c>
      <c r="CE35" s="3">
        <v>0</v>
      </c>
      <c r="CF35" s="3">
        <v>0</v>
      </c>
      <c r="CG35" s="3">
        <v>0</v>
      </c>
      <c r="CH35" s="3">
        <v>0</v>
      </c>
      <c r="CI35" s="3">
        <v>0</v>
      </c>
      <c r="CJ35" s="3"/>
      <c r="CK35" s="3"/>
      <c r="CL35" s="3">
        <v>0</v>
      </c>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v>0</v>
      </c>
      <c r="HY35" s="3">
        <v>0</v>
      </c>
      <c r="HZ35" s="3">
        <v>0</v>
      </c>
      <c r="IA35" s="3">
        <v>0</v>
      </c>
      <c r="IB35" s="3">
        <v>0</v>
      </c>
      <c r="IC35" s="3">
        <v>170000000</v>
      </c>
      <c r="ID35" s="3">
        <v>160000000</v>
      </c>
      <c r="IE35" s="3">
        <v>330000000</v>
      </c>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row>
    <row r="36" spans="1:267" x14ac:dyDescent="0.25">
      <c r="A36" t="s">
        <v>505</v>
      </c>
      <c r="B36" t="s">
        <v>397</v>
      </c>
      <c r="C36" t="s">
        <v>199</v>
      </c>
      <c r="D36" t="s">
        <v>200</v>
      </c>
      <c r="E36" t="s">
        <v>224</v>
      </c>
      <c r="F36" t="s">
        <v>530</v>
      </c>
      <c r="G36" t="s">
        <v>428</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v>0</v>
      </c>
      <c r="GW36" s="3">
        <v>0</v>
      </c>
      <c r="GX36" s="3">
        <v>0</v>
      </c>
      <c r="GY36" s="3">
        <v>0</v>
      </c>
      <c r="GZ36" s="3">
        <v>0</v>
      </c>
      <c r="HA36" s="3">
        <v>1500000000</v>
      </c>
      <c r="HB36" s="3">
        <v>0</v>
      </c>
      <c r="HC36" s="3">
        <v>1500000000</v>
      </c>
      <c r="HD36" s="3">
        <v>0</v>
      </c>
      <c r="HE36" s="3">
        <v>1500000000</v>
      </c>
      <c r="HF36" s="3">
        <v>0</v>
      </c>
      <c r="HG36" s="3">
        <v>1500000000</v>
      </c>
      <c r="HH36" s="3">
        <v>0</v>
      </c>
      <c r="HI36" s="3">
        <v>1500000000</v>
      </c>
      <c r="HJ36" s="3">
        <v>0</v>
      </c>
      <c r="HK36" s="3">
        <v>1500000000</v>
      </c>
      <c r="HL36" s="3">
        <v>0</v>
      </c>
      <c r="HM36" s="3">
        <v>1500000000</v>
      </c>
      <c r="HN36" s="3">
        <v>0</v>
      </c>
      <c r="HO36" s="3">
        <v>1500000000</v>
      </c>
      <c r="HP36" s="3">
        <v>0</v>
      </c>
      <c r="HQ36" s="3">
        <v>1500000000</v>
      </c>
      <c r="HR36" s="3">
        <v>0</v>
      </c>
      <c r="HS36" s="3">
        <v>1500000000</v>
      </c>
      <c r="HT36" s="3">
        <v>0</v>
      </c>
      <c r="HU36" s="3">
        <v>1500000000</v>
      </c>
      <c r="HV36" s="3">
        <v>0</v>
      </c>
      <c r="HW36" s="3">
        <v>1500000000</v>
      </c>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row>
    <row r="37" spans="1:267" x14ac:dyDescent="0.25">
      <c r="A37" t="s">
        <v>505</v>
      </c>
      <c r="B37" t="s">
        <v>397</v>
      </c>
      <c r="C37" t="s">
        <v>199</v>
      </c>
      <c r="D37" t="s">
        <v>200</v>
      </c>
      <c r="E37" t="s">
        <v>224</v>
      </c>
      <c r="F37" t="s">
        <v>531</v>
      </c>
      <c r="G37" t="s">
        <v>429</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v>0</v>
      </c>
      <c r="HY37" s="3">
        <v>253732000</v>
      </c>
      <c r="HZ37" s="3">
        <v>9136198000</v>
      </c>
      <c r="IA37" s="3">
        <v>9389930000</v>
      </c>
      <c r="IB37" s="3">
        <v>0</v>
      </c>
      <c r="IC37" s="3">
        <v>253732000</v>
      </c>
      <c r="ID37" s="3">
        <v>9136198000</v>
      </c>
      <c r="IE37" s="3">
        <v>9389930000</v>
      </c>
      <c r="IF37" s="3"/>
      <c r="IG37" s="3"/>
      <c r="IH37" s="3"/>
      <c r="II37" s="3"/>
      <c r="IJ37" s="3"/>
      <c r="IK37" s="3"/>
      <c r="IL37" s="3"/>
      <c r="IM37" s="3"/>
      <c r="IN37" s="3"/>
      <c r="IO37" s="3"/>
      <c r="IP37" s="3"/>
      <c r="IQ37" s="3"/>
      <c r="IR37" s="3"/>
      <c r="IS37" s="3"/>
      <c r="IT37" s="3"/>
      <c r="IU37" s="3"/>
      <c r="IV37" s="3"/>
      <c r="IW37" s="3"/>
      <c r="IX37" s="3"/>
      <c r="IY37" s="3"/>
      <c r="IZ37" s="3">
        <v>0</v>
      </c>
      <c r="JA37" s="3">
        <v>318823000</v>
      </c>
      <c r="JB37" s="3">
        <v>1841557000</v>
      </c>
      <c r="JC37" s="3">
        <v>2160380000</v>
      </c>
      <c r="JD37" s="3"/>
      <c r="JE37" s="3"/>
      <c r="JF37" s="3"/>
      <c r="JG37" s="3"/>
    </row>
    <row r="38" spans="1:267" x14ac:dyDescent="0.25">
      <c r="A38" t="s">
        <v>505</v>
      </c>
      <c r="B38" t="s">
        <v>397</v>
      </c>
      <c r="C38" t="s">
        <v>199</v>
      </c>
      <c r="D38" t="s">
        <v>200</v>
      </c>
      <c r="E38" t="s">
        <v>241</v>
      </c>
      <c r="F38" t="s">
        <v>532</v>
      </c>
      <c r="G38" t="s">
        <v>430</v>
      </c>
      <c r="H38" s="3">
        <v>0</v>
      </c>
      <c r="I38" s="3">
        <v>83026000</v>
      </c>
      <c r="J38" s="3">
        <v>0</v>
      </c>
      <c r="K38" s="3">
        <v>83026000</v>
      </c>
      <c r="L38" s="3">
        <v>0</v>
      </c>
      <c r="M38" s="3">
        <v>83026000</v>
      </c>
      <c r="N38" s="3">
        <v>0</v>
      </c>
      <c r="O38" s="3">
        <v>83026000</v>
      </c>
      <c r="P38" s="3">
        <v>0</v>
      </c>
      <c r="Q38" s="3">
        <v>83026000</v>
      </c>
      <c r="R38" s="3">
        <v>0</v>
      </c>
      <c r="S38" s="3">
        <v>83026000</v>
      </c>
      <c r="T38" s="3">
        <v>0</v>
      </c>
      <c r="U38" s="3">
        <v>83255929.230000004</v>
      </c>
      <c r="V38" s="3">
        <v>0</v>
      </c>
      <c r="W38" s="3">
        <v>83255929.230000004</v>
      </c>
      <c r="X38" s="3">
        <v>0</v>
      </c>
      <c r="Y38" s="3">
        <v>83255929.230000004</v>
      </c>
      <c r="Z38" s="3">
        <v>0</v>
      </c>
      <c r="AA38" s="3">
        <v>83255929.230000004</v>
      </c>
      <c r="AB38" s="3">
        <v>0</v>
      </c>
      <c r="AC38" s="3">
        <v>68318580.549999997</v>
      </c>
      <c r="AD38" s="3">
        <v>0</v>
      </c>
      <c r="AE38" s="3">
        <v>68318580.549999997</v>
      </c>
      <c r="AF38" s="3">
        <v>0</v>
      </c>
      <c r="AG38" s="3">
        <v>37669851.299999997</v>
      </c>
      <c r="AH38" s="3">
        <v>0</v>
      </c>
      <c r="AI38" s="3">
        <v>37669851.299999997</v>
      </c>
      <c r="AJ38" s="3">
        <v>0</v>
      </c>
      <c r="AK38" s="3">
        <v>26201000</v>
      </c>
      <c r="AL38" s="3">
        <v>0</v>
      </c>
      <c r="AM38" s="3">
        <v>26201000</v>
      </c>
      <c r="AN38" s="3">
        <v>0</v>
      </c>
      <c r="AO38" s="3">
        <v>26201000</v>
      </c>
      <c r="AP38" s="3">
        <v>0</v>
      </c>
      <c r="AQ38" s="3">
        <v>26201000</v>
      </c>
      <c r="AR38" s="3">
        <v>0</v>
      </c>
      <c r="AS38" s="3">
        <v>26201000</v>
      </c>
      <c r="AT38" s="3">
        <v>0</v>
      </c>
      <c r="AU38" s="3">
        <v>26201000</v>
      </c>
      <c r="AV38" s="3">
        <v>0</v>
      </c>
      <c r="AW38" s="3">
        <v>41138348.68</v>
      </c>
      <c r="AX38" s="3">
        <v>0</v>
      </c>
      <c r="AY38" s="3">
        <v>41138348.68</v>
      </c>
      <c r="AZ38" s="3">
        <v>0</v>
      </c>
      <c r="BA38" s="3">
        <v>41138348.68</v>
      </c>
      <c r="BB38" s="3">
        <v>0</v>
      </c>
      <c r="BC38" s="3">
        <v>41138348.68</v>
      </c>
      <c r="BD38" s="3">
        <v>0</v>
      </c>
      <c r="BE38" s="3">
        <v>33665654.32</v>
      </c>
      <c r="BF38" s="3">
        <v>0</v>
      </c>
      <c r="BG38" s="3">
        <v>33665654.32</v>
      </c>
      <c r="BH38" s="3">
        <v>0</v>
      </c>
      <c r="BI38" s="6">
        <v>29197053.18</v>
      </c>
      <c r="BJ38" s="6">
        <v>0</v>
      </c>
      <c r="BK38" s="6">
        <v>29197053.18</v>
      </c>
      <c r="BL38" s="3">
        <v>0</v>
      </c>
      <c r="BM38" s="3">
        <v>21872000</v>
      </c>
      <c r="BN38" s="3">
        <v>0</v>
      </c>
      <c r="BO38" s="3">
        <v>21872000</v>
      </c>
      <c r="BP38" s="3">
        <v>0</v>
      </c>
      <c r="BQ38" s="3">
        <v>21872000</v>
      </c>
      <c r="BR38" s="3">
        <v>0</v>
      </c>
      <c r="BS38" s="3">
        <v>21872000</v>
      </c>
      <c r="BT38" s="3">
        <v>0</v>
      </c>
      <c r="BU38" s="3">
        <v>21872000</v>
      </c>
      <c r="BV38" s="3">
        <v>0</v>
      </c>
      <c r="BW38" s="3">
        <v>21872000</v>
      </c>
      <c r="BX38" s="3">
        <v>0</v>
      </c>
      <c r="BY38" s="3">
        <v>5903658.04</v>
      </c>
      <c r="BZ38" s="3">
        <v>0</v>
      </c>
      <c r="CA38" s="3">
        <v>5903658.04</v>
      </c>
      <c r="CB38" s="3">
        <v>0</v>
      </c>
      <c r="CC38" s="3">
        <v>5903658.04</v>
      </c>
      <c r="CD38" s="3">
        <v>0</v>
      </c>
      <c r="CE38" s="3">
        <v>5903658.04</v>
      </c>
      <c r="CF38" s="3">
        <v>0</v>
      </c>
      <c r="CG38" s="3">
        <v>2664876.61</v>
      </c>
      <c r="CH38" s="3">
        <v>0</v>
      </c>
      <c r="CI38" s="3">
        <v>2664876.61</v>
      </c>
      <c r="CJ38" s="3">
        <v>0</v>
      </c>
      <c r="CK38" s="3">
        <v>555639.71</v>
      </c>
      <c r="CL38" s="3">
        <v>0</v>
      </c>
      <c r="CM38" s="3">
        <v>555639.71</v>
      </c>
      <c r="CN38" s="3">
        <v>0</v>
      </c>
      <c r="CO38" s="3">
        <v>22266000</v>
      </c>
      <c r="CP38" s="3">
        <v>0</v>
      </c>
      <c r="CQ38" s="3">
        <v>22266000</v>
      </c>
      <c r="CR38" s="3">
        <v>0</v>
      </c>
      <c r="CS38" s="3">
        <v>22266000</v>
      </c>
      <c r="CT38" s="3">
        <v>0</v>
      </c>
      <c r="CU38" s="3">
        <v>22266000</v>
      </c>
      <c r="CV38" s="3">
        <v>0</v>
      </c>
      <c r="CW38" s="3">
        <v>22266000</v>
      </c>
      <c r="CX38" s="3">
        <v>0</v>
      </c>
      <c r="CY38" s="3">
        <v>22266000</v>
      </c>
      <c r="CZ38" s="3">
        <v>0</v>
      </c>
      <c r="DA38" s="3">
        <v>22838294.48</v>
      </c>
      <c r="DB38" s="3">
        <v>0</v>
      </c>
      <c r="DC38" s="3">
        <v>22838294.48</v>
      </c>
      <c r="DD38" s="3">
        <v>0</v>
      </c>
      <c r="DE38" s="3">
        <v>22838294.48</v>
      </c>
      <c r="DF38" s="3">
        <v>0</v>
      </c>
      <c r="DG38" s="3">
        <v>22838294.48</v>
      </c>
      <c r="DH38" s="3">
        <v>0</v>
      </c>
      <c r="DI38" s="3">
        <v>13127286.99</v>
      </c>
      <c r="DJ38" s="3">
        <v>0</v>
      </c>
      <c r="DK38" s="3">
        <v>13127286.99</v>
      </c>
      <c r="DL38" s="3">
        <v>0</v>
      </c>
      <c r="DM38" s="3">
        <v>4084214.13</v>
      </c>
      <c r="DN38" s="3">
        <v>0</v>
      </c>
      <c r="DO38" s="3">
        <v>4084214.13</v>
      </c>
      <c r="DP38" s="3">
        <v>0</v>
      </c>
      <c r="DQ38" s="3">
        <v>22266000</v>
      </c>
      <c r="DR38" s="3">
        <v>0</v>
      </c>
      <c r="DS38" s="3">
        <v>22266000</v>
      </c>
      <c r="DT38" s="3">
        <v>0</v>
      </c>
      <c r="DU38" s="3">
        <v>22266000</v>
      </c>
      <c r="DV38" s="3">
        <v>0</v>
      </c>
      <c r="DW38" s="3">
        <v>22266000</v>
      </c>
      <c r="DX38" s="3">
        <v>0</v>
      </c>
      <c r="DY38" s="3">
        <v>22266000</v>
      </c>
      <c r="DZ38" s="3">
        <v>0</v>
      </c>
      <c r="EA38" s="3">
        <v>22266000</v>
      </c>
      <c r="EB38" s="3">
        <v>0</v>
      </c>
      <c r="EC38" s="3">
        <v>31608518.030000001</v>
      </c>
      <c r="ED38" s="3">
        <v>0</v>
      </c>
      <c r="EE38" s="3">
        <v>31608518.030000001</v>
      </c>
      <c r="EF38" s="3">
        <v>0</v>
      </c>
      <c r="EG38" s="3">
        <v>31608518.030000001</v>
      </c>
      <c r="EH38" s="3">
        <v>0</v>
      </c>
      <c r="EI38" s="3">
        <v>31608518.030000001</v>
      </c>
      <c r="EJ38" s="3">
        <v>0</v>
      </c>
      <c r="EK38" s="3">
        <v>23952005.640000001</v>
      </c>
      <c r="EL38" s="3">
        <v>0</v>
      </c>
      <c r="EM38" s="3">
        <v>23952005.640000001</v>
      </c>
      <c r="EN38" s="3">
        <v>0</v>
      </c>
      <c r="EO38" s="3">
        <v>21742191.77</v>
      </c>
      <c r="EP38" s="3">
        <v>0</v>
      </c>
      <c r="EQ38" s="3">
        <v>21742191.77</v>
      </c>
      <c r="ER38" s="3">
        <v>0</v>
      </c>
      <c r="ES38" s="3">
        <v>23080000</v>
      </c>
      <c r="ET38" s="3">
        <v>0</v>
      </c>
      <c r="EU38" s="3">
        <v>23080000</v>
      </c>
      <c r="EV38" s="3">
        <v>0</v>
      </c>
      <c r="EW38" s="3">
        <v>23080000</v>
      </c>
      <c r="EX38" s="3">
        <v>0</v>
      </c>
      <c r="EY38" s="3">
        <v>23080000</v>
      </c>
      <c r="EZ38" s="3">
        <v>0</v>
      </c>
      <c r="FA38" s="3">
        <v>23080000</v>
      </c>
      <c r="FB38" s="3">
        <v>0</v>
      </c>
      <c r="FC38" s="3">
        <v>23080000</v>
      </c>
      <c r="FD38" s="3">
        <v>0</v>
      </c>
      <c r="FE38" s="3">
        <v>29045302.23</v>
      </c>
      <c r="FF38" s="3">
        <v>0</v>
      </c>
      <c r="FG38" s="3">
        <v>29045302.23</v>
      </c>
      <c r="FH38" s="3">
        <v>0</v>
      </c>
      <c r="FI38" s="3">
        <v>29045302.23</v>
      </c>
      <c r="FJ38" s="3">
        <v>0</v>
      </c>
      <c r="FK38" s="3">
        <v>29045302.23</v>
      </c>
      <c r="FL38" s="3">
        <v>0</v>
      </c>
      <c r="FM38" s="3">
        <v>23552189.399999999</v>
      </c>
      <c r="FN38" s="3">
        <v>0</v>
      </c>
      <c r="FO38" s="3">
        <v>23552189.399999999</v>
      </c>
      <c r="FP38" s="3">
        <v>0</v>
      </c>
      <c r="FQ38" s="3">
        <v>20541032.870000001</v>
      </c>
      <c r="FR38" s="3">
        <v>0</v>
      </c>
      <c r="FS38" s="3">
        <v>20541032.870000001</v>
      </c>
      <c r="FT38" s="3">
        <v>0</v>
      </c>
      <c r="FU38" s="3">
        <v>161512000</v>
      </c>
      <c r="FV38" s="3">
        <v>0</v>
      </c>
      <c r="FW38" s="3">
        <v>161512000</v>
      </c>
      <c r="FX38" s="3">
        <v>0</v>
      </c>
      <c r="FY38" s="3">
        <v>161512000</v>
      </c>
      <c r="FZ38" s="3">
        <v>0</v>
      </c>
      <c r="GA38" s="3">
        <v>161512000</v>
      </c>
      <c r="GB38" s="3">
        <v>0</v>
      </c>
      <c r="GC38" s="3">
        <v>161512000</v>
      </c>
      <c r="GD38" s="3">
        <v>0</v>
      </c>
      <c r="GE38" s="3">
        <v>161512000</v>
      </c>
      <c r="GF38" s="3">
        <v>0</v>
      </c>
      <c r="GG38" s="3">
        <v>165227077.84</v>
      </c>
      <c r="GH38" s="3">
        <v>0</v>
      </c>
      <c r="GI38" s="3">
        <v>165227077.84</v>
      </c>
      <c r="GJ38" s="3">
        <v>0</v>
      </c>
      <c r="GK38" s="3">
        <v>165227077.84</v>
      </c>
      <c r="GL38" s="3">
        <v>0</v>
      </c>
      <c r="GM38" s="3">
        <v>165227077.84</v>
      </c>
      <c r="GN38" s="3">
        <v>0</v>
      </c>
      <c r="GO38" s="3">
        <v>109597269.78</v>
      </c>
      <c r="GP38" s="3">
        <v>0</v>
      </c>
      <c r="GQ38" s="3">
        <v>109597269.78</v>
      </c>
      <c r="GR38" s="3">
        <v>0</v>
      </c>
      <c r="GS38" s="3">
        <v>88267514.659999996</v>
      </c>
      <c r="GT38" s="3">
        <v>0</v>
      </c>
      <c r="GU38" s="3">
        <v>88267514.659999996</v>
      </c>
      <c r="GV38" s="3">
        <v>0</v>
      </c>
      <c r="GW38" s="3">
        <v>140642000</v>
      </c>
      <c r="GX38" s="3">
        <v>0</v>
      </c>
      <c r="GY38" s="3">
        <v>140642000</v>
      </c>
      <c r="GZ38" s="3">
        <v>0</v>
      </c>
      <c r="HA38" s="3">
        <v>140642000</v>
      </c>
      <c r="HB38" s="3">
        <v>0</v>
      </c>
      <c r="HC38" s="3">
        <v>140642000</v>
      </c>
      <c r="HD38" s="3">
        <v>0</v>
      </c>
      <c r="HE38" s="3">
        <v>140642000</v>
      </c>
      <c r="HF38" s="3">
        <v>0</v>
      </c>
      <c r="HG38" s="3">
        <v>140642000</v>
      </c>
      <c r="HH38" s="3">
        <v>0</v>
      </c>
      <c r="HI38" s="3">
        <v>195397610.18000001</v>
      </c>
      <c r="HJ38" s="3">
        <v>0</v>
      </c>
      <c r="HK38" s="3">
        <v>195397610.18000001</v>
      </c>
      <c r="HL38" s="3">
        <v>0</v>
      </c>
      <c r="HM38" s="3">
        <v>195397610.18000001</v>
      </c>
      <c r="HN38" s="3">
        <v>0</v>
      </c>
      <c r="HO38" s="3">
        <v>195397610.18000001</v>
      </c>
      <c r="HP38" s="3">
        <v>0</v>
      </c>
      <c r="HQ38" s="3">
        <v>108917649.81</v>
      </c>
      <c r="HR38" s="3">
        <v>0</v>
      </c>
      <c r="HS38" s="3">
        <v>108917649.81</v>
      </c>
      <c r="HT38" s="3">
        <v>0</v>
      </c>
      <c r="HU38" s="3">
        <v>59818914.399999999</v>
      </c>
      <c r="HV38" s="3">
        <v>0</v>
      </c>
      <c r="HW38" s="3">
        <v>59818914.399999999</v>
      </c>
      <c r="HX38" s="3">
        <v>0</v>
      </c>
      <c r="HY38" s="3">
        <v>142854000</v>
      </c>
      <c r="HZ38" s="3">
        <v>0</v>
      </c>
      <c r="IA38" s="3">
        <v>142854000</v>
      </c>
      <c r="IB38" s="3">
        <v>0</v>
      </c>
      <c r="IC38" s="3">
        <v>142854000</v>
      </c>
      <c r="ID38" s="3">
        <v>0</v>
      </c>
      <c r="IE38" s="3">
        <v>142854000</v>
      </c>
      <c r="IF38" s="3"/>
      <c r="IG38" s="3"/>
      <c r="IH38" s="3"/>
      <c r="II38" s="3"/>
      <c r="IJ38" s="3"/>
      <c r="IK38" s="3"/>
      <c r="IL38" s="3"/>
      <c r="IM38" s="3"/>
      <c r="IN38" s="3"/>
      <c r="IO38" s="3"/>
      <c r="IP38" s="3"/>
      <c r="IQ38" s="3"/>
      <c r="IR38" s="3"/>
      <c r="IS38" s="3"/>
      <c r="IT38" s="3"/>
      <c r="IU38" s="3"/>
      <c r="IV38" s="3"/>
      <c r="IW38" s="3"/>
      <c r="IX38" s="3"/>
      <c r="IY38" s="3"/>
      <c r="IZ38" s="3">
        <v>0</v>
      </c>
      <c r="JA38" s="3">
        <v>81060000</v>
      </c>
      <c r="JB38" s="3">
        <v>0</v>
      </c>
      <c r="JC38" s="3">
        <v>81060000</v>
      </c>
      <c r="JD38" s="3"/>
      <c r="JE38" s="3"/>
      <c r="JF38" s="3"/>
      <c r="JG38" s="3"/>
    </row>
    <row r="39" spans="1:267" x14ac:dyDescent="0.25">
      <c r="A39" t="s">
        <v>505</v>
      </c>
      <c r="B39" t="s">
        <v>397</v>
      </c>
      <c r="C39" t="s">
        <v>199</v>
      </c>
      <c r="D39" t="s">
        <v>200</v>
      </c>
      <c r="E39" t="s">
        <v>241</v>
      </c>
      <c r="F39" t="s">
        <v>533</v>
      </c>
      <c r="G39" t="s">
        <v>431</v>
      </c>
      <c r="H39" s="3">
        <v>0</v>
      </c>
      <c r="I39" s="3">
        <v>130433000</v>
      </c>
      <c r="J39" s="3">
        <v>0</v>
      </c>
      <c r="K39" s="3">
        <v>130433000</v>
      </c>
      <c r="L39" s="3">
        <v>0</v>
      </c>
      <c r="M39" s="3">
        <v>130433000</v>
      </c>
      <c r="N39" s="3">
        <v>0</v>
      </c>
      <c r="O39" s="3">
        <v>130433000</v>
      </c>
      <c r="P39" s="3">
        <v>0</v>
      </c>
      <c r="Q39" s="3">
        <v>130433000</v>
      </c>
      <c r="R39" s="3">
        <v>0</v>
      </c>
      <c r="S39" s="3">
        <v>130433000</v>
      </c>
      <c r="T39" s="3">
        <v>0</v>
      </c>
      <c r="U39" s="3">
        <v>129978336.23999999</v>
      </c>
      <c r="V39" s="3">
        <v>0</v>
      </c>
      <c r="W39" s="3">
        <v>129978336.23999999</v>
      </c>
      <c r="X39" s="3">
        <v>0</v>
      </c>
      <c r="Y39" s="3">
        <v>129978336.23999999</v>
      </c>
      <c r="Z39" s="3">
        <v>0</v>
      </c>
      <c r="AA39" s="3">
        <v>129978336.23999999</v>
      </c>
      <c r="AB39" s="3">
        <v>0</v>
      </c>
      <c r="AC39" s="3">
        <v>112644311.72</v>
      </c>
      <c r="AD39" s="3">
        <v>0</v>
      </c>
      <c r="AE39" s="3">
        <v>112644311.72</v>
      </c>
      <c r="AF39" s="3">
        <v>0</v>
      </c>
      <c r="AG39" s="3">
        <v>87809624.5</v>
      </c>
      <c r="AH39" s="3">
        <v>0</v>
      </c>
      <c r="AI39" s="3">
        <v>87809624.5</v>
      </c>
      <c r="AJ39" s="3">
        <v>0</v>
      </c>
      <c r="AK39" s="3">
        <v>57096000</v>
      </c>
      <c r="AL39" s="3">
        <v>0</v>
      </c>
      <c r="AM39" s="3">
        <v>57096000</v>
      </c>
      <c r="AN39" s="3">
        <v>0</v>
      </c>
      <c r="AO39" s="3">
        <v>130433000</v>
      </c>
      <c r="AP39" s="3">
        <v>0</v>
      </c>
      <c r="AQ39" s="3">
        <v>130433000</v>
      </c>
      <c r="AR39" s="3">
        <v>0</v>
      </c>
      <c r="AS39" s="3">
        <v>130433000</v>
      </c>
      <c r="AT39" s="3">
        <v>0</v>
      </c>
      <c r="AU39" s="3">
        <v>130433000</v>
      </c>
      <c r="AV39" s="3">
        <v>0</v>
      </c>
      <c r="AW39" s="3">
        <v>146767024.52000001</v>
      </c>
      <c r="AX39" s="3">
        <v>0</v>
      </c>
      <c r="AY39" s="3">
        <v>146767024.52000001</v>
      </c>
      <c r="AZ39" s="3">
        <v>0</v>
      </c>
      <c r="BA39" s="3">
        <v>146767024.52000001</v>
      </c>
      <c r="BB39" s="3">
        <v>0</v>
      </c>
      <c r="BC39" s="3">
        <v>146767024.52000001</v>
      </c>
      <c r="BD39" s="3">
        <v>0</v>
      </c>
      <c r="BE39" s="3">
        <v>114872317.87</v>
      </c>
      <c r="BF39" s="3">
        <v>0</v>
      </c>
      <c r="BG39" s="3">
        <v>114872317.87</v>
      </c>
      <c r="BH39" s="3">
        <v>0</v>
      </c>
      <c r="BI39" s="6">
        <v>79500567.609999999</v>
      </c>
      <c r="BJ39" s="6">
        <v>0</v>
      </c>
      <c r="BK39" s="6">
        <v>79500567.609999999</v>
      </c>
      <c r="BL39" s="3">
        <v>0</v>
      </c>
      <c r="BM39" s="3">
        <v>112644000</v>
      </c>
      <c r="BN39" s="3">
        <v>0</v>
      </c>
      <c r="BO39" s="3">
        <v>112644000</v>
      </c>
      <c r="BP39" s="3">
        <v>0</v>
      </c>
      <c r="BQ39" s="3">
        <v>112644000</v>
      </c>
      <c r="BR39" s="3">
        <v>0</v>
      </c>
      <c r="BS39" s="3">
        <v>112644000</v>
      </c>
      <c r="BT39" s="3">
        <v>0</v>
      </c>
      <c r="BU39" s="3">
        <v>112644000</v>
      </c>
      <c r="BV39" s="3">
        <v>0</v>
      </c>
      <c r="BW39" s="3">
        <v>112644000</v>
      </c>
      <c r="BX39" s="3">
        <v>0</v>
      </c>
      <c r="BY39" s="3">
        <v>116817828.28</v>
      </c>
      <c r="BZ39" s="3">
        <v>0</v>
      </c>
      <c r="CA39" s="3">
        <v>116817828.28</v>
      </c>
      <c r="CB39" s="3">
        <v>0</v>
      </c>
      <c r="CC39" s="3">
        <v>116817828.28</v>
      </c>
      <c r="CD39" s="3">
        <v>0</v>
      </c>
      <c r="CE39" s="3">
        <v>116817828.28</v>
      </c>
      <c r="CF39" s="3">
        <v>0</v>
      </c>
      <c r="CG39" s="3">
        <v>91935076.900000006</v>
      </c>
      <c r="CH39" s="3">
        <v>0</v>
      </c>
      <c r="CI39" s="3">
        <v>91935076.900000006</v>
      </c>
      <c r="CJ39" s="3">
        <v>0</v>
      </c>
      <c r="CK39" s="3">
        <v>48138996.960000001</v>
      </c>
      <c r="CL39" s="3">
        <v>0</v>
      </c>
      <c r="CM39" s="3">
        <v>48138996.960000001</v>
      </c>
      <c r="CN39" s="3">
        <v>0</v>
      </c>
      <c r="CO39" s="3">
        <v>51478000</v>
      </c>
      <c r="CP39" s="3">
        <v>0</v>
      </c>
      <c r="CQ39" s="3">
        <v>51478000</v>
      </c>
      <c r="CR39" s="3">
        <v>0</v>
      </c>
      <c r="CS39" s="3">
        <v>159078000</v>
      </c>
      <c r="CT39" s="3">
        <v>0</v>
      </c>
      <c r="CU39" s="3">
        <v>159078000</v>
      </c>
      <c r="CV39" s="3">
        <v>0</v>
      </c>
      <c r="CW39" s="3">
        <v>159078000</v>
      </c>
      <c r="CX39" s="3">
        <v>0</v>
      </c>
      <c r="CY39" s="3">
        <v>159078000</v>
      </c>
      <c r="CZ39" s="3">
        <v>0</v>
      </c>
      <c r="DA39" s="3">
        <v>180371847</v>
      </c>
      <c r="DB39" s="3">
        <v>0</v>
      </c>
      <c r="DC39" s="3">
        <v>180371847</v>
      </c>
      <c r="DD39" s="3">
        <v>0</v>
      </c>
      <c r="DE39" s="3">
        <v>180371847</v>
      </c>
      <c r="DF39" s="3">
        <v>0</v>
      </c>
      <c r="DG39" s="3">
        <v>180371847</v>
      </c>
      <c r="DH39" s="3">
        <v>0</v>
      </c>
      <c r="DI39" s="3">
        <v>157691947.87</v>
      </c>
      <c r="DJ39" s="3">
        <v>0</v>
      </c>
      <c r="DK39" s="3">
        <v>157691947.87</v>
      </c>
      <c r="DL39" s="3">
        <v>0</v>
      </c>
      <c r="DM39" s="3">
        <v>111247922.53</v>
      </c>
      <c r="DN39" s="3">
        <v>0</v>
      </c>
      <c r="DO39" s="3">
        <v>111247922.53</v>
      </c>
      <c r="DP39" s="3">
        <v>0</v>
      </c>
      <c r="DQ39" s="3">
        <v>51478000</v>
      </c>
      <c r="DR39" s="3">
        <v>0</v>
      </c>
      <c r="DS39" s="3">
        <v>51478000</v>
      </c>
      <c r="DT39" s="3">
        <v>0</v>
      </c>
      <c r="DU39" s="3">
        <v>144306000</v>
      </c>
      <c r="DV39" s="3">
        <v>0</v>
      </c>
      <c r="DW39" s="3">
        <v>144306000</v>
      </c>
      <c r="DX39" s="3">
        <v>0</v>
      </c>
      <c r="DY39" s="3">
        <v>144306000</v>
      </c>
      <c r="DZ39" s="3">
        <v>0</v>
      </c>
      <c r="EA39" s="3">
        <v>144306000</v>
      </c>
      <c r="EB39" s="3">
        <v>0</v>
      </c>
      <c r="EC39" s="3">
        <v>119397915.47</v>
      </c>
      <c r="ED39" s="3">
        <v>0</v>
      </c>
      <c r="EE39" s="3">
        <v>119397915.47</v>
      </c>
      <c r="EF39" s="3">
        <v>0</v>
      </c>
      <c r="EG39" s="3">
        <v>119397915.47</v>
      </c>
      <c r="EH39" s="3">
        <v>0</v>
      </c>
      <c r="EI39" s="3">
        <v>119397915.47</v>
      </c>
      <c r="EJ39" s="3">
        <v>0</v>
      </c>
      <c r="EK39" s="3">
        <v>102102406.81999999</v>
      </c>
      <c r="EL39" s="3">
        <v>0</v>
      </c>
      <c r="EM39" s="3">
        <v>102102406.81999999</v>
      </c>
      <c r="EN39" s="3">
        <v>0</v>
      </c>
      <c r="EO39" s="3">
        <v>82966422.739999995</v>
      </c>
      <c r="EP39" s="3">
        <v>0</v>
      </c>
      <c r="EQ39" s="3">
        <v>82966422.739999995</v>
      </c>
      <c r="ER39" s="3">
        <v>0</v>
      </c>
      <c r="ES39" s="3">
        <v>53359000</v>
      </c>
      <c r="ET39" s="3">
        <v>0</v>
      </c>
      <c r="EU39" s="3">
        <v>53359000</v>
      </c>
      <c r="EV39" s="3">
        <v>0</v>
      </c>
      <c r="EW39" s="3">
        <v>154431000</v>
      </c>
      <c r="EX39" s="3">
        <v>0</v>
      </c>
      <c r="EY39" s="3">
        <v>154431000</v>
      </c>
      <c r="EZ39" s="3">
        <v>0</v>
      </c>
      <c r="FA39" s="3">
        <v>154431000</v>
      </c>
      <c r="FB39" s="3">
        <v>0</v>
      </c>
      <c r="FC39" s="3">
        <v>154431000</v>
      </c>
      <c r="FD39" s="3">
        <v>0</v>
      </c>
      <c r="FE39" s="3">
        <v>169734779.62</v>
      </c>
      <c r="FF39" s="3">
        <v>0</v>
      </c>
      <c r="FG39" s="3">
        <v>169734779.62</v>
      </c>
      <c r="FH39" s="3">
        <v>0</v>
      </c>
      <c r="FI39" s="3">
        <v>169734779.62</v>
      </c>
      <c r="FJ39" s="3">
        <v>0</v>
      </c>
      <c r="FK39" s="3">
        <v>169734779.62</v>
      </c>
      <c r="FL39" s="3">
        <v>0</v>
      </c>
      <c r="FM39" s="3">
        <v>53167427.130000003</v>
      </c>
      <c r="FN39" s="3">
        <v>0</v>
      </c>
      <c r="FO39" s="3">
        <v>53167427.130000003</v>
      </c>
      <c r="FP39" s="3">
        <v>0</v>
      </c>
      <c r="FQ39" s="3">
        <v>38116662.609999999</v>
      </c>
      <c r="FR39" s="3">
        <v>0</v>
      </c>
      <c r="FS39" s="3">
        <v>38116662.609999999</v>
      </c>
      <c r="FT39" s="3">
        <v>0</v>
      </c>
      <c r="FU39" s="3">
        <v>154436000</v>
      </c>
      <c r="FV39" s="3">
        <v>0</v>
      </c>
      <c r="FW39" s="3">
        <v>154436000</v>
      </c>
      <c r="FX39" s="3">
        <v>0</v>
      </c>
      <c r="FY39" s="3">
        <v>154436000</v>
      </c>
      <c r="FZ39" s="3">
        <v>0</v>
      </c>
      <c r="GA39" s="3">
        <v>154436000</v>
      </c>
      <c r="GB39" s="3">
        <v>0</v>
      </c>
      <c r="GC39" s="3">
        <v>154436000</v>
      </c>
      <c r="GD39" s="3">
        <v>0</v>
      </c>
      <c r="GE39" s="3">
        <v>154436000</v>
      </c>
      <c r="GF39" s="3">
        <v>0</v>
      </c>
      <c r="GG39" s="3">
        <v>270017969.11000001</v>
      </c>
      <c r="GH39" s="3">
        <v>0</v>
      </c>
      <c r="GI39" s="3">
        <v>270017969.11000001</v>
      </c>
      <c r="GJ39" s="3">
        <v>0</v>
      </c>
      <c r="GK39" s="3">
        <v>270017969.11000001</v>
      </c>
      <c r="GL39" s="3">
        <v>0</v>
      </c>
      <c r="GM39" s="3">
        <v>270017969.11000001</v>
      </c>
      <c r="GN39" s="3">
        <v>0</v>
      </c>
      <c r="GO39" s="3">
        <v>208340786.05000001</v>
      </c>
      <c r="GP39" s="3">
        <v>0</v>
      </c>
      <c r="GQ39" s="3">
        <v>208340786.05000001</v>
      </c>
      <c r="GR39" s="3">
        <v>0</v>
      </c>
      <c r="GS39" s="3">
        <v>146308139.90000001</v>
      </c>
      <c r="GT39" s="3">
        <v>0</v>
      </c>
      <c r="GU39" s="3">
        <v>146308139.90000001</v>
      </c>
      <c r="GV39" s="3">
        <v>0</v>
      </c>
      <c r="GW39" s="3">
        <v>74344000</v>
      </c>
      <c r="GX39" s="3">
        <v>0</v>
      </c>
      <c r="GY39" s="3">
        <v>74344000</v>
      </c>
      <c r="GZ39" s="3">
        <v>0</v>
      </c>
      <c r="HA39" s="3">
        <v>154436000</v>
      </c>
      <c r="HB39" s="3">
        <v>0</v>
      </c>
      <c r="HC39" s="3">
        <v>154436000</v>
      </c>
      <c r="HD39" s="3">
        <v>0</v>
      </c>
      <c r="HE39" s="3">
        <v>154436000</v>
      </c>
      <c r="HF39" s="3">
        <v>0</v>
      </c>
      <c r="HG39" s="3">
        <v>154436000</v>
      </c>
      <c r="HH39" s="3">
        <v>0</v>
      </c>
      <c r="HI39" s="3">
        <v>204773965.78</v>
      </c>
      <c r="HJ39" s="3">
        <v>0</v>
      </c>
      <c r="HK39" s="3">
        <v>204773965.78</v>
      </c>
      <c r="HL39" s="3">
        <v>0</v>
      </c>
      <c r="HM39" s="3">
        <v>124681965.78</v>
      </c>
      <c r="HN39" s="3">
        <v>0</v>
      </c>
      <c r="HO39" s="3">
        <v>124681965.78</v>
      </c>
      <c r="HP39" s="3">
        <v>0</v>
      </c>
      <c r="HQ39" s="3">
        <v>102384899.76000001</v>
      </c>
      <c r="HR39" s="3">
        <v>0</v>
      </c>
      <c r="HS39" s="3">
        <v>102384899.76000001</v>
      </c>
      <c r="HT39" s="3">
        <v>0</v>
      </c>
      <c r="HU39" s="3">
        <v>78040830.930000007</v>
      </c>
      <c r="HV39" s="3">
        <v>0</v>
      </c>
      <c r="HW39" s="3">
        <v>78040830.930000007</v>
      </c>
      <c r="HX39" s="3">
        <v>0</v>
      </c>
      <c r="HY39" s="3">
        <v>74821000</v>
      </c>
      <c r="HZ39" s="3">
        <v>0</v>
      </c>
      <c r="IA39" s="3">
        <v>74821000</v>
      </c>
      <c r="IB39" s="3">
        <v>0</v>
      </c>
      <c r="IC39" s="3">
        <v>154436000</v>
      </c>
      <c r="ID39" s="3">
        <v>0</v>
      </c>
      <c r="IE39" s="3">
        <v>154436000</v>
      </c>
      <c r="IF39" s="3"/>
      <c r="IG39" s="3"/>
      <c r="IH39" s="3"/>
      <c r="II39" s="3"/>
      <c r="IJ39" s="3"/>
      <c r="IK39" s="3"/>
      <c r="IL39" s="3"/>
      <c r="IM39" s="3"/>
      <c r="IN39" s="3"/>
      <c r="IO39" s="3"/>
      <c r="IP39" s="3"/>
      <c r="IQ39" s="3"/>
      <c r="IR39" s="3"/>
      <c r="IS39" s="3"/>
      <c r="IT39" s="3"/>
      <c r="IU39" s="3"/>
      <c r="IV39" s="3"/>
      <c r="IW39" s="3"/>
      <c r="IX39" s="3"/>
      <c r="IY39" s="3"/>
      <c r="IZ39" s="3">
        <v>0</v>
      </c>
      <c r="JA39" s="3">
        <v>76168000</v>
      </c>
      <c r="JB39" s="3">
        <v>0</v>
      </c>
      <c r="JC39" s="3">
        <v>76168000</v>
      </c>
      <c r="JD39" s="3"/>
      <c r="JE39" s="3"/>
      <c r="JF39" s="3"/>
      <c r="JG39" s="3"/>
    </row>
    <row r="40" spans="1:267" x14ac:dyDescent="0.25">
      <c r="A40" t="s">
        <v>505</v>
      </c>
      <c r="B40" t="s">
        <v>397</v>
      </c>
      <c r="C40" t="s">
        <v>199</v>
      </c>
      <c r="D40" t="s">
        <v>200</v>
      </c>
      <c r="E40" t="s">
        <v>241</v>
      </c>
      <c r="F40" t="s">
        <v>534</v>
      </c>
      <c r="G40" t="s">
        <v>432</v>
      </c>
      <c r="H40" s="3">
        <v>0</v>
      </c>
      <c r="I40" s="3">
        <v>533436000</v>
      </c>
      <c r="J40" s="3">
        <v>0</v>
      </c>
      <c r="K40" s="3">
        <v>533436000</v>
      </c>
      <c r="L40" s="3">
        <v>0</v>
      </c>
      <c r="M40" s="3">
        <v>533436000</v>
      </c>
      <c r="N40" s="3">
        <v>0</v>
      </c>
      <c r="O40" s="3">
        <v>533436000</v>
      </c>
      <c r="P40" s="3">
        <v>0</v>
      </c>
      <c r="Q40" s="3">
        <v>533436000</v>
      </c>
      <c r="R40" s="3">
        <v>0</v>
      </c>
      <c r="S40" s="3">
        <v>533436000</v>
      </c>
      <c r="T40" s="3">
        <v>0</v>
      </c>
      <c r="U40" s="3">
        <v>533437042</v>
      </c>
      <c r="V40" s="3">
        <v>0</v>
      </c>
      <c r="W40" s="3">
        <v>533437042</v>
      </c>
      <c r="X40" s="3">
        <v>0</v>
      </c>
      <c r="Y40" s="3">
        <v>533437042</v>
      </c>
      <c r="Z40" s="3">
        <v>0</v>
      </c>
      <c r="AA40" s="3">
        <v>533437042</v>
      </c>
      <c r="AB40" s="3">
        <v>0</v>
      </c>
      <c r="AC40" s="3">
        <v>452973075.81</v>
      </c>
      <c r="AD40" s="3">
        <v>0</v>
      </c>
      <c r="AE40" s="3">
        <v>452973075.81</v>
      </c>
      <c r="AF40" s="3">
        <v>0</v>
      </c>
      <c r="AG40" s="3">
        <v>350510287.37</v>
      </c>
      <c r="AH40" s="3">
        <v>0</v>
      </c>
      <c r="AI40" s="3">
        <v>350510287.37</v>
      </c>
      <c r="AJ40" s="3">
        <v>0</v>
      </c>
      <c r="AK40" s="3">
        <v>306637000</v>
      </c>
      <c r="AL40" s="3">
        <v>0</v>
      </c>
      <c r="AM40" s="3">
        <v>306637000</v>
      </c>
      <c r="AN40" s="3">
        <v>0</v>
      </c>
      <c r="AO40" s="3">
        <v>707316000</v>
      </c>
      <c r="AP40" s="3">
        <v>0</v>
      </c>
      <c r="AQ40" s="3">
        <v>707316000</v>
      </c>
      <c r="AR40" s="3">
        <v>0</v>
      </c>
      <c r="AS40" s="3">
        <v>707316000</v>
      </c>
      <c r="AT40" s="3">
        <v>0</v>
      </c>
      <c r="AU40" s="3">
        <v>707316000</v>
      </c>
      <c r="AV40" s="3">
        <v>0</v>
      </c>
      <c r="AW40" s="3">
        <v>790368622.55999994</v>
      </c>
      <c r="AX40" s="3">
        <v>0</v>
      </c>
      <c r="AY40" s="3">
        <v>790368622.55999994</v>
      </c>
      <c r="AZ40" s="3">
        <v>0</v>
      </c>
      <c r="BA40" s="3">
        <v>389689622.56</v>
      </c>
      <c r="BB40" s="3">
        <v>0</v>
      </c>
      <c r="BC40" s="3">
        <v>389689622.56</v>
      </c>
      <c r="BD40" s="3">
        <v>0</v>
      </c>
      <c r="BE40" s="3">
        <v>301019678.48000002</v>
      </c>
      <c r="BF40" s="3">
        <v>0</v>
      </c>
      <c r="BG40" s="3">
        <v>301019678.48000002</v>
      </c>
      <c r="BH40" s="3">
        <v>0</v>
      </c>
      <c r="BI40" s="6">
        <v>243621544.84</v>
      </c>
      <c r="BJ40" s="6">
        <v>0</v>
      </c>
      <c r="BK40" s="6">
        <v>243621544.84</v>
      </c>
      <c r="BL40" s="3">
        <v>0</v>
      </c>
      <c r="BM40" s="3">
        <v>600625000</v>
      </c>
      <c r="BN40" s="3">
        <v>0</v>
      </c>
      <c r="BO40" s="3">
        <v>600625000</v>
      </c>
      <c r="BP40" s="3">
        <v>0</v>
      </c>
      <c r="BQ40" s="3">
        <v>600625000</v>
      </c>
      <c r="BR40" s="3">
        <v>0</v>
      </c>
      <c r="BS40" s="3">
        <v>600625000</v>
      </c>
      <c r="BT40" s="3">
        <v>0</v>
      </c>
      <c r="BU40" s="3">
        <v>600625000</v>
      </c>
      <c r="BV40" s="3">
        <v>0</v>
      </c>
      <c r="BW40" s="3">
        <v>600625000</v>
      </c>
      <c r="BX40" s="3">
        <v>0</v>
      </c>
      <c r="BY40" s="3">
        <v>833758912.87</v>
      </c>
      <c r="BZ40" s="3">
        <v>0</v>
      </c>
      <c r="CA40" s="3">
        <v>833758912.87</v>
      </c>
      <c r="CB40" s="3">
        <v>0</v>
      </c>
      <c r="CC40" s="3">
        <v>794131512.87</v>
      </c>
      <c r="CD40" s="3">
        <v>0</v>
      </c>
      <c r="CE40" s="3">
        <v>794131512.87</v>
      </c>
      <c r="CF40" s="3">
        <v>0</v>
      </c>
      <c r="CG40" s="3">
        <v>451905695.95999998</v>
      </c>
      <c r="CH40" s="3">
        <v>0</v>
      </c>
      <c r="CI40" s="3">
        <v>451905695.95999998</v>
      </c>
      <c r="CJ40" s="3">
        <v>0</v>
      </c>
      <c r="CK40" s="3">
        <v>178492326.63999999</v>
      </c>
      <c r="CL40" s="3">
        <v>0</v>
      </c>
      <c r="CM40" s="3">
        <v>178492326.63999999</v>
      </c>
      <c r="CN40" s="3">
        <v>0</v>
      </c>
      <c r="CO40" s="3">
        <v>15215694000</v>
      </c>
      <c r="CP40" s="3">
        <v>0</v>
      </c>
      <c r="CQ40" s="3">
        <v>15215694000</v>
      </c>
      <c r="CR40" s="3">
        <v>0</v>
      </c>
      <c r="CS40" s="3">
        <v>16615694000</v>
      </c>
      <c r="CT40" s="3">
        <v>0</v>
      </c>
      <c r="CU40" s="3">
        <v>16615694000</v>
      </c>
      <c r="CV40" s="3">
        <v>0</v>
      </c>
      <c r="CW40" s="3">
        <v>16615694000</v>
      </c>
      <c r="CX40" s="3">
        <v>0</v>
      </c>
      <c r="CY40" s="3">
        <v>16615694000</v>
      </c>
      <c r="CZ40" s="3">
        <v>0</v>
      </c>
      <c r="DA40" s="3">
        <v>16804772639.459999</v>
      </c>
      <c r="DB40" s="3">
        <v>3000000</v>
      </c>
      <c r="DC40" s="3">
        <v>16807772639.459999</v>
      </c>
      <c r="DD40" s="3">
        <v>0</v>
      </c>
      <c r="DE40" s="3">
        <v>16452374639.459999</v>
      </c>
      <c r="DF40" s="3">
        <v>3000000</v>
      </c>
      <c r="DG40" s="3">
        <v>16455374639.459999</v>
      </c>
      <c r="DH40" s="3">
        <v>0</v>
      </c>
      <c r="DI40" s="3">
        <v>14430119966.040001</v>
      </c>
      <c r="DJ40" s="3">
        <v>2847988</v>
      </c>
      <c r="DK40" s="3">
        <v>14432967954.040001</v>
      </c>
      <c r="DL40" s="3">
        <v>0</v>
      </c>
      <c r="DM40" s="3">
        <v>8626657649.2299995</v>
      </c>
      <c r="DN40" s="3">
        <v>1234988</v>
      </c>
      <c r="DO40" s="3">
        <v>8627892637.2299995</v>
      </c>
      <c r="DP40" s="3">
        <v>0</v>
      </c>
      <c r="DQ40" s="3">
        <v>15215694000</v>
      </c>
      <c r="DR40" s="3">
        <v>0</v>
      </c>
      <c r="DS40" s="3">
        <v>15215694000</v>
      </c>
      <c r="DT40" s="3">
        <v>0</v>
      </c>
      <c r="DU40" s="3">
        <v>15215694000</v>
      </c>
      <c r="DV40" s="3">
        <v>0</v>
      </c>
      <c r="DW40" s="3">
        <v>15215694000</v>
      </c>
      <c r="DX40" s="3">
        <v>0</v>
      </c>
      <c r="DY40" s="3">
        <v>15568092000</v>
      </c>
      <c r="DZ40" s="3">
        <v>0</v>
      </c>
      <c r="EA40" s="3">
        <v>15568092000</v>
      </c>
      <c r="EB40" s="3">
        <v>0</v>
      </c>
      <c r="EC40" s="3">
        <v>16504936276.01</v>
      </c>
      <c r="ED40" s="3">
        <v>0</v>
      </c>
      <c r="EE40" s="3">
        <v>16504936276.01</v>
      </c>
      <c r="EF40" s="3">
        <v>0</v>
      </c>
      <c r="EG40" s="3">
        <v>16015383276.01</v>
      </c>
      <c r="EH40" s="3">
        <v>0</v>
      </c>
      <c r="EI40" s="3">
        <v>16015383276.01</v>
      </c>
      <c r="EJ40" s="3">
        <v>0</v>
      </c>
      <c r="EK40" s="3">
        <v>13027150200.629999</v>
      </c>
      <c r="EL40" s="3">
        <v>0</v>
      </c>
      <c r="EM40" s="3">
        <v>13027150200.629999</v>
      </c>
      <c r="EN40" s="3">
        <v>0</v>
      </c>
      <c r="EO40" s="3">
        <v>10132570407.870001</v>
      </c>
      <c r="EP40" s="3">
        <v>0</v>
      </c>
      <c r="EQ40" s="3">
        <v>10132570407.870001</v>
      </c>
      <c r="ER40" s="3">
        <v>0</v>
      </c>
      <c r="ES40" s="3">
        <v>19995182000</v>
      </c>
      <c r="ET40" s="3">
        <v>0</v>
      </c>
      <c r="EU40" s="3">
        <v>19995182000</v>
      </c>
      <c r="EV40" s="3">
        <v>0</v>
      </c>
      <c r="EW40" s="3">
        <v>4243268000</v>
      </c>
      <c r="EX40" s="3">
        <v>51914000</v>
      </c>
      <c r="EY40" s="3">
        <v>4295182000</v>
      </c>
      <c r="EZ40" s="3">
        <v>0</v>
      </c>
      <c r="FA40" s="3">
        <v>4380423000</v>
      </c>
      <c r="FB40" s="3">
        <v>51914000</v>
      </c>
      <c r="FC40" s="3">
        <v>4432337000</v>
      </c>
      <c r="FD40" s="3">
        <v>0</v>
      </c>
      <c r="FE40" s="3">
        <v>6366211008.4899998</v>
      </c>
      <c r="FF40" s="3">
        <v>51914000</v>
      </c>
      <c r="FG40" s="3">
        <v>6418125008.4899998</v>
      </c>
      <c r="FH40" s="3">
        <v>0</v>
      </c>
      <c r="FI40" s="3">
        <v>6325513679.4899998</v>
      </c>
      <c r="FJ40" s="3">
        <v>51913300</v>
      </c>
      <c r="FK40" s="3">
        <v>6377426979.4899998</v>
      </c>
      <c r="FL40" s="3">
        <v>0</v>
      </c>
      <c r="FM40" s="3">
        <v>4548841516.1300001</v>
      </c>
      <c r="FN40" s="3">
        <v>0</v>
      </c>
      <c r="FO40" s="3">
        <v>4548841516.1300001</v>
      </c>
      <c r="FP40" s="3">
        <v>0</v>
      </c>
      <c r="FQ40" s="3">
        <v>3325600057.0100002</v>
      </c>
      <c r="FR40" s="3">
        <v>0</v>
      </c>
      <c r="FS40" s="3">
        <v>3325600057.0100002</v>
      </c>
      <c r="FT40" s="3">
        <v>0</v>
      </c>
      <c r="FU40" s="3">
        <v>4277518000</v>
      </c>
      <c r="FV40" s="3">
        <v>0</v>
      </c>
      <c r="FW40" s="3">
        <v>4277518000</v>
      </c>
      <c r="FX40" s="3">
        <v>0</v>
      </c>
      <c r="FY40" s="3">
        <v>4277518000</v>
      </c>
      <c r="FZ40" s="3">
        <v>0</v>
      </c>
      <c r="GA40" s="3">
        <v>4277518000</v>
      </c>
      <c r="GB40" s="3">
        <v>0</v>
      </c>
      <c r="GC40" s="3">
        <v>4277520329</v>
      </c>
      <c r="GD40" s="3">
        <v>700</v>
      </c>
      <c r="GE40" s="3">
        <v>4277521029</v>
      </c>
      <c r="GF40" s="3">
        <v>0</v>
      </c>
      <c r="GG40" s="3">
        <v>5945549768.4099998</v>
      </c>
      <c r="GH40" s="3">
        <v>51914000</v>
      </c>
      <c r="GI40" s="3">
        <v>5997463768.4099998</v>
      </c>
      <c r="GJ40" s="3">
        <v>0</v>
      </c>
      <c r="GK40" s="3">
        <v>5945547439.4099998</v>
      </c>
      <c r="GL40" s="3">
        <v>51913300</v>
      </c>
      <c r="GM40" s="3">
        <v>5997460739.4099998</v>
      </c>
      <c r="GN40" s="3">
        <v>0</v>
      </c>
      <c r="GO40" s="3">
        <v>4116734641.71</v>
      </c>
      <c r="GP40" s="3">
        <v>46224776.090000004</v>
      </c>
      <c r="GQ40" s="3">
        <v>4162959417.8000002</v>
      </c>
      <c r="GR40" s="3">
        <v>0</v>
      </c>
      <c r="GS40" s="3">
        <v>2315233818.5900002</v>
      </c>
      <c r="GT40" s="3">
        <v>9034745.9299999997</v>
      </c>
      <c r="GU40" s="3">
        <v>2324268564.52</v>
      </c>
      <c r="GV40" s="3">
        <v>0</v>
      </c>
      <c r="GW40" s="3">
        <v>4282981000</v>
      </c>
      <c r="GX40" s="3">
        <v>0</v>
      </c>
      <c r="GY40" s="3">
        <v>4282981000</v>
      </c>
      <c r="GZ40" s="3">
        <v>0</v>
      </c>
      <c r="HA40" s="3">
        <v>4282981000</v>
      </c>
      <c r="HB40" s="3">
        <v>0</v>
      </c>
      <c r="HC40" s="3">
        <v>4282981000</v>
      </c>
      <c r="HD40" s="3">
        <v>0</v>
      </c>
      <c r="HE40" s="3">
        <v>4282981000</v>
      </c>
      <c r="HF40" s="3">
        <v>0</v>
      </c>
      <c r="HG40" s="3">
        <v>4282981000</v>
      </c>
      <c r="HH40" s="3">
        <v>0</v>
      </c>
      <c r="HI40" s="3">
        <v>5913635101.79</v>
      </c>
      <c r="HJ40" s="3">
        <v>0</v>
      </c>
      <c r="HK40" s="3">
        <v>5913635101.79</v>
      </c>
      <c r="HL40" s="3">
        <v>0</v>
      </c>
      <c r="HM40" s="3">
        <v>5913635101.79</v>
      </c>
      <c r="HN40" s="3">
        <v>0</v>
      </c>
      <c r="HO40" s="3">
        <v>5913635101.79</v>
      </c>
      <c r="HP40" s="3">
        <v>0</v>
      </c>
      <c r="HQ40" s="3">
        <v>5083147754.9300003</v>
      </c>
      <c r="HR40" s="3">
        <v>0</v>
      </c>
      <c r="HS40" s="3">
        <v>5083147754.9300003</v>
      </c>
      <c r="HT40" s="3">
        <v>0</v>
      </c>
      <c r="HU40" s="3">
        <v>2089481499.26</v>
      </c>
      <c r="HV40" s="3">
        <v>0</v>
      </c>
      <c r="HW40" s="3">
        <v>2089481499.26</v>
      </c>
      <c r="HX40" s="3">
        <v>0</v>
      </c>
      <c r="HY40" s="3">
        <v>4360075000</v>
      </c>
      <c r="HZ40" s="3">
        <v>0</v>
      </c>
      <c r="IA40" s="3">
        <v>4360075000</v>
      </c>
      <c r="IB40" s="3">
        <v>0</v>
      </c>
      <c r="IC40" s="3">
        <v>4917578000</v>
      </c>
      <c r="ID40" s="3">
        <v>0</v>
      </c>
      <c r="IE40" s="3">
        <v>4917578000</v>
      </c>
      <c r="IF40" s="3"/>
      <c r="IG40" s="3"/>
      <c r="IH40" s="3"/>
      <c r="II40" s="3"/>
      <c r="IJ40" s="3"/>
      <c r="IK40" s="3"/>
      <c r="IL40" s="3"/>
      <c r="IM40" s="3"/>
      <c r="IN40" s="3"/>
      <c r="IO40" s="3"/>
      <c r="IP40" s="3"/>
      <c r="IQ40" s="3"/>
      <c r="IR40" s="3"/>
      <c r="IS40" s="3"/>
      <c r="IT40" s="3"/>
      <c r="IU40" s="3"/>
      <c r="IV40" s="3"/>
      <c r="IW40" s="3"/>
      <c r="IX40" s="3"/>
      <c r="IY40" s="3"/>
      <c r="IZ40" s="3">
        <v>0</v>
      </c>
      <c r="JA40" s="3">
        <v>3848780000</v>
      </c>
      <c r="JB40" s="3">
        <v>0</v>
      </c>
      <c r="JC40" s="3">
        <v>3848780000</v>
      </c>
      <c r="JD40" s="3"/>
      <c r="JE40" s="3"/>
      <c r="JF40" s="3"/>
      <c r="JG40" s="3"/>
    </row>
    <row r="41" spans="1:267" x14ac:dyDescent="0.25">
      <c r="A41" t="s">
        <v>505</v>
      </c>
      <c r="B41" t="s">
        <v>397</v>
      </c>
      <c r="C41" t="s">
        <v>199</v>
      </c>
      <c r="D41" t="s">
        <v>200</v>
      </c>
      <c r="E41" t="s">
        <v>241</v>
      </c>
      <c r="F41" t="s">
        <v>535</v>
      </c>
      <c r="G41" t="s">
        <v>433</v>
      </c>
      <c r="H41" s="3">
        <v>0</v>
      </c>
      <c r="I41" s="3">
        <v>505000000</v>
      </c>
      <c r="J41" s="3">
        <v>0</v>
      </c>
      <c r="K41" s="3">
        <v>505000000</v>
      </c>
      <c r="L41" s="3">
        <v>0</v>
      </c>
      <c r="M41" s="3">
        <v>505000000</v>
      </c>
      <c r="N41" s="3">
        <v>0</v>
      </c>
      <c r="O41" s="3">
        <v>505000000</v>
      </c>
      <c r="P41" s="3">
        <v>0</v>
      </c>
      <c r="Q41" s="3">
        <v>505000000</v>
      </c>
      <c r="R41" s="3">
        <v>0</v>
      </c>
      <c r="S41" s="3">
        <v>505000000</v>
      </c>
      <c r="T41" s="3">
        <v>0</v>
      </c>
      <c r="U41" s="3">
        <v>504938000</v>
      </c>
      <c r="V41" s="3">
        <v>0</v>
      </c>
      <c r="W41" s="3">
        <v>504938000</v>
      </c>
      <c r="X41" s="3">
        <v>0</v>
      </c>
      <c r="Y41" s="3">
        <v>504938000</v>
      </c>
      <c r="Z41" s="3">
        <v>0</v>
      </c>
      <c r="AA41" s="3">
        <v>504938000</v>
      </c>
      <c r="AB41" s="3">
        <v>0</v>
      </c>
      <c r="AC41" s="3">
        <v>474100125.41000003</v>
      </c>
      <c r="AD41" s="3">
        <v>0</v>
      </c>
      <c r="AE41" s="3">
        <v>474100125.41000003</v>
      </c>
      <c r="AF41" s="3">
        <v>0</v>
      </c>
      <c r="AG41" s="3">
        <v>420000147.91000003</v>
      </c>
      <c r="AH41" s="3">
        <v>0</v>
      </c>
      <c r="AI41" s="3">
        <v>420000147.91000003</v>
      </c>
      <c r="AJ41" s="3">
        <v>0</v>
      </c>
      <c r="AK41" s="3">
        <v>359863000</v>
      </c>
      <c r="AL41" s="3">
        <v>0</v>
      </c>
      <c r="AM41" s="3">
        <v>359863000</v>
      </c>
      <c r="AN41" s="3">
        <v>0</v>
      </c>
      <c r="AO41" s="3">
        <v>359863000</v>
      </c>
      <c r="AP41" s="3">
        <v>0</v>
      </c>
      <c r="AQ41" s="3">
        <v>359863000</v>
      </c>
      <c r="AR41" s="3">
        <v>0</v>
      </c>
      <c r="AS41" s="3">
        <v>359863000</v>
      </c>
      <c r="AT41" s="3">
        <v>0</v>
      </c>
      <c r="AU41" s="3">
        <v>359863000</v>
      </c>
      <c r="AV41" s="3">
        <v>0</v>
      </c>
      <c r="AW41" s="3">
        <v>319566874.58999997</v>
      </c>
      <c r="AX41" s="3">
        <v>0</v>
      </c>
      <c r="AY41" s="3">
        <v>319566874.58999997</v>
      </c>
      <c r="AZ41" s="3">
        <v>0</v>
      </c>
      <c r="BA41" s="3">
        <v>319566874.58999997</v>
      </c>
      <c r="BB41" s="3">
        <v>0</v>
      </c>
      <c r="BC41" s="3">
        <v>319566874.58999997</v>
      </c>
      <c r="BD41" s="3">
        <v>0</v>
      </c>
      <c r="BE41" s="3">
        <v>294178304.06</v>
      </c>
      <c r="BF41" s="3">
        <v>0</v>
      </c>
      <c r="BG41" s="3">
        <v>294178304.06</v>
      </c>
      <c r="BH41" s="3">
        <v>0</v>
      </c>
      <c r="BI41" s="6">
        <v>273710157.01999998</v>
      </c>
      <c r="BJ41" s="6">
        <v>0</v>
      </c>
      <c r="BK41" s="6">
        <v>273710157.01999998</v>
      </c>
      <c r="BL41" s="3">
        <v>0</v>
      </c>
      <c r="BM41" s="3">
        <v>340697000</v>
      </c>
      <c r="BN41" s="3">
        <v>0</v>
      </c>
      <c r="BO41" s="3">
        <v>340697000</v>
      </c>
      <c r="BP41" s="3">
        <v>0</v>
      </c>
      <c r="BQ41" s="3">
        <v>340697000</v>
      </c>
      <c r="BR41" s="3">
        <v>0</v>
      </c>
      <c r="BS41" s="3">
        <v>340697000</v>
      </c>
      <c r="BT41" s="3">
        <v>0</v>
      </c>
      <c r="BU41" s="3">
        <v>340697000</v>
      </c>
      <c r="BV41" s="3">
        <v>0</v>
      </c>
      <c r="BW41" s="3">
        <v>340697000</v>
      </c>
      <c r="BX41" s="3">
        <v>0</v>
      </c>
      <c r="BY41" s="3">
        <v>279574771.52999997</v>
      </c>
      <c r="BZ41" s="3">
        <v>0</v>
      </c>
      <c r="CA41" s="3">
        <v>279574771.52999997</v>
      </c>
      <c r="CB41" s="3">
        <v>0</v>
      </c>
      <c r="CC41" s="3">
        <v>279574771.52999997</v>
      </c>
      <c r="CD41" s="3">
        <v>0</v>
      </c>
      <c r="CE41" s="3">
        <v>279574771.52999997</v>
      </c>
      <c r="CF41" s="3">
        <v>0</v>
      </c>
      <c r="CG41" s="3">
        <v>222845932.99000001</v>
      </c>
      <c r="CH41" s="3">
        <v>0</v>
      </c>
      <c r="CI41" s="3">
        <v>222845932.99000001</v>
      </c>
      <c r="CJ41" s="3">
        <v>0</v>
      </c>
      <c r="CK41" s="3">
        <v>182449198.97999999</v>
      </c>
      <c r="CL41" s="3">
        <v>0</v>
      </c>
      <c r="CM41" s="3">
        <v>182449198.97999999</v>
      </c>
      <c r="CN41" s="3">
        <v>0</v>
      </c>
      <c r="CO41" s="3">
        <v>346830000</v>
      </c>
      <c r="CP41" s="3">
        <v>0</v>
      </c>
      <c r="CQ41" s="3">
        <v>346830000</v>
      </c>
      <c r="CR41" s="3">
        <v>0</v>
      </c>
      <c r="CS41" s="3">
        <v>346830000</v>
      </c>
      <c r="CT41" s="3">
        <v>0</v>
      </c>
      <c r="CU41" s="3">
        <v>346830000</v>
      </c>
      <c r="CV41" s="3">
        <v>0</v>
      </c>
      <c r="CW41" s="3">
        <v>346830000</v>
      </c>
      <c r="CX41" s="3">
        <v>0</v>
      </c>
      <c r="CY41" s="3">
        <v>346830000</v>
      </c>
      <c r="CZ41" s="3">
        <v>0</v>
      </c>
      <c r="DA41" s="3">
        <v>398795915.13999999</v>
      </c>
      <c r="DB41" s="3">
        <v>0</v>
      </c>
      <c r="DC41" s="3">
        <v>398795915.13999999</v>
      </c>
      <c r="DD41" s="3">
        <v>0</v>
      </c>
      <c r="DE41" s="3">
        <v>398795915.13999999</v>
      </c>
      <c r="DF41" s="3">
        <v>0</v>
      </c>
      <c r="DG41" s="3">
        <v>398795915.13999999</v>
      </c>
      <c r="DH41" s="3">
        <v>0</v>
      </c>
      <c r="DI41" s="3">
        <v>283094751.20999998</v>
      </c>
      <c r="DJ41" s="3">
        <v>0</v>
      </c>
      <c r="DK41" s="3">
        <v>283094751.20999998</v>
      </c>
      <c r="DL41" s="3">
        <v>0</v>
      </c>
      <c r="DM41" s="3">
        <v>237621779.71000001</v>
      </c>
      <c r="DN41" s="3">
        <v>0</v>
      </c>
      <c r="DO41" s="3">
        <v>237621779.71000001</v>
      </c>
      <c r="DP41" s="3">
        <v>0</v>
      </c>
      <c r="DQ41" s="3">
        <v>346830000</v>
      </c>
      <c r="DR41" s="3">
        <v>0</v>
      </c>
      <c r="DS41" s="3">
        <v>346830000</v>
      </c>
      <c r="DT41" s="3">
        <v>0</v>
      </c>
      <c r="DU41" s="3">
        <v>356830000</v>
      </c>
      <c r="DV41" s="3">
        <v>0</v>
      </c>
      <c r="DW41" s="3">
        <v>356830000</v>
      </c>
      <c r="DX41" s="3">
        <v>0</v>
      </c>
      <c r="DY41" s="3">
        <v>356830000</v>
      </c>
      <c r="DZ41" s="3">
        <v>0</v>
      </c>
      <c r="EA41" s="3">
        <v>356830000</v>
      </c>
      <c r="EB41" s="3">
        <v>0</v>
      </c>
      <c r="EC41" s="3">
        <v>462902947.82999998</v>
      </c>
      <c r="ED41" s="3">
        <v>0</v>
      </c>
      <c r="EE41" s="3">
        <v>462902947.82999998</v>
      </c>
      <c r="EF41" s="3">
        <v>0</v>
      </c>
      <c r="EG41" s="3">
        <v>462902947.82999998</v>
      </c>
      <c r="EH41" s="3">
        <v>0</v>
      </c>
      <c r="EI41" s="3">
        <v>462902947.82999998</v>
      </c>
      <c r="EJ41" s="3">
        <v>0</v>
      </c>
      <c r="EK41" s="3">
        <v>318432015.86000001</v>
      </c>
      <c r="EL41" s="3">
        <v>0</v>
      </c>
      <c r="EM41" s="3">
        <v>318432015.86000001</v>
      </c>
      <c r="EN41" s="3">
        <v>0</v>
      </c>
      <c r="EO41" s="3">
        <v>290645150.83999997</v>
      </c>
      <c r="EP41" s="3">
        <v>0</v>
      </c>
      <c r="EQ41" s="3">
        <v>290645150.83999997</v>
      </c>
      <c r="ER41" s="3">
        <v>0</v>
      </c>
      <c r="ES41" s="3">
        <v>359503000</v>
      </c>
      <c r="ET41" s="3">
        <v>0</v>
      </c>
      <c r="EU41" s="3">
        <v>359503000</v>
      </c>
      <c r="EV41" s="3">
        <v>0</v>
      </c>
      <c r="EW41" s="3">
        <v>359503000</v>
      </c>
      <c r="EX41" s="3">
        <v>0</v>
      </c>
      <c r="EY41" s="3">
        <v>359503000</v>
      </c>
      <c r="EZ41" s="3">
        <v>0</v>
      </c>
      <c r="FA41" s="3">
        <v>359503000</v>
      </c>
      <c r="FB41" s="3">
        <v>0</v>
      </c>
      <c r="FC41" s="3">
        <v>359503000</v>
      </c>
      <c r="FD41" s="3">
        <v>0</v>
      </c>
      <c r="FE41" s="3">
        <v>464940235.39999998</v>
      </c>
      <c r="FF41" s="3">
        <v>0</v>
      </c>
      <c r="FG41" s="3">
        <v>464940235.39999998</v>
      </c>
      <c r="FH41" s="3">
        <v>0</v>
      </c>
      <c r="FI41" s="3">
        <v>464940235.39999998</v>
      </c>
      <c r="FJ41" s="3">
        <v>0</v>
      </c>
      <c r="FK41" s="3">
        <v>464940235.39999998</v>
      </c>
      <c r="FL41" s="3">
        <v>0</v>
      </c>
      <c r="FM41" s="3">
        <v>371863843.57999998</v>
      </c>
      <c r="FN41" s="3">
        <v>0</v>
      </c>
      <c r="FO41" s="3">
        <v>371863843.57999998</v>
      </c>
      <c r="FP41" s="3">
        <v>0</v>
      </c>
      <c r="FQ41" s="3">
        <v>342291730.36000001</v>
      </c>
      <c r="FR41" s="3">
        <v>0</v>
      </c>
      <c r="FS41" s="3">
        <v>342291730.36000001</v>
      </c>
      <c r="FT41" s="3">
        <v>0</v>
      </c>
      <c r="FU41" s="3">
        <v>431639000</v>
      </c>
      <c r="FV41" s="3">
        <v>0</v>
      </c>
      <c r="FW41" s="3">
        <v>431639000</v>
      </c>
      <c r="FX41" s="3">
        <v>0</v>
      </c>
      <c r="FY41" s="3">
        <v>431639000</v>
      </c>
      <c r="FZ41" s="3">
        <v>0</v>
      </c>
      <c r="GA41" s="3">
        <v>431639000</v>
      </c>
      <c r="GB41" s="3">
        <v>0</v>
      </c>
      <c r="GC41" s="3">
        <v>431639000</v>
      </c>
      <c r="GD41" s="3">
        <v>0</v>
      </c>
      <c r="GE41" s="3">
        <v>431639000</v>
      </c>
      <c r="GF41" s="3">
        <v>0</v>
      </c>
      <c r="GG41" s="3">
        <v>502197491.74000001</v>
      </c>
      <c r="GH41" s="3">
        <v>0</v>
      </c>
      <c r="GI41" s="3">
        <v>502197491.74000001</v>
      </c>
      <c r="GJ41" s="3">
        <v>0</v>
      </c>
      <c r="GK41" s="3">
        <v>502197491.74000001</v>
      </c>
      <c r="GL41" s="3">
        <v>0</v>
      </c>
      <c r="GM41" s="3">
        <v>502197491.74000001</v>
      </c>
      <c r="GN41" s="3">
        <v>0</v>
      </c>
      <c r="GO41" s="3">
        <v>455408642.14999998</v>
      </c>
      <c r="GP41" s="3">
        <v>0</v>
      </c>
      <c r="GQ41" s="3">
        <v>455408642.14999998</v>
      </c>
      <c r="GR41" s="3">
        <v>0</v>
      </c>
      <c r="GS41" s="3">
        <v>421626114.98000002</v>
      </c>
      <c r="GT41" s="3">
        <v>0</v>
      </c>
      <c r="GU41" s="3">
        <v>421626114.98000002</v>
      </c>
      <c r="GV41" s="3">
        <v>0</v>
      </c>
      <c r="GW41" s="3">
        <v>400622000</v>
      </c>
      <c r="GX41" s="3">
        <v>0</v>
      </c>
      <c r="GY41" s="3">
        <v>400622000</v>
      </c>
      <c r="GZ41" s="3">
        <v>0</v>
      </c>
      <c r="HA41" s="3">
        <v>498324000</v>
      </c>
      <c r="HB41" s="3">
        <v>0</v>
      </c>
      <c r="HC41" s="3">
        <v>498324000</v>
      </c>
      <c r="HD41" s="3">
        <v>0</v>
      </c>
      <c r="HE41" s="3">
        <v>498324000</v>
      </c>
      <c r="HF41" s="3">
        <v>0</v>
      </c>
      <c r="HG41" s="3">
        <v>498324000</v>
      </c>
      <c r="HH41" s="3">
        <v>0</v>
      </c>
      <c r="HI41" s="3">
        <v>541628072.86000001</v>
      </c>
      <c r="HJ41" s="3">
        <v>0</v>
      </c>
      <c r="HK41" s="3">
        <v>541628072.86000001</v>
      </c>
      <c r="HL41" s="3">
        <v>0</v>
      </c>
      <c r="HM41" s="3">
        <v>541628072.86000001</v>
      </c>
      <c r="HN41" s="3">
        <v>0</v>
      </c>
      <c r="HO41" s="3">
        <v>541628072.86000001</v>
      </c>
      <c r="HP41" s="3">
        <v>0</v>
      </c>
      <c r="HQ41" s="3">
        <v>494536911.92000002</v>
      </c>
      <c r="HR41" s="3">
        <v>0</v>
      </c>
      <c r="HS41" s="3">
        <v>494536911.92000002</v>
      </c>
      <c r="HT41" s="3">
        <v>0</v>
      </c>
      <c r="HU41" s="3">
        <v>461874323.5</v>
      </c>
      <c r="HV41" s="3">
        <v>0</v>
      </c>
      <c r="HW41" s="3">
        <v>461874323.5</v>
      </c>
      <c r="HX41" s="3">
        <v>0</v>
      </c>
      <c r="HY41" s="3">
        <v>495365000</v>
      </c>
      <c r="HZ41" s="3">
        <v>0</v>
      </c>
      <c r="IA41" s="3">
        <v>495365000</v>
      </c>
      <c r="IB41" s="3">
        <v>0</v>
      </c>
      <c r="IC41" s="3">
        <v>521615000</v>
      </c>
      <c r="ID41" s="3">
        <v>0</v>
      </c>
      <c r="IE41" s="3">
        <v>521615000</v>
      </c>
      <c r="IF41" s="3"/>
      <c r="IG41" s="3"/>
      <c r="IH41" s="3"/>
      <c r="II41" s="3"/>
      <c r="IJ41" s="3"/>
      <c r="IK41" s="3"/>
      <c r="IL41" s="3"/>
      <c r="IM41" s="3"/>
      <c r="IN41" s="3"/>
      <c r="IO41" s="3"/>
      <c r="IP41" s="3"/>
      <c r="IQ41" s="3"/>
      <c r="IR41" s="3"/>
      <c r="IS41" s="3"/>
      <c r="IT41" s="3"/>
      <c r="IU41" s="3"/>
      <c r="IV41" s="3"/>
      <c r="IW41" s="3"/>
      <c r="IX41" s="3"/>
      <c r="IY41" s="3"/>
      <c r="IZ41" s="3">
        <v>0</v>
      </c>
      <c r="JA41" s="3">
        <v>504282000</v>
      </c>
      <c r="JB41" s="3">
        <v>0</v>
      </c>
      <c r="JC41" s="3">
        <v>504282000</v>
      </c>
      <c r="JD41" s="3"/>
      <c r="JE41" s="3"/>
      <c r="JF41" s="3"/>
      <c r="JG41" s="3"/>
    </row>
    <row r="42" spans="1:267" x14ac:dyDescent="0.25">
      <c r="A42" t="s">
        <v>505</v>
      </c>
      <c r="B42" t="s">
        <v>397</v>
      </c>
      <c r="C42" t="s">
        <v>199</v>
      </c>
      <c r="D42" t="s">
        <v>200</v>
      </c>
      <c r="E42" t="s">
        <v>241</v>
      </c>
      <c r="F42" t="s">
        <v>536</v>
      </c>
      <c r="G42" t="s">
        <v>434</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6"/>
      <c r="BJ42" s="6"/>
      <c r="BK42" s="6"/>
      <c r="BL42" s="3">
        <v>0</v>
      </c>
      <c r="BM42" s="3">
        <v>0</v>
      </c>
      <c r="BN42" s="3">
        <v>0</v>
      </c>
      <c r="BO42" s="3">
        <v>0</v>
      </c>
      <c r="BP42" s="3">
        <v>0</v>
      </c>
      <c r="BQ42" s="3">
        <v>100000000</v>
      </c>
      <c r="BR42" s="3">
        <v>7000000</v>
      </c>
      <c r="BS42" s="3">
        <v>107000000</v>
      </c>
      <c r="BT42" s="3">
        <v>0</v>
      </c>
      <c r="BU42" s="3">
        <v>100000000</v>
      </c>
      <c r="BV42" s="3">
        <v>7000000</v>
      </c>
      <c r="BW42" s="3">
        <v>107000000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c r="CO42" s="3"/>
      <c r="CP42" s="3"/>
      <c r="CQ42" s="3"/>
      <c r="CR42" s="3">
        <v>0</v>
      </c>
      <c r="CS42" s="3">
        <v>297203000</v>
      </c>
      <c r="CT42" s="3">
        <v>32000000</v>
      </c>
      <c r="CU42" s="3">
        <v>329203000</v>
      </c>
      <c r="CV42" s="3">
        <v>0</v>
      </c>
      <c r="CW42" s="3">
        <v>297203000</v>
      </c>
      <c r="CX42" s="3">
        <v>32000000</v>
      </c>
      <c r="CY42" s="3">
        <v>329203000</v>
      </c>
      <c r="CZ42" s="3">
        <v>0</v>
      </c>
      <c r="DA42" s="3">
        <v>297203000</v>
      </c>
      <c r="DB42" s="3">
        <v>32000000</v>
      </c>
      <c r="DC42" s="3">
        <v>329203000</v>
      </c>
      <c r="DD42" s="3">
        <v>0</v>
      </c>
      <c r="DE42" s="3">
        <v>297203000</v>
      </c>
      <c r="DF42" s="3">
        <v>32000000</v>
      </c>
      <c r="DG42" s="3">
        <v>329203000</v>
      </c>
      <c r="DH42" s="3">
        <v>0</v>
      </c>
      <c r="DI42" s="3">
        <v>263867153.72</v>
      </c>
      <c r="DJ42" s="3">
        <v>24080622.469999999</v>
      </c>
      <c r="DK42" s="3">
        <v>287947776.19</v>
      </c>
      <c r="DL42" s="3">
        <v>0</v>
      </c>
      <c r="DM42" s="3">
        <v>225652801.59</v>
      </c>
      <c r="DN42" s="3">
        <v>1299115.69</v>
      </c>
      <c r="DO42" s="3">
        <v>226951917.28</v>
      </c>
      <c r="DP42" s="3">
        <v>0</v>
      </c>
      <c r="DQ42" s="3">
        <v>297203000</v>
      </c>
      <c r="DR42" s="3">
        <v>0</v>
      </c>
      <c r="DS42" s="3">
        <v>297203000</v>
      </c>
      <c r="DT42" s="3">
        <v>0</v>
      </c>
      <c r="DU42" s="3">
        <v>496203000</v>
      </c>
      <c r="DV42" s="3">
        <v>64000000</v>
      </c>
      <c r="DW42" s="3">
        <v>560203000</v>
      </c>
      <c r="DX42" s="3">
        <v>0</v>
      </c>
      <c r="DY42" s="3">
        <v>496203000</v>
      </c>
      <c r="DZ42" s="3">
        <v>64000000</v>
      </c>
      <c r="EA42" s="3">
        <v>560203000</v>
      </c>
      <c r="EB42" s="3">
        <v>0</v>
      </c>
      <c r="EC42" s="3">
        <v>499538846.27999997</v>
      </c>
      <c r="ED42" s="3">
        <v>71919377.530000001</v>
      </c>
      <c r="EE42" s="3">
        <v>571458223.80999994</v>
      </c>
      <c r="EF42" s="3">
        <v>0</v>
      </c>
      <c r="EG42" s="3">
        <v>499538846.27999997</v>
      </c>
      <c r="EH42" s="3">
        <v>71919377.530000001</v>
      </c>
      <c r="EI42" s="3">
        <v>571458223.80999994</v>
      </c>
      <c r="EJ42" s="3">
        <v>0</v>
      </c>
      <c r="EK42" s="3">
        <v>406159315.64999998</v>
      </c>
      <c r="EL42" s="3">
        <v>37070229.450000003</v>
      </c>
      <c r="EM42" s="3">
        <v>443229545.10000002</v>
      </c>
      <c r="EN42" s="3">
        <v>0</v>
      </c>
      <c r="EO42" s="3">
        <v>382556557.64999998</v>
      </c>
      <c r="EP42" s="3">
        <v>8304787.4100000001</v>
      </c>
      <c r="EQ42" s="3">
        <v>390861345.06</v>
      </c>
      <c r="ER42" s="3">
        <v>0</v>
      </c>
      <c r="ES42" s="3">
        <v>0</v>
      </c>
      <c r="ET42" s="3">
        <v>0</v>
      </c>
      <c r="EU42" s="3">
        <v>0</v>
      </c>
      <c r="EV42" s="3">
        <v>0</v>
      </c>
      <c r="EW42" s="3">
        <v>485625000</v>
      </c>
      <c r="EX42" s="3">
        <v>96000000</v>
      </c>
      <c r="EY42" s="3">
        <v>581625000</v>
      </c>
      <c r="EZ42" s="3">
        <v>0</v>
      </c>
      <c r="FA42" s="3">
        <v>485625000</v>
      </c>
      <c r="FB42" s="3">
        <v>96000000</v>
      </c>
      <c r="FC42" s="3">
        <v>581625000</v>
      </c>
      <c r="FD42" s="3">
        <v>0</v>
      </c>
      <c r="FE42" s="3">
        <v>570846792.24000001</v>
      </c>
      <c r="FF42" s="3">
        <v>129373173.44</v>
      </c>
      <c r="FG42" s="3">
        <v>700219965.67999995</v>
      </c>
      <c r="FH42" s="3">
        <v>0</v>
      </c>
      <c r="FI42" s="3">
        <v>570846792.24000001</v>
      </c>
      <c r="FJ42" s="3">
        <v>129373173.44</v>
      </c>
      <c r="FK42" s="3">
        <v>700219965.67999995</v>
      </c>
      <c r="FL42" s="3">
        <v>0</v>
      </c>
      <c r="FM42" s="3">
        <v>390277619.68000001</v>
      </c>
      <c r="FN42" s="3">
        <v>109217783.37</v>
      </c>
      <c r="FO42" s="3">
        <v>499495403.05000001</v>
      </c>
      <c r="FP42" s="3">
        <v>0</v>
      </c>
      <c r="FQ42" s="3">
        <v>344142646.29000002</v>
      </c>
      <c r="FR42" s="3">
        <v>55261511.25</v>
      </c>
      <c r="FS42" s="3">
        <v>399404157.54000002</v>
      </c>
      <c r="FT42" s="3">
        <v>0</v>
      </c>
      <c r="FU42" s="3">
        <v>999225000</v>
      </c>
      <c r="FV42" s="3">
        <v>0</v>
      </c>
      <c r="FW42" s="3">
        <v>999225000</v>
      </c>
      <c r="FX42" s="3">
        <v>0</v>
      </c>
      <c r="FY42" s="3">
        <v>999225000</v>
      </c>
      <c r="FZ42" s="3">
        <v>0</v>
      </c>
      <c r="GA42" s="3">
        <v>999225000</v>
      </c>
      <c r="GB42" s="3">
        <v>0</v>
      </c>
      <c r="GC42" s="3">
        <v>999225000</v>
      </c>
      <c r="GD42" s="3">
        <v>0</v>
      </c>
      <c r="GE42" s="3">
        <v>999225000</v>
      </c>
      <c r="GF42" s="3">
        <v>0</v>
      </c>
      <c r="GG42" s="3">
        <v>1167098452.6800001</v>
      </c>
      <c r="GH42" s="3">
        <v>18380896.510000002</v>
      </c>
      <c r="GI42" s="3">
        <v>1185479349.1900001</v>
      </c>
      <c r="GJ42" s="3">
        <v>0</v>
      </c>
      <c r="GK42" s="3">
        <v>1167098452.6800001</v>
      </c>
      <c r="GL42" s="3">
        <v>18380896.510000002</v>
      </c>
      <c r="GM42" s="3">
        <v>1185479349.1900001</v>
      </c>
      <c r="GN42" s="3">
        <v>0</v>
      </c>
      <c r="GO42" s="3">
        <v>615643974.44000006</v>
      </c>
      <c r="GP42" s="3">
        <v>12313878.460000001</v>
      </c>
      <c r="GQ42" s="3">
        <v>627957852.89999998</v>
      </c>
      <c r="GR42" s="3">
        <v>0</v>
      </c>
      <c r="GS42" s="3">
        <v>433465314.22000003</v>
      </c>
      <c r="GT42" s="3">
        <v>8632543.0600000005</v>
      </c>
      <c r="GU42" s="3">
        <v>442097857.27999997</v>
      </c>
      <c r="GV42" s="3">
        <v>0</v>
      </c>
      <c r="GW42" s="3">
        <v>843849000</v>
      </c>
      <c r="GX42" s="3">
        <v>0</v>
      </c>
      <c r="GY42" s="3">
        <v>843849000</v>
      </c>
      <c r="GZ42" s="3">
        <v>0</v>
      </c>
      <c r="HA42" s="3">
        <v>906849000</v>
      </c>
      <c r="HB42" s="3">
        <v>137000000</v>
      </c>
      <c r="HC42" s="3">
        <v>1043849000</v>
      </c>
      <c r="HD42" s="3">
        <v>0</v>
      </c>
      <c r="HE42" s="3">
        <v>906849000</v>
      </c>
      <c r="HF42" s="3">
        <v>137000000</v>
      </c>
      <c r="HG42" s="3">
        <v>1043849000</v>
      </c>
      <c r="HH42" s="3">
        <v>0</v>
      </c>
      <c r="HI42" s="3">
        <v>1421023104.1700001</v>
      </c>
      <c r="HJ42" s="3">
        <v>137000000</v>
      </c>
      <c r="HK42" s="3">
        <v>1558023104.1700001</v>
      </c>
      <c r="HL42" s="3">
        <v>0</v>
      </c>
      <c r="HM42" s="3">
        <v>1358023104.1700001</v>
      </c>
      <c r="HN42" s="3">
        <v>0</v>
      </c>
      <c r="HO42" s="3">
        <v>1358023104.1700001</v>
      </c>
      <c r="HP42" s="3">
        <v>0</v>
      </c>
      <c r="HQ42" s="3">
        <v>948186417.94000006</v>
      </c>
      <c r="HR42" s="3">
        <v>0</v>
      </c>
      <c r="HS42" s="3">
        <v>948186417.94000006</v>
      </c>
      <c r="HT42" s="3">
        <v>0</v>
      </c>
      <c r="HU42" s="3">
        <v>746583849.24000001</v>
      </c>
      <c r="HV42" s="3">
        <v>0</v>
      </c>
      <c r="HW42" s="3">
        <v>746583849.24000001</v>
      </c>
      <c r="HX42" s="3">
        <v>0</v>
      </c>
      <c r="HY42" s="3">
        <v>849980000</v>
      </c>
      <c r="HZ42" s="3">
        <v>0</v>
      </c>
      <c r="IA42" s="3">
        <v>849980000</v>
      </c>
      <c r="IB42" s="3">
        <v>0</v>
      </c>
      <c r="IC42" s="3">
        <v>1043849000</v>
      </c>
      <c r="ID42" s="3">
        <v>0</v>
      </c>
      <c r="IE42" s="3">
        <v>1043849000</v>
      </c>
      <c r="IF42" s="3"/>
      <c r="IG42" s="3"/>
      <c r="IH42" s="3"/>
      <c r="II42" s="3"/>
      <c r="IJ42" s="3"/>
      <c r="IK42" s="3"/>
      <c r="IL42" s="3"/>
      <c r="IM42" s="3"/>
      <c r="IN42" s="3"/>
      <c r="IO42" s="3"/>
      <c r="IP42" s="3"/>
      <c r="IQ42" s="3"/>
      <c r="IR42" s="3"/>
      <c r="IS42" s="3"/>
      <c r="IT42" s="3"/>
      <c r="IU42" s="3"/>
      <c r="IV42" s="3"/>
      <c r="IW42" s="3"/>
      <c r="IX42" s="3"/>
      <c r="IY42" s="3"/>
      <c r="IZ42" s="3">
        <v>0</v>
      </c>
      <c r="JA42" s="3">
        <v>849980000</v>
      </c>
      <c r="JB42" s="3">
        <v>0</v>
      </c>
      <c r="JC42" s="3">
        <v>849980000</v>
      </c>
      <c r="JD42" s="3"/>
      <c r="JE42" s="3"/>
      <c r="JF42" s="3"/>
      <c r="JG42" s="3"/>
    </row>
    <row r="43" spans="1:267" x14ac:dyDescent="0.25">
      <c r="A43" t="s">
        <v>505</v>
      </c>
      <c r="B43" t="s">
        <v>397</v>
      </c>
      <c r="C43" t="s">
        <v>199</v>
      </c>
      <c r="D43" t="s">
        <v>200</v>
      </c>
      <c r="E43" t="s">
        <v>292</v>
      </c>
      <c r="F43" t="s">
        <v>293</v>
      </c>
      <c r="G43" t="s">
        <v>435</v>
      </c>
      <c r="H43" s="3">
        <v>0</v>
      </c>
      <c r="I43" s="6">
        <v>5302319000</v>
      </c>
      <c r="J43" s="3">
        <v>0</v>
      </c>
      <c r="K43" s="3">
        <v>5302319000</v>
      </c>
      <c r="L43" s="3">
        <v>0</v>
      </c>
      <c r="M43" s="3">
        <v>5302319000</v>
      </c>
      <c r="N43" s="3">
        <v>0</v>
      </c>
      <c r="O43" s="3">
        <v>5302319000</v>
      </c>
      <c r="P43" s="3">
        <v>0</v>
      </c>
      <c r="Q43" s="3">
        <v>5302319000</v>
      </c>
      <c r="R43" s="3">
        <v>0</v>
      </c>
      <c r="S43" s="3">
        <v>5302319000</v>
      </c>
      <c r="T43" s="3">
        <v>0</v>
      </c>
      <c r="U43" s="3">
        <v>5294719219</v>
      </c>
      <c r="V43" s="3">
        <v>0</v>
      </c>
      <c r="W43" s="3">
        <v>5294719219</v>
      </c>
      <c r="X43" s="3">
        <v>0</v>
      </c>
      <c r="Y43" s="3">
        <v>5294719219</v>
      </c>
      <c r="Z43" s="3">
        <v>0</v>
      </c>
      <c r="AA43" s="3">
        <v>5294719219</v>
      </c>
      <c r="AB43" s="3">
        <v>0</v>
      </c>
      <c r="AC43" s="3">
        <v>4989543136.4200001</v>
      </c>
      <c r="AD43" s="3">
        <v>0</v>
      </c>
      <c r="AE43" s="3">
        <v>4989543136.4200001</v>
      </c>
      <c r="AF43" s="3">
        <v>0</v>
      </c>
      <c r="AG43" s="3">
        <v>4532578700.8699999</v>
      </c>
      <c r="AH43" s="3">
        <v>0</v>
      </c>
      <c r="AI43" s="3">
        <v>4532578700.8699999</v>
      </c>
      <c r="AJ43" s="3">
        <v>0</v>
      </c>
      <c r="AK43" s="3">
        <v>3967473000</v>
      </c>
      <c r="AL43" s="3">
        <v>0</v>
      </c>
      <c r="AM43" s="3">
        <v>3967473000</v>
      </c>
      <c r="AN43" s="3">
        <v>0</v>
      </c>
      <c r="AO43" s="3">
        <v>4967473000</v>
      </c>
      <c r="AP43" s="3">
        <v>0</v>
      </c>
      <c r="AQ43" s="3">
        <v>4967473000</v>
      </c>
      <c r="AR43" s="3">
        <v>0</v>
      </c>
      <c r="AS43" s="3">
        <v>4967473000</v>
      </c>
      <c r="AT43" s="3">
        <v>0</v>
      </c>
      <c r="AU43" s="3">
        <v>4967473000</v>
      </c>
      <c r="AV43" s="3">
        <v>0</v>
      </c>
      <c r="AW43" s="3">
        <v>5139170082.5799999</v>
      </c>
      <c r="AX43" s="3">
        <v>0</v>
      </c>
      <c r="AY43" s="3">
        <v>5139170082.5799999</v>
      </c>
      <c r="AZ43" s="3">
        <v>0</v>
      </c>
      <c r="BA43" s="3">
        <v>5139170082.5799999</v>
      </c>
      <c r="BB43" s="3">
        <v>0</v>
      </c>
      <c r="BC43" s="3">
        <v>5139170082.5799999</v>
      </c>
      <c r="BD43" s="3">
        <v>0</v>
      </c>
      <c r="BE43" s="3">
        <v>4062692386.6900001</v>
      </c>
      <c r="BF43" s="3">
        <v>0</v>
      </c>
      <c r="BG43" s="3">
        <v>4062692386.6900001</v>
      </c>
      <c r="BH43" s="3">
        <v>0</v>
      </c>
      <c r="BI43" s="6">
        <v>3750337756.96</v>
      </c>
      <c r="BJ43" s="6">
        <v>0</v>
      </c>
      <c r="BK43" s="6">
        <v>3750337756.96</v>
      </c>
      <c r="BL43" s="3">
        <v>0</v>
      </c>
      <c r="BM43" s="3">
        <v>5974518000</v>
      </c>
      <c r="BN43" s="3">
        <v>0</v>
      </c>
      <c r="BO43" s="3">
        <v>5974518000</v>
      </c>
      <c r="BP43" s="3">
        <v>0</v>
      </c>
      <c r="BQ43" s="3">
        <v>6474518000</v>
      </c>
      <c r="BR43" s="3">
        <v>0</v>
      </c>
      <c r="BS43" s="3">
        <v>6474518000</v>
      </c>
      <c r="BT43" s="3">
        <v>0</v>
      </c>
      <c r="BU43" s="3">
        <v>6474518000</v>
      </c>
      <c r="BV43" s="3">
        <v>0</v>
      </c>
      <c r="BW43" s="3">
        <v>6474518000</v>
      </c>
      <c r="BX43" s="3">
        <v>0</v>
      </c>
      <c r="BY43" s="3">
        <v>6983895163.5600004</v>
      </c>
      <c r="BZ43" s="3">
        <v>0</v>
      </c>
      <c r="CA43" s="3">
        <v>6983895163.5600004</v>
      </c>
      <c r="CB43" s="3">
        <v>0</v>
      </c>
      <c r="CC43" s="3">
        <v>6983895163.5600004</v>
      </c>
      <c r="CD43" s="3">
        <v>0</v>
      </c>
      <c r="CE43" s="3">
        <v>6983895163.5600004</v>
      </c>
      <c r="CF43" s="3">
        <v>0</v>
      </c>
      <c r="CG43" s="3">
        <v>5221657741.5299997</v>
      </c>
      <c r="CH43" s="3">
        <v>0</v>
      </c>
      <c r="CI43" s="3">
        <v>5221657741.5299997</v>
      </c>
      <c r="CJ43" s="3">
        <v>0</v>
      </c>
      <c r="CK43" s="3">
        <v>2900760257.4299998</v>
      </c>
      <c r="CL43" s="3">
        <v>0</v>
      </c>
      <c r="CM43" s="3">
        <v>2900760257.4299998</v>
      </c>
      <c r="CN43" s="3">
        <v>0</v>
      </c>
      <c r="CO43" s="3">
        <v>5974518000</v>
      </c>
      <c r="CP43" s="3">
        <v>0</v>
      </c>
      <c r="CQ43" s="3">
        <v>5974518000</v>
      </c>
      <c r="CR43" s="3">
        <v>0</v>
      </c>
      <c r="CS43" s="3">
        <v>6044788000</v>
      </c>
      <c r="CT43" s="3">
        <v>0</v>
      </c>
      <c r="CU43" s="3">
        <v>6044788000</v>
      </c>
      <c r="CV43" s="3">
        <v>0</v>
      </c>
      <c r="CW43" s="3">
        <v>6044788000</v>
      </c>
      <c r="CX43" s="3">
        <v>0</v>
      </c>
      <c r="CY43" s="3">
        <v>6044788000</v>
      </c>
      <c r="CZ43" s="3">
        <v>0</v>
      </c>
      <c r="DA43" s="3">
        <v>7686892119.6099997</v>
      </c>
      <c r="DB43" s="3">
        <v>0</v>
      </c>
      <c r="DC43" s="3">
        <v>7686892119.6099997</v>
      </c>
      <c r="DD43" s="3">
        <v>0</v>
      </c>
      <c r="DE43" s="3">
        <v>7686892119.6099997</v>
      </c>
      <c r="DF43" s="3">
        <v>0</v>
      </c>
      <c r="DG43" s="3">
        <v>7686892119.6099997</v>
      </c>
      <c r="DH43" s="3">
        <v>0</v>
      </c>
      <c r="DI43" s="3">
        <v>7094356747.4200001</v>
      </c>
      <c r="DJ43" s="3">
        <v>0</v>
      </c>
      <c r="DK43" s="3">
        <v>7094356747.4200001</v>
      </c>
      <c r="DL43" s="3">
        <v>0</v>
      </c>
      <c r="DM43" s="3">
        <v>4539191242.5799999</v>
      </c>
      <c r="DN43" s="3">
        <v>0</v>
      </c>
      <c r="DO43" s="3">
        <v>4539191242.5799999</v>
      </c>
      <c r="DP43" s="3">
        <v>0</v>
      </c>
      <c r="DQ43" s="3">
        <v>3321709000</v>
      </c>
      <c r="DR43" s="3">
        <v>0</v>
      </c>
      <c r="DS43" s="3">
        <v>3321709000</v>
      </c>
      <c r="DT43" s="3">
        <v>0</v>
      </c>
      <c r="DU43" s="3">
        <v>3321709000</v>
      </c>
      <c r="DV43" s="3">
        <v>0</v>
      </c>
      <c r="DW43" s="3">
        <v>3321709000</v>
      </c>
      <c r="DX43" s="3">
        <v>0</v>
      </c>
      <c r="DY43" s="3">
        <v>3321709000</v>
      </c>
      <c r="DZ43" s="3">
        <v>0</v>
      </c>
      <c r="EA43" s="3">
        <v>3321709000</v>
      </c>
      <c r="EB43" s="3">
        <v>0</v>
      </c>
      <c r="EC43" s="3">
        <v>3881851370.4699998</v>
      </c>
      <c r="ED43" s="3">
        <v>0</v>
      </c>
      <c r="EE43" s="3">
        <v>3881851370.4699998</v>
      </c>
      <c r="EF43" s="3">
        <v>0</v>
      </c>
      <c r="EG43" s="3">
        <v>3881851370.4699998</v>
      </c>
      <c r="EH43" s="3">
        <v>0</v>
      </c>
      <c r="EI43" s="3">
        <v>3881851370.4699998</v>
      </c>
      <c r="EJ43" s="3">
        <v>0</v>
      </c>
      <c r="EK43" s="3">
        <v>3670703127.6799998</v>
      </c>
      <c r="EL43" s="3">
        <v>0</v>
      </c>
      <c r="EM43" s="3">
        <v>3670703127.6799998</v>
      </c>
      <c r="EN43" s="3">
        <v>0</v>
      </c>
      <c r="EO43" s="3">
        <v>3379669156.6199999</v>
      </c>
      <c r="EP43" s="3">
        <v>0</v>
      </c>
      <c r="EQ43" s="3">
        <v>3379669156.6199999</v>
      </c>
      <c r="ER43" s="3">
        <v>0</v>
      </c>
      <c r="ES43" s="3">
        <v>5688567000</v>
      </c>
      <c r="ET43" s="3">
        <v>0</v>
      </c>
      <c r="EU43" s="3">
        <v>5688567000</v>
      </c>
      <c r="EV43" s="3">
        <v>0</v>
      </c>
      <c r="EW43" s="3">
        <v>5688567000</v>
      </c>
      <c r="EX43" s="3">
        <v>0</v>
      </c>
      <c r="EY43" s="3">
        <v>5688567000</v>
      </c>
      <c r="EZ43" s="3">
        <v>0</v>
      </c>
      <c r="FA43" s="3">
        <v>5688567000</v>
      </c>
      <c r="FB43" s="3">
        <v>0</v>
      </c>
      <c r="FC43" s="3">
        <v>5688567000</v>
      </c>
      <c r="FD43" s="3">
        <v>0</v>
      </c>
      <c r="FE43" s="3">
        <v>5846573990.54</v>
      </c>
      <c r="FF43" s="3">
        <v>0</v>
      </c>
      <c r="FG43" s="3">
        <v>5846573990.54</v>
      </c>
      <c r="FH43" s="3">
        <v>0</v>
      </c>
      <c r="FI43" s="3">
        <v>5846573990.54</v>
      </c>
      <c r="FJ43" s="3">
        <v>0</v>
      </c>
      <c r="FK43" s="3">
        <v>5846573990.54</v>
      </c>
      <c r="FL43" s="3">
        <v>0</v>
      </c>
      <c r="FM43" s="3">
        <v>3813649793.75</v>
      </c>
      <c r="FN43" s="3">
        <v>0</v>
      </c>
      <c r="FO43" s="3">
        <v>3813649793.75</v>
      </c>
      <c r="FP43" s="3">
        <v>0</v>
      </c>
      <c r="FQ43" s="3">
        <v>2027735258.55</v>
      </c>
      <c r="FR43" s="3">
        <v>0</v>
      </c>
      <c r="FS43" s="3">
        <v>2027735258.55</v>
      </c>
      <c r="FT43" s="3">
        <v>0</v>
      </c>
      <c r="FU43" s="3">
        <v>11711147000</v>
      </c>
      <c r="FV43" s="3">
        <v>0</v>
      </c>
      <c r="FW43" s="3">
        <v>11711147000</v>
      </c>
      <c r="FX43" s="3">
        <v>0</v>
      </c>
      <c r="FY43" s="3">
        <v>11711147000</v>
      </c>
      <c r="FZ43" s="3">
        <v>0</v>
      </c>
      <c r="GA43" s="3">
        <v>11711147000</v>
      </c>
      <c r="GB43" s="3">
        <v>0</v>
      </c>
      <c r="GC43" s="3">
        <v>11711147000</v>
      </c>
      <c r="GD43" s="3">
        <v>0</v>
      </c>
      <c r="GE43" s="3">
        <v>11711147000</v>
      </c>
      <c r="GF43" s="3">
        <v>0</v>
      </c>
      <c r="GG43" s="3">
        <v>13734517814.51</v>
      </c>
      <c r="GH43" s="3">
        <v>0</v>
      </c>
      <c r="GI43" s="3">
        <v>13734517814.51</v>
      </c>
      <c r="GJ43" s="3">
        <v>0</v>
      </c>
      <c r="GK43" s="3">
        <v>13734517814.51</v>
      </c>
      <c r="GL43" s="3">
        <v>0</v>
      </c>
      <c r="GM43" s="3">
        <v>13734517814.51</v>
      </c>
      <c r="GN43" s="3">
        <v>0</v>
      </c>
      <c r="GO43" s="3">
        <v>11162067832.530001</v>
      </c>
      <c r="GP43" s="3">
        <v>0</v>
      </c>
      <c r="GQ43" s="3">
        <v>11162067832.530001</v>
      </c>
      <c r="GR43" s="3">
        <v>0</v>
      </c>
      <c r="GS43" s="3">
        <v>5384401178.2799997</v>
      </c>
      <c r="GT43" s="3">
        <v>0</v>
      </c>
      <c r="GU43" s="3">
        <v>5384401178.2799997</v>
      </c>
      <c r="GV43" s="3">
        <v>0</v>
      </c>
      <c r="GW43" s="3">
        <v>11776932000</v>
      </c>
      <c r="GX43" s="3">
        <v>0</v>
      </c>
      <c r="GY43" s="3">
        <v>11776932000</v>
      </c>
      <c r="GZ43" s="3">
        <v>0</v>
      </c>
      <c r="HA43" s="3">
        <v>11776932000</v>
      </c>
      <c r="HB43" s="3">
        <v>0</v>
      </c>
      <c r="HC43" s="3">
        <v>11776932000</v>
      </c>
      <c r="HD43" s="3">
        <v>0</v>
      </c>
      <c r="HE43" s="3">
        <v>11776932000</v>
      </c>
      <c r="HF43" s="3">
        <v>0</v>
      </c>
      <c r="HG43" s="3">
        <v>11776932000</v>
      </c>
      <c r="HH43" s="3">
        <v>0</v>
      </c>
      <c r="HI43" s="3">
        <v>14309382077.24</v>
      </c>
      <c r="HJ43" s="3">
        <v>0</v>
      </c>
      <c r="HK43" s="3">
        <v>14309382077.24</v>
      </c>
      <c r="HL43" s="3">
        <v>0</v>
      </c>
      <c r="HM43" s="3">
        <v>14309382077.24</v>
      </c>
      <c r="HN43" s="3">
        <v>0</v>
      </c>
      <c r="HO43" s="3">
        <v>14309382077.24</v>
      </c>
      <c r="HP43" s="3">
        <v>0</v>
      </c>
      <c r="HQ43" s="3">
        <v>12995146241.4</v>
      </c>
      <c r="HR43" s="3">
        <v>0</v>
      </c>
      <c r="HS43" s="3">
        <v>12995146241.4</v>
      </c>
      <c r="HT43" s="3">
        <v>0</v>
      </c>
      <c r="HU43" s="3">
        <v>6866608668.5200005</v>
      </c>
      <c r="HV43" s="3">
        <v>0</v>
      </c>
      <c r="HW43" s="3">
        <v>6866608668.5200005</v>
      </c>
      <c r="HX43" s="3">
        <v>0</v>
      </c>
      <c r="HY43" s="3">
        <v>11776932000</v>
      </c>
      <c r="HZ43" s="3">
        <v>0</v>
      </c>
      <c r="IA43" s="3">
        <v>11776932000</v>
      </c>
      <c r="IB43" s="3">
        <v>0</v>
      </c>
      <c r="IC43" s="3">
        <v>24695443000</v>
      </c>
      <c r="ID43" s="3">
        <v>1000000000</v>
      </c>
      <c r="IE43" s="3">
        <v>25695443000</v>
      </c>
      <c r="IF43" s="3"/>
      <c r="IG43" s="3"/>
      <c r="IH43" s="3"/>
      <c r="II43" s="3"/>
      <c r="IJ43" s="3"/>
      <c r="IK43" s="3"/>
      <c r="IL43" s="3"/>
      <c r="IM43" s="3"/>
      <c r="IN43" s="3"/>
      <c r="IO43" s="3"/>
      <c r="IP43" s="3"/>
      <c r="IQ43" s="3"/>
      <c r="IR43" s="3"/>
      <c r="IS43" s="3"/>
      <c r="IT43" s="3"/>
      <c r="IU43" s="3"/>
      <c r="IV43" s="3"/>
      <c r="IW43" s="3"/>
      <c r="IX43" s="3"/>
      <c r="IY43" s="3"/>
      <c r="IZ43" s="3">
        <v>0</v>
      </c>
      <c r="JA43" s="3">
        <v>11431217000</v>
      </c>
      <c r="JB43" s="3">
        <v>0</v>
      </c>
      <c r="JC43" s="3">
        <v>11431217000</v>
      </c>
      <c r="JD43" s="3"/>
      <c r="JE43" s="3"/>
      <c r="JF43" s="3"/>
      <c r="JG43" s="3"/>
    </row>
    <row r="44" spans="1:267" x14ac:dyDescent="0.25">
      <c r="A44" t="s">
        <v>505</v>
      </c>
      <c r="B44" t="s">
        <v>397</v>
      </c>
      <c r="C44" t="s">
        <v>199</v>
      </c>
      <c r="D44" t="s">
        <v>200</v>
      </c>
      <c r="E44" t="s">
        <v>292</v>
      </c>
      <c r="F44" t="s">
        <v>537</v>
      </c>
      <c r="G44" t="s">
        <v>436</v>
      </c>
      <c r="H44" s="3">
        <v>181268428000</v>
      </c>
      <c r="I44" s="5">
        <v>12004247000</v>
      </c>
      <c r="J44" s="3">
        <v>104500000</v>
      </c>
      <c r="K44" s="3">
        <v>193377175000</v>
      </c>
      <c r="L44" s="3">
        <v>181268428000</v>
      </c>
      <c r="M44" s="3">
        <v>12015247000</v>
      </c>
      <c r="N44" s="3">
        <v>105000000</v>
      </c>
      <c r="O44" s="3">
        <v>193388675000</v>
      </c>
      <c r="P44" s="3">
        <v>197581515000</v>
      </c>
      <c r="Q44" s="3">
        <v>12015247000</v>
      </c>
      <c r="R44" s="3">
        <v>105000000</v>
      </c>
      <c r="S44" s="3">
        <v>209701762000</v>
      </c>
      <c r="T44" s="3">
        <v>197582541594.87</v>
      </c>
      <c r="U44" s="3">
        <v>12025297185.93</v>
      </c>
      <c r="V44" s="3">
        <v>105000000</v>
      </c>
      <c r="W44" s="3">
        <v>209712838780.79999</v>
      </c>
      <c r="X44" s="3">
        <v>197582541594.87</v>
      </c>
      <c r="Y44" s="3">
        <v>12025297185.93</v>
      </c>
      <c r="Z44" s="3">
        <v>105000000</v>
      </c>
      <c r="AA44" s="3">
        <v>209712838780.79999</v>
      </c>
      <c r="AB44" s="3">
        <v>197169320671.88</v>
      </c>
      <c r="AC44" s="3">
        <v>11365323038.799999</v>
      </c>
      <c r="AD44" s="3">
        <v>96180228.709999993</v>
      </c>
      <c r="AE44" s="3">
        <v>208630823939.39999</v>
      </c>
      <c r="AF44" s="3">
        <v>195097163189.16</v>
      </c>
      <c r="AG44" s="3">
        <v>10964957924.51</v>
      </c>
      <c r="AH44" s="3">
        <v>76691524.530000001</v>
      </c>
      <c r="AI44" s="3">
        <v>206138812638.20001</v>
      </c>
      <c r="AJ44" s="3">
        <v>196101736000</v>
      </c>
      <c r="AK44" s="3">
        <v>13112154000</v>
      </c>
      <c r="AL44" s="3">
        <v>0</v>
      </c>
      <c r="AM44" s="3">
        <v>209213890000</v>
      </c>
      <c r="AN44" s="3">
        <v>196101736000</v>
      </c>
      <c r="AO44" s="3">
        <v>13218154000</v>
      </c>
      <c r="AP44" s="3">
        <v>0</v>
      </c>
      <c r="AQ44" s="3">
        <v>209319890000</v>
      </c>
      <c r="AR44" s="3">
        <v>213758715000</v>
      </c>
      <c r="AS44" s="3">
        <v>13218154000</v>
      </c>
      <c r="AT44" s="3">
        <v>0</v>
      </c>
      <c r="AU44" s="3">
        <v>226976869000</v>
      </c>
      <c r="AV44" s="3">
        <v>213453560499.70001</v>
      </c>
      <c r="AW44" s="3">
        <v>13869233573.76</v>
      </c>
      <c r="AX44" s="3">
        <v>9130452.75</v>
      </c>
      <c r="AY44" s="3">
        <v>227331924526.20999</v>
      </c>
      <c r="AZ44" s="3">
        <v>213453560499.70001</v>
      </c>
      <c r="BA44" s="3">
        <v>13869233573.76</v>
      </c>
      <c r="BB44" s="3">
        <v>9130452.75</v>
      </c>
      <c r="BC44" s="3">
        <v>227331924526.20999</v>
      </c>
      <c r="BD44" s="3">
        <v>213339342318.10999</v>
      </c>
      <c r="BE44" s="3">
        <v>13428378271.07</v>
      </c>
      <c r="BF44" s="3">
        <v>5583316.2699999996</v>
      </c>
      <c r="BG44" s="3">
        <v>226773303905.45999</v>
      </c>
      <c r="BH44" s="3">
        <v>212172637473.60999</v>
      </c>
      <c r="BI44" s="6">
        <v>13149203181.25</v>
      </c>
      <c r="BJ44" s="6">
        <v>4155709.2</v>
      </c>
      <c r="BK44" s="6">
        <v>225325996364.06</v>
      </c>
      <c r="BL44" s="3">
        <v>211418964000</v>
      </c>
      <c r="BM44" s="3">
        <v>15624632000</v>
      </c>
      <c r="BN44" s="3">
        <v>0</v>
      </c>
      <c r="BO44" s="3">
        <v>227043596000</v>
      </c>
      <c r="BP44" s="3">
        <v>211418964000</v>
      </c>
      <c r="BQ44" s="3">
        <v>15929346000</v>
      </c>
      <c r="BR44" s="3">
        <v>0</v>
      </c>
      <c r="BS44" s="3">
        <v>227348310000</v>
      </c>
      <c r="BT44" s="3">
        <v>230425086000</v>
      </c>
      <c r="BU44" s="3">
        <v>15929346000</v>
      </c>
      <c r="BV44" s="3">
        <v>0</v>
      </c>
      <c r="BW44" s="3">
        <v>246354432000</v>
      </c>
      <c r="BX44" s="3">
        <v>215967812332.63</v>
      </c>
      <c r="BY44" s="3">
        <v>16482757713.93</v>
      </c>
      <c r="BZ44" s="3">
        <v>53000</v>
      </c>
      <c r="CA44" s="3">
        <v>232450623046.56</v>
      </c>
      <c r="CB44" s="3">
        <v>215967812332.63</v>
      </c>
      <c r="CC44" s="3">
        <v>16481473713.93</v>
      </c>
      <c r="CD44" s="3">
        <v>53000</v>
      </c>
      <c r="CE44" s="3">
        <v>232449339046.56</v>
      </c>
      <c r="CF44" s="3">
        <v>215874358848.56</v>
      </c>
      <c r="CG44" s="3">
        <v>15771753183.059999</v>
      </c>
      <c r="CH44" s="3">
        <v>53000</v>
      </c>
      <c r="CI44" s="3">
        <v>231646165031.62</v>
      </c>
      <c r="CJ44" s="3">
        <v>214752433363.48001</v>
      </c>
      <c r="CK44" s="3">
        <v>14964604003.82</v>
      </c>
      <c r="CL44" s="3">
        <v>53000</v>
      </c>
      <c r="CM44" s="3">
        <v>229717090367.29999</v>
      </c>
      <c r="CN44" s="3">
        <v>238384092000</v>
      </c>
      <c r="CO44" s="3">
        <v>14438644000</v>
      </c>
      <c r="CP44" s="3">
        <v>0</v>
      </c>
      <c r="CQ44" s="3">
        <v>252822736000</v>
      </c>
      <c r="CR44" s="3">
        <v>238384092000</v>
      </c>
      <c r="CS44" s="3">
        <v>14570245000</v>
      </c>
      <c r="CT44" s="3">
        <v>0</v>
      </c>
      <c r="CU44" s="3">
        <v>252954337000</v>
      </c>
      <c r="CV44" s="3">
        <v>260098264000</v>
      </c>
      <c r="CW44" s="3">
        <v>14570245000</v>
      </c>
      <c r="CX44" s="3">
        <v>0</v>
      </c>
      <c r="CY44" s="3">
        <v>274668509000</v>
      </c>
      <c r="CZ44" s="3">
        <v>259483756555.85999</v>
      </c>
      <c r="DA44" s="3">
        <v>15195064990.530001</v>
      </c>
      <c r="DB44" s="3">
        <v>2880000</v>
      </c>
      <c r="DC44" s="3">
        <v>274681701546.39001</v>
      </c>
      <c r="DD44" s="3">
        <v>259483756555.85999</v>
      </c>
      <c r="DE44" s="3">
        <v>15193780990.530001</v>
      </c>
      <c r="DF44" s="3">
        <v>2880000</v>
      </c>
      <c r="DG44" s="3">
        <v>274680417546.39001</v>
      </c>
      <c r="DH44" s="3">
        <v>259045126473.57001</v>
      </c>
      <c r="DI44" s="3">
        <v>14789883738.799999</v>
      </c>
      <c r="DJ44" s="3">
        <v>2880000</v>
      </c>
      <c r="DK44" s="3">
        <v>273837890212.37</v>
      </c>
      <c r="DL44" s="3">
        <v>254599111253.87</v>
      </c>
      <c r="DM44" s="3">
        <v>14375774759.190001</v>
      </c>
      <c r="DN44" s="3">
        <v>0</v>
      </c>
      <c r="DO44" s="3">
        <v>268974886013.06</v>
      </c>
      <c r="DP44" s="3">
        <v>254357883000</v>
      </c>
      <c r="DQ44" s="3">
        <v>14836133000</v>
      </c>
      <c r="DR44" s="3">
        <v>0</v>
      </c>
      <c r="DS44" s="3">
        <v>269194016000</v>
      </c>
      <c r="DT44" s="3">
        <v>254357883000</v>
      </c>
      <c r="DU44" s="3">
        <v>15497928000</v>
      </c>
      <c r="DV44" s="3">
        <v>0</v>
      </c>
      <c r="DW44" s="3">
        <v>269855811000</v>
      </c>
      <c r="DX44" s="3">
        <v>277584795000</v>
      </c>
      <c r="DY44" s="3">
        <v>15497928000</v>
      </c>
      <c r="DZ44" s="3">
        <v>0</v>
      </c>
      <c r="EA44" s="3">
        <v>293082723000</v>
      </c>
      <c r="EB44" s="3">
        <v>277651499975.84003</v>
      </c>
      <c r="EC44" s="3">
        <v>15864088773.17</v>
      </c>
      <c r="ED44" s="3">
        <v>0</v>
      </c>
      <c r="EE44" s="3">
        <v>293515588749.01001</v>
      </c>
      <c r="EF44" s="3">
        <v>277651499975.84003</v>
      </c>
      <c r="EG44" s="3">
        <v>15864088773.17</v>
      </c>
      <c r="EH44" s="3">
        <v>0</v>
      </c>
      <c r="EI44" s="3">
        <v>293515588749.01001</v>
      </c>
      <c r="EJ44" s="3">
        <v>276955673457.33002</v>
      </c>
      <c r="EK44" s="3">
        <v>15560019381.360001</v>
      </c>
      <c r="EL44" s="3">
        <v>0</v>
      </c>
      <c r="EM44" s="3">
        <v>292515692838.69</v>
      </c>
      <c r="EN44" s="3">
        <v>273676872904.57999</v>
      </c>
      <c r="EO44" s="3">
        <v>15327169710.15</v>
      </c>
      <c r="EP44" s="3">
        <v>0</v>
      </c>
      <c r="EQ44" s="3">
        <v>289004042614.72998</v>
      </c>
      <c r="ER44" s="3">
        <v>268996888000</v>
      </c>
      <c r="ES44" s="3">
        <v>15550402000</v>
      </c>
      <c r="ET44" s="3">
        <v>0</v>
      </c>
      <c r="EU44" s="3">
        <v>284547290000</v>
      </c>
      <c r="EV44" s="3">
        <v>268996888000</v>
      </c>
      <c r="EW44" s="3">
        <v>15795235000</v>
      </c>
      <c r="EX44" s="3">
        <v>0</v>
      </c>
      <c r="EY44" s="3">
        <v>284792123000</v>
      </c>
      <c r="EZ44" s="3">
        <v>293594823000</v>
      </c>
      <c r="FA44" s="3">
        <v>15795235000</v>
      </c>
      <c r="FB44" s="3">
        <v>0</v>
      </c>
      <c r="FC44" s="3">
        <v>309390058000</v>
      </c>
      <c r="FD44" s="3">
        <v>292306914812.59003</v>
      </c>
      <c r="FE44" s="3">
        <v>16067664153.15</v>
      </c>
      <c r="FF44" s="3">
        <v>0</v>
      </c>
      <c r="FG44" s="3">
        <v>308374578965.73999</v>
      </c>
      <c r="FH44" s="3">
        <v>292306914812.59003</v>
      </c>
      <c r="FI44" s="3">
        <v>16067664153.15</v>
      </c>
      <c r="FJ44" s="3">
        <v>0</v>
      </c>
      <c r="FK44" s="3">
        <v>308374578965.73999</v>
      </c>
      <c r="FL44" s="3">
        <v>291978135983.38</v>
      </c>
      <c r="FM44" s="3">
        <v>15687025158.799999</v>
      </c>
      <c r="FN44" s="3">
        <v>0</v>
      </c>
      <c r="FO44" s="3">
        <v>307665161142.17999</v>
      </c>
      <c r="FP44" s="3">
        <v>290665406617.72998</v>
      </c>
      <c r="FQ44" s="3">
        <v>15525168130.469999</v>
      </c>
      <c r="FR44" s="3">
        <v>0</v>
      </c>
      <c r="FS44" s="3">
        <v>306190574748.20001</v>
      </c>
      <c r="FT44" s="3">
        <v>272227126000</v>
      </c>
      <c r="FU44" s="3">
        <v>18564905000</v>
      </c>
      <c r="FV44" s="3">
        <v>0</v>
      </c>
      <c r="FW44" s="3">
        <v>290792031000</v>
      </c>
      <c r="FX44" s="3">
        <v>272267126000</v>
      </c>
      <c r="FY44" s="3">
        <v>18578879000</v>
      </c>
      <c r="FZ44" s="3">
        <v>0</v>
      </c>
      <c r="GA44" s="3">
        <v>290846005000</v>
      </c>
      <c r="GB44" s="3">
        <v>297161181000</v>
      </c>
      <c r="GC44" s="3">
        <v>18578879000</v>
      </c>
      <c r="GD44" s="3">
        <v>0</v>
      </c>
      <c r="GE44" s="3">
        <v>315740060000</v>
      </c>
      <c r="GF44" s="3">
        <v>297210212968.53998</v>
      </c>
      <c r="GG44" s="3">
        <v>18952333090.220001</v>
      </c>
      <c r="GH44" s="3">
        <v>0</v>
      </c>
      <c r="GI44" s="3">
        <v>316162546058.76001</v>
      </c>
      <c r="GJ44" s="3">
        <v>297210212968.53998</v>
      </c>
      <c r="GK44" s="3">
        <v>18952333090.220001</v>
      </c>
      <c r="GL44" s="3">
        <v>0</v>
      </c>
      <c r="GM44" s="3">
        <v>316162546058.76001</v>
      </c>
      <c r="GN44" s="3">
        <v>296602165825.81</v>
      </c>
      <c r="GO44" s="3">
        <v>18101920521.419998</v>
      </c>
      <c r="GP44" s="3">
        <v>0</v>
      </c>
      <c r="GQ44" s="3">
        <v>314704086347.22998</v>
      </c>
      <c r="GR44" s="3">
        <v>294404849325.19</v>
      </c>
      <c r="GS44" s="3">
        <v>17870601603.369999</v>
      </c>
      <c r="GT44" s="3">
        <v>0</v>
      </c>
      <c r="GU44" s="3">
        <v>312275450928.56</v>
      </c>
      <c r="GV44" s="3">
        <v>275381590000</v>
      </c>
      <c r="GW44" s="3">
        <v>28536626000</v>
      </c>
      <c r="GX44" s="3">
        <v>0</v>
      </c>
      <c r="GY44" s="3">
        <v>303918216000</v>
      </c>
      <c r="GZ44" s="3">
        <v>275381590000</v>
      </c>
      <c r="HA44" s="3">
        <v>28536626000</v>
      </c>
      <c r="HB44" s="3">
        <v>0</v>
      </c>
      <c r="HC44" s="3">
        <v>303918216000</v>
      </c>
      <c r="HD44" s="3">
        <v>300446708000</v>
      </c>
      <c r="HE44" s="3">
        <v>28536626000</v>
      </c>
      <c r="HF44" s="3">
        <v>0</v>
      </c>
      <c r="HG44" s="3">
        <v>328983334000</v>
      </c>
      <c r="HH44" s="3">
        <v>302013348829.20001</v>
      </c>
      <c r="HI44" s="3">
        <v>29177913220.630001</v>
      </c>
      <c r="HJ44" s="3">
        <v>0</v>
      </c>
      <c r="HK44" s="3">
        <v>331191262049.83002</v>
      </c>
      <c r="HL44" s="3">
        <v>302013348829.20001</v>
      </c>
      <c r="HM44" s="3">
        <v>29177913220.630001</v>
      </c>
      <c r="HN44" s="3">
        <v>0</v>
      </c>
      <c r="HO44" s="3">
        <v>331191262049.83002</v>
      </c>
      <c r="HP44" s="3">
        <v>301891688055.35999</v>
      </c>
      <c r="HQ44" s="3">
        <v>28373696828.360001</v>
      </c>
      <c r="HR44" s="3">
        <v>0</v>
      </c>
      <c r="HS44" s="3">
        <v>330265384883.72998</v>
      </c>
      <c r="HT44" s="3">
        <v>297260256665.28003</v>
      </c>
      <c r="HU44" s="3">
        <v>27938472618.41</v>
      </c>
      <c r="HV44" s="3">
        <v>0</v>
      </c>
      <c r="HW44" s="3">
        <v>325198729283.69</v>
      </c>
      <c r="HX44" s="3">
        <v>321938395000</v>
      </c>
      <c r="HY44" s="3">
        <v>36194394000</v>
      </c>
      <c r="HZ44" s="3">
        <v>0</v>
      </c>
      <c r="IA44" s="3">
        <v>358132789000</v>
      </c>
      <c r="IB44" s="3">
        <v>321938395000</v>
      </c>
      <c r="IC44" s="3">
        <v>36194394000</v>
      </c>
      <c r="ID44" s="3">
        <v>0</v>
      </c>
      <c r="IE44" s="3">
        <v>358132789000</v>
      </c>
      <c r="IF44" s="3"/>
      <c r="IG44" s="3"/>
      <c r="IH44" s="3"/>
      <c r="II44" s="3"/>
      <c r="IJ44" s="3"/>
      <c r="IK44" s="3"/>
      <c r="IL44" s="3"/>
      <c r="IM44" s="3"/>
      <c r="IN44" s="3"/>
      <c r="IO44" s="3"/>
      <c r="IP44" s="3"/>
      <c r="IQ44" s="3"/>
      <c r="IR44" s="3"/>
      <c r="IS44" s="3"/>
      <c r="IT44" s="3"/>
      <c r="IU44" s="3"/>
      <c r="IV44" s="3"/>
      <c r="IW44" s="3"/>
      <c r="IX44" s="3"/>
      <c r="IY44" s="3"/>
      <c r="IZ44" s="3">
        <v>354142471000</v>
      </c>
      <c r="JA44" s="3">
        <v>36233472000</v>
      </c>
      <c r="JB44" s="3">
        <v>0</v>
      </c>
      <c r="JC44" s="3">
        <v>390375943000</v>
      </c>
      <c r="JD44" s="3"/>
      <c r="JE44" s="3"/>
      <c r="JF44" s="3"/>
      <c r="JG44" s="3"/>
    </row>
    <row r="45" spans="1:267" x14ac:dyDescent="0.25">
      <c r="A45" t="s">
        <v>505</v>
      </c>
      <c r="B45" t="s">
        <v>397</v>
      </c>
      <c r="C45" t="s">
        <v>199</v>
      </c>
      <c r="D45" t="s">
        <v>200</v>
      </c>
      <c r="E45" t="s">
        <v>292</v>
      </c>
      <c r="F45" t="s">
        <v>538</v>
      </c>
      <c r="G45" t="s">
        <v>437</v>
      </c>
      <c r="H45" s="3">
        <v>89150018000</v>
      </c>
      <c r="I45" s="5">
        <v>8315419000</v>
      </c>
      <c r="J45" s="3">
        <v>0</v>
      </c>
      <c r="K45" s="3">
        <v>97465437000</v>
      </c>
      <c r="L45" s="3">
        <v>89149396000</v>
      </c>
      <c r="M45" s="3">
        <v>8336622000</v>
      </c>
      <c r="N45" s="3">
        <v>0</v>
      </c>
      <c r="O45" s="3">
        <v>97486018000</v>
      </c>
      <c r="P45" s="3">
        <v>97090593000</v>
      </c>
      <c r="Q45" s="3">
        <v>8336622000</v>
      </c>
      <c r="R45" s="3">
        <v>0</v>
      </c>
      <c r="S45" s="3">
        <v>105427215000</v>
      </c>
      <c r="T45" s="3">
        <v>97390450763.179993</v>
      </c>
      <c r="U45" s="3">
        <v>8335287944.3400002</v>
      </c>
      <c r="V45" s="3">
        <v>1461000</v>
      </c>
      <c r="W45" s="3">
        <v>105727199707.52</v>
      </c>
      <c r="X45" s="3">
        <v>97390450763.179993</v>
      </c>
      <c r="Y45" s="3">
        <v>8335287944.3400002</v>
      </c>
      <c r="Z45" s="3">
        <v>1461000</v>
      </c>
      <c r="AA45" s="3">
        <v>105727199707.52</v>
      </c>
      <c r="AB45" s="3">
        <v>96366974467.029999</v>
      </c>
      <c r="AC45" s="3">
        <v>7925774889.4200001</v>
      </c>
      <c r="AD45" s="3">
        <v>789993.1</v>
      </c>
      <c r="AE45" s="3">
        <v>104293539349.55</v>
      </c>
      <c r="AF45" s="3">
        <v>95777741621.880005</v>
      </c>
      <c r="AG45" s="3">
        <v>7775877191.9399996</v>
      </c>
      <c r="AH45" s="3">
        <v>789993.1</v>
      </c>
      <c r="AI45" s="3">
        <v>103554408806.92</v>
      </c>
      <c r="AJ45" s="3">
        <v>100469022000</v>
      </c>
      <c r="AK45" s="3">
        <v>9584895000</v>
      </c>
      <c r="AL45" s="3">
        <v>0</v>
      </c>
      <c r="AM45" s="3">
        <v>110053917000</v>
      </c>
      <c r="AN45" s="3">
        <v>100469022000</v>
      </c>
      <c r="AO45" s="3">
        <v>9704882000</v>
      </c>
      <c r="AP45" s="3">
        <v>0</v>
      </c>
      <c r="AQ45" s="3">
        <v>110173904000</v>
      </c>
      <c r="AR45" s="3">
        <v>109431815000</v>
      </c>
      <c r="AS45" s="3">
        <v>9704882000</v>
      </c>
      <c r="AT45" s="3">
        <v>0</v>
      </c>
      <c r="AU45" s="3">
        <v>119136697000</v>
      </c>
      <c r="AV45" s="3">
        <v>108536354665.05</v>
      </c>
      <c r="AW45" s="3">
        <v>10107384952.549999</v>
      </c>
      <c r="AX45" s="3">
        <v>671006.9</v>
      </c>
      <c r="AY45" s="3">
        <v>118644410624.5</v>
      </c>
      <c r="AZ45" s="3">
        <v>108536354665.05</v>
      </c>
      <c r="BA45" s="3">
        <v>10107384952.549999</v>
      </c>
      <c r="BB45" s="3">
        <v>671006.9</v>
      </c>
      <c r="BC45" s="3">
        <v>118644410624.5</v>
      </c>
      <c r="BD45" s="3">
        <v>108156166949.34</v>
      </c>
      <c r="BE45" s="3">
        <v>9807525694.5100002</v>
      </c>
      <c r="BF45" s="3">
        <v>657026.27</v>
      </c>
      <c r="BG45" s="3">
        <v>117964349670.12</v>
      </c>
      <c r="BH45" s="3">
        <v>107741992780.47</v>
      </c>
      <c r="BI45" s="6">
        <v>9647868198.3600006</v>
      </c>
      <c r="BJ45" s="6">
        <v>652658.11</v>
      </c>
      <c r="BK45" s="6">
        <v>117390513636.94</v>
      </c>
      <c r="BL45" s="3">
        <v>112008509000</v>
      </c>
      <c r="BM45" s="3">
        <v>10514187000</v>
      </c>
      <c r="BN45" s="3">
        <v>0</v>
      </c>
      <c r="BO45" s="3">
        <v>122522696000</v>
      </c>
      <c r="BP45" s="3">
        <v>112008509000</v>
      </c>
      <c r="BQ45" s="3">
        <v>10899435000</v>
      </c>
      <c r="BR45" s="3">
        <v>0</v>
      </c>
      <c r="BS45" s="3">
        <v>122907944000</v>
      </c>
      <c r="BT45" s="3">
        <v>121925512000</v>
      </c>
      <c r="BU45" s="3">
        <v>10899435000</v>
      </c>
      <c r="BV45" s="3">
        <v>0</v>
      </c>
      <c r="BW45" s="3">
        <v>132824947000</v>
      </c>
      <c r="BX45" s="3">
        <v>114076090870.66</v>
      </c>
      <c r="BY45" s="3">
        <v>11217359443.08</v>
      </c>
      <c r="BZ45" s="3">
        <v>770000</v>
      </c>
      <c r="CA45" s="3">
        <v>125294220313.74001</v>
      </c>
      <c r="CB45" s="3">
        <v>114076090870.67</v>
      </c>
      <c r="CC45" s="3">
        <v>11201294443.08</v>
      </c>
      <c r="CD45" s="3">
        <v>770000</v>
      </c>
      <c r="CE45" s="3">
        <v>125278155313.75</v>
      </c>
      <c r="CF45" s="3">
        <v>113812803767.09</v>
      </c>
      <c r="CG45" s="3">
        <v>10461951120.879999</v>
      </c>
      <c r="CH45" s="3">
        <v>770000</v>
      </c>
      <c r="CI45" s="3">
        <v>124275524887.97</v>
      </c>
      <c r="CJ45" s="3">
        <v>113473295806.42</v>
      </c>
      <c r="CK45" s="3">
        <v>10085417779.43</v>
      </c>
      <c r="CL45" s="3">
        <v>770000</v>
      </c>
      <c r="CM45" s="3">
        <v>123559483585.85001</v>
      </c>
      <c r="CN45" s="3">
        <v>128873216000</v>
      </c>
      <c r="CO45" s="3">
        <v>10149862000</v>
      </c>
      <c r="CP45" s="3">
        <v>0</v>
      </c>
      <c r="CQ45" s="3">
        <v>139023078000</v>
      </c>
      <c r="CR45" s="3">
        <v>128873216000</v>
      </c>
      <c r="CS45" s="3">
        <v>10287433000</v>
      </c>
      <c r="CT45" s="3">
        <v>0</v>
      </c>
      <c r="CU45" s="3">
        <v>139160649000</v>
      </c>
      <c r="CV45" s="3">
        <v>140445444000</v>
      </c>
      <c r="CW45" s="3">
        <v>10287433000</v>
      </c>
      <c r="CX45" s="3">
        <v>0</v>
      </c>
      <c r="CY45" s="3">
        <v>150732877000</v>
      </c>
      <c r="CZ45" s="3">
        <v>139233953081.91</v>
      </c>
      <c r="DA45" s="3">
        <v>10962744160.92</v>
      </c>
      <c r="DB45" s="3">
        <v>6060000</v>
      </c>
      <c r="DC45" s="3">
        <v>150202757242.82999</v>
      </c>
      <c r="DD45" s="3">
        <v>139233953081.91</v>
      </c>
      <c r="DE45" s="3">
        <v>10946679160.92</v>
      </c>
      <c r="DF45" s="3">
        <v>6060000</v>
      </c>
      <c r="DG45" s="3">
        <v>150186692242.82999</v>
      </c>
      <c r="DH45" s="3">
        <v>138715333824.06</v>
      </c>
      <c r="DI45" s="3">
        <v>10578180325.09</v>
      </c>
      <c r="DJ45" s="3">
        <v>6043160</v>
      </c>
      <c r="DK45" s="3">
        <v>149299557309.14999</v>
      </c>
      <c r="DL45" s="3">
        <v>137852017375.23001</v>
      </c>
      <c r="DM45" s="3">
        <v>10214402446.57</v>
      </c>
      <c r="DN45" s="3">
        <v>283160</v>
      </c>
      <c r="DO45" s="3">
        <v>148066702981.79999</v>
      </c>
      <c r="DP45" s="3">
        <v>139453651000</v>
      </c>
      <c r="DQ45" s="3">
        <v>10149579000</v>
      </c>
      <c r="DR45" s="3">
        <v>0</v>
      </c>
      <c r="DS45" s="3">
        <v>149603230000</v>
      </c>
      <c r="DT45" s="3">
        <v>139453651000</v>
      </c>
      <c r="DU45" s="3">
        <v>10605086000</v>
      </c>
      <c r="DV45" s="3">
        <v>0</v>
      </c>
      <c r="DW45" s="3">
        <v>150058737000</v>
      </c>
      <c r="DX45" s="3">
        <v>151987276000</v>
      </c>
      <c r="DY45" s="3">
        <v>10605086000</v>
      </c>
      <c r="DZ45" s="3">
        <v>0</v>
      </c>
      <c r="EA45" s="3">
        <v>162592362000</v>
      </c>
      <c r="EB45" s="3">
        <v>151526196727.84</v>
      </c>
      <c r="EC45" s="3">
        <v>10886063568.860001</v>
      </c>
      <c r="ED45" s="3">
        <v>376840</v>
      </c>
      <c r="EE45" s="3">
        <v>162412637136.70001</v>
      </c>
      <c r="EF45" s="3">
        <v>151526196727.84</v>
      </c>
      <c r="EG45" s="3">
        <v>10886063568.860001</v>
      </c>
      <c r="EH45" s="3">
        <v>376840</v>
      </c>
      <c r="EI45" s="3">
        <v>162412637136.70001</v>
      </c>
      <c r="EJ45" s="3">
        <v>149939553578.10001</v>
      </c>
      <c r="EK45" s="3">
        <v>10635514502.33</v>
      </c>
      <c r="EL45" s="3">
        <v>274540</v>
      </c>
      <c r="EM45" s="3">
        <v>160575342620.42999</v>
      </c>
      <c r="EN45" s="3">
        <v>149059960750.97</v>
      </c>
      <c r="EO45" s="3">
        <v>10461822493.559999</v>
      </c>
      <c r="EP45" s="3">
        <v>274540</v>
      </c>
      <c r="EQ45" s="3">
        <v>159522057784.53</v>
      </c>
      <c r="ER45" s="3">
        <v>149933258000</v>
      </c>
      <c r="ES45" s="3">
        <v>10948143000</v>
      </c>
      <c r="ET45" s="3">
        <v>0</v>
      </c>
      <c r="EU45" s="3">
        <v>160881401000</v>
      </c>
      <c r="EV45" s="3">
        <v>149933258000</v>
      </c>
      <c r="EW45" s="3">
        <v>11163020000</v>
      </c>
      <c r="EX45" s="3">
        <v>0</v>
      </c>
      <c r="EY45" s="3">
        <v>161096278000</v>
      </c>
      <c r="EZ45" s="3">
        <v>163428466000</v>
      </c>
      <c r="FA45" s="3">
        <v>11163020000</v>
      </c>
      <c r="FB45" s="3">
        <v>0</v>
      </c>
      <c r="FC45" s="3">
        <v>174591486000</v>
      </c>
      <c r="FD45" s="3">
        <v>162082682614.64001</v>
      </c>
      <c r="FE45" s="3">
        <v>11391880980.059999</v>
      </c>
      <c r="FF45" s="3">
        <v>102300</v>
      </c>
      <c r="FG45" s="3">
        <v>173474665894.69</v>
      </c>
      <c r="FH45" s="3">
        <v>162082682614.64001</v>
      </c>
      <c r="FI45" s="3">
        <v>11391880980.059999</v>
      </c>
      <c r="FJ45" s="3">
        <v>102300</v>
      </c>
      <c r="FK45" s="3">
        <v>173474665894.69</v>
      </c>
      <c r="FL45" s="3">
        <v>161558924408.64999</v>
      </c>
      <c r="FM45" s="3">
        <v>10892573249.5</v>
      </c>
      <c r="FN45" s="3">
        <v>96076</v>
      </c>
      <c r="FO45" s="3">
        <v>172451593734.14999</v>
      </c>
      <c r="FP45" s="3">
        <v>160970324246.23999</v>
      </c>
      <c r="FQ45" s="3">
        <v>10801471609.379999</v>
      </c>
      <c r="FR45" s="3">
        <v>96076</v>
      </c>
      <c r="FS45" s="3">
        <v>171771891931.62</v>
      </c>
      <c r="FT45" s="3">
        <v>152785844000</v>
      </c>
      <c r="FU45" s="3">
        <v>12961724000</v>
      </c>
      <c r="FV45" s="3">
        <v>0</v>
      </c>
      <c r="FW45" s="3">
        <v>165747568000</v>
      </c>
      <c r="FX45" s="3">
        <v>152845844000</v>
      </c>
      <c r="FY45" s="3">
        <v>12995109000</v>
      </c>
      <c r="FZ45" s="3">
        <v>0</v>
      </c>
      <c r="GA45" s="3">
        <v>165840953000</v>
      </c>
      <c r="GB45" s="3">
        <v>166559652000</v>
      </c>
      <c r="GC45" s="3">
        <v>12995109000</v>
      </c>
      <c r="GD45" s="3">
        <v>0</v>
      </c>
      <c r="GE45" s="3">
        <v>179554761000</v>
      </c>
      <c r="GF45" s="3">
        <v>166729082657.85999</v>
      </c>
      <c r="GG45" s="3">
        <v>13478169691.299999</v>
      </c>
      <c r="GH45" s="3">
        <v>0</v>
      </c>
      <c r="GI45" s="3">
        <v>180207252349.16</v>
      </c>
      <c r="GJ45" s="3">
        <v>166729082657.85999</v>
      </c>
      <c r="GK45" s="3">
        <v>13478169691.299999</v>
      </c>
      <c r="GL45" s="3">
        <v>0</v>
      </c>
      <c r="GM45" s="3">
        <v>180207252349.16</v>
      </c>
      <c r="GN45" s="3">
        <v>165917854105.57999</v>
      </c>
      <c r="GO45" s="3">
        <v>12890418650.719999</v>
      </c>
      <c r="GP45" s="3">
        <v>0</v>
      </c>
      <c r="GQ45" s="3">
        <v>178808272756.29999</v>
      </c>
      <c r="GR45" s="3">
        <v>164958565605.89001</v>
      </c>
      <c r="GS45" s="3">
        <v>12722748767.74</v>
      </c>
      <c r="GT45" s="3">
        <v>0</v>
      </c>
      <c r="GU45" s="3">
        <v>177681314373.63</v>
      </c>
      <c r="GV45" s="3">
        <v>155344153000</v>
      </c>
      <c r="GW45" s="3">
        <v>14127206000</v>
      </c>
      <c r="GX45" s="3">
        <v>0</v>
      </c>
      <c r="GY45" s="3">
        <v>169471359000</v>
      </c>
      <c r="GZ45" s="3">
        <v>155344153000</v>
      </c>
      <c r="HA45" s="3">
        <v>14127206000</v>
      </c>
      <c r="HB45" s="3">
        <v>0</v>
      </c>
      <c r="HC45" s="3">
        <v>169471359000</v>
      </c>
      <c r="HD45" s="3">
        <v>169224047000</v>
      </c>
      <c r="HE45" s="3">
        <v>14127206000</v>
      </c>
      <c r="HF45" s="3">
        <v>0</v>
      </c>
      <c r="HG45" s="3">
        <v>183351253000</v>
      </c>
      <c r="HH45" s="3">
        <v>169309203295.26001</v>
      </c>
      <c r="HI45" s="3">
        <v>14699912770.809999</v>
      </c>
      <c r="HJ45" s="3">
        <v>0</v>
      </c>
      <c r="HK45" s="3">
        <v>184009116066.06</v>
      </c>
      <c r="HL45" s="3">
        <v>169309203295.26001</v>
      </c>
      <c r="HM45" s="3">
        <v>14699912770.809999</v>
      </c>
      <c r="HN45" s="3">
        <v>0</v>
      </c>
      <c r="HO45" s="3">
        <v>184009116066.06</v>
      </c>
      <c r="HP45" s="3">
        <v>168903176787.42999</v>
      </c>
      <c r="HQ45" s="3">
        <v>13916014348.17</v>
      </c>
      <c r="HR45" s="3">
        <v>0</v>
      </c>
      <c r="HS45" s="3">
        <v>182819191135.59</v>
      </c>
      <c r="HT45" s="3">
        <v>167831276162.20999</v>
      </c>
      <c r="HU45" s="3">
        <v>13724483662.809999</v>
      </c>
      <c r="HV45" s="3">
        <v>0</v>
      </c>
      <c r="HW45" s="3">
        <v>181555759825.01999</v>
      </c>
      <c r="HX45" s="3">
        <v>181031652000</v>
      </c>
      <c r="HY45" s="3">
        <v>16703015000</v>
      </c>
      <c r="HZ45" s="3">
        <v>0</v>
      </c>
      <c r="IA45" s="3">
        <v>197734667000</v>
      </c>
      <c r="IB45" s="3">
        <v>181031652000</v>
      </c>
      <c r="IC45" s="3">
        <v>16703015000</v>
      </c>
      <c r="ID45" s="3">
        <v>0</v>
      </c>
      <c r="IE45" s="3">
        <v>197734667000</v>
      </c>
      <c r="IF45" s="3"/>
      <c r="IG45" s="3"/>
      <c r="IH45" s="3"/>
      <c r="II45" s="3"/>
      <c r="IJ45" s="3"/>
      <c r="IK45" s="3"/>
      <c r="IL45" s="3"/>
      <c r="IM45" s="3"/>
      <c r="IN45" s="3"/>
      <c r="IO45" s="3"/>
      <c r="IP45" s="3"/>
      <c r="IQ45" s="3"/>
      <c r="IR45" s="3"/>
      <c r="IS45" s="3"/>
      <c r="IT45" s="3"/>
      <c r="IU45" s="3"/>
      <c r="IV45" s="3"/>
      <c r="IW45" s="3"/>
      <c r="IX45" s="3"/>
      <c r="IY45" s="3"/>
      <c r="IZ45" s="3">
        <v>198919456000</v>
      </c>
      <c r="JA45" s="3">
        <v>16765882000</v>
      </c>
      <c r="JB45" s="3">
        <v>0</v>
      </c>
      <c r="JC45" s="3">
        <v>215685338000</v>
      </c>
      <c r="JD45" s="3"/>
      <c r="JE45" s="3"/>
      <c r="JF45" s="3"/>
      <c r="JG45" s="3"/>
    </row>
    <row r="46" spans="1:267" x14ac:dyDescent="0.25">
      <c r="A46" t="s">
        <v>505</v>
      </c>
      <c r="B46" t="s">
        <v>397</v>
      </c>
      <c r="C46" t="s">
        <v>199</v>
      </c>
      <c r="D46" t="s">
        <v>200</v>
      </c>
      <c r="E46" t="s">
        <v>292</v>
      </c>
      <c r="F46" t="s">
        <v>539</v>
      </c>
      <c r="G46" t="s">
        <v>438</v>
      </c>
      <c r="H46" s="3">
        <v>11605491000</v>
      </c>
      <c r="I46" s="6">
        <v>2536600000</v>
      </c>
      <c r="J46" s="3">
        <v>0</v>
      </c>
      <c r="K46" s="3">
        <v>14142091000</v>
      </c>
      <c r="L46" s="3">
        <v>11605491000</v>
      </c>
      <c r="M46" s="3">
        <v>2536600000</v>
      </c>
      <c r="N46" s="3">
        <v>0</v>
      </c>
      <c r="O46" s="3">
        <v>14142091000</v>
      </c>
      <c r="P46" s="3">
        <v>12660517000</v>
      </c>
      <c r="Q46" s="3">
        <v>2536600000</v>
      </c>
      <c r="R46" s="3">
        <v>0</v>
      </c>
      <c r="S46" s="3">
        <v>15197117000</v>
      </c>
      <c r="T46" s="3">
        <v>12575671593.84</v>
      </c>
      <c r="U46" s="3">
        <v>2536069073.96</v>
      </c>
      <c r="V46" s="3">
        <v>0</v>
      </c>
      <c r="W46" s="3">
        <v>15111740667.799999</v>
      </c>
      <c r="X46" s="3">
        <v>12575671593.84</v>
      </c>
      <c r="Y46" s="3">
        <v>2536069073.96</v>
      </c>
      <c r="Z46" s="3">
        <v>0</v>
      </c>
      <c r="AA46" s="3">
        <v>15111740667.799999</v>
      </c>
      <c r="AB46" s="3">
        <v>12516177170.42</v>
      </c>
      <c r="AC46" s="3">
        <v>2341545708.8600001</v>
      </c>
      <c r="AD46" s="3">
        <v>0</v>
      </c>
      <c r="AE46" s="3">
        <v>14857722879.280001</v>
      </c>
      <c r="AF46" s="3">
        <v>12384516547.059999</v>
      </c>
      <c r="AG46" s="3">
        <v>2232407124.3299999</v>
      </c>
      <c r="AH46" s="3">
        <v>0</v>
      </c>
      <c r="AI46" s="3">
        <v>14616923671.389999</v>
      </c>
      <c r="AJ46" s="3">
        <v>24247751000</v>
      </c>
      <c r="AK46" s="3">
        <v>2720391000</v>
      </c>
      <c r="AL46" s="3">
        <v>0</v>
      </c>
      <c r="AM46" s="3">
        <v>26968142000</v>
      </c>
      <c r="AN46" s="3">
        <v>24247751000</v>
      </c>
      <c r="AO46" s="3">
        <v>2878169000</v>
      </c>
      <c r="AP46" s="3">
        <v>0</v>
      </c>
      <c r="AQ46" s="3">
        <v>27125920000</v>
      </c>
      <c r="AR46" s="3">
        <v>26414275000</v>
      </c>
      <c r="AS46" s="3">
        <v>2878169000</v>
      </c>
      <c r="AT46" s="3">
        <v>0</v>
      </c>
      <c r="AU46" s="3">
        <v>29292444000</v>
      </c>
      <c r="AV46" s="3">
        <v>26260814866.689999</v>
      </c>
      <c r="AW46" s="3">
        <v>3072692365.1100001</v>
      </c>
      <c r="AX46" s="3">
        <v>0</v>
      </c>
      <c r="AY46" s="3">
        <v>29333507231.799999</v>
      </c>
      <c r="AZ46" s="3">
        <v>26260814866.689999</v>
      </c>
      <c r="BA46" s="3">
        <v>3072692365.1100001</v>
      </c>
      <c r="BB46" s="3">
        <v>0</v>
      </c>
      <c r="BC46" s="3">
        <v>29333507231.799999</v>
      </c>
      <c r="BD46" s="3">
        <v>26127765581.23</v>
      </c>
      <c r="BE46" s="3">
        <v>2728067984.5300002</v>
      </c>
      <c r="BF46" s="3">
        <v>0</v>
      </c>
      <c r="BG46" s="3">
        <v>28855833565.759998</v>
      </c>
      <c r="BH46" s="3">
        <v>25908143898.540001</v>
      </c>
      <c r="BI46" s="6">
        <v>2632488514.04</v>
      </c>
      <c r="BJ46" s="6">
        <v>0</v>
      </c>
      <c r="BK46" s="6">
        <v>28540632412.580002</v>
      </c>
      <c r="BL46" s="3">
        <v>28680645000</v>
      </c>
      <c r="BM46" s="3">
        <v>3801421000</v>
      </c>
      <c r="BN46" s="3">
        <v>0</v>
      </c>
      <c r="BO46" s="3">
        <v>32482066000</v>
      </c>
      <c r="BP46" s="3">
        <v>28680645000</v>
      </c>
      <c r="BQ46" s="3">
        <v>3748959000</v>
      </c>
      <c r="BR46" s="3">
        <v>0</v>
      </c>
      <c r="BS46" s="3">
        <v>32429604000</v>
      </c>
      <c r="BT46" s="3">
        <v>31228500000</v>
      </c>
      <c r="BU46" s="3">
        <v>3748959000</v>
      </c>
      <c r="BV46" s="3">
        <v>0</v>
      </c>
      <c r="BW46" s="3">
        <v>34977459000</v>
      </c>
      <c r="BX46" s="3">
        <v>29279971943.220001</v>
      </c>
      <c r="BY46" s="3">
        <v>4121171465.8600001</v>
      </c>
      <c r="BZ46" s="3">
        <v>250000</v>
      </c>
      <c r="CA46" s="3">
        <v>33401393409.080002</v>
      </c>
      <c r="CB46" s="3">
        <v>29279971943.220001</v>
      </c>
      <c r="CC46" s="3">
        <v>4121171465.8600001</v>
      </c>
      <c r="CD46" s="3">
        <v>250000</v>
      </c>
      <c r="CE46" s="3">
        <v>33401393409.080002</v>
      </c>
      <c r="CF46" s="3">
        <v>29176820964.549999</v>
      </c>
      <c r="CG46" s="3">
        <v>3685977134.6100001</v>
      </c>
      <c r="CH46" s="3">
        <v>250000</v>
      </c>
      <c r="CI46" s="3">
        <v>32863048099.16</v>
      </c>
      <c r="CJ46" s="3">
        <v>28964039436.650002</v>
      </c>
      <c r="CK46" s="3">
        <v>3373198316.27</v>
      </c>
      <c r="CL46" s="3">
        <v>250000</v>
      </c>
      <c r="CM46" s="3">
        <v>32337487752.919998</v>
      </c>
      <c r="CN46" s="3">
        <v>34185242000</v>
      </c>
      <c r="CO46" s="3">
        <v>3227322000</v>
      </c>
      <c r="CP46" s="3">
        <v>0</v>
      </c>
      <c r="CQ46" s="3">
        <v>37412564000</v>
      </c>
      <c r="CR46" s="3">
        <v>34185242000</v>
      </c>
      <c r="CS46" s="3">
        <v>3300589000</v>
      </c>
      <c r="CT46" s="3">
        <v>0</v>
      </c>
      <c r="CU46" s="3">
        <v>37485831000</v>
      </c>
      <c r="CV46" s="3">
        <v>37262181000</v>
      </c>
      <c r="CW46" s="3">
        <v>3300589000</v>
      </c>
      <c r="CX46" s="3">
        <v>0</v>
      </c>
      <c r="CY46" s="3">
        <v>40562770000</v>
      </c>
      <c r="CZ46" s="3">
        <v>36993215072.75</v>
      </c>
      <c r="DA46" s="3">
        <v>3687961529.29</v>
      </c>
      <c r="DB46" s="3">
        <v>585000</v>
      </c>
      <c r="DC46" s="3">
        <v>40681761602.040001</v>
      </c>
      <c r="DD46" s="3">
        <v>36993215072.75</v>
      </c>
      <c r="DE46" s="3">
        <v>3687961529.29</v>
      </c>
      <c r="DF46" s="3">
        <v>585000</v>
      </c>
      <c r="DG46" s="3">
        <v>40681761602.040001</v>
      </c>
      <c r="DH46" s="3">
        <v>36870847264.059998</v>
      </c>
      <c r="DI46" s="3">
        <v>3371759663.4400001</v>
      </c>
      <c r="DJ46" s="3">
        <v>585000</v>
      </c>
      <c r="DK46" s="3">
        <v>40243191927.5</v>
      </c>
      <c r="DL46" s="3">
        <v>36159119406.809998</v>
      </c>
      <c r="DM46" s="3">
        <v>3274808314.1900001</v>
      </c>
      <c r="DN46" s="3">
        <v>0</v>
      </c>
      <c r="DO46" s="3">
        <v>39433927721</v>
      </c>
      <c r="DP46" s="3">
        <v>37270126000</v>
      </c>
      <c r="DQ46" s="3">
        <v>3744662000</v>
      </c>
      <c r="DR46" s="3">
        <v>0</v>
      </c>
      <c r="DS46" s="3">
        <v>41014788000</v>
      </c>
      <c r="DT46" s="3">
        <v>37270126000</v>
      </c>
      <c r="DU46" s="3">
        <v>3924958000</v>
      </c>
      <c r="DV46" s="3">
        <v>0</v>
      </c>
      <c r="DW46" s="3">
        <v>41195084000</v>
      </c>
      <c r="DX46" s="3">
        <v>40632025000</v>
      </c>
      <c r="DY46" s="3">
        <v>3924958000</v>
      </c>
      <c r="DZ46" s="3">
        <v>0</v>
      </c>
      <c r="EA46" s="3">
        <v>44556983000</v>
      </c>
      <c r="EB46" s="3">
        <v>40612063839.209999</v>
      </c>
      <c r="EC46" s="3">
        <v>4095818275.0100002</v>
      </c>
      <c r="ED46" s="3">
        <v>0</v>
      </c>
      <c r="EE46" s="3">
        <v>44707882114.220001</v>
      </c>
      <c r="EF46" s="3">
        <v>40612063839.209999</v>
      </c>
      <c r="EG46" s="3">
        <v>4095818275.0100002</v>
      </c>
      <c r="EH46" s="3">
        <v>0</v>
      </c>
      <c r="EI46" s="3">
        <v>44707882114.220001</v>
      </c>
      <c r="EJ46" s="3">
        <v>40366731161.919998</v>
      </c>
      <c r="EK46" s="3">
        <v>3893050867.6199999</v>
      </c>
      <c r="EL46" s="3">
        <v>0</v>
      </c>
      <c r="EM46" s="3">
        <v>44259782029.540001</v>
      </c>
      <c r="EN46" s="3">
        <v>39655653992.459999</v>
      </c>
      <c r="EO46" s="3">
        <v>3824137309.5900002</v>
      </c>
      <c r="EP46" s="3">
        <v>0</v>
      </c>
      <c r="EQ46" s="3">
        <v>43479791302.050003</v>
      </c>
      <c r="ER46" s="3">
        <v>41083897000</v>
      </c>
      <c r="ES46" s="3">
        <v>4330196000</v>
      </c>
      <c r="ET46" s="3">
        <v>0</v>
      </c>
      <c r="EU46" s="3">
        <v>45414093000</v>
      </c>
      <c r="EV46" s="3">
        <v>41083897000</v>
      </c>
      <c r="EW46" s="3">
        <v>4537696000</v>
      </c>
      <c r="EX46" s="3">
        <v>0</v>
      </c>
      <c r="EY46" s="3">
        <v>45621593000</v>
      </c>
      <c r="EZ46" s="3">
        <v>44792403000</v>
      </c>
      <c r="FA46" s="3">
        <v>4537696000</v>
      </c>
      <c r="FB46" s="3">
        <v>0</v>
      </c>
      <c r="FC46" s="3">
        <v>49330099000</v>
      </c>
      <c r="FD46" s="3">
        <v>44592215108.150002</v>
      </c>
      <c r="FE46" s="3">
        <v>4680179225.3699999</v>
      </c>
      <c r="FF46" s="3">
        <v>0</v>
      </c>
      <c r="FG46" s="3">
        <v>49272394333.519997</v>
      </c>
      <c r="FH46" s="3">
        <v>44592215108.150002</v>
      </c>
      <c r="FI46" s="3">
        <v>0</v>
      </c>
      <c r="FJ46" s="3">
        <v>4680179225.3699999</v>
      </c>
      <c r="FK46" s="3">
        <v>49272394333.519997</v>
      </c>
      <c r="FL46" s="3">
        <v>44476601173.949997</v>
      </c>
      <c r="FM46" s="3">
        <v>4336393623.21</v>
      </c>
      <c r="FN46" s="3">
        <v>0</v>
      </c>
      <c r="FO46" s="3">
        <v>48812994797.150002</v>
      </c>
      <c r="FP46" s="3">
        <v>44172123063.870003</v>
      </c>
      <c r="FQ46" s="3">
        <v>4274556530.5100002</v>
      </c>
      <c r="FR46" s="3">
        <v>0</v>
      </c>
      <c r="FS46" s="3">
        <v>48446679594.370003</v>
      </c>
      <c r="FT46" s="3">
        <v>44521726000</v>
      </c>
      <c r="FU46" s="3">
        <v>6131003000</v>
      </c>
      <c r="FV46" s="3">
        <v>0</v>
      </c>
      <c r="FW46" s="3">
        <v>50652729000</v>
      </c>
      <c r="FX46" s="3">
        <v>44611726000</v>
      </c>
      <c r="FY46" s="3">
        <v>6140003000</v>
      </c>
      <c r="FZ46" s="3">
        <v>0</v>
      </c>
      <c r="GA46" s="3">
        <v>50751729000</v>
      </c>
      <c r="GB46" s="3">
        <v>48609124000</v>
      </c>
      <c r="GC46" s="3">
        <v>6140003000</v>
      </c>
      <c r="GD46" s="3">
        <v>0</v>
      </c>
      <c r="GE46" s="3">
        <v>54749127000</v>
      </c>
      <c r="GF46" s="3">
        <v>48368300110.370003</v>
      </c>
      <c r="GG46" s="3">
        <v>6441917957.8199997</v>
      </c>
      <c r="GH46" s="3">
        <v>0</v>
      </c>
      <c r="GI46" s="3">
        <v>54810218068.190002</v>
      </c>
      <c r="GJ46" s="3">
        <v>48368300110.370003</v>
      </c>
      <c r="GK46" s="3">
        <v>6441917957.8199997</v>
      </c>
      <c r="GL46" s="3">
        <v>0</v>
      </c>
      <c r="GM46" s="3">
        <v>54810218068.190002</v>
      </c>
      <c r="GN46" s="3">
        <v>48062910218.839996</v>
      </c>
      <c r="GO46" s="3">
        <v>5764006069.6000004</v>
      </c>
      <c r="GP46" s="3">
        <v>0</v>
      </c>
      <c r="GQ46" s="3">
        <v>53826916288.440002</v>
      </c>
      <c r="GR46" s="3">
        <v>47687632156.300003</v>
      </c>
      <c r="GS46" s="3">
        <v>5661745122.0100002</v>
      </c>
      <c r="GT46" s="3">
        <v>0</v>
      </c>
      <c r="GU46" s="3">
        <v>53349377278.309998</v>
      </c>
      <c r="GV46" s="3">
        <v>46725734000</v>
      </c>
      <c r="GW46" s="3">
        <v>7097750000</v>
      </c>
      <c r="GX46" s="3">
        <v>0</v>
      </c>
      <c r="GY46" s="3">
        <v>53823484000</v>
      </c>
      <c r="GZ46" s="3">
        <v>46725734000</v>
      </c>
      <c r="HA46" s="3">
        <v>7097750000</v>
      </c>
      <c r="HB46" s="3">
        <v>0</v>
      </c>
      <c r="HC46" s="3">
        <v>53823484000</v>
      </c>
      <c r="HD46" s="3">
        <v>50900612000</v>
      </c>
      <c r="HE46" s="3">
        <v>7097750000</v>
      </c>
      <c r="HF46" s="3">
        <v>0</v>
      </c>
      <c r="HG46" s="3">
        <v>57998362000</v>
      </c>
      <c r="HH46" s="3">
        <v>51255822548.599998</v>
      </c>
      <c r="HI46" s="3">
        <v>7630419074.3900003</v>
      </c>
      <c r="HJ46" s="3">
        <v>0</v>
      </c>
      <c r="HK46" s="3">
        <v>58886241622.989998</v>
      </c>
      <c r="HL46" s="3">
        <v>51255822548.599998</v>
      </c>
      <c r="HM46" s="3">
        <v>7630419074.3900003</v>
      </c>
      <c r="HN46" s="3">
        <v>0</v>
      </c>
      <c r="HO46" s="3">
        <v>58886241622.989998</v>
      </c>
      <c r="HP46" s="3">
        <v>51217421685.540001</v>
      </c>
      <c r="HQ46" s="3">
        <v>6922506236.3999996</v>
      </c>
      <c r="HR46" s="3">
        <v>0</v>
      </c>
      <c r="HS46" s="3">
        <v>58139927921.949997</v>
      </c>
      <c r="HT46" s="3">
        <v>50759680420.68</v>
      </c>
      <c r="HU46" s="3">
        <v>6773843215.8800001</v>
      </c>
      <c r="HV46" s="3">
        <v>0</v>
      </c>
      <c r="HW46" s="3">
        <v>57533523636.559998</v>
      </c>
      <c r="HX46" s="3">
        <v>61622109000</v>
      </c>
      <c r="HY46" s="3">
        <v>7996641000</v>
      </c>
      <c r="HZ46" s="3">
        <v>0</v>
      </c>
      <c r="IA46" s="3">
        <v>69618750000</v>
      </c>
      <c r="IB46" s="3">
        <v>61622109000</v>
      </c>
      <c r="IC46" s="3">
        <v>7996641000</v>
      </c>
      <c r="ID46" s="3">
        <v>0</v>
      </c>
      <c r="IE46" s="3">
        <v>69618750000</v>
      </c>
      <c r="IF46" s="3"/>
      <c r="IG46" s="3"/>
      <c r="IH46" s="3"/>
      <c r="II46" s="3"/>
      <c r="IJ46" s="3"/>
      <c r="IK46" s="3"/>
      <c r="IL46" s="3"/>
      <c r="IM46" s="3"/>
      <c r="IN46" s="3"/>
      <c r="IO46" s="3"/>
      <c r="IP46" s="3"/>
      <c r="IQ46" s="3"/>
      <c r="IR46" s="3"/>
      <c r="IS46" s="3"/>
      <c r="IT46" s="3"/>
      <c r="IU46" s="3"/>
      <c r="IV46" s="3"/>
      <c r="IW46" s="3"/>
      <c r="IX46" s="3"/>
      <c r="IY46" s="3"/>
      <c r="IZ46" s="3">
        <v>70675181000</v>
      </c>
      <c r="JA46" s="3">
        <v>8023100000</v>
      </c>
      <c r="JB46" s="3">
        <v>0</v>
      </c>
      <c r="JC46" s="3">
        <v>78698281000</v>
      </c>
      <c r="JD46" s="3"/>
      <c r="JE46" s="3"/>
      <c r="JF46" s="3"/>
      <c r="JG46" s="3"/>
    </row>
    <row r="47" spans="1:267" x14ac:dyDescent="0.25">
      <c r="A47" t="s">
        <v>505</v>
      </c>
      <c r="B47" t="s">
        <v>397</v>
      </c>
      <c r="C47" t="s">
        <v>199</v>
      </c>
      <c r="D47" t="s">
        <v>200</v>
      </c>
      <c r="E47" t="s">
        <v>292</v>
      </c>
      <c r="F47" t="s">
        <v>540</v>
      </c>
      <c r="G47" t="s">
        <v>439</v>
      </c>
      <c r="H47" s="3">
        <v>0</v>
      </c>
      <c r="I47" s="6">
        <v>10673583000</v>
      </c>
      <c r="J47" s="3">
        <v>0</v>
      </c>
      <c r="K47" s="3">
        <v>10673583000</v>
      </c>
      <c r="L47" s="3">
        <v>0</v>
      </c>
      <c r="M47" s="3">
        <v>10673583000</v>
      </c>
      <c r="N47" s="3">
        <v>0</v>
      </c>
      <c r="O47" s="3">
        <v>10673583000</v>
      </c>
      <c r="P47" s="3">
        <v>0</v>
      </c>
      <c r="Q47" s="3">
        <v>10673583000</v>
      </c>
      <c r="R47" s="3">
        <v>0</v>
      </c>
      <c r="S47" s="3">
        <v>10673583000</v>
      </c>
      <c r="T47" s="3">
        <v>0</v>
      </c>
      <c r="U47" s="3">
        <v>10673583000</v>
      </c>
      <c r="V47" s="3">
        <v>0</v>
      </c>
      <c r="W47" s="3">
        <v>10673583000</v>
      </c>
      <c r="X47" s="3">
        <v>0</v>
      </c>
      <c r="Y47" s="3">
        <v>10673583000</v>
      </c>
      <c r="Z47" s="3">
        <v>0</v>
      </c>
      <c r="AA47" s="3">
        <v>10673583000</v>
      </c>
      <c r="AB47" s="3">
        <v>0</v>
      </c>
      <c r="AC47" s="3">
        <v>10673579204.41</v>
      </c>
      <c r="AD47" s="3">
        <v>0</v>
      </c>
      <c r="AE47" s="3">
        <v>10673579204.41</v>
      </c>
      <c r="AF47" s="3">
        <v>0</v>
      </c>
      <c r="AG47" s="3">
        <v>9325995132.8500004</v>
      </c>
      <c r="AH47" s="3">
        <v>0</v>
      </c>
      <c r="AI47" s="3">
        <v>9325995132.8500004</v>
      </c>
      <c r="AJ47" s="3">
        <v>0</v>
      </c>
      <c r="AK47" s="3">
        <v>10673583000</v>
      </c>
      <c r="AL47" s="3">
        <v>0</v>
      </c>
      <c r="AM47" s="3">
        <v>10673583000</v>
      </c>
      <c r="AN47" s="3">
        <v>0</v>
      </c>
      <c r="AO47" s="3">
        <v>10673583000</v>
      </c>
      <c r="AP47" s="3">
        <v>0</v>
      </c>
      <c r="AQ47" s="3">
        <v>10673583000</v>
      </c>
      <c r="AR47" s="3">
        <v>0</v>
      </c>
      <c r="AS47" s="3">
        <v>10673583000</v>
      </c>
      <c r="AT47" s="3">
        <v>0</v>
      </c>
      <c r="AU47" s="3">
        <v>10673583000</v>
      </c>
      <c r="AV47" s="3">
        <v>0</v>
      </c>
      <c r="AW47" s="3">
        <v>10673586795.59</v>
      </c>
      <c r="AX47" s="3">
        <v>0</v>
      </c>
      <c r="AY47" s="3">
        <v>10673586795.59</v>
      </c>
      <c r="AZ47" s="3">
        <v>0</v>
      </c>
      <c r="BA47" s="3">
        <v>10673586795.59</v>
      </c>
      <c r="BB47" s="3">
        <v>0</v>
      </c>
      <c r="BC47" s="3">
        <v>10673586795.59</v>
      </c>
      <c r="BD47" s="3">
        <v>0</v>
      </c>
      <c r="BE47" s="3">
        <v>10252118690.66</v>
      </c>
      <c r="BF47" s="3">
        <v>0</v>
      </c>
      <c r="BG47" s="3">
        <v>10252118690.66</v>
      </c>
      <c r="BH47" s="3">
        <v>0</v>
      </c>
      <c r="BI47" s="6">
        <v>9909211941.9400005</v>
      </c>
      <c r="BJ47" s="6">
        <v>0</v>
      </c>
      <c r="BK47" s="6">
        <v>9909211941.9400005</v>
      </c>
      <c r="BL47" s="3">
        <v>0</v>
      </c>
      <c r="BM47" s="3">
        <v>10673583000</v>
      </c>
      <c r="BN47" s="3">
        <v>0</v>
      </c>
      <c r="BO47" s="3">
        <v>10673583000</v>
      </c>
      <c r="BP47" s="3">
        <v>0</v>
      </c>
      <c r="BQ47" s="3">
        <v>10947374000</v>
      </c>
      <c r="BR47" s="3">
        <v>0</v>
      </c>
      <c r="BS47" s="3">
        <v>10947374000</v>
      </c>
      <c r="BT47" s="3">
        <v>0</v>
      </c>
      <c r="BU47" s="3">
        <v>10947374000</v>
      </c>
      <c r="BV47" s="3">
        <v>0</v>
      </c>
      <c r="BW47" s="3">
        <v>10947374000</v>
      </c>
      <c r="BX47" s="3">
        <v>0</v>
      </c>
      <c r="BY47" s="3">
        <v>11095047309.34</v>
      </c>
      <c r="BZ47" s="3">
        <v>0</v>
      </c>
      <c r="CA47" s="3">
        <v>11095047309.34</v>
      </c>
      <c r="CB47" s="3">
        <v>0</v>
      </c>
      <c r="CC47" s="3">
        <v>11095047309.34</v>
      </c>
      <c r="CD47" s="3">
        <v>0</v>
      </c>
      <c r="CE47" s="3">
        <v>11095047309.34</v>
      </c>
      <c r="CF47" s="3">
        <v>0</v>
      </c>
      <c r="CG47" s="3">
        <v>11095047309.34</v>
      </c>
      <c r="CH47" s="3">
        <v>0</v>
      </c>
      <c r="CI47" s="3">
        <v>11095047309.34</v>
      </c>
      <c r="CJ47" s="3">
        <v>0</v>
      </c>
      <c r="CK47" s="3">
        <v>7291924528.5100002</v>
      </c>
      <c r="CL47" s="3">
        <v>0</v>
      </c>
      <c r="CM47" s="3">
        <v>7291924528.5100002</v>
      </c>
      <c r="CN47" s="3">
        <v>0</v>
      </c>
      <c r="CO47" s="3">
        <v>10673583000</v>
      </c>
      <c r="CP47" s="3">
        <v>0</v>
      </c>
      <c r="CQ47" s="3">
        <v>10673583000</v>
      </c>
      <c r="CR47" s="3">
        <v>0</v>
      </c>
      <c r="CS47" s="3">
        <v>11236101000</v>
      </c>
      <c r="CT47" s="3">
        <v>0</v>
      </c>
      <c r="CU47" s="3">
        <v>11236101000</v>
      </c>
      <c r="CV47" s="3">
        <v>0</v>
      </c>
      <c r="CW47" s="3">
        <v>11236101000</v>
      </c>
      <c r="CX47" s="3">
        <v>0</v>
      </c>
      <c r="CY47" s="3">
        <v>11236101000</v>
      </c>
      <c r="CZ47" s="3">
        <v>0</v>
      </c>
      <c r="DA47" s="3">
        <v>11236101000</v>
      </c>
      <c r="DB47" s="3">
        <v>0</v>
      </c>
      <c r="DC47" s="3">
        <v>11236101000</v>
      </c>
      <c r="DD47" s="3">
        <v>0</v>
      </c>
      <c r="DE47" s="3">
        <v>10673583000</v>
      </c>
      <c r="DF47" s="3">
        <v>0</v>
      </c>
      <c r="DG47" s="3">
        <v>10673583000</v>
      </c>
      <c r="DH47" s="3">
        <v>0</v>
      </c>
      <c r="DI47" s="3">
        <v>10673583000</v>
      </c>
      <c r="DJ47" s="3">
        <v>0</v>
      </c>
      <c r="DK47" s="3">
        <v>10673583000</v>
      </c>
      <c r="DL47" s="3">
        <v>0</v>
      </c>
      <c r="DM47" s="3">
        <v>8459169127.1199999</v>
      </c>
      <c r="DN47" s="3">
        <v>0</v>
      </c>
      <c r="DO47" s="3">
        <v>8459169127.1199999</v>
      </c>
      <c r="DP47" s="3">
        <v>0</v>
      </c>
      <c r="DQ47" s="3">
        <v>10673583000</v>
      </c>
      <c r="DR47" s="3">
        <v>0</v>
      </c>
      <c r="DS47" s="3">
        <v>10673583000</v>
      </c>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row>
    <row r="48" spans="1:267" x14ac:dyDescent="0.25">
      <c r="A48" t="s">
        <v>505</v>
      </c>
      <c r="B48" t="s">
        <v>397</v>
      </c>
      <c r="C48" t="s">
        <v>199</v>
      </c>
      <c r="D48" t="s">
        <v>200</v>
      </c>
      <c r="E48" t="s">
        <v>292</v>
      </c>
      <c r="F48" t="s">
        <v>541</v>
      </c>
      <c r="G48" t="s">
        <v>440</v>
      </c>
      <c r="H48" s="3">
        <v>0</v>
      </c>
      <c r="I48" s="5">
        <v>26725532000</v>
      </c>
      <c r="J48" s="3">
        <v>0</v>
      </c>
      <c r="K48" s="3">
        <v>26725532000</v>
      </c>
      <c r="L48" s="3">
        <v>0</v>
      </c>
      <c r="M48" s="3">
        <v>13692180000</v>
      </c>
      <c r="N48" s="3">
        <v>0</v>
      </c>
      <c r="O48" s="3">
        <v>13692180000</v>
      </c>
      <c r="P48" s="3">
        <v>0</v>
      </c>
      <c r="Q48" s="3">
        <v>13692180000</v>
      </c>
      <c r="R48" s="3">
        <v>0</v>
      </c>
      <c r="S48" s="3">
        <v>13692180000</v>
      </c>
      <c r="T48" s="3">
        <v>0</v>
      </c>
      <c r="U48" s="3">
        <v>13692180000</v>
      </c>
      <c r="V48" s="3">
        <v>0</v>
      </c>
      <c r="W48" s="3">
        <v>13692180000</v>
      </c>
      <c r="X48" s="3">
        <v>0</v>
      </c>
      <c r="Y48" s="3">
        <v>13692180000</v>
      </c>
      <c r="Z48" s="3">
        <v>0</v>
      </c>
      <c r="AA48" s="3">
        <v>13692180000</v>
      </c>
      <c r="AB48" s="3">
        <v>0</v>
      </c>
      <c r="AC48" s="3">
        <v>13692163743</v>
      </c>
      <c r="AD48" s="3">
        <v>0</v>
      </c>
      <c r="AE48" s="3">
        <v>13692163743</v>
      </c>
      <c r="AF48" s="3">
        <v>0</v>
      </c>
      <c r="AG48" s="3">
        <v>12456209808.209999</v>
      </c>
      <c r="AH48" s="3">
        <v>0</v>
      </c>
      <c r="AI48" s="3">
        <v>12456209808.209999</v>
      </c>
      <c r="AJ48" s="3">
        <v>0</v>
      </c>
      <c r="AK48" s="3">
        <v>18755048000</v>
      </c>
      <c r="AL48" s="3">
        <v>0</v>
      </c>
      <c r="AM48" s="3">
        <v>18755048000</v>
      </c>
      <c r="AN48" s="3">
        <v>0</v>
      </c>
      <c r="AO48" s="3">
        <v>18755048000</v>
      </c>
      <c r="AP48" s="3">
        <v>0</v>
      </c>
      <c r="AQ48" s="3">
        <v>18755048000</v>
      </c>
      <c r="AR48" s="3">
        <v>0</v>
      </c>
      <c r="AS48" s="3">
        <v>18755048000</v>
      </c>
      <c r="AT48" s="3">
        <v>0</v>
      </c>
      <c r="AU48" s="3">
        <v>18755048000</v>
      </c>
      <c r="AV48" s="3">
        <v>0</v>
      </c>
      <c r="AW48" s="3">
        <v>18755064257</v>
      </c>
      <c r="AX48" s="3">
        <v>0</v>
      </c>
      <c r="AY48" s="3">
        <v>18755064257</v>
      </c>
      <c r="AZ48" s="3">
        <v>0</v>
      </c>
      <c r="BA48" s="3">
        <v>18755064257</v>
      </c>
      <c r="BB48" s="3">
        <v>0</v>
      </c>
      <c r="BC48" s="3">
        <v>18755064257</v>
      </c>
      <c r="BD48" s="3">
        <v>0</v>
      </c>
      <c r="BE48" s="3">
        <v>18278846255.73</v>
      </c>
      <c r="BF48" s="3">
        <v>0</v>
      </c>
      <c r="BG48" s="3">
        <v>18278846255.73</v>
      </c>
      <c r="BH48" s="3">
        <v>0</v>
      </c>
      <c r="BI48" s="6">
        <v>17402732087.740002</v>
      </c>
      <c r="BJ48" s="6">
        <v>0</v>
      </c>
      <c r="BK48" s="6">
        <v>17402732087.740002</v>
      </c>
      <c r="BL48" s="3">
        <v>0</v>
      </c>
      <c r="BM48" s="3">
        <v>18755048000</v>
      </c>
      <c r="BN48" s="3">
        <v>0</v>
      </c>
      <c r="BO48" s="3">
        <v>18755048000</v>
      </c>
      <c r="BP48" s="3">
        <v>0</v>
      </c>
      <c r="BQ48" s="3">
        <v>23930048000</v>
      </c>
      <c r="BR48" s="3">
        <v>0</v>
      </c>
      <c r="BS48" s="3">
        <v>23930048000</v>
      </c>
      <c r="BT48" s="3">
        <v>0</v>
      </c>
      <c r="BU48" s="3">
        <v>23930048000</v>
      </c>
      <c r="BV48" s="3">
        <v>0</v>
      </c>
      <c r="BW48" s="3">
        <v>23930048000</v>
      </c>
      <c r="BX48" s="3">
        <v>0</v>
      </c>
      <c r="BY48" s="3">
        <v>22931119744.27</v>
      </c>
      <c r="BZ48" s="3">
        <v>0</v>
      </c>
      <c r="CA48" s="3">
        <v>22931119744.27</v>
      </c>
      <c r="CB48" s="3">
        <v>0</v>
      </c>
      <c r="CC48" s="3">
        <v>19231249744.27</v>
      </c>
      <c r="CD48" s="3">
        <v>0</v>
      </c>
      <c r="CE48" s="3">
        <v>19231249744.27</v>
      </c>
      <c r="CF48" s="3">
        <v>0</v>
      </c>
      <c r="CG48" s="3">
        <v>19231249744.27</v>
      </c>
      <c r="CH48" s="3">
        <v>0</v>
      </c>
      <c r="CI48" s="3">
        <v>19231249744.27</v>
      </c>
      <c r="CJ48" s="3">
        <v>0</v>
      </c>
      <c r="CK48" s="3">
        <v>18431443829.27</v>
      </c>
      <c r="CL48" s="3">
        <v>0</v>
      </c>
      <c r="CM48" s="3">
        <v>18431443829.27</v>
      </c>
      <c r="CN48" s="3">
        <v>0</v>
      </c>
      <c r="CO48" s="3">
        <v>13692180000</v>
      </c>
      <c r="CP48" s="3">
        <v>0</v>
      </c>
      <c r="CQ48" s="3">
        <v>13692180000</v>
      </c>
      <c r="CR48" s="3">
        <v>0</v>
      </c>
      <c r="CS48" s="3">
        <v>13692180000</v>
      </c>
      <c r="CT48" s="3">
        <v>0</v>
      </c>
      <c r="CU48" s="3">
        <v>13692180000</v>
      </c>
      <c r="CV48" s="3">
        <v>0</v>
      </c>
      <c r="CW48" s="3">
        <v>13692180000</v>
      </c>
      <c r="CX48" s="3">
        <v>0</v>
      </c>
      <c r="CY48" s="3">
        <v>13692180000</v>
      </c>
      <c r="CZ48" s="3">
        <v>0</v>
      </c>
      <c r="DA48" s="3">
        <v>17392050000</v>
      </c>
      <c r="DB48" s="3">
        <v>0</v>
      </c>
      <c r="DC48" s="3">
        <v>17392050000</v>
      </c>
      <c r="DD48" s="3">
        <v>0</v>
      </c>
      <c r="DE48" s="3">
        <v>17392050000</v>
      </c>
      <c r="DF48" s="3">
        <v>0</v>
      </c>
      <c r="DG48" s="3">
        <v>17392050000</v>
      </c>
      <c r="DH48" s="3">
        <v>0</v>
      </c>
      <c r="DI48" s="3">
        <v>17391509999.98</v>
      </c>
      <c r="DJ48" s="3">
        <v>0</v>
      </c>
      <c r="DK48" s="3">
        <v>17391509999.98</v>
      </c>
      <c r="DL48" s="3">
        <v>0</v>
      </c>
      <c r="DM48" s="3">
        <v>16876985342.35</v>
      </c>
      <c r="DN48" s="3">
        <v>0</v>
      </c>
      <c r="DO48" s="3">
        <v>16876985342.35</v>
      </c>
      <c r="DP48" s="3"/>
      <c r="DQ48" s="3"/>
      <c r="DR48" s="3"/>
      <c r="DS48" s="3"/>
      <c r="DT48" s="3"/>
      <c r="DU48" s="3"/>
      <c r="DV48" s="3"/>
      <c r="DW48" s="3"/>
      <c r="DX48" s="3"/>
      <c r="DY48" s="3"/>
      <c r="DZ48" s="3"/>
      <c r="EA48" s="3"/>
      <c r="EB48" s="3">
        <v>0</v>
      </c>
      <c r="EC48" s="3">
        <v>540000.02</v>
      </c>
      <c r="ED48" s="3">
        <v>0</v>
      </c>
      <c r="EE48" s="3">
        <v>540000.02</v>
      </c>
      <c r="EF48" s="3">
        <v>0</v>
      </c>
      <c r="EG48" s="3">
        <v>540000.02</v>
      </c>
      <c r="EH48" s="3">
        <v>0</v>
      </c>
      <c r="EI48" s="3">
        <v>540000.02</v>
      </c>
      <c r="EJ48" s="3">
        <v>0</v>
      </c>
      <c r="EK48" s="3">
        <v>532750</v>
      </c>
      <c r="EL48" s="3">
        <v>0</v>
      </c>
      <c r="EM48" s="3">
        <v>532750</v>
      </c>
      <c r="EN48" s="3">
        <v>0</v>
      </c>
      <c r="EO48" s="3">
        <v>532750</v>
      </c>
      <c r="EP48" s="3">
        <v>0</v>
      </c>
      <c r="EQ48" s="3">
        <v>532750</v>
      </c>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row>
    <row r="49" spans="1:267" x14ac:dyDescent="0.25">
      <c r="A49" t="s">
        <v>505</v>
      </c>
      <c r="B49" t="s">
        <v>397</v>
      </c>
      <c r="C49" t="s">
        <v>199</v>
      </c>
      <c r="D49" t="s">
        <v>200</v>
      </c>
      <c r="E49" t="s">
        <v>292</v>
      </c>
      <c r="F49" t="s">
        <v>542</v>
      </c>
      <c r="G49" t="s">
        <v>441</v>
      </c>
      <c r="H49" s="3">
        <v>0</v>
      </c>
      <c r="I49" s="6">
        <v>724454000</v>
      </c>
      <c r="J49" s="3">
        <v>0</v>
      </c>
      <c r="K49" s="3">
        <v>724454000</v>
      </c>
      <c r="L49" s="3">
        <v>0</v>
      </c>
      <c r="M49" s="3">
        <v>742454000</v>
      </c>
      <c r="N49" s="3">
        <v>0</v>
      </c>
      <c r="O49" s="3">
        <v>742454000</v>
      </c>
      <c r="P49" s="3">
        <v>0</v>
      </c>
      <c r="Q49" s="3">
        <v>742454000</v>
      </c>
      <c r="R49" s="3">
        <v>0</v>
      </c>
      <c r="S49" s="3">
        <v>742454000</v>
      </c>
      <c r="T49" s="3">
        <v>0</v>
      </c>
      <c r="U49" s="3">
        <v>742454000</v>
      </c>
      <c r="V49" s="3">
        <v>0</v>
      </c>
      <c r="W49" s="3">
        <v>742454000</v>
      </c>
      <c r="X49" s="3">
        <v>0</v>
      </c>
      <c r="Y49" s="3">
        <v>742454000</v>
      </c>
      <c r="Z49" s="3">
        <v>0</v>
      </c>
      <c r="AA49" s="3">
        <v>742454000</v>
      </c>
      <c r="AB49" s="3">
        <v>0</v>
      </c>
      <c r="AC49" s="3">
        <v>725297082</v>
      </c>
      <c r="AD49" s="3">
        <v>0</v>
      </c>
      <c r="AE49" s="3">
        <v>725297082</v>
      </c>
      <c r="AF49" s="3">
        <v>0</v>
      </c>
      <c r="AG49" s="3">
        <v>268207450</v>
      </c>
      <c r="AH49" s="3">
        <v>0</v>
      </c>
      <c r="AI49" s="3">
        <v>268207450</v>
      </c>
      <c r="AJ49" s="3">
        <v>0</v>
      </c>
      <c r="AK49" s="3">
        <v>1532623000</v>
      </c>
      <c r="AL49" s="3">
        <v>0</v>
      </c>
      <c r="AM49" s="3">
        <v>1532623000</v>
      </c>
      <c r="AN49" s="3">
        <v>0</v>
      </c>
      <c r="AO49" s="3">
        <v>1532623000</v>
      </c>
      <c r="AP49" s="3">
        <v>0</v>
      </c>
      <c r="AQ49" s="3">
        <v>1532623000</v>
      </c>
      <c r="AR49" s="3">
        <v>0</v>
      </c>
      <c r="AS49" s="3">
        <v>1532623000</v>
      </c>
      <c r="AT49" s="3">
        <v>0</v>
      </c>
      <c r="AU49" s="3">
        <v>1532623000</v>
      </c>
      <c r="AV49" s="3">
        <v>0</v>
      </c>
      <c r="AW49" s="3">
        <v>1549779918</v>
      </c>
      <c r="AX49" s="3">
        <v>0</v>
      </c>
      <c r="AY49" s="3">
        <v>1549779918</v>
      </c>
      <c r="AZ49" s="3">
        <v>0</v>
      </c>
      <c r="BA49" s="3">
        <v>1549779918</v>
      </c>
      <c r="BB49" s="3">
        <v>0</v>
      </c>
      <c r="BC49" s="3">
        <v>1549779918</v>
      </c>
      <c r="BD49" s="3">
        <v>0</v>
      </c>
      <c r="BE49" s="3">
        <v>537848200</v>
      </c>
      <c r="BF49" s="3">
        <v>0</v>
      </c>
      <c r="BG49" s="3">
        <v>537848200</v>
      </c>
      <c r="BH49" s="3">
        <v>0</v>
      </c>
      <c r="BI49" s="6">
        <v>343699686</v>
      </c>
      <c r="BJ49" s="6">
        <v>0</v>
      </c>
      <c r="BK49" s="6">
        <v>343699686</v>
      </c>
      <c r="BL49" s="3">
        <v>0</v>
      </c>
      <c r="BM49" s="3">
        <v>592399000</v>
      </c>
      <c r="BN49" s="3">
        <v>0</v>
      </c>
      <c r="BO49" s="3">
        <v>592399000</v>
      </c>
      <c r="BP49" s="3">
        <v>0</v>
      </c>
      <c r="BQ49" s="3">
        <v>642399000</v>
      </c>
      <c r="BR49" s="3">
        <v>0</v>
      </c>
      <c r="BS49" s="3">
        <v>642399000</v>
      </c>
      <c r="BT49" s="3">
        <v>0</v>
      </c>
      <c r="BU49" s="3">
        <v>642399000</v>
      </c>
      <c r="BV49" s="3">
        <v>0</v>
      </c>
      <c r="BW49" s="3">
        <v>642399000</v>
      </c>
      <c r="BX49" s="3">
        <v>0</v>
      </c>
      <c r="BY49" s="3">
        <v>1011597170</v>
      </c>
      <c r="BZ49" s="3">
        <v>0</v>
      </c>
      <c r="CA49" s="3">
        <v>1011597170</v>
      </c>
      <c r="CB49" s="3">
        <v>0</v>
      </c>
      <c r="CC49" s="3">
        <v>1011597170</v>
      </c>
      <c r="CD49" s="3">
        <v>0</v>
      </c>
      <c r="CE49" s="3">
        <v>1011597170</v>
      </c>
      <c r="CF49" s="3">
        <v>0</v>
      </c>
      <c r="CG49" s="3">
        <v>818196478.75</v>
      </c>
      <c r="CH49" s="3">
        <v>0</v>
      </c>
      <c r="CI49" s="3">
        <v>818196478.75</v>
      </c>
      <c r="CJ49" s="3">
        <v>0</v>
      </c>
      <c r="CK49" s="3">
        <v>510643426</v>
      </c>
      <c r="CL49" s="3">
        <v>0</v>
      </c>
      <c r="CM49" s="3">
        <v>510643426</v>
      </c>
      <c r="CN49" s="3">
        <v>0</v>
      </c>
      <c r="CO49" s="3">
        <v>742454000</v>
      </c>
      <c r="CP49" s="3">
        <v>0</v>
      </c>
      <c r="CQ49" s="3">
        <v>742454000</v>
      </c>
      <c r="CR49" s="3">
        <v>0</v>
      </c>
      <c r="CS49" s="3">
        <v>742454000</v>
      </c>
      <c r="CT49" s="3">
        <v>0</v>
      </c>
      <c r="CU49" s="3">
        <v>742454000</v>
      </c>
      <c r="CV49" s="3">
        <v>0</v>
      </c>
      <c r="CW49" s="3">
        <v>742454000</v>
      </c>
      <c r="CX49" s="3">
        <v>0</v>
      </c>
      <c r="CY49" s="3">
        <v>742454000</v>
      </c>
      <c r="CZ49" s="3">
        <v>0</v>
      </c>
      <c r="DA49" s="3">
        <v>742454000</v>
      </c>
      <c r="DB49" s="3">
        <v>0</v>
      </c>
      <c r="DC49" s="3">
        <v>742454000</v>
      </c>
      <c r="DD49" s="3">
        <v>0</v>
      </c>
      <c r="DE49" s="3">
        <v>742454000</v>
      </c>
      <c r="DF49" s="3">
        <v>0</v>
      </c>
      <c r="DG49" s="3">
        <v>742454000</v>
      </c>
      <c r="DH49" s="3">
        <v>0</v>
      </c>
      <c r="DI49" s="3">
        <v>742454000</v>
      </c>
      <c r="DJ49" s="3">
        <v>0</v>
      </c>
      <c r="DK49" s="3">
        <v>742454000</v>
      </c>
      <c r="DL49" s="3">
        <v>0</v>
      </c>
      <c r="DM49" s="3">
        <v>158668272.5</v>
      </c>
      <c r="DN49" s="3">
        <v>0</v>
      </c>
      <c r="DO49" s="3">
        <v>158668272.5</v>
      </c>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row>
    <row r="50" spans="1:267" x14ac:dyDescent="0.25">
      <c r="A50" t="s">
        <v>505</v>
      </c>
      <c r="B50" t="s">
        <v>397</v>
      </c>
      <c r="C50" t="s">
        <v>199</v>
      </c>
      <c r="D50" t="s">
        <v>200</v>
      </c>
      <c r="E50" t="s">
        <v>292</v>
      </c>
      <c r="F50" t="s">
        <v>543</v>
      </c>
      <c r="G50" t="s">
        <v>442</v>
      </c>
      <c r="H50" s="3">
        <v>0</v>
      </c>
      <c r="I50" s="6">
        <v>1159960000</v>
      </c>
      <c r="J50" s="3">
        <v>0</v>
      </c>
      <c r="K50" s="3">
        <v>1159960000</v>
      </c>
      <c r="L50" s="3">
        <v>0</v>
      </c>
      <c r="M50" s="3">
        <v>1159960000</v>
      </c>
      <c r="N50" s="3">
        <v>0</v>
      </c>
      <c r="O50" s="3">
        <v>1159960000</v>
      </c>
      <c r="P50" s="3">
        <v>0</v>
      </c>
      <c r="Q50" s="3">
        <v>1159960000</v>
      </c>
      <c r="R50" s="3">
        <v>0</v>
      </c>
      <c r="S50" s="3">
        <v>1159960000</v>
      </c>
      <c r="T50" s="3">
        <v>0</v>
      </c>
      <c r="U50" s="3">
        <v>1159960000</v>
      </c>
      <c r="V50" s="3">
        <v>0</v>
      </c>
      <c r="W50" s="3">
        <v>1159960000</v>
      </c>
      <c r="X50" s="3">
        <v>0</v>
      </c>
      <c r="Y50" s="3">
        <v>1159960000</v>
      </c>
      <c r="Z50" s="3">
        <v>0</v>
      </c>
      <c r="AA50" s="3">
        <v>1159960000</v>
      </c>
      <c r="AB50" s="3">
        <v>0</v>
      </c>
      <c r="AC50" s="3">
        <v>1130074079.5599999</v>
      </c>
      <c r="AD50" s="3">
        <v>0</v>
      </c>
      <c r="AE50" s="3">
        <v>1130074079.5599999</v>
      </c>
      <c r="AF50" s="3">
        <v>0</v>
      </c>
      <c r="AG50" s="3">
        <v>10940875.369999999</v>
      </c>
      <c r="AH50" s="3">
        <v>0</v>
      </c>
      <c r="AI50" s="3">
        <v>10940875.369999999</v>
      </c>
      <c r="AJ50" s="3">
        <v>0</v>
      </c>
      <c r="AK50" s="3">
        <v>1159960000</v>
      </c>
      <c r="AL50" s="3">
        <v>0</v>
      </c>
      <c r="AM50" s="3">
        <v>1159960000</v>
      </c>
      <c r="AN50" s="3">
        <v>0</v>
      </c>
      <c r="AO50" s="3">
        <v>1159960000</v>
      </c>
      <c r="AP50" s="3">
        <v>0</v>
      </c>
      <c r="AQ50" s="3">
        <v>1159960000</v>
      </c>
      <c r="AR50" s="3">
        <v>0</v>
      </c>
      <c r="AS50" s="3">
        <v>1159960000</v>
      </c>
      <c r="AT50" s="3">
        <v>0</v>
      </c>
      <c r="AU50" s="3">
        <v>1159960000</v>
      </c>
      <c r="AV50" s="3">
        <v>0</v>
      </c>
      <c r="AW50" s="3">
        <v>1189845920.4400001</v>
      </c>
      <c r="AX50" s="3">
        <v>0</v>
      </c>
      <c r="AY50" s="3">
        <v>1189845920.4400001</v>
      </c>
      <c r="AZ50" s="3">
        <v>0</v>
      </c>
      <c r="BA50" s="3">
        <v>1189845920.4400001</v>
      </c>
      <c r="BB50" s="3">
        <v>0</v>
      </c>
      <c r="BC50" s="3">
        <v>1189845920.4400001</v>
      </c>
      <c r="BD50" s="3">
        <v>0</v>
      </c>
      <c r="BE50" s="3">
        <v>1144737231.8900001</v>
      </c>
      <c r="BF50" s="3">
        <v>0</v>
      </c>
      <c r="BG50" s="3">
        <v>1144737231.8900001</v>
      </c>
      <c r="BH50" s="3">
        <v>0</v>
      </c>
      <c r="BI50" s="6">
        <v>18379201.73</v>
      </c>
      <c r="BJ50" s="6">
        <v>0</v>
      </c>
      <c r="BK50" s="6">
        <v>18379201.73</v>
      </c>
      <c r="BL50" s="3">
        <v>0</v>
      </c>
      <c r="BM50" s="3">
        <v>1159960000</v>
      </c>
      <c r="BN50" s="3">
        <v>0</v>
      </c>
      <c r="BO50" s="3">
        <v>1159960000</v>
      </c>
      <c r="BP50" s="3">
        <v>0</v>
      </c>
      <c r="BQ50" s="3">
        <v>1159960000</v>
      </c>
      <c r="BR50" s="3">
        <v>0</v>
      </c>
      <c r="BS50" s="3">
        <v>1159960000</v>
      </c>
      <c r="BT50" s="3">
        <v>0</v>
      </c>
      <c r="BU50" s="3">
        <v>1159960000</v>
      </c>
      <c r="BV50" s="3">
        <v>0</v>
      </c>
      <c r="BW50" s="3">
        <v>1159960000</v>
      </c>
      <c r="BX50" s="3">
        <v>0</v>
      </c>
      <c r="BY50" s="3">
        <v>1188634053.28</v>
      </c>
      <c r="BZ50" s="3">
        <v>0</v>
      </c>
      <c r="CA50" s="3">
        <v>1188634053.28</v>
      </c>
      <c r="CB50" s="3">
        <v>0</v>
      </c>
      <c r="CC50" s="3">
        <v>1188634053.28</v>
      </c>
      <c r="CD50" s="3">
        <v>0</v>
      </c>
      <c r="CE50" s="3">
        <v>1188634053.28</v>
      </c>
      <c r="CF50" s="3">
        <v>0</v>
      </c>
      <c r="CG50" s="3">
        <v>1167413449.9100001</v>
      </c>
      <c r="CH50" s="3">
        <v>0</v>
      </c>
      <c r="CI50" s="3">
        <v>1167413449.9100001</v>
      </c>
      <c r="CJ50" s="3">
        <v>0</v>
      </c>
      <c r="CK50" s="3">
        <v>7206181.9299999997</v>
      </c>
      <c r="CL50" s="3">
        <v>0</v>
      </c>
      <c r="CM50" s="3">
        <v>7206181.9299999997</v>
      </c>
      <c r="CN50" s="3">
        <v>0</v>
      </c>
      <c r="CO50" s="3">
        <v>1159960000</v>
      </c>
      <c r="CP50" s="3">
        <v>0</v>
      </c>
      <c r="CQ50" s="3">
        <v>1159960000</v>
      </c>
      <c r="CR50" s="3">
        <v>0</v>
      </c>
      <c r="CS50" s="3">
        <v>1159960000</v>
      </c>
      <c r="CT50" s="3">
        <v>0</v>
      </c>
      <c r="CU50" s="3">
        <v>1159960000</v>
      </c>
      <c r="CV50" s="3">
        <v>0</v>
      </c>
      <c r="CW50" s="3">
        <v>1159960000</v>
      </c>
      <c r="CX50" s="3">
        <v>0</v>
      </c>
      <c r="CY50" s="3">
        <v>1159960000</v>
      </c>
      <c r="CZ50" s="3">
        <v>0</v>
      </c>
      <c r="DA50" s="3">
        <v>1161447496.8199999</v>
      </c>
      <c r="DB50" s="3">
        <v>0</v>
      </c>
      <c r="DC50" s="3">
        <v>1161447496.8199999</v>
      </c>
      <c r="DD50" s="3">
        <v>0</v>
      </c>
      <c r="DE50" s="3">
        <v>1161447496.8199999</v>
      </c>
      <c r="DF50" s="3">
        <v>0</v>
      </c>
      <c r="DG50" s="3">
        <v>1161447496.8199999</v>
      </c>
      <c r="DH50" s="3">
        <v>0</v>
      </c>
      <c r="DI50" s="3">
        <v>1159938582.6900001</v>
      </c>
      <c r="DJ50" s="3">
        <v>0</v>
      </c>
      <c r="DK50" s="3">
        <v>1159938582.6900001</v>
      </c>
      <c r="DL50" s="3">
        <v>0</v>
      </c>
      <c r="DM50" s="3">
        <v>4405158.49</v>
      </c>
      <c r="DN50" s="3">
        <v>0</v>
      </c>
      <c r="DO50" s="3">
        <v>4405158.49</v>
      </c>
      <c r="DP50" s="3">
        <v>0</v>
      </c>
      <c r="DQ50" s="3">
        <v>1159960000</v>
      </c>
      <c r="DR50" s="3">
        <v>0</v>
      </c>
      <c r="DS50" s="3">
        <v>1159960000</v>
      </c>
      <c r="DT50" s="3">
        <v>0</v>
      </c>
      <c r="DU50" s="3">
        <v>1159960000</v>
      </c>
      <c r="DV50" s="3">
        <v>0</v>
      </c>
      <c r="DW50" s="3">
        <v>1159960000</v>
      </c>
      <c r="DX50" s="3">
        <v>0</v>
      </c>
      <c r="DY50" s="3">
        <v>1159960000</v>
      </c>
      <c r="DZ50" s="3">
        <v>0</v>
      </c>
      <c r="EA50" s="3">
        <v>1159960000</v>
      </c>
      <c r="EB50" s="3">
        <v>0</v>
      </c>
      <c r="EC50" s="3">
        <v>160470417.31</v>
      </c>
      <c r="ED50" s="3">
        <v>0</v>
      </c>
      <c r="EE50" s="3">
        <v>160470417.31</v>
      </c>
      <c r="EF50" s="3">
        <v>0</v>
      </c>
      <c r="EG50" s="3">
        <v>160470417.31</v>
      </c>
      <c r="EH50" s="3">
        <v>0</v>
      </c>
      <c r="EI50" s="3">
        <v>160470417.31</v>
      </c>
      <c r="EJ50" s="3">
        <v>0</v>
      </c>
      <c r="EK50" s="3">
        <v>3333806.64</v>
      </c>
      <c r="EL50" s="3">
        <v>0</v>
      </c>
      <c r="EM50" s="3">
        <v>3333806.64</v>
      </c>
      <c r="EN50" s="3">
        <v>0</v>
      </c>
      <c r="EO50" s="3">
        <v>3104642.77</v>
      </c>
      <c r="EP50" s="3">
        <v>0</v>
      </c>
      <c r="EQ50" s="3">
        <v>3104642.77</v>
      </c>
      <c r="ER50" s="3">
        <v>0</v>
      </c>
      <c r="ES50" s="3">
        <v>1380495000</v>
      </c>
      <c r="ET50" s="3">
        <v>0</v>
      </c>
      <c r="EU50" s="3">
        <v>1380495000</v>
      </c>
      <c r="EV50" s="3">
        <v>0</v>
      </c>
      <c r="EW50" s="3">
        <v>1380495000</v>
      </c>
      <c r="EX50" s="3">
        <v>0</v>
      </c>
      <c r="EY50" s="3">
        <v>1380495000</v>
      </c>
      <c r="EZ50" s="3">
        <v>0</v>
      </c>
      <c r="FA50" s="3">
        <v>1380495000</v>
      </c>
      <c r="FB50" s="3">
        <v>0</v>
      </c>
      <c r="FC50" s="3">
        <v>1380495000</v>
      </c>
      <c r="FD50" s="3">
        <v>0</v>
      </c>
      <c r="FE50" s="3">
        <v>1537421953.3599999</v>
      </c>
      <c r="FF50" s="3">
        <v>0</v>
      </c>
      <c r="FG50" s="3">
        <v>1537421953.3599999</v>
      </c>
      <c r="FH50" s="3">
        <v>0</v>
      </c>
      <c r="FI50" s="3">
        <v>1537421953.3599999</v>
      </c>
      <c r="FJ50" s="3">
        <v>0</v>
      </c>
      <c r="FK50" s="3">
        <v>1537421953.3599999</v>
      </c>
      <c r="FL50" s="3">
        <v>0</v>
      </c>
      <c r="FM50" s="3">
        <v>1530025693.26</v>
      </c>
      <c r="FN50" s="3">
        <v>0</v>
      </c>
      <c r="FO50" s="3">
        <v>1530025693.26</v>
      </c>
      <c r="FP50" s="3">
        <v>0</v>
      </c>
      <c r="FQ50" s="3">
        <v>1280314772.7</v>
      </c>
      <c r="FR50" s="3">
        <v>0</v>
      </c>
      <c r="FS50" s="3">
        <v>1280314772.7</v>
      </c>
      <c r="FT50" s="3">
        <v>0</v>
      </c>
      <c r="FU50" s="3">
        <v>1479501000</v>
      </c>
      <c r="FV50" s="3">
        <v>0</v>
      </c>
      <c r="FW50" s="3">
        <v>1479501000</v>
      </c>
      <c r="FX50" s="3">
        <v>0</v>
      </c>
      <c r="FY50" s="3">
        <v>1479501000</v>
      </c>
      <c r="FZ50" s="3">
        <v>0</v>
      </c>
      <c r="GA50" s="3">
        <v>1479501000</v>
      </c>
      <c r="GB50" s="3">
        <v>0</v>
      </c>
      <c r="GC50" s="3">
        <v>1479501000</v>
      </c>
      <c r="GD50" s="3">
        <v>0</v>
      </c>
      <c r="GE50" s="3">
        <v>1479501000</v>
      </c>
      <c r="GF50" s="3">
        <v>0</v>
      </c>
      <c r="GG50" s="3">
        <v>1486680104.03</v>
      </c>
      <c r="GH50" s="3">
        <v>0</v>
      </c>
      <c r="GI50" s="3">
        <v>1486680104.03</v>
      </c>
      <c r="GJ50" s="3">
        <v>0</v>
      </c>
      <c r="GK50" s="3">
        <v>1486680104.03</v>
      </c>
      <c r="GL50" s="3">
        <v>0</v>
      </c>
      <c r="GM50" s="3">
        <v>1486680104.03</v>
      </c>
      <c r="GN50" s="3">
        <v>0</v>
      </c>
      <c r="GO50" s="3">
        <v>1427791841.1199999</v>
      </c>
      <c r="GP50" s="3">
        <v>0</v>
      </c>
      <c r="GQ50" s="3">
        <v>1427791841.1199999</v>
      </c>
      <c r="GR50" s="3">
        <v>0</v>
      </c>
      <c r="GS50" s="3">
        <v>1427791841.1199999</v>
      </c>
      <c r="GT50" s="3">
        <v>0</v>
      </c>
      <c r="GU50" s="3">
        <v>1427791841.1199999</v>
      </c>
      <c r="GV50" s="3">
        <v>0</v>
      </c>
      <c r="GW50" s="3">
        <v>1409501000</v>
      </c>
      <c r="GX50" s="3">
        <v>0</v>
      </c>
      <c r="GY50" s="3">
        <v>1409501000</v>
      </c>
      <c r="GZ50" s="3">
        <v>0</v>
      </c>
      <c r="HA50" s="3">
        <v>1409501000</v>
      </c>
      <c r="HB50" s="3">
        <v>0</v>
      </c>
      <c r="HC50" s="3">
        <v>1409501000</v>
      </c>
      <c r="HD50" s="3">
        <v>0</v>
      </c>
      <c r="HE50" s="3">
        <v>1409501000</v>
      </c>
      <c r="HF50" s="3">
        <v>0</v>
      </c>
      <c r="HG50" s="3">
        <v>1409501000</v>
      </c>
      <c r="HH50" s="3">
        <v>0</v>
      </c>
      <c r="HI50" s="3">
        <v>1468384358.8800001</v>
      </c>
      <c r="HJ50" s="3">
        <v>0</v>
      </c>
      <c r="HK50" s="3">
        <v>1468384358.8800001</v>
      </c>
      <c r="HL50" s="3">
        <v>0</v>
      </c>
      <c r="HM50" s="3">
        <v>1468384358.8800001</v>
      </c>
      <c r="HN50" s="3">
        <v>0</v>
      </c>
      <c r="HO50" s="3">
        <v>1468384358.8800001</v>
      </c>
      <c r="HP50" s="3">
        <v>0</v>
      </c>
      <c r="HQ50" s="3">
        <v>1376237464.02</v>
      </c>
      <c r="HR50" s="3">
        <v>0</v>
      </c>
      <c r="HS50" s="3">
        <v>1376237464.02</v>
      </c>
      <c r="HT50" s="3">
        <v>0</v>
      </c>
      <c r="HU50" s="3">
        <v>1343203052.5899999</v>
      </c>
      <c r="HV50" s="3">
        <v>0</v>
      </c>
      <c r="HW50" s="3">
        <v>1343203052.5899999</v>
      </c>
      <c r="HX50" s="3">
        <v>0</v>
      </c>
      <c r="HY50" s="3">
        <v>2225850000</v>
      </c>
      <c r="HZ50" s="3">
        <v>0</v>
      </c>
      <c r="IA50" s="3">
        <v>2225850000</v>
      </c>
      <c r="IB50" s="3">
        <v>0</v>
      </c>
      <c r="IC50" s="3">
        <v>2225850000</v>
      </c>
      <c r="ID50" s="3">
        <v>0</v>
      </c>
      <c r="IE50" s="3">
        <v>2225850000</v>
      </c>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row>
    <row r="51" spans="1:267" x14ac:dyDescent="0.25">
      <c r="A51" t="s">
        <v>505</v>
      </c>
      <c r="B51" t="s">
        <v>397</v>
      </c>
      <c r="C51" t="s">
        <v>199</v>
      </c>
      <c r="D51" t="s">
        <v>200</v>
      </c>
      <c r="E51" t="s">
        <v>292</v>
      </c>
      <c r="F51" t="s">
        <v>544</v>
      </c>
      <c r="G51" t="s">
        <v>443</v>
      </c>
      <c r="H51" s="3">
        <v>0</v>
      </c>
      <c r="I51" s="6">
        <v>3000000</v>
      </c>
      <c r="J51" s="3">
        <v>0</v>
      </c>
      <c r="K51" s="3">
        <v>3000000</v>
      </c>
      <c r="L51" s="3">
        <v>0</v>
      </c>
      <c r="M51" s="3">
        <v>7500000</v>
      </c>
      <c r="N51" s="3">
        <v>0</v>
      </c>
      <c r="O51" s="3">
        <v>7500000</v>
      </c>
      <c r="P51" s="3">
        <v>0</v>
      </c>
      <c r="Q51" s="3">
        <v>7500000</v>
      </c>
      <c r="R51" s="3">
        <v>0</v>
      </c>
      <c r="S51" s="3">
        <v>7500000</v>
      </c>
      <c r="T51" s="3">
        <v>0</v>
      </c>
      <c r="U51" s="3">
        <v>7500000</v>
      </c>
      <c r="V51" s="3">
        <v>0</v>
      </c>
      <c r="W51" s="3">
        <v>7500000</v>
      </c>
      <c r="X51" s="3">
        <v>0</v>
      </c>
      <c r="Y51" s="3">
        <v>7500000</v>
      </c>
      <c r="Z51" s="3">
        <v>0</v>
      </c>
      <c r="AA51" s="3">
        <v>7500000</v>
      </c>
      <c r="AB51" s="3">
        <v>0</v>
      </c>
      <c r="AC51" s="3">
        <v>0</v>
      </c>
      <c r="AD51" s="3">
        <v>0</v>
      </c>
      <c r="AE51" s="3">
        <v>0</v>
      </c>
      <c r="AF51" s="3">
        <v>0</v>
      </c>
      <c r="AG51" s="3">
        <v>0</v>
      </c>
      <c r="AH51" s="3">
        <v>0</v>
      </c>
      <c r="AI51" s="3">
        <v>0</v>
      </c>
      <c r="AJ51" s="3">
        <v>0</v>
      </c>
      <c r="AK51" s="3">
        <v>7635000</v>
      </c>
      <c r="AL51" s="3">
        <v>0</v>
      </c>
      <c r="AM51" s="3">
        <v>7635000</v>
      </c>
      <c r="AN51" s="3">
        <v>0</v>
      </c>
      <c r="AO51" s="3">
        <v>7635000</v>
      </c>
      <c r="AP51" s="3">
        <v>0</v>
      </c>
      <c r="AQ51" s="3">
        <v>7635000</v>
      </c>
      <c r="AR51" s="3">
        <v>0</v>
      </c>
      <c r="AS51" s="3">
        <v>7635000</v>
      </c>
      <c r="AT51" s="3">
        <v>0</v>
      </c>
      <c r="AU51" s="3">
        <v>7635000</v>
      </c>
      <c r="AV51" s="3">
        <v>0</v>
      </c>
      <c r="AW51" s="3">
        <v>15135000</v>
      </c>
      <c r="AX51" s="3">
        <v>0</v>
      </c>
      <c r="AY51" s="3">
        <v>15135000</v>
      </c>
      <c r="AZ51" s="3">
        <v>0</v>
      </c>
      <c r="BA51" s="3">
        <v>15135000</v>
      </c>
      <c r="BB51" s="3">
        <v>0</v>
      </c>
      <c r="BC51" s="3">
        <v>15135000</v>
      </c>
      <c r="BD51" s="3">
        <v>0</v>
      </c>
      <c r="BE51" s="3">
        <v>0</v>
      </c>
      <c r="BF51" s="3">
        <v>0</v>
      </c>
      <c r="BG51" s="3">
        <v>0</v>
      </c>
      <c r="BH51" s="3">
        <v>0</v>
      </c>
      <c r="BI51" s="6">
        <v>0</v>
      </c>
      <c r="BJ51" s="6">
        <v>0</v>
      </c>
      <c r="BK51" s="6">
        <v>0</v>
      </c>
      <c r="BL51" s="3">
        <v>0</v>
      </c>
      <c r="BM51" s="3">
        <v>0</v>
      </c>
      <c r="BN51" s="3">
        <v>0</v>
      </c>
      <c r="BO51" s="3">
        <v>0</v>
      </c>
      <c r="BP51" s="3">
        <v>0</v>
      </c>
      <c r="BQ51" s="3">
        <v>7500000</v>
      </c>
      <c r="BR51" s="3">
        <v>0</v>
      </c>
      <c r="BS51" s="3">
        <v>7500000</v>
      </c>
      <c r="BT51" s="3">
        <v>0</v>
      </c>
      <c r="BU51" s="3">
        <v>7500000</v>
      </c>
      <c r="BV51" s="3">
        <v>0</v>
      </c>
      <c r="BW51" s="3">
        <v>7500000</v>
      </c>
      <c r="BX51" s="3">
        <v>0</v>
      </c>
      <c r="BY51" s="3">
        <v>15135000</v>
      </c>
      <c r="BZ51" s="3">
        <v>0</v>
      </c>
      <c r="CA51" s="3">
        <v>15135000</v>
      </c>
      <c r="CB51" s="3">
        <v>0</v>
      </c>
      <c r="CC51" s="3">
        <v>7635000</v>
      </c>
      <c r="CD51" s="3">
        <v>0</v>
      </c>
      <c r="CE51" s="3">
        <v>7635000</v>
      </c>
      <c r="CF51" s="3">
        <v>0</v>
      </c>
      <c r="CG51" s="3">
        <v>0</v>
      </c>
      <c r="CH51" s="3">
        <v>0</v>
      </c>
      <c r="CI51" s="3">
        <v>0</v>
      </c>
      <c r="CJ51" s="3">
        <v>0</v>
      </c>
      <c r="CK51" s="3">
        <v>0</v>
      </c>
      <c r="CL51" s="3">
        <v>0</v>
      </c>
      <c r="CM51" s="3">
        <v>0</v>
      </c>
      <c r="CN51" s="3"/>
      <c r="CO51" s="3"/>
      <c r="CP51" s="3"/>
      <c r="CQ51" s="3"/>
      <c r="CR51" s="3"/>
      <c r="CS51" s="3"/>
      <c r="CT51" s="3"/>
      <c r="CU51" s="3"/>
      <c r="CV51" s="3">
        <v>45000000</v>
      </c>
      <c r="CW51" s="3">
        <v>219668000</v>
      </c>
      <c r="CX51" s="3">
        <v>0</v>
      </c>
      <c r="CY51" s="3">
        <v>264668000</v>
      </c>
      <c r="CZ51" s="3">
        <v>45000000</v>
      </c>
      <c r="DA51" s="3">
        <v>227168000</v>
      </c>
      <c r="DB51" s="3">
        <v>0</v>
      </c>
      <c r="DC51" s="3">
        <v>272168000</v>
      </c>
      <c r="DD51" s="3">
        <v>0</v>
      </c>
      <c r="DE51" s="3">
        <v>56212075</v>
      </c>
      <c r="DF51" s="3">
        <v>0</v>
      </c>
      <c r="DG51" s="3">
        <v>56212075</v>
      </c>
      <c r="DH51" s="3">
        <v>0</v>
      </c>
      <c r="DI51" s="3">
        <v>9502256.8000000007</v>
      </c>
      <c r="DJ51" s="3">
        <v>0</v>
      </c>
      <c r="DK51" s="3">
        <v>9502256.8000000007</v>
      </c>
      <c r="DL51" s="3">
        <v>0</v>
      </c>
      <c r="DM51" s="3">
        <v>1821162.32</v>
      </c>
      <c r="DN51" s="3">
        <v>0</v>
      </c>
      <c r="DO51" s="3">
        <v>1821162.32</v>
      </c>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row>
    <row r="52" spans="1:267" x14ac:dyDescent="0.25">
      <c r="A52" t="s">
        <v>505</v>
      </c>
      <c r="B52" t="s">
        <v>397</v>
      </c>
      <c r="C52" t="s">
        <v>199</v>
      </c>
      <c r="D52" t="s">
        <v>200</v>
      </c>
      <c r="E52" t="s">
        <v>292</v>
      </c>
      <c r="F52" t="s">
        <v>545</v>
      </c>
      <c r="G52" t="s">
        <v>444</v>
      </c>
      <c r="H52" s="3">
        <v>2709719000</v>
      </c>
      <c r="I52" s="5">
        <v>1943535000</v>
      </c>
      <c r="J52" s="3">
        <v>0</v>
      </c>
      <c r="K52" s="3">
        <v>4653254000</v>
      </c>
      <c r="L52" s="3">
        <v>2709719000</v>
      </c>
      <c r="M52" s="3">
        <v>2713535000</v>
      </c>
      <c r="N52" s="3">
        <v>0</v>
      </c>
      <c r="O52" s="3">
        <v>5423254000</v>
      </c>
      <c r="P52" s="3">
        <v>2709719000</v>
      </c>
      <c r="Q52" s="3">
        <v>2713535000</v>
      </c>
      <c r="R52" s="3">
        <v>0</v>
      </c>
      <c r="S52" s="3">
        <v>5423254000</v>
      </c>
      <c r="T52" s="3">
        <v>2763845558.6700001</v>
      </c>
      <c r="U52" s="3">
        <v>2713652174.46</v>
      </c>
      <c r="V52" s="3">
        <v>0</v>
      </c>
      <c r="W52" s="3">
        <v>5477497733.1300001</v>
      </c>
      <c r="X52" s="3">
        <v>2763845558.6700001</v>
      </c>
      <c r="Y52" s="3">
        <v>2713652174.46</v>
      </c>
      <c r="Z52" s="3">
        <v>0</v>
      </c>
      <c r="AA52" s="3">
        <v>5477497733.1300001</v>
      </c>
      <c r="AB52" s="3">
        <v>2550529118.1100001</v>
      </c>
      <c r="AC52" s="3">
        <v>2677900575.4499998</v>
      </c>
      <c r="AD52" s="3">
        <v>0</v>
      </c>
      <c r="AE52" s="3">
        <v>5228429693.5600004</v>
      </c>
      <c r="AF52" s="3">
        <v>2231086555.8099999</v>
      </c>
      <c r="AG52" s="3">
        <v>2629641365.4299998</v>
      </c>
      <c r="AH52" s="3">
        <v>0</v>
      </c>
      <c r="AI52" s="3">
        <v>4860727921.2399998</v>
      </c>
      <c r="AJ52" s="3">
        <v>3216484000</v>
      </c>
      <c r="AK52" s="3">
        <v>2933938000</v>
      </c>
      <c r="AL52" s="3">
        <v>0</v>
      </c>
      <c r="AM52" s="3">
        <v>6150422000</v>
      </c>
      <c r="AN52" s="3">
        <v>3216484000</v>
      </c>
      <c r="AO52" s="3">
        <v>2933938000</v>
      </c>
      <c r="AP52" s="3">
        <v>0</v>
      </c>
      <c r="AQ52" s="3">
        <v>6150422000</v>
      </c>
      <c r="AR52" s="3">
        <v>3216484000</v>
      </c>
      <c r="AS52" s="3">
        <v>2933938000</v>
      </c>
      <c r="AT52" s="3">
        <v>0</v>
      </c>
      <c r="AU52" s="3">
        <v>6150422000</v>
      </c>
      <c r="AV52" s="3">
        <v>2869141858.1799998</v>
      </c>
      <c r="AW52" s="3">
        <v>2969675599.0100002</v>
      </c>
      <c r="AX52" s="3">
        <v>0</v>
      </c>
      <c r="AY52" s="3">
        <v>5838817457.1899996</v>
      </c>
      <c r="AZ52" s="3">
        <v>2869141858.1799998</v>
      </c>
      <c r="BA52" s="3">
        <v>2969675599.0100002</v>
      </c>
      <c r="BB52" s="3">
        <v>0</v>
      </c>
      <c r="BC52" s="3">
        <v>5838817457.1899996</v>
      </c>
      <c r="BD52" s="3">
        <v>2668411219.0599999</v>
      </c>
      <c r="BE52" s="3">
        <v>2853407097.4400001</v>
      </c>
      <c r="BF52" s="3">
        <v>0</v>
      </c>
      <c r="BG52" s="3">
        <v>5521818316.5</v>
      </c>
      <c r="BH52" s="3">
        <v>2395536166.3499999</v>
      </c>
      <c r="BI52" s="6">
        <v>2832267709.9899998</v>
      </c>
      <c r="BJ52" s="6">
        <v>0</v>
      </c>
      <c r="BK52" s="6">
        <v>5227803876.3400002</v>
      </c>
      <c r="BL52" s="3">
        <v>3216484000</v>
      </c>
      <c r="BM52" s="3">
        <v>3185403000</v>
      </c>
      <c r="BN52" s="3">
        <v>0</v>
      </c>
      <c r="BO52" s="3">
        <v>6401887000</v>
      </c>
      <c r="BP52" s="3">
        <v>3216484000</v>
      </c>
      <c r="BQ52" s="3">
        <v>3185403000</v>
      </c>
      <c r="BR52" s="3">
        <v>0</v>
      </c>
      <c r="BS52" s="3">
        <v>6401887000</v>
      </c>
      <c r="BT52" s="3">
        <v>3216484000</v>
      </c>
      <c r="BU52" s="3">
        <v>3185403000</v>
      </c>
      <c r="BV52" s="3">
        <v>0</v>
      </c>
      <c r="BW52" s="3">
        <v>6401887000</v>
      </c>
      <c r="BX52" s="3">
        <v>2982912528.6999998</v>
      </c>
      <c r="BY52" s="3">
        <v>3222613125.2600002</v>
      </c>
      <c r="BZ52" s="3">
        <v>0</v>
      </c>
      <c r="CA52" s="3">
        <v>6205525653.96</v>
      </c>
      <c r="CB52" s="3">
        <v>2982912528.6999998</v>
      </c>
      <c r="CC52" s="3">
        <v>3222613125.2600002</v>
      </c>
      <c r="CD52" s="3">
        <v>0</v>
      </c>
      <c r="CE52" s="3">
        <v>6205525653.96</v>
      </c>
      <c r="CF52" s="3">
        <v>2777538401.6799998</v>
      </c>
      <c r="CG52" s="3">
        <v>2958251865.4099998</v>
      </c>
      <c r="CH52" s="3">
        <v>0</v>
      </c>
      <c r="CI52" s="3">
        <v>5735790267.0900002</v>
      </c>
      <c r="CJ52" s="3">
        <v>2143861760.71</v>
      </c>
      <c r="CK52" s="3">
        <v>2905505918.3600001</v>
      </c>
      <c r="CL52" s="3">
        <v>0</v>
      </c>
      <c r="CM52" s="3">
        <v>5049367679.0699997</v>
      </c>
      <c r="CN52" s="3">
        <v>3216484000</v>
      </c>
      <c r="CO52" s="3">
        <v>3000407000</v>
      </c>
      <c r="CP52" s="3">
        <v>0</v>
      </c>
      <c r="CQ52" s="3">
        <v>6216891000</v>
      </c>
      <c r="CR52" s="3">
        <v>3216484000</v>
      </c>
      <c r="CS52" s="3">
        <v>4365407000</v>
      </c>
      <c r="CT52" s="3">
        <v>0</v>
      </c>
      <c r="CU52" s="3">
        <v>7581891000</v>
      </c>
      <c r="CV52" s="3">
        <v>3216484000</v>
      </c>
      <c r="CW52" s="3">
        <v>4365407000</v>
      </c>
      <c r="CX52" s="3">
        <v>0</v>
      </c>
      <c r="CY52" s="3">
        <v>7581891000</v>
      </c>
      <c r="CZ52" s="3">
        <v>3009359017.3899999</v>
      </c>
      <c r="DA52" s="3">
        <v>4574469223.7700005</v>
      </c>
      <c r="DB52" s="3">
        <v>0</v>
      </c>
      <c r="DC52" s="3">
        <v>7583828241.1599998</v>
      </c>
      <c r="DD52" s="3">
        <v>3009359017.3899999</v>
      </c>
      <c r="DE52" s="3">
        <v>4574469223.7700005</v>
      </c>
      <c r="DF52" s="3">
        <v>0</v>
      </c>
      <c r="DG52" s="3">
        <v>7583828241.1599998</v>
      </c>
      <c r="DH52" s="3">
        <v>2864858832.3699999</v>
      </c>
      <c r="DI52" s="3">
        <v>4199873919.5</v>
      </c>
      <c r="DJ52" s="3">
        <v>0</v>
      </c>
      <c r="DK52" s="3">
        <v>7064732751.8699999</v>
      </c>
      <c r="DL52" s="3">
        <v>2478165650.6999998</v>
      </c>
      <c r="DM52" s="3">
        <v>4169776123.02</v>
      </c>
      <c r="DN52" s="3">
        <v>0</v>
      </c>
      <c r="DO52" s="3">
        <v>6647941773.7200003</v>
      </c>
      <c r="DP52" s="3">
        <v>3406511000</v>
      </c>
      <c r="DQ52" s="3">
        <v>4358525000</v>
      </c>
      <c r="DR52" s="3">
        <v>0</v>
      </c>
      <c r="DS52" s="3">
        <v>7765036000</v>
      </c>
      <c r="DT52" s="3">
        <v>3406511000</v>
      </c>
      <c r="DU52" s="3">
        <v>4368525000</v>
      </c>
      <c r="DV52" s="3">
        <v>0</v>
      </c>
      <c r="DW52" s="3">
        <v>7775036000</v>
      </c>
      <c r="DX52" s="3">
        <v>3406511000</v>
      </c>
      <c r="DY52" s="3">
        <v>4368525000</v>
      </c>
      <c r="DZ52" s="3">
        <v>0</v>
      </c>
      <c r="EA52" s="3">
        <v>7775036000</v>
      </c>
      <c r="EB52" s="3">
        <v>3413068124.3099999</v>
      </c>
      <c r="EC52" s="3">
        <v>4643971595.29</v>
      </c>
      <c r="ED52" s="3">
        <v>0</v>
      </c>
      <c r="EE52" s="3">
        <v>8057039719.6000004</v>
      </c>
      <c r="EF52" s="3">
        <v>3413068124.3099999</v>
      </c>
      <c r="EG52" s="3">
        <v>4643971595.29</v>
      </c>
      <c r="EH52" s="3">
        <v>0</v>
      </c>
      <c r="EI52" s="3">
        <v>8057039719.6000004</v>
      </c>
      <c r="EJ52" s="3">
        <v>3113091773.71</v>
      </c>
      <c r="EK52" s="3">
        <v>4252634318.1900001</v>
      </c>
      <c r="EL52" s="3">
        <v>0</v>
      </c>
      <c r="EM52" s="3">
        <v>7365726091.8999996</v>
      </c>
      <c r="EN52" s="3">
        <v>2859957327.9299998</v>
      </c>
      <c r="EO52" s="3">
        <v>4228912649.8200002</v>
      </c>
      <c r="EP52" s="3">
        <v>0</v>
      </c>
      <c r="EQ52" s="3">
        <v>7088869977.75</v>
      </c>
      <c r="ER52" s="3">
        <v>4837850000</v>
      </c>
      <c r="ES52" s="3">
        <v>4714345000</v>
      </c>
      <c r="ET52" s="3">
        <v>0</v>
      </c>
      <c r="EU52" s="3">
        <v>9552195000</v>
      </c>
      <c r="EV52" s="3">
        <v>0</v>
      </c>
      <c r="EW52" s="3">
        <v>0</v>
      </c>
      <c r="EX52" s="3">
        <v>0</v>
      </c>
      <c r="EY52" s="3">
        <v>0</v>
      </c>
      <c r="EZ52" s="3">
        <v>4837850000</v>
      </c>
      <c r="FA52" s="3">
        <v>4714345000</v>
      </c>
      <c r="FB52" s="3">
        <v>0</v>
      </c>
      <c r="FC52" s="3">
        <v>9552195000</v>
      </c>
      <c r="FD52" s="3">
        <v>4780638230.6300001</v>
      </c>
      <c r="FE52" s="3">
        <v>5007712696.8500004</v>
      </c>
      <c r="FF52" s="3">
        <v>0</v>
      </c>
      <c r="FG52" s="3">
        <v>9788350927.4799995</v>
      </c>
      <c r="FH52" s="3">
        <v>4780638230.6300001</v>
      </c>
      <c r="FI52" s="3">
        <v>5007712696.8500004</v>
      </c>
      <c r="FJ52" s="3">
        <v>0</v>
      </c>
      <c r="FK52" s="3">
        <v>9788350927.4799995</v>
      </c>
      <c r="FL52" s="3">
        <v>4610911198.8900003</v>
      </c>
      <c r="FM52" s="3">
        <v>4301665965.9899998</v>
      </c>
      <c r="FN52" s="3">
        <v>0</v>
      </c>
      <c r="FO52" s="3">
        <v>8912577164.8799992</v>
      </c>
      <c r="FP52" s="3">
        <v>4102711147.8000002</v>
      </c>
      <c r="FQ52" s="3">
        <v>4290789048.1100001</v>
      </c>
      <c r="FR52" s="3">
        <v>0</v>
      </c>
      <c r="FS52" s="3">
        <v>8393500195.9099998</v>
      </c>
      <c r="FT52" s="3">
        <v>4837850000</v>
      </c>
      <c r="FU52" s="3">
        <v>4725410000</v>
      </c>
      <c r="FV52" s="3">
        <v>0</v>
      </c>
      <c r="FW52" s="3">
        <v>9563260000</v>
      </c>
      <c r="FX52" s="3">
        <v>5137850000</v>
      </c>
      <c r="FY52" s="3">
        <v>4725410000</v>
      </c>
      <c r="FZ52" s="3">
        <v>0</v>
      </c>
      <c r="GA52" s="3">
        <v>9863260000</v>
      </c>
      <c r="GB52" s="3">
        <v>5137850000</v>
      </c>
      <c r="GC52" s="3">
        <v>4725410000</v>
      </c>
      <c r="GD52" s="3">
        <v>0</v>
      </c>
      <c r="GE52" s="3">
        <v>9863260000</v>
      </c>
      <c r="GF52" s="3">
        <v>5063321604.6099997</v>
      </c>
      <c r="GG52" s="3">
        <v>5347880702.3500004</v>
      </c>
      <c r="GH52" s="3">
        <v>0</v>
      </c>
      <c r="GI52" s="3">
        <v>10411202306.959999</v>
      </c>
      <c r="GJ52" s="3">
        <v>5063321604.6099997</v>
      </c>
      <c r="GK52" s="3">
        <v>5347880702.3500004</v>
      </c>
      <c r="GL52" s="3">
        <v>0</v>
      </c>
      <c r="GM52" s="3">
        <v>10411202306.959999</v>
      </c>
      <c r="GN52" s="3">
        <v>4848465797.7399998</v>
      </c>
      <c r="GO52" s="3">
        <v>4396394328.29</v>
      </c>
      <c r="GP52" s="3">
        <v>0</v>
      </c>
      <c r="GQ52" s="3">
        <v>9244860126.0300007</v>
      </c>
      <c r="GR52" s="3">
        <v>4160749408.0300002</v>
      </c>
      <c r="GS52" s="3">
        <v>4362704667.1000004</v>
      </c>
      <c r="GT52" s="3">
        <v>0</v>
      </c>
      <c r="GU52" s="3">
        <v>8523454075.1300001</v>
      </c>
      <c r="GV52" s="3">
        <v>10221961000</v>
      </c>
      <c r="GW52" s="3">
        <v>9548100000</v>
      </c>
      <c r="GX52" s="3">
        <v>0</v>
      </c>
      <c r="GY52" s="3">
        <v>19770061000</v>
      </c>
      <c r="GZ52" s="3">
        <v>10256961000</v>
      </c>
      <c r="HA52" s="3">
        <v>9548100000</v>
      </c>
      <c r="HB52" s="3">
        <v>0</v>
      </c>
      <c r="HC52" s="3">
        <v>19805061000</v>
      </c>
      <c r="HD52" s="3">
        <v>10256961000</v>
      </c>
      <c r="HE52" s="3">
        <v>9548100000</v>
      </c>
      <c r="HF52" s="3">
        <v>0</v>
      </c>
      <c r="HG52" s="3">
        <v>19805061000</v>
      </c>
      <c r="HH52" s="3">
        <v>7890658643.5500002</v>
      </c>
      <c r="HI52" s="3">
        <v>10297184140.15</v>
      </c>
      <c r="HJ52" s="3">
        <v>0</v>
      </c>
      <c r="HK52" s="3">
        <v>18187842783.700001</v>
      </c>
      <c r="HL52" s="3">
        <v>7855658643.5500002</v>
      </c>
      <c r="HM52" s="3">
        <v>10297184140.15</v>
      </c>
      <c r="HN52" s="3">
        <v>0</v>
      </c>
      <c r="HO52" s="3">
        <v>18152842783.700001</v>
      </c>
      <c r="HP52" s="3">
        <v>7790697531.6400003</v>
      </c>
      <c r="HQ52" s="3">
        <v>8947487025.8400002</v>
      </c>
      <c r="HR52" s="3">
        <v>0</v>
      </c>
      <c r="HS52" s="3">
        <v>16738184557.48</v>
      </c>
      <c r="HT52" s="3">
        <v>6072525145.9200001</v>
      </c>
      <c r="HU52" s="3">
        <v>8881857611.5900002</v>
      </c>
      <c r="HV52" s="3">
        <v>0</v>
      </c>
      <c r="HW52" s="3">
        <v>14954382757.51</v>
      </c>
      <c r="HX52" s="3">
        <v>10963658000</v>
      </c>
      <c r="HY52" s="3">
        <v>9772180000</v>
      </c>
      <c r="HZ52" s="3">
        <v>0</v>
      </c>
      <c r="IA52" s="3">
        <v>20735838000</v>
      </c>
      <c r="IB52" s="3">
        <v>10963658000</v>
      </c>
      <c r="IC52" s="3">
        <v>9772180000</v>
      </c>
      <c r="ID52" s="3">
        <v>0</v>
      </c>
      <c r="IE52" s="3">
        <v>20735838000</v>
      </c>
      <c r="IF52" s="3"/>
      <c r="IG52" s="3"/>
      <c r="IH52" s="3"/>
      <c r="II52" s="3"/>
      <c r="IJ52" s="3"/>
      <c r="IK52" s="3"/>
      <c r="IL52" s="3"/>
      <c r="IM52" s="3"/>
      <c r="IN52" s="3"/>
      <c r="IO52" s="3"/>
      <c r="IP52" s="3"/>
      <c r="IQ52" s="3"/>
      <c r="IR52" s="3"/>
      <c r="IS52" s="3"/>
      <c r="IT52" s="3"/>
      <c r="IU52" s="3"/>
      <c r="IV52" s="3"/>
      <c r="IW52" s="3"/>
      <c r="IX52" s="3"/>
      <c r="IY52" s="3"/>
      <c r="IZ52" s="3">
        <v>17885310000</v>
      </c>
      <c r="JA52" s="3">
        <v>10364150000</v>
      </c>
      <c r="JB52" s="3">
        <v>0</v>
      </c>
      <c r="JC52" s="3">
        <v>28249460000</v>
      </c>
      <c r="JD52" s="3"/>
      <c r="JE52" s="3"/>
      <c r="JF52" s="3"/>
      <c r="JG52" s="3"/>
    </row>
    <row r="53" spans="1:267" x14ac:dyDescent="0.25">
      <c r="A53" t="s">
        <v>505</v>
      </c>
      <c r="B53" t="s">
        <v>397</v>
      </c>
      <c r="C53" t="s">
        <v>199</v>
      </c>
      <c r="D53" t="s">
        <v>200</v>
      </c>
      <c r="E53" t="s">
        <v>292</v>
      </c>
      <c r="F53" t="s">
        <v>546</v>
      </c>
      <c r="G53" t="s">
        <v>445</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v>0</v>
      </c>
      <c r="AK53" s="3">
        <v>1651247000</v>
      </c>
      <c r="AL53" s="3">
        <v>630300000</v>
      </c>
      <c r="AM53" s="3">
        <v>2281547000</v>
      </c>
      <c r="AN53" s="3">
        <v>0</v>
      </c>
      <c r="AO53" s="3">
        <v>1603047000</v>
      </c>
      <c r="AP53" s="3">
        <v>1203750000</v>
      </c>
      <c r="AQ53" s="3">
        <v>2806797000</v>
      </c>
      <c r="AR53" s="3">
        <v>0</v>
      </c>
      <c r="AS53" s="3">
        <v>1603047000</v>
      </c>
      <c r="AT53" s="3">
        <v>1203750000</v>
      </c>
      <c r="AU53" s="3">
        <v>2806797000</v>
      </c>
      <c r="AV53" s="3">
        <v>0</v>
      </c>
      <c r="AW53" s="3">
        <v>1603047000</v>
      </c>
      <c r="AX53" s="3">
        <v>1203750000</v>
      </c>
      <c r="AY53" s="3">
        <v>2806797000</v>
      </c>
      <c r="AZ53" s="3">
        <v>0</v>
      </c>
      <c r="BA53" s="3">
        <v>1603047000</v>
      </c>
      <c r="BB53" s="3">
        <v>1203750000</v>
      </c>
      <c r="BC53" s="3">
        <v>2806797000</v>
      </c>
      <c r="BD53" s="3">
        <v>0</v>
      </c>
      <c r="BE53" s="3">
        <v>291513904.99000001</v>
      </c>
      <c r="BF53" s="3">
        <v>907549657.48000002</v>
      </c>
      <c r="BG53" s="3">
        <v>1199063562.47</v>
      </c>
      <c r="BH53" s="3">
        <v>0</v>
      </c>
      <c r="BI53" s="6">
        <v>14489941.199999999</v>
      </c>
      <c r="BJ53" s="6">
        <v>7806254.2599999998</v>
      </c>
      <c r="BK53" s="6">
        <v>22296195.460000001</v>
      </c>
      <c r="BL53" s="3">
        <v>0</v>
      </c>
      <c r="BM53" s="3">
        <v>1424323000</v>
      </c>
      <c r="BN53" s="3">
        <v>0</v>
      </c>
      <c r="BO53" s="3">
        <v>1424323000</v>
      </c>
      <c r="BP53" s="3">
        <v>0</v>
      </c>
      <c r="BQ53" s="3">
        <v>1424323000</v>
      </c>
      <c r="BR53" s="3">
        <v>0</v>
      </c>
      <c r="BS53" s="3">
        <v>1424323000</v>
      </c>
      <c r="BT53" s="3">
        <v>0</v>
      </c>
      <c r="BU53" s="3">
        <v>1424323000</v>
      </c>
      <c r="BV53" s="3">
        <v>0</v>
      </c>
      <c r="BW53" s="3">
        <v>1424323000</v>
      </c>
      <c r="BX53" s="3">
        <v>0</v>
      </c>
      <c r="BY53" s="3">
        <v>2298298811.21</v>
      </c>
      <c r="BZ53" s="3">
        <v>251600342.52000001</v>
      </c>
      <c r="CA53" s="3">
        <v>2549899153.73</v>
      </c>
      <c r="CB53" s="3">
        <v>0</v>
      </c>
      <c r="CC53" s="3">
        <v>2298298811.21</v>
      </c>
      <c r="CD53" s="3">
        <v>251600342.52000001</v>
      </c>
      <c r="CE53" s="3">
        <v>2549899153.73</v>
      </c>
      <c r="CF53" s="3">
        <v>0</v>
      </c>
      <c r="CG53" s="3">
        <v>1605699491.47</v>
      </c>
      <c r="CH53" s="3">
        <v>217786308.24000001</v>
      </c>
      <c r="CI53" s="3">
        <v>1823485799.71</v>
      </c>
      <c r="CJ53" s="3">
        <v>0</v>
      </c>
      <c r="CK53" s="3">
        <v>305733122.33999997</v>
      </c>
      <c r="CL53" s="3">
        <v>139246576.66999999</v>
      </c>
      <c r="CM53" s="3">
        <v>444979699.00999999</v>
      </c>
      <c r="CN53" s="3">
        <v>0</v>
      </c>
      <c r="CO53" s="3">
        <v>0</v>
      </c>
      <c r="CP53" s="3">
        <v>0</v>
      </c>
      <c r="CQ53" s="3">
        <v>0</v>
      </c>
      <c r="CR53" s="3">
        <v>0</v>
      </c>
      <c r="CS53" s="3">
        <v>0</v>
      </c>
      <c r="CT53" s="3">
        <v>0</v>
      </c>
      <c r="CU53" s="3">
        <v>0</v>
      </c>
      <c r="CV53" s="3">
        <v>0</v>
      </c>
      <c r="CW53" s="3">
        <v>0</v>
      </c>
      <c r="CX53" s="3">
        <v>0</v>
      </c>
      <c r="CY53" s="3">
        <v>0</v>
      </c>
      <c r="CZ53" s="3">
        <v>0</v>
      </c>
      <c r="DA53" s="3">
        <v>186417144.56</v>
      </c>
      <c r="DB53" s="3">
        <v>0</v>
      </c>
      <c r="DC53" s="3">
        <v>186417144.56</v>
      </c>
      <c r="DD53" s="3">
        <v>0</v>
      </c>
      <c r="DE53" s="3">
        <v>186417144.56</v>
      </c>
      <c r="DF53" s="3">
        <v>0</v>
      </c>
      <c r="DG53" s="3">
        <v>186417144.56</v>
      </c>
      <c r="DH53" s="3">
        <v>0</v>
      </c>
      <c r="DI53" s="3">
        <v>173630728.28</v>
      </c>
      <c r="DJ53" s="3">
        <v>0</v>
      </c>
      <c r="DK53" s="3">
        <v>173630728.28</v>
      </c>
      <c r="DL53" s="3">
        <v>0</v>
      </c>
      <c r="DM53" s="3">
        <v>135563431.61000001</v>
      </c>
      <c r="DN53" s="3">
        <v>0</v>
      </c>
      <c r="DO53" s="3">
        <v>135563431.61000001</v>
      </c>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row>
    <row r="54" spans="1:267" x14ac:dyDescent="0.25">
      <c r="A54" t="s">
        <v>505</v>
      </c>
      <c r="B54" t="s">
        <v>397</v>
      </c>
      <c r="C54" t="s">
        <v>199</v>
      </c>
      <c r="D54" t="s">
        <v>200</v>
      </c>
      <c r="E54" t="s">
        <v>292</v>
      </c>
      <c r="F54" s="4" t="s">
        <v>603</v>
      </c>
      <c r="G54" t="s">
        <v>446</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v>0</v>
      </c>
      <c r="AK54" s="3">
        <v>0</v>
      </c>
      <c r="AL54" s="3">
        <v>0</v>
      </c>
      <c r="AM54" s="3">
        <v>0</v>
      </c>
      <c r="AN54" s="3">
        <v>0</v>
      </c>
      <c r="AO54" s="3">
        <v>400000000</v>
      </c>
      <c r="AP54" s="3">
        <v>0</v>
      </c>
      <c r="AQ54" s="3">
        <v>400000000</v>
      </c>
      <c r="AR54" s="3">
        <v>0</v>
      </c>
      <c r="AS54" s="3">
        <v>400000000</v>
      </c>
      <c r="AT54" s="3">
        <v>0</v>
      </c>
      <c r="AU54" s="3">
        <v>400000000</v>
      </c>
      <c r="AV54" s="3">
        <v>0</v>
      </c>
      <c r="AW54" s="3">
        <v>400000000</v>
      </c>
      <c r="AX54" s="3">
        <v>0</v>
      </c>
      <c r="AY54" s="3">
        <v>400000000</v>
      </c>
      <c r="AZ54" s="3">
        <v>0</v>
      </c>
      <c r="BA54" s="3">
        <v>400000000</v>
      </c>
      <c r="BB54" s="3">
        <v>0</v>
      </c>
      <c r="BC54" s="3">
        <v>400000000</v>
      </c>
      <c r="BD54" s="3">
        <v>0</v>
      </c>
      <c r="BE54" s="3">
        <v>0</v>
      </c>
      <c r="BF54" s="3">
        <v>0</v>
      </c>
      <c r="BG54" s="3">
        <v>0</v>
      </c>
      <c r="BH54" s="3">
        <v>0</v>
      </c>
      <c r="BI54" s="6">
        <v>0</v>
      </c>
      <c r="BJ54" s="6">
        <v>0</v>
      </c>
      <c r="BK54" s="6">
        <v>0</v>
      </c>
      <c r="BL54" s="3">
        <v>0</v>
      </c>
      <c r="BM54" s="3">
        <v>0</v>
      </c>
      <c r="BN54" s="3">
        <v>0</v>
      </c>
      <c r="BO54" s="3">
        <v>0</v>
      </c>
      <c r="BP54" s="3">
        <v>0</v>
      </c>
      <c r="BQ54" s="3">
        <v>0</v>
      </c>
      <c r="BR54" s="3">
        <v>0</v>
      </c>
      <c r="BS54" s="3">
        <v>0</v>
      </c>
      <c r="BT54" s="3">
        <v>0</v>
      </c>
      <c r="BU54" s="3">
        <v>0</v>
      </c>
      <c r="BV54" s="3">
        <v>0</v>
      </c>
      <c r="BW54" s="3">
        <v>0</v>
      </c>
      <c r="BX54" s="3">
        <v>0</v>
      </c>
      <c r="BY54" s="3">
        <v>400328144</v>
      </c>
      <c r="BZ54" s="3">
        <v>0</v>
      </c>
      <c r="CA54" s="3">
        <v>400328144</v>
      </c>
      <c r="CB54" s="3">
        <v>0</v>
      </c>
      <c r="CC54" s="3">
        <v>400328144</v>
      </c>
      <c r="CD54" s="3">
        <v>0</v>
      </c>
      <c r="CE54" s="3">
        <v>400328144</v>
      </c>
      <c r="CF54" s="3">
        <v>0</v>
      </c>
      <c r="CG54" s="3">
        <v>375160129.12</v>
      </c>
      <c r="CH54" s="3">
        <v>0</v>
      </c>
      <c r="CI54" s="3">
        <v>375160129.12</v>
      </c>
      <c r="CJ54" s="3">
        <v>0</v>
      </c>
      <c r="CK54" s="3">
        <v>364927405.31</v>
      </c>
      <c r="CL54" s="3">
        <v>0</v>
      </c>
      <c r="CM54" s="3">
        <v>364927405.31</v>
      </c>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row>
    <row r="55" spans="1:267" x14ac:dyDescent="0.25">
      <c r="A55" t="s">
        <v>505</v>
      </c>
      <c r="B55" t="s">
        <v>397</v>
      </c>
      <c r="C55" t="s">
        <v>199</v>
      </c>
      <c r="D55" t="s">
        <v>200</v>
      </c>
      <c r="E55" t="s">
        <v>292</v>
      </c>
      <c r="F55" t="s">
        <v>547</v>
      </c>
      <c r="G55" t="s">
        <v>447</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v>0</v>
      </c>
      <c r="AK55" s="3">
        <v>0</v>
      </c>
      <c r="AL55" s="3">
        <v>0</v>
      </c>
      <c r="AM55" s="3">
        <v>0</v>
      </c>
      <c r="AN55" s="3">
        <v>0</v>
      </c>
      <c r="AO55" s="3">
        <v>800000000</v>
      </c>
      <c r="AP55" s="3">
        <v>0</v>
      </c>
      <c r="AQ55" s="3">
        <v>800000000</v>
      </c>
      <c r="AR55" s="3">
        <v>0</v>
      </c>
      <c r="AS55" s="3">
        <v>800000000</v>
      </c>
      <c r="AT55" s="3">
        <v>0</v>
      </c>
      <c r="AU55" s="3">
        <v>800000000</v>
      </c>
      <c r="AV55" s="3">
        <v>797714700</v>
      </c>
      <c r="AW55" s="3">
        <v>0</v>
      </c>
      <c r="AX55" s="3">
        <v>0</v>
      </c>
      <c r="AY55" s="3">
        <v>797714700</v>
      </c>
      <c r="AZ55" s="3">
        <v>797714700</v>
      </c>
      <c r="BA55" s="3">
        <v>0</v>
      </c>
      <c r="BB55" s="3">
        <v>0</v>
      </c>
      <c r="BC55" s="3">
        <v>797714700</v>
      </c>
      <c r="BD55" s="3">
        <v>791960825.76999998</v>
      </c>
      <c r="BE55" s="3">
        <v>0</v>
      </c>
      <c r="BF55" s="3">
        <v>0</v>
      </c>
      <c r="BG55" s="3">
        <v>791960825.76999998</v>
      </c>
      <c r="BH55" s="3">
        <v>790605824.76999998</v>
      </c>
      <c r="BI55" s="6">
        <v>0</v>
      </c>
      <c r="BJ55" s="6">
        <v>0</v>
      </c>
      <c r="BK55" s="6">
        <v>790605824.76999998</v>
      </c>
      <c r="BL55" s="3">
        <v>0</v>
      </c>
      <c r="BM55" s="3">
        <v>900000000</v>
      </c>
      <c r="BN55" s="3">
        <v>0</v>
      </c>
      <c r="BO55" s="3">
        <v>900000000</v>
      </c>
      <c r="BP55" s="3">
        <v>900000000</v>
      </c>
      <c r="BQ55" s="3">
        <v>0</v>
      </c>
      <c r="BR55" s="3">
        <v>0</v>
      </c>
      <c r="BS55" s="3">
        <v>900000000</v>
      </c>
      <c r="BT55" s="3">
        <v>900000000</v>
      </c>
      <c r="BU55" s="3">
        <v>0</v>
      </c>
      <c r="BV55" s="3">
        <v>0</v>
      </c>
      <c r="BW55" s="3">
        <v>900000000</v>
      </c>
      <c r="BX55" s="3">
        <v>896465480.75999999</v>
      </c>
      <c r="BY55" s="3">
        <v>0</v>
      </c>
      <c r="BZ55" s="3">
        <v>0</v>
      </c>
      <c r="CA55" s="3">
        <v>896465480.75999999</v>
      </c>
      <c r="CB55" s="3">
        <v>896465480.75999999</v>
      </c>
      <c r="CC55" s="3">
        <v>0</v>
      </c>
      <c r="CD55" s="3">
        <v>0</v>
      </c>
      <c r="CE55" s="3">
        <v>896465480.75999999</v>
      </c>
      <c r="CF55" s="3">
        <v>882678077.38999999</v>
      </c>
      <c r="CG55" s="3">
        <v>0</v>
      </c>
      <c r="CH55" s="3">
        <v>0</v>
      </c>
      <c r="CI55" s="3">
        <v>882678077.38999999</v>
      </c>
      <c r="CJ55" s="3">
        <v>876089572.78999996</v>
      </c>
      <c r="CK55" s="3">
        <v>0</v>
      </c>
      <c r="CL55" s="3">
        <v>0</v>
      </c>
      <c r="CM55" s="3">
        <v>876089572.78999996</v>
      </c>
      <c r="CN55" s="3">
        <v>0</v>
      </c>
      <c r="CO55" s="3">
        <v>0</v>
      </c>
      <c r="CP55" s="3">
        <v>0</v>
      </c>
      <c r="CQ55" s="3">
        <v>0</v>
      </c>
      <c r="CR55" s="3">
        <v>910000000</v>
      </c>
      <c r="CS55" s="3">
        <v>0</v>
      </c>
      <c r="CT55" s="3">
        <v>0</v>
      </c>
      <c r="CU55" s="3">
        <v>910000000</v>
      </c>
      <c r="CV55" s="3">
        <v>910000000</v>
      </c>
      <c r="CW55" s="3">
        <v>0</v>
      </c>
      <c r="CX55" s="3">
        <v>0</v>
      </c>
      <c r="CY55" s="3">
        <v>910000000</v>
      </c>
      <c r="CZ55" s="3">
        <v>907312838.37</v>
      </c>
      <c r="DA55" s="3">
        <v>0</v>
      </c>
      <c r="DB55" s="3">
        <v>0</v>
      </c>
      <c r="DC55" s="3">
        <v>907312838.37</v>
      </c>
      <c r="DD55" s="3">
        <v>907312838.37</v>
      </c>
      <c r="DE55" s="3">
        <v>0</v>
      </c>
      <c r="DF55" s="3">
        <v>0</v>
      </c>
      <c r="DG55" s="3">
        <v>907312838.37</v>
      </c>
      <c r="DH55" s="3">
        <v>882926308.24000001</v>
      </c>
      <c r="DI55" s="3">
        <v>0</v>
      </c>
      <c r="DJ55" s="3">
        <v>0</v>
      </c>
      <c r="DK55" s="3">
        <v>882926308.24000001</v>
      </c>
      <c r="DL55" s="3">
        <v>858846849.58000004</v>
      </c>
      <c r="DM55" s="3">
        <v>0</v>
      </c>
      <c r="DN55" s="3">
        <v>0</v>
      </c>
      <c r="DO55" s="3">
        <v>858846849.58000004</v>
      </c>
      <c r="DP55" s="3">
        <v>925178000</v>
      </c>
      <c r="DQ55" s="3">
        <v>0</v>
      </c>
      <c r="DR55" s="3">
        <v>0</v>
      </c>
      <c r="DS55" s="3">
        <v>925178000</v>
      </c>
      <c r="DT55" s="3">
        <v>925178000</v>
      </c>
      <c r="DU55" s="3">
        <v>0</v>
      </c>
      <c r="DV55" s="3">
        <v>0</v>
      </c>
      <c r="DW55" s="3">
        <v>925178000</v>
      </c>
      <c r="DX55" s="3">
        <v>925178000</v>
      </c>
      <c r="DY55" s="3">
        <v>0</v>
      </c>
      <c r="DZ55" s="3">
        <v>0</v>
      </c>
      <c r="EA55" s="3">
        <v>925178000</v>
      </c>
      <c r="EB55" s="3">
        <v>920629622.60000002</v>
      </c>
      <c r="EC55" s="3">
        <v>0</v>
      </c>
      <c r="ED55" s="3">
        <v>0</v>
      </c>
      <c r="EE55" s="3">
        <v>920629622.60000002</v>
      </c>
      <c r="EF55" s="3">
        <v>920629622.60000002</v>
      </c>
      <c r="EG55" s="3">
        <v>0</v>
      </c>
      <c r="EH55" s="3">
        <v>0</v>
      </c>
      <c r="EI55" s="3">
        <v>920629622.60000002</v>
      </c>
      <c r="EJ55" s="3">
        <v>894257648.44000006</v>
      </c>
      <c r="EK55" s="3">
        <v>0</v>
      </c>
      <c r="EL55" s="3">
        <v>0</v>
      </c>
      <c r="EM55" s="3">
        <v>894257648.44000006</v>
      </c>
      <c r="EN55" s="3">
        <v>872362315.77999997</v>
      </c>
      <c r="EO55" s="3">
        <v>0</v>
      </c>
      <c r="EP55" s="3">
        <v>0</v>
      </c>
      <c r="EQ55" s="3">
        <v>872362315.77999997</v>
      </c>
      <c r="ER55" s="3">
        <v>900477000</v>
      </c>
      <c r="ES55" s="3">
        <v>0</v>
      </c>
      <c r="ET55" s="3">
        <v>0</v>
      </c>
      <c r="EU55" s="3">
        <v>900477000</v>
      </c>
      <c r="EV55" s="3">
        <v>900477000</v>
      </c>
      <c r="EW55" s="3">
        <v>0</v>
      </c>
      <c r="EX55" s="3">
        <v>0</v>
      </c>
      <c r="EY55" s="3">
        <v>900477000</v>
      </c>
      <c r="EZ55" s="3">
        <v>900477000</v>
      </c>
      <c r="FA55" s="3">
        <v>0</v>
      </c>
      <c r="FB55" s="3">
        <v>0</v>
      </c>
      <c r="FC55" s="3">
        <v>900477000</v>
      </c>
      <c r="FD55" s="3">
        <v>898819064.24000001</v>
      </c>
      <c r="FE55" s="3">
        <v>0</v>
      </c>
      <c r="FF55" s="3">
        <v>0</v>
      </c>
      <c r="FG55" s="3">
        <v>898819064.24000001</v>
      </c>
      <c r="FH55" s="3">
        <v>898819064.24000001</v>
      </c>
      <c r="FI55" s="3">
        <v>0</v>
      </c>
      <c r="FJ55" s="3">
        <v>0</v>
      </c>
      <c r="FK55" s="3">
        <v>898819064.24000001</v>
      </c>
      <c r="FL55" s="3">
        <v>886899000</v>
      </c>
      <c r="FM55" s="3">
        <v>0</v>
      </c>
      <c r="FN55" s="3">
        <v>0</v>
      </c>
      <c r="FO55" s="3">
        <v>886899000</v>
      </c>
      <c r="FP55" s="3">
        <v>865129980</v>
      </c>
      <c r="FQ55" s="3">
        <v>0</v>
      </c>
      <c r="FR55" s="3">
        <v>0</v>
      </c>
      <c r="FS55" s="3">
        <v>865129980</v>
      </c>
      <c r="FT55" s="3">
        <v>912257000</v>
      </c>
      <c r="FU55" s="3">
        <v>0</v>
      </c>
      <c r="FV55" s="3">
        <v>0</v>
      </c>
      <c r="FW55" s="3">
        <v>912257000</v>
      </c>
      <c r="FX55" s="3">
        <v>912257000</v>
      </c>
      <c r="FY55" s="3">
        <v>0</v>
      </c>
      <c r="FZ55" s="3">
        <v>0</v>
      </c>
      <c r="GA55" s="3">
        <v>912257000</v>
      </c>
      <c r="GB55" s="3">
        <v>912257000</v>
      </c>
      <c r="GC55" s="3">
        <v>0</v>
      </c>
      <c r="GD55" s="3">
        <v>0</v>
      </c>
      <c r="GE55" s="3">
        <v>912257000</v>
      </c>
      <c r="GF55" s="3">
        <v>911359974.82000005</v>
      </c>
      <c r="GG55" s="3">
        <v>0</v>
      </c>
      <c r="GH55" s="3">
        <v>0</v>
      </c>
      <c r="GI55" s="3">
        <v>911359974.82000005</v>
      </c>
      <c r="GJ55" s="3">
        <v>911359974.82000005</v>
      </c>
      <c r="GK55" s="3">
        <v>0</v>
      </c>
      <c r="GL55" s="3">
        <v>0</v>
      </c>
      <c r="GM55" s="3">
        <v>911359974.82000005</v>
      </c>
      <c r="GN55" s="3">
        <v>901437224.30999994</v>
      </c>
      <c r="GO55" s="3">
        <v>0</v>
      </c>
      <c r="GP55" s="3">
        <v>0</v>
      </c>
      <c r="GQ55" s="3">
        <v>901437224.30999994</v>
      </c>
      <c r="GR55" s="3">
        <v>898948918.45000005</v>
      </c>
      <c r="GS55" s="3">
        <v>0</v>
      </c>
      <c r="GT55" s="3">
        <v>0</v>
      </c>
      <c r="GU55" s="3">
        <v>898948918.45000005</v>
      </c>
      <c r="GV55" s="3">
        <v>954810000</v>
      </c>
      <c r="GW55" s="3">
        <v>0</v>
      </c>
      <c r="GX55" s="3">
        <v>0</v>
      </c>
      <c r="GY55" s="3">
        <v>954810000</v>
      </c>
      <c r="GZ55" s="3">
        <v>954810000</v>
      </c>
      <c r="HA55" s="3">
        <v>0</v>
      </c>
      <c r="HB55" s="3">
        <v>0</v>
      </c>
      <c r="HC55" s="3">
        <v>954810000</v>
      </c>
      <c r="HD55" s="3">
        <v>954810000</v>
      </c>
      <c r="HE55" s="3">
        <v>0</v>
      </c>
      <c r="HF55" s="3">
        <v>0</v>
      </c>
      <c r="HG55" s="3">
        <v>954810000</v>
      </c>
      <c r="HH55" s="3">
        <v>930938018.29999995</v>
      </c>
      <c r="HI55" s="3">
        <v>0</v>
      </c>
      <c r="HJ55" s="3">
        <v>0</v>
      </c>
      <c r="HK55" s="3">
        <v>930938018.29999995</v>
      </c>
      <c r="HL55" s="3">
        <v>930938018.29999995</v>
      </c>
      <c r="HM55" s="3">
        <v>0</v>
      </c>
      <c r="HN55" s="3">
        <v>0</v>
      </c>
      <c r="HO55" s="3">
        <v>930938018.29999995</v>
      </c>
      <c r="HP55" s="3">
        <v>925681465.39999998</v>
      </c>
      <c r="HQ55" s="3">
        <v>0</v>
      </c>
      <c r="HR55" s="3">
        <v>0</v>
      </c>
      <c r="HS55" s="3">
        <v>925681465.39999998</v>
      </c>
      <c r="HT55" s="3">
        <v>919106000.36000001</v>
      </c>
      <c r="HU55" s="3">
        <v>0</v>
      </c>
      <c r="HV55" s="3">
        <v>0</v>
      </c>
      <c r="HW55" s="3">
        <v>919106000.36000001</v>
      </c>
      <c r="HX55" s="3">
        <v>983530000</v>
      </c>
      <c r="HY55" s="3">
        <v>0</v>
      </c>
      <c r="HZ55" s="3">
        <v>0</v>
      </c>
      <c r="IA55" s="3">
        <v>983530000</v>
      </c>
      <c r="IB55" s="3">
        <v>983530000</v>
      </c>
      <c r="IC55" s="3">
        <v>0</v>
      </c>
      <c r="ID55" s="3">
        <v>0</v>
      </c>
      <c r="IE55" s="3">
        <v>983530000</v>
      </c>
      <c r="IF55" s="3"/>
      <c r="IG55" s="3"/>
      <c r="IH55" s="3"/>
      <c r="II55" s="3"/>
      <c r="IJ55" s="3"/>
      <c r="IK55" s="3"/>
      <c r="IL55" s="3"/>
      <c r="IM55" s="3"/>
      <c r="IN55" s="3"/>
      <c r="IO55" s="3"/>
      <c r="IP55" s="3"/>
      <c r="IQ55" s="3"/>
      <c r="IR55" s="3"/>
      <c r="IS55" s="3"/>
      <c r="IT55" s="3"/>
      <c r="IU55" s="3"/>
      <c r="IV55" s="3"/>
      <c r="IW55" s="3"/>
      <c r="IX55" s="3"/>
      <c r="IY55" s="3"/>
      <c r="IZ55" s="3">
        <v>1039893000</v>
      </c>
      <c r="JA55" s="3">
        <v>0</v>
      </c>
      <c r="JB55" s="3">
        <v>0</v>
      </c>
      <c r="JC55" s="3">
        <v>1039893000</v>
      </c>
      <c r="JD55" s="3"/>
      <c r="JE55" s="3"/>
      <c r="JF55" s="3"/>
      <c r="JG55" s="3"/>
    </row>
    <row r="56" spans="1:267" x14ac:dyDescent="0.25">
      <c r="A56" t="s">
        <v>505</v>
      </c>
      <c r="B56" t="s">
        <v>397</v>
      </c>
      <c r="C56" t="s">
        <v>199</v>
      </c>
      <c r="D56" t="s">
        <v>200</v>
      </c>
      <c r="E56" t="s">
        <v>292</v>
      </c>
      <c r="F56" t="s">
        <v>548</v>
      </c>
      <c r="G56" t="s">
        <v>448</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5"/>
      <c r="BJ56" s="3"/>
      <c r="BK56" s="5"/>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v>0</v>
      </c>
      <c r="CO56" s="3">
        <v>0</v>
      </c>
      <c r="CP56" s="3">
        <v>0</v>
      </c>
      <c r="CQ56" s="3">
        <v>0</v>
      </c>
      <c r="CR56" s="3">
        <v>45000000</v>
      </c>
      <c r="CS56" s="3">
        <v>219668000</v>
      </c>
      <c r="CT56" s="3">
        <v>0</v>
      </c>
      <c r="CU56" s="3">
        <v>264668000</v>
      </c>
      <c r="CV56" s="3">
        <v>0</v>
      </c>
      <c r="CW56" s="3">
        <v>0</v>
      </c>
      <c r="CX56" s="3">
        <v>0</v>
      </c>
      <c r="CY56" s="3">
        <v>0</v>
      </c>
      <c r="CZ56" s="3">
        <v>0</v>
      </c>
      <c r="DA56" s="3">
        <v>0</v>
      </c>
      <c r="DB56" s="3">
        <v>0</v>
      </c>
      <c r="DC56" s="3">
        <v>0</v>
      </c>
      <c r="DD56" s="3">
        <v>0</v>
      </c>
      <c r="DE56" s="3">
        <v>0</v>
      </c>
      <c r="DF56" s="3">
        <v>0</v>
      </c>
      <c r="DG56" s="3">
        <v>0</v>
      </c>
      <c r="DH56" s="3">
        <v>0</v>
      </c>
      <c r="DI56" s="3">
        <v>0</v>
      </c>
      <c r="DJ56" s="3">
        <v>0</v>
      </c>
      <c r="DK56" s="3">
        <v>0</v>
      </c>
      <c r="DL56" s="3">
        <v>0</v>
      </c>
      <c r="DM56" s="3">
        <v>0</v>
      </c>
      <c r="DN56" s="3">
        <v>0</v>
      </c>
      <c r="DO56" s="3">
        <v>0</v>
      </c>
      <c r="DP56" s="3">
        <v>0</v>
      </c>
      <c r="DQ56" s="3">
        <v>0</v>
      </c>
      <c r="DR56" s="3">
        <v>0</v>
      </c>
      <c r="DS56" s="3">
        <v>0</v>
      </c>
      <c r="DT56" s="3">
        <v>0</v>
      </c>
      <c r="DU56" s="3">
        <v>0</v>
      </c>
      <c r="DV56" s="3">
        <v>0</v>
      </c>
      <c r="DW56" s="3">
        <v>0</v>
      </c>
      <c r="DX56" s="3">
        <v>0</v>
      </c>
      <c r="DY56" s="3">
        <v>163455925</v>
      </c>
      <c r="DZ56" s="3">
        <v>0</v>
      </c>
      <c r="EA56" s="3">
        <v>163455925</v>
      </c>
      <c r="EB56" s="3">
        <v>0</v>
      </c>
      <c r="EC56" s="3">
        <v>210165743.19999999</v>
      </c>
      <c r="ED56" s="3">
        <v>0</v>
      </c>
      <c r="EE56" s="3">
        <v>210165743.19999999</v>
      </c>
      <c r="EF56" s="3">
        <v>0</v>
      </c>
      <c r="EG56" s="3">
        <v>46709818.200000003</v>
      </c>
      <c r="EH56" s="3">
        <v>0</v>
      </c>
      <c r="EI56" s="3">
        <v>46709818.200000003</v>
      </c>
      <c r="EJ56" s="3">
        <v>0</v>
      </c>
      <c r="EK56" s="3">
        <v>1372830.59</v>
      </c>
      <c r="EL56" s="3">
        <v>0</v>
      </c>
      <c r="EM56" s="3">
        <v>1372830.59</v>
      </c>
      <c r="EN56" s="3">
        <v>0</v>
      </c>
      <c r="EO56" s="3">
        <v>529924.06999999995</v>
      </c>
      <c r="EP56" s="3">
        <v>0</v>
      </c>
      <c r="EQ56" s="3">
        <v>529924.06999999995</v>
      </c>
      <c r="ER56" s="3">
        <v>0</v>
      </c>
      <c r="ES56" s="3">
        <v>0</v>
      </c>
      <c r="ET56" s="3">
        <v>0</v>
      </c>
      <c r="EU56" s="3">
        <v>0</v>
      </c>
      <c r="EV56" s="3">
        <v>0</v>
      </c>
      <c r="EW56" s="3">
        <v>0</v>
      </c>
      <c r="EX56" s="3">
        <v>0</v>
      </c>
      <c r="EY56" s="3">
        <v>0</v>
      </c>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row>
    <row r="57" spans="1:267" x14ac:dyDescent="0.25">
      <c r="A57" t="s">
        <v>505</v>
      </c>
      <c r="B57" t="s">
        <v>397</v>
      </c>
      <c r="C57" t="s">
        <v>199</v>
      </c>
      <c r="D57" t="s">
        <v>200</v>
      </c>
      <c r="E57" t="s">
        <v>292</v>
      </c>
      <c r="F57" t="s">
        <v>549</v>
      </c>
      <c r="G57" t="s">
        <v>449</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5"/>
      <c r="BJ57" s="3"/>
      <c r="BK57" s="5"/>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v>0</v>
      </c>
      <c r="DQ57" s="3">
        <v>0</v>
      </c>
      <c r="DR57" s="3">
        <v>0</v>
      </c>
      <c r="DS57" s="3">
        <v>0</v>
      </c>
      <c r="DT57" s="3">
        <v>0</v>
      </c>
      <c r="DU57" s="3">
        <v>10673583000</v>
      </c>
      <c r="DV57" s="3">
        <v>0</v>
      </c>
      <c r="DW57" s="3">
        <v>10673583000</v>
      </c>
      <c r="DX57" s="3">
        <v>0</v>
      </c>
      <c r="DY57" s="3">
        <v>11236101000</v>
      </c>
      <c r="DZ57" s="3">
        <v>0</v>
      </c>
      <c r="EA57" s="3">
        <v>11236101000</v>
      </c>
      <c r="EB57" s="3">
        <v>0</v>
      </c>
      <c r="EC57" s="3">
        <v>8836101000</v>
      </c>
      <c r="ED57" s="3">
        <v>0</v>
      </c>
      <c r="EE57" s="3">
        <v>8836101000</v>
      </c>
      <c r="EF57" s="3">
        <v>0</v>
      </c>
      <c r="EG57" s="3">
        <v>8273583000</v>
      </c>
      <c r="EH57" s="3">
        <v>0</v>
      </c>
      <c r="EI57" s="3">
        <v>8273583000</v>
      </c>
      <c r="EJ57" s="3">
        <v>0</v>
      </c>
      <c r="EK57" s="3">
        <v>7765944412.8100004</v>
      </c>
      <c r="EL57" s="3">
        <v>0</v>
      </c>
      <c r="EM57" s="3">
        <v>7765944412.8100004</v>
      </c>
      <c r="EN57" s="3">
        <v>0</v>
      </c>
      <c r="EO57" s="3">
        <v>6818052922.8100004</v>
      </c>
      <c r="EP57" s="3">
        <v>0</v>
      </c>
      <c r="EQ57" s="3">
        <v>6818052922.8100004</v>
      </c>
      <c r="ER57" s="3">
        <v>0</v>
      </c>
      <c r="ES57" s="3">
        <v>12498048000</v>
      </c>
      <c r="ET57" s="3">
        <v>0</v>
      </c>
      <c r="EU57" s="3">
        <v>12498048000</v>
      </c>
      <c r="EV57" s="3">
        <v>0</v>
      </c>
      <c r="EW57" s="3">
        <v>12498048000</v>
      </c>
      <c r="EX57" s="3">
        <v>0</v>
      </c>
      <c r="EY57" s="3">
        <v>12498048000</v>
      </c>
      <c r="EZ57" s="3">
        <v>0</v>
      </c>
      <c r="FA57" s="3">
        <v>12498048000</v>
      </c>
      <c r="FB57" s="3">
        <v>0</v>
      </c>
      <c r="FC57" s="3">
        <v>12498048000</v>
      </c>
      <c r="FD57" s="3">
        <v>0</v>
      </c>
      <c r="FE57" s="3">
        <v>13005686587.190001</v>
      </c>
      <c r="FF57" s="3">
        <v>0</v>
      </c>
      <c r="FG57" s="3">
        <v>13005686587.190001</v>
      </c>
      <c r="FH57" s="3">
        <v>0</v>
      </c>
      <c r="FI57" s="3">
        <v>13005686587.190001</v>
      </c>
      <c r="FJ57" s="3">
        <v>0</v>
      </c>
      <c r="FK57" s="3">
        <v>13005686587.190001</v>
      </c>
      <c r="FL57" s="3">
        <v>0</v>
      </c>
      <c r="FM57" s="3">
        <v>11469800173.969999</v>
      </c>
      <c r="FN57" s="3">
        <v>0</v>
      </c>
      <c r="FO57" s="3">
        <v>11469800173.969999</v>
      </c>
      <c r="FP57" s="3">
        <v>0</v>
      </c>
      <c r="FQ57" s="3">
        <v>9301052726.4799995</v>
      </c>
      <c r="FR57" s="3">
        <v>0</v>
      </c>
      <c r="FS57" s="3">
        <v>9301052726.4799995</v>
      </c>
      <c r="FT57" s="3">
        <v>0</v>
      </c>
      <c r="FU57" s="3">
        <v>12537379000</v>
      </c>
      <c r="FV57" s="3">
        <v>0</v>
      </c>
      <c r="FW57" s="3">
        <v>12537379000</v>
      </c>
      <c r="FX57" s="3">
        <v>0</v>
      </c>
      <c r="FY57" s="3">
        <v>12689879000</v>
      </c>
      <c r="FZ57" s="3">
        <v>0</v>
      </c>
      <c r="GA57" s="3">
        <v>12689879000</v>
      </c>
      <c r="GB57" s="3">
        <v>0</v>
      </c>
      <c r="GC57" s="3">
        <v>12689879000</v>
      </c>
      <c r="GD57" s="3">
        <v>0</v>
      </c>
      <c r="GE57" s="3">
        <v>12689879000</v>
      </c>
      <c r="GF57" s="3">
        <v>0</v>
      </c>
      <c r="GG57" s="3">
        <v>14225765217.59</v>
      </c>
      <c r="GH57" s="3">
        <v>0</v>
      </c>
      <c r="GI57" s="3">
        <v>14225765217.59</v>
      </c>
      <c r="GJ57" s="3">
        <v>0</v>
      </c>
      <c r="GK57" s="3">
        <v>14225765217.59</v>
      </c>
      <c r="GL57" s="3">
        <v>0</v>
      </c>
      <c r="GM57" s="3">
        <v>14225765217.59</v>
      </c>
      <c r="GN57" s="3">
        <v>0</v>
      </c>
      <c r="GO57" s="3">
        <v>7499448737.4799995</v>
      </c>
      <c r="GP57" s="3">
        <v>0</v>
      </c>
      <c r="GQ57" s="3">
        <v>7499448737.4799995</v>
      </c>
      <c r="GR57" s="3">
        <v>0</v>
      </c>
      <c r="GS57" s="3">
        <v>4892257704.0600004</v>
      </c>
      <c r="GT57" s="3">
        <v>0</v>
      </c>
      <c r="GU57" s="3">
        <v>4892257704.0600004</v>
      </c>
      <c r="GV57" s="3">
        <v>0</v>
      </c>
      <c r="GW57" s="3">
        <v>12077156000</v>
      </c>
      <c r="GX57" s="3">
        <v>0</v>
      </c>
      <c r="GY57" s="3">
        <v>12077156000</v>
      </c>
      <c r="GZ57" s="3">
        <v>0</v>
      </c>
      <c r="HA57" s="3">
        <v>12077156000</v>
      </c>
      <c r="HB57" s="3">
        <v>0</v>
      </c>
      <c r="HC57" s="3">
        <v>12077156000</v>
      </c>
      <c r="HD57" s="3">
        <v>0</v>
      </c>
      <c r="HE57" s="3">
        <v>12077156000</v>
      </c>
      <c r="HF57" s="3">
        <v>0</v>
      </c>
      <c r="HG57" s="3">
        <v>12077156000</v>
      </c>
      <c r="HH57" s="3">
        <v>0</v>
      </c>
      <c r="HI57" s="3">
        <v>16401767504.43</v>
      </c>
      <c r="HJ57" s="3">
        <v>0</v>
      </c>
      <c r="HK57" s="3">
        <v>16401767504.43</v>
      </c>
      <c r="HL57" s="3">
        <v>0</v>
      </c>
      <c r="HM57" s="3">
        <v>16401767504.43</v>
      </c>
      <c r="HN57" s="3">
        <v>0</v>
      </c>
      <c r="HO57" s="3">
        <v>16401767504.43</v>
      </c>
      <c r="HP57" s="3">
        <v>0</v>
      </c>
      <c r="HQ57" s="3">
        <v>10600471375.639999</v>
      </c>
      <c r="HR57" s="3">
        <v>0</v>
      </c>
      <c r="HS57" s="3">
        <v>10600471375.639999</v>
      </c>
      <c r="HT57" s="3">
        <v>0</v>
      </c>
      <c r="HU57" s="3">
        <v>5751000172.9899998</v>
      </c>
      <c r="HV57" s="3">
        <v>0</v>
      </c>
      <c r="HW57" s="3">
        <v>5751000172.9899998</v>
      </c>
      <c r="HX57" s="3">
        <v>0</v>
      </c>
      <c r="HY57" s="3">
        <v>12362468000</v>
      </c>
      <c r="HZ57" s="3">
        <v>0</v>
      </c>
      <c r="IA57" s="3">
        <v>12362468000</v>
      </c>
      <c r="IB57" s="3">
        <v>0</v>
      </c>
      <c r="IC57" s="3">
        <v>12362468000</v>
      </c>
      <c r="ID57" s="3">
        <v>0</v>
      </c>
      <c r="IE57" s="3">
        <v>12362468000</v>
      </c>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row>
    <row r="58" spans="1:267" x14ac:dyDescent="0.25">
      <c r="A58" t="s">
        <v>505</v>
      </c>
      <c r="B58" t="s">
        <v>397</v>
      </c>
      <c r="C58" t="s">
        <v>199</v>
      </c>
      <c r="D58" t="s">
        <v>200</v>
      </c>
      <c r="E58" t="s">
        <v>292</v>
      </c>
      <c r="F58" t="s">
        <v>550</v>
      </c>
      <c r="G58" t="s">
        <v>450</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5"/>
      <c r="BJ58" s="3"/>
      <c r="BK58" s="5"/>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v>0</v>
      </c>
      <c r="DQ58" s="3">
        <v>16534202000</v>
      </c>
      <c r="DR58" s="3">
        <v>0</v>
      </c>
      <c r="DS58" s="3">
        <v>16534202000</v>
      </c>
      <c r="DT58" s="3">
        <v>0</v>
      </c>
      <c r="DU58" s="3">
        <v>0</v>
      </c>
      <c r="DV58" s="3">
        <v>0</v>
      </c>
      <c r="DW58" s="3">
        <v>0</v>
      </c>
      <c r="DX58" s="3">
        <v>0</v>
      </c>
      <c r="DY58" s="3">
        <v>0</v>
      </c>
      <c r="DZ58" s="3">
        <v>0</v>
      </c>
      <c r="EA58" s="3">
        <v>0</v>
      </c>
      <c r="EB58" s="3">
        <v>0</v>
      </c>
      <c r="EC58" s="3">
        <v>0</v>
      </c>
      <c r="ED58" s="3">
        <v>0</v>
      </c>
      <c r="EE58" s="3">
        <v>0</v>
      </c>
      <c r="EF58" s="3">
        <v>0</v>
      </c>
      <c r="EG58" s="3">
        <v>0</v>
      </c>
      <c r="EH58" s="3">
        <v>0</v>
      </c>
      <c r="EI58" s="3">
        <v>0</v>
      </c>
      <c r="EJ58" s="3">
        <v>0</v>
      </c>
      <c r="EK58" s="3">
        <v>0</v>
      </c>
      <c r="EL58" s="3">
        <v>0</v>
      </c>
      <c r="EM58" s="3">
        <v>0</v>
      </c>
      <c r="EN58" s="3">
        <v>0</v>
      </c>
      <c r="EO58" s="3">
        <v>0</v>
      </c>
      <c r="EP58" s="3">
        <v>0</v>
      </c>
      <c r="EQ58" s="3">
        <v>0</v>
      </c>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row>
    <row r="59" spans="1:267" x14ac:dyDescent="0.25">
      <c r="A59" t="s">
        <v>505</v>
      </c>
      <c r="B59" t="s">
        <v>397</v>
      </c>
      <c r="C59" t="s">
        <v>199</v>
      </c>
      <c r="D59" t="s">
        <v>200</v>
      </c>
      <c r="E59" t="s">
        <v>292</v>
      </c>
      <c r="F59" t="s">
        <v>551</v>
      </c>
      <c r="G59" t="s">
        <v>451</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5"/>
      <c r="BJ59" s="3"/>
      <c r="BK59" s="5"/>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v>0</v>
      </c>
      <c r="DQ59" s="3">
        <v>0</v>
      </c>
      <c r="DR59" s="3">
        <v>0</v>
      </c>
      <c r="DS59" s="3">
        <v>0</v>
      </c>
      <c r="DT59" s="3">
        <v>0</v>
      </c>
      <c r="DU59" s="3">
        <v>16534202000</v>
      </c>
      <c r="DV59" s="3">
        <v>0</v>
      </c>
      <c r="DW59" s="3">
        <v>16534202000</v>
      </c>
      <c r="DX59" s="3">
        <v>0</v>
      </c>
      <c r="DY59" s="3">
        <v>16534202000</v>
      </c>
      <c r="DZ59" s="3">
        <v>0</v>
      </c>
      <c r="EA59" s="3">
        <v>16534202000</v>
      </c>
      <c r="EB59" s="3">
        <v>0</v>
      </c>
      <c r="EC59" s="3">
        <v>16534202000</v>
      </c>
      <c r="ED59" s="3">
        <v>0</v>
      </c>
      <c r="EE59" s="3">
        <v>16534202000</v>
      </c>
      <c r="EF59" s="3">
        <v>0</v>
      </c>
      <c r="EG59" s="3">
        <v>16534202000</v>
      </c>
      <c r="EH59" s="3">
        <v>0</v>
      </c>
      <c r="EI59" s="3">
        <v>16534202000</v>
      </c>
      <c r="EJ59" s="3">
        <v>0</v>
      </c>
      <c r="EK59" s="3">
        <v>16533609169.5</v>
      </c>
      <c r="EL59" s="3">
        <v>0</v>
      </c>
      <c r="EM59" s="3">
        <v>16533609169.5</v>
      </c>
      <c r="EN59" s="3">
        <v>0</v>
      </c>
      <c r="EO59" s="3">
        <v>16459145758.809999</v>
      </c>
      <c r="EP59" s="3">
        <v>0</v>
      </c>
      <c r="EQ59" s="3">
        <v>16459145758.809999</v>
      </c>
      <c r="ER59" s="3">
        <v>0</v>
      </c>
      <c r="ES59" s="3">
        <v>39326804000</v>
      </c>
      <c r="ET59" s="3">
        <v>0</v>
      </c>
      <c r="EU59" s="3">
        <v>39326804000</v>
      </c>
      <c r="EV59" s="3">
        <v>0</v>
      </c>
      <c r="EW59" s="3">
        <v>39326804000</v>
      </c>
      <c r="EX59" s="3">
        <v>0</v>
      </c>
      <c r="EY59" s="3">
        <v>39326804000</v>
      </c>
      <c r="EZ59" s="3">
        <v>0</v>
      </c>
      <c r="FA59" s="3">
        <v>39326804000</v>
      </c>
      <c r="FB59" s="3">
        <v>0</v>
      </c>
      <c r="FC59" s="3">
        <v>39326804000</v>
      </c>
      <c r="FD59" s="3">
        <v>0</v>
      </c>
      <c r="FE59" s="3">
        <v>39327396830.5</v>
      </c>
      <c r="FF59" s="3">
        <v>0</v>
      </c>
      <c r="FG59" s="3">
        <v>39327396830.5</v>
      </c>
      <c r="FH59" s="3">
        <v>0</v>
      </c>
      <c r="FI59" s="3">
        <v>39327396830.5</v>
      </c>
      <c r="FJ59" s="3">
        <v>0</v>
      </c>
      <c r="FK59" s="3">
        <v>39327396830.5</v>
      </c>
      <c r="FL59" s="3">
        <v>0</v>
      </c>
      <c r="FM59" s="3">
        <v>39327322015.139999</v>
      </c>
      <c r="FN59" s="3">
        <v>0</v>
      </c>
      <c r="FO59" s="3">
        <v>39327322015.139999</v>
      </c>
      <c r="FP59" s="3">
        <v>0</v>
      </c>
      <c r="FQ59" s="3">
        <v>29705850153.919998</v>
      </c>
      <c r="FR59" s="3">
        <v>0</v>
      </c>
      <c r="FS59" s="3">
        <v>29705850153.919998</v>
      </c>
      <c r="FT59" s="3">
        <v>0</v>
      </c>
      <c r="FU59" s="3">
        <v>25311393000</v>
      </c>
      <c r="FV59" s="3">
        <v>0</v>
      </c>
      <c r="FW59" s="3">
        <v>25311393000</v>
      </c>
      <c r="FX59" s="3">
        <v>0</v>
      </c>
      <c r="FY59" s="3">
        <v>26311393000</v>
      </c>
      <c r="FZ59" s="3">
        <v>0</v>
      </c>
      <c r="GA59" s="3">
        <v>26311393000</v>
      </c>
      <c r="GB59" s="3">
        <v>0</v>
      </c>
      <c r="GC59" s="3">
        <v>26311393000</v>
      </c>
      <c r="GD59" s="3">
        <v>0</v>
      </c>
      <c r="GE59" s="3">
        <v>26311393000</v>
      </c>
      <c r="GF59" s="3">
        <v>0</v>
      </c>
      <c r="GG59" s="3">
        <v>26311467734.860001</v>
      </c>
      <c r="GH59" s="3">
        <v>0</v>
      </c>
      <c r="GI59" s="3">
        <v>26311467734.860001</v>
      </c>
      <c r="GJ59" s="3">
        <v>0</v>
      </c>
      <c r="GK59" s="3">
        <v>26311467734.860001</v>
      </c>
      <c r="GL59" s="3">
        <v>0</v>
      </c>
      <c r="GM59" s="3">
        <v>26311467734.860001</v>
      </c>
      <c r="GN59" s="3">
        <v>0</v>
      </c>
      <c r="GO59" s="3">
        <v>20273931613.43</v>
      </c>
      <c r="GP59" s="3">
        <v>0</v>
      </c>
      <c r="GQ59" s="3">
        <v>20273931613.43</v>
      </c>
      <c r="GR59" s="3">
        <v>0</v>
      </c>
      <c r="GS59" s="3">
        <v>13981487312.360001</v>
      </c>
      <c r="GT59" s="3">
        <v>0</v>
      </c>
      <c r="GU59" s="3">
        <v>13981487312.360001</v>
      </c>
      <c r="GV59" s="3">
        <v>0</v>
      </c>
      <c r="GW59" s="3">
        <v>27024724000</v>
      </c>
      <c r="GX59" s="3">
        <v>0</v>
      </c>
      <c r="GY59" s="3">
        <v>27024724000</v>
      </c>
      <c r="GZ59" s="3">
        <v>0</v>
      </c>
      <c r="HA59" s="3">
        <v>27024724000</v>
      </c>
      <c r="HB59" s="3">
        <v>0</v>
      </c>
      <c r="HC59" s="3">
        <v>27024724000</v>
      </c>
      <c r="HD59" s="3">
        <v>0</v>
      </c>
      <c r="HE59" s="3">
        <v>27024724000</v>
      </c>
      <c r="HF59" s="3">
        <v>0</v>
      </c>
      <c r="HG59" s="3">
        <v>27024724000</v>
      </c>
      <c r="HH59" s="3">
        <v>0</v>
      </c>
      <c r="HI59" s="3">
        <v>31462255386.57</v>
      </c>
      <c r="HJ59" s="3">
        <v>0</v>
      </c>
      <c r="HK59" s="3">
        <v>31462255386.57</v>
      </c>
      <c r="HL59" s="3">
        <v>0</v>
      </c>
      <c r="HM59" s="3">
        <v>31462255386.57</v>
      </c>
      <c r="HN59" s="3">
        <v>0</v>
      </c>
      <c r="HO59" s="3">
        <v>31462255386.57</v>
      </c>
      <c r="HP59" s="3">
        <v>0</v>
      </c>
      <c r="HQ59" s="3">
        <v>17162869001.379999</v>
      </c>
      <c r="HR59" s="3">
        <v>0</v>
      </c>
      <c r="HS59" s="3">
        <v>17162869001.379999</v>
      </c>
      <c r="HT59" s="3">
        <v>0</v>
      </c>
      <c r="HU59" s="3">
        <v>8841096569.3799992</v>
      </c>
      <c r="HV59" s="3">
        <v>0</v>
      </c>
      <c r="HW59" s="3">
        <v>8841096569.3799992</v>
      </c>
      <c r="HX59" s="3">
        <v>0</v>
      </c>
      <c r="HY59" s="3">
        <v>26487724000</v>
      </c>
      <c r="HZ59" s="3">
        <v>0</v>
      </c>
      <c r="IA59" s="3">
        <v>26487724000</v>
      </c>
      <c r="IB59" s="3">
        <v>0</v>
      </c>
      <c r="IC59" s="3">
        <v>26487724000</v>
      </c>
      <c r="ID59" s="3">
        <v>0</v>
      </c>
      <c r="IE59" s="3">
        <v>26487724000</v>
      </c>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row>
    <row r="60" spans="1:267" x14ac:dyDescent="0.25">
      <c r="A60" t="s">
        <v>505</v>
      </c>
      <c r="B60" t="s">
        <v>397</v>
      </c>
      <c r="C60" t="s">
        <v>199</v>
      </c>
      <c r="D60" t="s">
        <v>200</v>
      </c>
      <c r="E60" t="s">
        <v>292</v>
      </c>
      <c r="F60" t="s">
        <v>552</v>
      </c>
      <c r="G60" t="s">
        <v>452</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5"/>
      <c r="BJ60" s="3"/>
      <c r="BK60" s="5"/>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v>0</v>
      </c>
      <c r="ES60" s="3">
        <v>0</v>
      </c>
      <c r="ET60" s="3">
        <v>0</v>
      </c>
      <c r="EU60" s="3">
        <v>0</v>
      </c>
      <c r="EV60" s="3">
        <v>4837850000</v>
      </c>
      <c r="EW60" s="3">
        <v>4714345000</v>
      </c>
      <c r="EX60" s="3">
        <v>0</v>
      </c>
      <c r="EY60" s="3">
        <v>9552195000</v>
      </c>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v>0</v>
      </c>
      <c r="HY60" s="3">
        <v>0</v>
      </c>
      <c r="HZ60" s="3">
        <v>0</v>
      </c>
      <c r="IA60" s="3">
        <v>0</v>
      </c>
      <c r="IB60" s="3">
        <v>0</v>
      </c>
      <c r="IC60" s="3">
        <v>100800000</v>
      </c>
      <c r="ID60" s="3">
        <v>0</v>
      </c>
      <c r="IE60" s="3">
        <v>100800000</v>
      </c>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row>
    <row r="61" spans="1:267" x14ac:dyDescent="0.25">
      <c r="A61" t="s">
        <v>505</v>
      </c>
      <c r="B61" t="s">
        <v>397</v>
      </c>
      <c r="C61" t="s">
        <v>199</v>
      </c>
      <c r="D61" t="s">
        <v>200</v>
      </c>
      <c r="E61" t="s">
        <v>292</v>
      </c>
      <c r="F61" t="s">
        <v>553</v>
      </c>
      <c r="G61" t="s">
        <v>453</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5"/>
      <c r="BJ61" s="3"/>
      <c r="BK61" s="5"/>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v>0</v>
      </c>
      <c r="HY61" s="3">
        <v>0</v>
      </c>
      <c r="HZ61" s="3">
        <v>0</v>
      </c>
      <c r="IA61" s="3">
        <v>0</v>
      </c>
      <c r="IB61" s="3">
        <v>0</v>
      </c>
      <c r="IC61" s="3">
        <v>2289250000</v>
      </c>
      <c r="ID61" s="3">
        <v>0</v>
      </c>
      <c r="IE61" s="3">
        <v>2289250000</v>
      </c>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row>
    <row r="62" spans="1:267" x14ac:dyDescent="0.25">
      <c r="A62" t="s">
        <v>505</v>
      </c>
      <c r="B62" t="s">
        <v>397</v>
      </c>
      <c r="C62" t="s">
        <v>199</v>
      </c>
      <c r="D62" t="s">
        <v>200</v>
      </c>
      <c r="E62" t="s">
        <v>292</v>
      </c>
      <c r="F62" s="20" t="s">
        <v>1352</v>
      </c>
      <c r="G62" t="s">
        <v>1354</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5"/>
      <c r="BJ62" s="3"/>
      <c r="BK62" s="5"/>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v>0</v>
      </c>
      <c r="JA62" s="3">
        <v>38122494000</v>
      </c>
      <c r="JB62" s="3">
        <v>0</v>
      </c>
      <c r="JC62" s="3">
        <v>38122494000</v>
      </c>
      <c r="JD62" s="3"/>
      <c r="JE62" s="3"/>
      <c r="JF62" s="3"/>
      <c r="JG62" s="3"/>
    </row>
    <row r="63" spans="1:267" x14ac:dyDescent="0.25">
      <c r="A63" t="s">
        <v>505</v>
      </c>
      <c r="B63" t="s">
        <v>397</v>
      </c>
      <c r="C63" t="s">
        <v>199</v>
      </c>
      <c r="D63" t="s">
        <v>200</v>
      </c>
      <c r="E63" t="s">
        <v>292</v>
      </c>
      <c r="F63" s="20" t="s">
        <v>1353</v>
      </c>
      <c r="G63" t="s">
        <v>1355</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5"/>
      <c r="BJ63" s="3"/>
      <c r="BK63" s="5"/>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v>0</v>
      </c>
      <c r="JA63" s="3">
        <v>10777381000</v>
      </c>
      <c r="JB63" s="3">
        <v>36815000</v>
      </c>
      <c r="JC63" s="3">
        <v>10814196000</v>
      </c>
      <c r="JD63" s="3"/>
      <c r="JE63" s="3"/>
      <c r="JF63" s="3"/>
      <c r="JG63" s="3"/>
    </row>
    <row r="64" spans="1:267" x14ac:dyDescent="0.25">
      <c r="A64" t="s">
        <v>505</v>
      </c>
      <c r="B64" t="s">
        <v>397</v>
      </c>
      <c r="C64" t="s">
        <v>199</v>
      </c>
      <c r="D64" t="s">
        <v>200</v>
      </c>
      <c r="E64" t="s">
        <v>295</v>
      </c>
      <c r="F64" t="s">
        <v>296</v>
      </c>
      <c r="G64" t="s">
        <v>454</v>
      </c>
      <c r="H64" s="3">
        <v>12212000</v>
      </c>
      <c r="I64" s="3">
        <v>3400549000</v>
      </c>
      <c r="J64" s="3">
        <v>0</v>
      </c>
      <c r="K64" s="3">
        <v>3412761000</v>
      </c>
      <c r="L64" s="3">
        <v>12212000</v>
      </c>
      <c r="M64" s="3">
        <v>3400549000</v>
      </c>
      <c r="N64" s="3">
        <v>0</v>
      </c>
      <c r="O64" s="3">
        <v>3412761000</v>
      </c>
      <c r="P64" s="3">
        <v>13352000</v>
      </c>
      <c r="Q64" s="3">
        <v>3400549000</v>
      </c>
      <c r="R64" s="3">
        <v>0</v>
      </c>
      <c r="S64" s="3">
        <v>3413901000</v>
      </c>
      <c r="T64" s="3">
        <v>19403666.059999999</v>
      </c>
      <c r="U64" s="3">
        <v>3399639248.0799999</v>
      </c>
      <c r="V64" s="3">
        <v>0</v>
      </c>
      <c r="W64" s="3">
        <v>3419042914.1399999</v>
      </c>
      <c r="X64" s="3">
        <v>19403666.059999999</v>
      </c>
      <c r="Y64" s="3">
        <v>3399639248.0799999</v>
      </c>
      <c r="Z64" s="3">
        <v>0</v>
      </c>
      <c r="AA64" s="3">
        <v>3419042914.1399999</v>
      </c>
      <c r="AB64" s="3">
        <v>19403666.059999999</v>
      </c>
      <c r="AC64" s="3">
        <v>2855614461.0900002</v>
      </c>
      <c r="AD64" s="3">
        <v>0</v>
      </c>
      <c r="AE64" s="3">
        <v>2875018127.1500001</v>
      </c>
      <c r="AF64" s="3">
        <v>18776009.219999999</v>
      </c>
      <c r="AG64" s="3">
        <v>2290364363.0100002</v>
      </c>
      <c r="AH64" s="3">
        <v>0</v>
      </c>
      <c r="AI64" s="3">
        <v>2309140372.23</v>
      </c>
      <c r="AJ64" s="3">
        <v>18025000</v>
      </c>
      <c r="AK64" s="3">
        <v>1903967000</v>
      </c>
      <c r="AL64" s="3">
        <v>0</v>
      </c>
      <c r="AM64" s="3">
        <v>1921992000</v>
      </c>
      <c r="AN64" s="3">
        <v>18025000</v>
      </c>
      <c r="AO64" s="3">
        <v>1919567000</v>
      </c>
      <c r="AP64" s="3">
        <v>4000000</v>
      </c>
      <c r="AQ64" s="3">
        <v>1941592000</v>
      </c>
      <c r="AR64" s="3">
        <v>19711000</v>
      </c>
      <c r="AS64" s="3">
        <v>1919567000</v>
      </c>
      <c r="AT64" s="3">
        <v>4000000</v>
      </c>
      <c r="AU64" s="3">
        <v>1943278000</v>
      </c>
      <c r="AV64" s="3">
        <v>20458238.039999999</v>
      </c>
      <c r="AW64" s="3">
        <v>2463591786.9899998</v>
      </c>
      <c r="AX64" s="3">
        <v>4000000</v>
      </c>
      <c r="AY64" s="3">
        <v>2488050025.0300002</v>
      </c>
      <c r="AZ64" s="3">
        <v>20458238.039999999</v>
      </c>
      <c r="BA64" s="3">
        <v>2463591786.9899998</v>
      </c>
      <c r="BB64" s="3">
        <v>0</v>
      </c>
      <c r="BC64" s="3">
        <v>2484050025.0300002</v>
      </c>
      <c r="BD64" s="3">
        <v>20458238.039999999</v>
      </c>
      <c r="BE64" s="3">
        <v>2014815464.76</v>
      </c>
      <c r="BF64" s="3">
        <v>0</v>
      </c>
      <c r="BG64" s="3">
        <v>2035273702.8</v>
      </c>
      <c r="BH64" s="3">
        <v>20458238.039999999</v>
      </c>
      <c r="BI64" s="6">
        <v>1588188105.8299999</v>
      </c>
      <c r="BJ64" s="6">
        <v>0</v>
      </c>
      <c r="BK64" s="6">
        <v>1608646343.8699999</v>
      </c>
      <c r="BL64" s="3">
        <v>19228000</v>
      </c>
      <c r="BM64" s="3">
        <v>1872993000</v>
      </c>
      <c r="BN64" s="3">
        <v>0</v>
      </c>
      <c r="BO64" s="3">
        <v>1892221000</v>
      </c>
      <c r="BP64" s="3">
        <v>19228000</v>
      </c>
      <c r="BQ64" s="3">
        <v>1972993000</v>
      </c>
      <c r="BR64" s="3">
        <v>0</v>
      </c>
      <c r="BS64" s="3">
        <v>1992221000</v>
      </c>
      <c r="BT64" s="3">
        <v>21031000</v>
      </c>
      <c r="BU64" s="3">
        <v>1972993000</v>
      </c>
      <c r="BV64" s="3">
        <v>0</v>
      </c>
      <c r="BW64" s="3">
        <v>1994024000</v>
      </c>
      <c r="BX64" s="3">
        <v>13075076.76</v>
      </c>
      <c r="BY64" s="3">
        <v>2217946898.5799999</v>
      </c>
      <c r="BZ64" s="3">
        <v>0</v>
      </c>
      <c r="CA64" s="3">
        <v>2231021975.3400002</v>
      </c>
      <c r="CB64" s="3">
        <v>13075076.76</v>
      </c>
      <c r="CC64" s="3">
        <v>2217946898.5799999</v>
      </c>
      <c r="CD64" s="3">
        <v>0</v>
      </c>
      <c r="CE64" s="3">
        <v>2231021975.3400002</v>
      </c>
      <c r="CF64" s="3">
        <v>13075076.76</v>
      </c>
      <c r="CG64" s="3">
        <v>837990134.33000004</v>
      </c>
      <c r="CH64" s="3">
        <v>0</v>
      </c>
      <c r="CI64" s="3">
        <v>851065211.09000003</v>
      </c>
      <c r="CJ64" s="3">
        <v>12685664.449999999</v>
      </c>
      <c r="CK64" s="3">
        <v>407846358.02999997</v>
      </c>
      <c r="CL64" s="3">
        <v>0</v>
      </c>
      <c r="CM64" s="3">
        <v>420532022.48000002</v>
      </c>
      <c r="CN64" s="3">
        <v>19853000</v>
      </c>
      <c r="CO64" s="3">
        <v>1868272000</v>
      </c>
      <c r="CP64" s="3">
        <v>0</v>
      </c>
      <c r="CQ64" s="3">
        <v>1888125000</v>
      </c>
      <c r="CR64" s="3">
        <v>19853000</v>
      </c>
      <c r="CS64" s="3">
        <v>1833272000</v>
      </c>
      <c r="CT64" s="3">
        <v>35000000</v>
      </c>
      <c r="CU64" s="3">
        <v>1888125000</v>
      </c>
      <c r="CV64" s="3">
        <v>21724000</v>
      </c>
      <c r="CW64" s="3">
        <v>1833272000</v>
      </c>
      <c r="CX64" s="3">
        <v>35000000</v>
      </c>
      <c r="CY64" s="3">
        <v>1889996000</v>
      </c>
      <c r="CZ64" s="3">
        <v>28896384.07</v>
      </c>
      <c r="DA64" s="3">
        <v>3090194609.29</v>
      </c>
      <c r="DB64" s="3">
        <v>36125000</v>
      </c>
      <c r="DC64" s="3">
        <v>3155215993.3600001</v>
      </c>
      <c r="DD64" s="3">
        <v>28896384.07</v>
      </c>
      <c r="DE64" s="3">
        <v>3090194609.1999998</v>
      </c>
      <c r="DF64" s="3">
        <v>36125000</v>
      </c>
      <c r="DG64" s="3">
        <v>3155215993.3600001</v>
      </c>
      <c r="DH64" s="3">
        <v>28896384.07</v>
      </c>
      <c r="DI64" s="3">
        <v>2614662568.98</v>
      </c>
      <c r="DJ64" s="3">
        <v>30531947.059999999</v>
      </c>
      <c r="DK64" s="3">
        <v>2674090900.1100001</v>
      </c>
      <c r="DL64" s="3">
        <v>28451028.84</v>
      </c>
      <c r="DM64" s="3">
        <v>1670453840.22</v>
      </c>
      <c r="DN64" s="3">
        <v>3753432.31</v>
      </c>
      <c r="DO64" s="3">
        <v>1702658301.3699999</v>
      </c>
      <c r="DP64" s="3">
        <v>22104000</v>
      </c>
      <c r="DQ64" s="3">
        <v>1868272000</v>
      </c>
      <c r="DR64" s="3">
        <v>0</v>
      </c>
      <c r="DS64" s="3">
        <v>1890376000</v>
      </c>
      <c r="DT64" s="3">
        <v>22104000</v>
      </c>
      <c r="DU64" s="3">
        <v>1818572000</v>
      </c>
      <c r="DV64" s="3">
        <v>59700000</v>
      </c>
      <c r="DW64" s="3">
        <v>1900376000</v>
      </c>
      <c r="DX64" s="3">
        <v>24187000</v>
      </c>
      <c r="DY64" s="3">
        <v>1818572000</v>
      </c>
      <c r="DZ64" s="3">
        <v>59700000</v>
      </c>
      <c r="EA64" s="3">
        <v>1902459000</v>
      </c>
      <c r="EB64" s="3">
        <v>35458672.530000001</v>
      </c>
      <c r="EC64" s="3">
        <v>1857155258.1400001</v>
      </c>
      <c r="ED64" s="3">
        <v>65293052.939999998</v>
      </c>
      <c r="EE64" s="3">
        <v>1957906983.6099999</v>
      </c>
      <c r="EF64" s="3">
        <v>35458672.530000001</v>
      </c>
      <c r="EG64" s="3">
        <v>1857155258.1400001</v>
      </c>
      <c r="EH64" s="3">
        <v>65293052.939999998</v>
      </c>
      <c r="EI64" s="3">
        <v>1957906983.6099999</v>
      </c>
      <c r="EJ64" s="3">
        <v>35458655.700000003</v>
      </c>
      <c r="EK64" s="3">
        <v>1443363295.1600001</v>
      </c>
      <c r="EL64" s="3">
        <v>50179451.009999998</v>
      </c>
      <c r="EM64" s="3">
        <v>1529001401.8699999</v>
      </c>
      <c r="EN64" s="3">
        <v>35121547.079999998</v>
      </c>
      <c r="EO64" s="3">
        <v>975638329.22000003</v>
      </c>
      <c r="EP64" s="3">
        <v>12754221.92</v>
      </c>
      <c r="EQ64" s="3">
        <v>1023514098.22</v>
      </c>
      <c r="ER64" s="3">
        <v>32480000</v>
      </c>
      <c r="ES64" s="3">
        <v>1965746000</v>
      </c>
      <c r="ET64" s="3">
        <v>0</v>
      </c>
      <c r="EU64" s="3">
        <v>1998226000</v>
      </c>
      <c r="EV64" s="3">
        <v>32480000</v>
      </c>
      <c r="EW64" s="3">
        <v>1965746000</v>
      </c>
      <c r="EX64" s="3">
        <v>0</v>
      </c>
      <c r="EY64" s="3">
        <v>1998226000</v>
      </c>
      <c r="EZ64" s="3">
        <v>35543000</v>
      </c>
      <c r="FA64" s="3">
        <v>1965746000</v>
      </c>
      <c r="FB64" s="3">
        <v>0</v>
      </c>
      <c r="FC64" s="3">
        <v>2001289000</v>
      </c>
      <c r="FD64" s="3">
        <v>36126293.170000002</v>
      </c>
      <c r="FE64" s="3">
        <v>2262710663.4299998</v>
      </c>
      <c r="FF64" s="3">
        <v>14849607.529999999</v>
      </c>
      <c r="FG64" s="3">
        <v>2313686564.1300001</v>
      </c>
      <c r="FH64" s="3">
        <v>36126293.170000002</v>
      </c>
      <c r="FI64" s="3">
        <v>2262710663.4299998</v>
      </c>
      <c r="FJ64" s="3">
        <v>14849607.529999999</v>
      </c>
      <c r="FK64" s="3">
        <v>2313686564.1300001</v>
      </c>
      <c r="FL64" s="3">
        <v>36076381.130000003</v>
      </c>
      <c r="FM64" s="3">
        <v>1219512166.6700001</v>
      </c>
      <c r="FN64" s="3">
        <v>14793882.539999999</v>
      </c>
      <c r="FO64" s="3">
        <v>1270382430.3399999</v>
      </c>
      <c r="FP64" s="3">
        <v>35589842.850000001</v>
      </c>
      <c r="FQ64" s="3">
        <v>941688616.70000005</v>
      </c>
      <c r="FR64" s="3">
        <v>7923060</v>
      </c>
      <c r="FS64" s="3">
        <v>985201519.54999995</v>
      </c>
      <c r="FT64" s="3">
        <v>32451000</v>
      </c>
      <c r="FU64" s="3">
        <v>2055173000</v>
      </c>
      <c r="FV64" s="3">
        <v>360149000</v>
      </c>
      <c r="FW64" s="3">
        <v>2447773000</v>
      </c>
      <c r="FX64" s="3">
        <v>32451000</v>
      </c>
      <c r="FY64" s="3">
        <v>3555173000</v>
      </c>
      <c r="FZ64" s="3">
        <v>360149000</v>
      </c>
      <c r="GA64" s="3">
        <v>3947773000</v>
      </c>
      <c r="GB64" s="3">
        <v>35501000</v>
      </c>
      <c r="GC64" s="3">
        <v>3555173000</v>
      </c>
      <c r="GD64" s="3">
        <v>360149000</v>
      </c>
      <c r="GE64" s="3">
        <v>3950823000</v>
      </c>
      <c r="GF64" s="3">
        <v>40535386.119999997</v>
      </c>
      <c r="GG64" s="3">
        <v>4568707012.5900002</v>
      </c>
      <c r="GH64" s="3">
        <v>360149000</v>
      </c>
      <c r="GI64" s="3">
        <v>4969391398.71</v>
      </c>
      <c r="GJ64" s="3">
        <v>40535386.119999997</v>
      </c>
      <c r="GK64" s="3">
        <v>4568707012.5900002</v>
      </c>
      <c r="GL64" s="3">
        <v>360149000</v>
      </c>
      <c r="GM64" s="3">
        <v>4969391398.71</v>
      </c>
      <c r="GN64" s="3">
        <v>40535386.119999997</v>
      </c>
      <c r="GO64" s="3">
        <v>3213229446.1999998</v>
      </c>
      <c r="GP64" s="3">
        <v>118898282.58</v>
      </c>
      <c r="GQ64" s="3">
        <v>3372663114.9000001</v>
      </c>
      <c r="GR64" s="3">
        <v>40057423.049999997</v>
      </c>
      <c r="GS64" s="3">
        <v>2785840762.79</v>
      </c>
      <c r="GT64" s="3">
        <v>25567712.57</v>
      </c>
      <c r="GU64" s="3">
        <v>2851465898.4099998</v>
      </c>
      <c r="GV64" s="3">
        <v>36259000</v>
      </c>
      <c r="GW64" s="3">
        <v>2234758000</v>
      </c>
      <c r="GX64" s="3">
        <v>0</v>
      </c>
      <c r="GY64" s="3">
        <v>2271017000</v>
      </c>
      <c r="GZ64" s="3">
        <v>36259000</v>
      </c>
      <c r="HA64" s="3">
        <v>2234758000</v>
      </c>
      <c r="HB64" s="3">
        <v>0</v>
      </c>
      <c r="HC64" s="3">
        <v>2271017000</v>
      </c>
      <c r="HD64" s="3">
        <v>39638000</v>
      </c>
      <c r="HE64" s="3">
        <v>2234758000</v>
      </c>
      <c r="HF64" s="3">
        <v>0</v>
      </c>
      <c r="HG64" s="3">
        <v>2274396000</v>
      </c>
      <c r="HH64" s="3">
        <v>43595945.600000001</v>
      </c>
      <c r="HI64" s="3">
        <v>3528308179.3499999</v>
      </c>
      <c r="HJ64" s="3">
        <v>241250717.41999999</v>
      </c>
      <c r="HK64" s="3">
        <v>3813154842.3699999</v>
      </c>
      <c r="HL64" s="3">
        <v>43595945.600000001</v>
      </c>
      <c r="HM64" s="3">
        <v>3528308179.3499999</v>
      </c>
      <c r="HN64" s="3">
        <v>241250717.41999999</v>
      </c>
      <c r="HO64" s="3">
        <v>3813154842.3699999</v>
      </c>
      <c r="HP64" s="3">
        <v>43595810.659999996</v>
      </c>
      <c r="HQ64" s="3">
        <v>2925259520.48</v>
      </c>
      <c r="HR64" s="3">
        <v>213239680.06999999</v>
      </c>
      <c r="HS64" s="3">
        <v>3182095011.21</v>
      </c>
      <c r="HT64" s="3">
        <v>42841276.289999999</v>
      </c>
      <c r="HU64" s="3">
        <v>2226068632.3299999</v>
      </c>
      <c r="HV64" s="3">
        <v>6570770.1699999999</v>
      </c>
      <c r="HW64" s="3">
        <v>2275480678.79</v>
      </c>
      <c r="HX64" s="3">
        <v>44013000</v>
      </c>
      <c r="HY64" s="3">
        <v>2872441000</v>
      </c>
      <c r="HZ64" s="3">
        <v>0</v>
      </c>
      <c r="IA64" s="3">
        <v>2916454000</v>
      </c>
      <c r="IB64" s="3">
        <v>44013000</v>
      </c>
      <c r="IC64" s="3">
        <v>4622441000</v>
      </c>
      <c r="ID64" s="3">
        <v>0</v>
      </c>
      <c r="IE64" s="3">
        <v>4666454000</v>
      </c>
      <c r="IF64" s="3"/>
      <c r="IG64" s="3"/>
      <c r="IH64" s="3"/>
      <c r="II64" s="3"/>
      <c r="IJ64" s="3"/>
      <c r="IK64" s="3"/>
      <c r="IL64" s="3"/>
      <c r="IM64" s="3"/>
      <c r="IN64" s="3"/>
      <c r="IO64" s="3"/>
      <c r="IP64" s="3"/>
      <c r="IQ64" s="3"/>
      <c r="IR64" s="3"/>
      <c r="IS64" s="3"/>
      <c r="IT64" s="3"/>
      <c r="IU64" s="3"/>
      <c r="IV64" s="3"/>
      <c r="IW64" s="3"/>
      <c r="IX64" s="3"/>
      <c r="IY64" s="3"/>
      <c r="IZ64" s="3">
        <v>42659000</v>
      </c>
      <c r="JA64" s="3">
        <v>2972070000</v>
      </c>
      <c r="JB64" s="3">
        <v>0</v>
      </c>
      <c r="JC64" s="3">
        <v>3014729000</v>
      </c>
      <c r="JD64" s="3"/>
      <c r="JE64" s="3"/>
      <c r="JF64" s="3"/>
      <c r="JG64" s="3"/>
    </row>
    <row r="65" spans="1:267" x14ac:dyDescent="0.25">
      <c r="A65" t="s">
        <v>505</v>
      </c>
      <c r="B65" t="s">
        <v>397</v>
      </c>
      <c r="C65" t="s">
        <v>199</v>
      </c>
      <c r="D65" t="s">
        <v>200</v>
      </c>
      <c r="E65" t="s">
        <v>295</v>
      </c>
      <c r="F65" t="s">
        <v>298</v>
      </c>
      <c r="G65" t="s">
        <v>455</v>
      </c>
      <c r="H65" s="3">
        <v>2412000</v>
      </c>
      <c r="I65" s="3">
        <v>5796000</v>
      </c>
      <c r="J65" s="3">
        <v>0</v>
      </c>
      <c r="K65" s="3">
        <v>8208000</v>
      </c>
      <c r="L65" s="3">
        <v>2412000</v>
      </c>
      <c r="M65" s="3">
        <v>5796000</v>
      </c>
      <c r="N65" s="3">
        <v>0</v>
      </c>
      <c r="O65" s="3">
        <v>8208000</v>
      </c>
      <c r="P65" s="3">
        <v>2635000</v>
      </c>
      <c r="Q65" s="3">
        <v>5796000</v>
      </c>
      <c r="R65" s="3">
        <v>0</v>
      </c>
      <c r="S65" s="3">
        <v>8431000</v>
      </c>
      <c r="T65" s="3">
        <v>2358974.67</v>
      </c>
      <c r="U65" s="3">
        <v>5796000</v>
      </c>
      <c r="V65" s="3">
        <v>0</v>
      </c>
      <c r="W65" s="3">
        <v>8154974.6699999999</v>
      </c>
      <c r="X65" s="3">
        <v>2358974.67</v>
      </c>
      <c r="Y65" s="3">
        <v>5796000</v>
      </c>
      <c r="Z65" s="3">
        <v>0</v>
      </c>
      <c r="AA65" s="3">
        <v>8154974.6699999999</v>
      </c>
      <c r="AB65" s="3">
        <v>2358974.67</v>
      </c>
      <c r="AC65" s="3">
        <v>4529335.76</v>
      </c>
      <c r="AD65" s="3">
        <v>0</v>
      </c>
      <c r="AE65" s="3">
        <v>6888310.4299999997</v>
      </c>
      <c r="AF65" s="3">
        <v>2288920.21</v>
      </c>
      <c r="AG65" s="3">
        <v>3750403.56</v>
      </c>
      <c r="AH65" s="3">
        <v>0</v>
      </c>
      <c r="AI65" s="3">
        <v>6039323.7699999996</v>
      </c>
      <c r="AJ65" s="3">
        <v>2373000</v>
      </c>
      <c r="AK65" s="3">
        <v>5796000</v>
      </c>
      <c r="AL65" s="3">
        <v>0</v>
      </c>
      <c r="AM65" s="3">
        <v>8169000</v>
      </c>
      <c r="AN65" s="3">
        <v>2373000</v>
      </c>
      <c r="AO65" s="3">
        <v>30796000</v>
      </c>
      <c r="AP65" s="3">
        <v>0</v>
      </c>
      <c r="AQ65" s="3">
        <v>33169000</v>
      </c>
      <c r="AR65" s="3">
        <v>2596000</v>
      </c>
      <c r="AS65" s="3">
        <v>30796000</v>
      </c>
      <c r="AT65" s="3">
        <v>0</v>
      </c>
      <c r="AU65" s="3">
        <v>33392000</v>
      </c>
      <c r="AV65" s="3">
        <v>3347649.11</v>
      </c>
      <c r="AW65" s="3">
        <v>32062664.239999998</v>
      </c>
      <c r="AX65" s="3">
        <v>0</v>
      </c>
      <c r="AY65" s="3">
        <v>35410313.350000001</v>
      </c>
      <c r="AZ65" s="3">
        <v>3347649.11</v>
      </c>
      <c r="BA65" s="3">
        <v>30631664.239999998</v>
      </c>
      <c r="BB65" s="3">
        <v>0</v>
      </c>
      <c r="BC65" s="3">
        <v>33979313.350000001</v>
      </c>
      <c r="BD65" s="3">
        <v>3347649.11</v>
      </c>
      <c r="BE65" s="3">
        <v>4766960.6900000004</v>
      </c>
      <c r="BF65" s="3">
        <v>0</v>
      </c>
      <c r="BG65" s="3">
        <v>8114609.7999999998</v>
      </c>
      <c r="BH65" s="3">
        <v>3347649.11</v>
      </c>
      <c r="BI65" s="6">
        <v>4248377.97</v>
      </c>
      <c r="BJ65" s="6">
        <v>0</v>
      </c>
      <c r="BK65" s="6">
        <v>7596027.0800000001</v>
      </c>
      <c r="BL65" s="3">
        <v>2373000</v>
      </c>
      <c r="BM65" s="3">
        <v>10455000</v>
      </c>
      <c r="BN65" s="3">
        <v>0</v>
      </c>
      <c r="BO65" s="3">
        <v>12828000</v>
      </c>
      <c r="BP65" s="3">
        <v>2373000</v>
      </c>
      <c r="BQ65" s="3">
        <v>10455000</v>
      </c>
      <c r="BR65" s="3">
        <v>0</v>
      </c>
      <c r="BS65" s="3">
        <v>12828000</v>
      </c>
      <c r="BT65" s="3">
        <v>2596000</v>
      </c>
      <c r="BU65" s="3">
        <v>10455000</v>
      </c>
      <c r="BV65" s="3">
        <v>0</v>
      </c>
      <c r="BW65" s="3">
        <v>13051000</v>
      </c>
      <c r="BX65" s="3">
        <v>2477545.9500000002</v>
      </c>
      <c r="BY65" s="3">
        <v>7832637.7400000002</v>
      </c>
      <c r="BZ65" s="3">
        <v>0</v>
      </c>
      <c r="CA65" s="3">
        <v>10310183.689999999</v>
      </c>
      <c r="CB65" s="3">
        <v>2477545.9500000002</v>
      </c>
      <c r="CC65" s="3">
        <v>7832637.7400000002</v>
      </c>
      <c r="CD65" s="3">
        <v>0</v>
      </c>
      <c r="CE65" s="3">
        <v>10310183.689999999</v>
      </c>
      <c r="CF65" s="3">
        <v>2477545.9500000002</v>
      </c>
      <c r="CG65" s="3">
        <v>1290638.99</v>
      </c>
      <c r="CH65" s="3">
        <v>0</v>
      </c>
      <c r="CI65" s="3">
        <v>3768184.94</v>
      </c>
      <c r="CJ65" s="3">
        <v>2446143.5499999998</v>
      </c>
      <c r="CK65" s="3">
        <v>955624.93</v>
      </c>
      <c r="CL65" s="3">
        <v>0</v>
      </c>
      <c r="CM65" s="3">
        <v>3401768.48</v>
      </c>
      <c r="CN65" s="3">
        <v>3593000</v>
      </c>
      <c r="CO65" s="3">
        <v>620000</v>
      </c>
      <c r="CP65" s="3">
        <v>0</v>
      </c>
      <c r="CQ65" s="3">
        <v>4213000</v>
      </c>
      <c r="CR65" s="3">
        <v>3593000</v>
      </c>
      <c r="CS65" s="3">
        <v>16307000</v>
      </c>
      <c r="CT65" s="3">
        <v>0</v>
      </c>
      <c r="CU65" s="3">
        <v>19900000</v>
      </c>
      <c r="CV65" s="3">
        <v>3932000</v>
      </c>
      <c r="CW65" s="3">
        <v>16307000</v>
      </c>
      <c r="CX65" s="3">
        <v>0</v>
      </c>
      <c r="CY65" s="3">
        <v>20239000</v>
      </c>
      <c r="CZ65" s="3">
        <v>3667714.58</v>
      </c>
      <c r="DA65" s="3">
        <v>16311998.33</v>
      </c>
      <c r="DB65" s="3">
        <v>0</v>
      </c>
      <c r="DC65" s="3">
        <v>19979712.91</v>
      </c>
      <c r="DD65" s="3">
        <v>3667714.58</v>
      </c>
      <c r="DE65" s="3">
        <v>16311998.33</v>
      </c>
      <c r="DF65" s="3">
        <v>0</v>
      </c>
      <c r="DG65" s="3">
        <v>19979712.91</v>
      </c>
      <c r="DH65" s="3">
        <v>3635243.06</v>
      </c>
      <c r="DI65" s="3">
        <v>1245961.8700000001</v>
      </c>
      <c r="DJ65" s="3">
        <v>0</v>
      </c>
      <c r="DK65" s="3">
        <v>4881204.93</v>
      </c>
      <c r="DL65" s="3">
        <v>3635173.17</v>
      </c>
      <c r="DM65" s="3">
        <v>866242.09</v>
      </c>
      <c r="DN65" s="3">
        <v>0</v>
      </c>
      <c r="DO65" s="3">
        <v>4501415.26</v>
      </c>
      <c r="DP65" s="3">
        <v>3744000</v>
      </c>
      <c r="DQ65" s="3">
        <v>620000</v>
      </c>
      <c r="DR65" s="3">
        <v>0</v>
      </c>
      <c r="DS65" s="3">
        <v>4364000</v>
      </c>
      <c r="DT65" s="3">
        <v>3744000</v>
      </c>
      <c r="DU65" s="3">
        <v>620000</v>
      </c>
      <c r="DV65" s="3">
        <v>0</v>
      </c>
      <c r="DW65" s="3">
        <v>4364000</v>
      </c>
      <c r="DX65" s="3">
        <v>4096000</v>
      </c>
      <c r="DY65" s="3">
        <v>620000</v>
      </c>
      <c r="DZ65" s="3">
        <v>0</v>
      </c>
      <c r="EA65" s="3">
        <v>4716000</v>
      </c>
      <c r="EB65" s="3">
        <v>4042573.8</v>
      </c>
      <c r="EC65" s="3">
        <v>15611036.130000001</v>
      </c>
      <c r="ED65" s="3">
        <v>0</v>
      </c>
      <c r="EE65" s="3">
        <v>19653609.93</v>
      </c>
      <c r="EF65" s="3">
        <v>4042573.8</v>
      </c>
      <c r="EG65" s="3">
        <v>15611036.130000001</v>
      </c>
      <c r="EH65" s="3">
        <v>0</v>
      </c>
      <c r="EI65" s="3">
        <v>19653609.93</v>
      </c>
      <c r="EJ65" s="3">
        <v>3589489.25</v>
      </c>
      <c r="EK65" s="3">
        <v>6792246.0899999999</v>
      </c>
      <c r="EL65" s="3">
        <v>0</v>
      </c>
      <c r="EM65" s="3">
        <v>10381735.34</v>
      </c>
      <c r="EN65" s="3">
        <v>3568431.9</v>
      </c>
      <c r="EO65" s="3">
        <v>6188499.6799999997</v>
      </c>
      <c r="EP65" s="3">
        <v>0</v>
      </c>
      <c r="EQ65" s="3">
        <v>9756931.5800000001</v>
      </c>
      <c r="ER65" s="3">
        <v>3275000</v>
      </c>
      <c r="ES65" s="3">
        <v>643000</v>
      </c>
      <c r="ET65" s="3">
        <v>0</v>
      </c>
      <c r="EU65" s="3">
        <v>3918000</v>
      </c>
      <c r="EV65" s="3">
        <v>3275000</v>
      </c>
      <c r="EW65" s="3">
        <v>96894000</v>
      </c>
      <c r="EX65" s="3">
        <v>0</v>
      </c>
      <c r="EY65" s="3">
        <v>100169000</v>
      </c>
      <c r="EZ65" s="3">
        <v>3583000</v>
      </c>
      <c r="FA65" s="3">
        <v>96894000</v>
      </c>
      <c r="FB65" s="3">
        <v>0</v>
      </c>
      <c r="FC65" s="3">
        <v>100477000</v>
      </c>
      <c r="FD65" s="3">
        <v>4108155.67</v>
      </c>
      <c r="FE65" s="3">
        <v>96897113.299999997</v>
      </c>
      <c r="FF65" s="3">
        <v>0</v>
      </c>
      <c r="FG65" s="3">
        <v>101005268.97</v>
      </c>
      <c r="FH65" s="3">
        <v>4108155.67</v>
      </c>
      <c r="FI65" s="3">
        <v>96897113.299999997</v>
      </c>
      <c r="FJ65" s="3">
        <v>0</v>
      </c>
      <c r="FK65" s="3">
        <v>101005268.97</v>
      </c>
      <c r="FL65" s="3">
        <v>4108155.67</v>
      </c>
      <c r="FM65" s="3">
        <v>4241001.79</v>
      </c>
      <c r="FN65" s="3">
        <v>0</v>
      </c>
      <c r="FO65" s="3">
        <v>8349157.46</v>
      </c>
      <c r="FP65" s="3">
        <v>4064785.86</v>
      </c>
      <c r="FQ65" s="3">
        <v>3533348.31</v>
      </c>
      <c r="FR65" s="3">
        <v>0</v>
      </c>
      <c r="FS65" s="3">
        <v>7598134.1699999999</v>
      </c>
      <c r="FT65" s="3">
        <v>3290000</v>
      </c>
      <c r="FU65" s="3">
        <v>100458000</v>
      </c>
      <c r="FV65" s="3">
        <v>0</v>
      </c>
      <c r="FW65" s="3">
        <v>103748000</v>
      </c>
      <c r="FX65" s="3">
        <v>3290000</v>
      </c>
      <c r="FY65" s="3">
        <v>150458000</v>
      </c>
      <c r="FZ65" s="3">
        <v>0</v>
      </c>
      <c r="GA65" s="3">
        <v>153748000</v>
      </c>
      <c r="GB65" s="3">
        <v>3599000</v>
      </c>
      <c r="GC65" s="3">
        <v>150458000</v>
      </c>
      <c r="GD65" s="3">
        <v>0</v>
      </c>
      <c r="GE65" s="3">
        <v>154057000</v>
      </c>
      <c r="GF65" s="3">
        <v>5137266.05</v>
      </c>
      <c r="GG65" s="3">
        <v>243110998.21000001</v>
      </c>
      <c r="GH65" s="3">
        <v>0</v>
      </c>
      <c r="GI65" s="3">
        <v>248248264.25999999</v>
      </c>
      <c r="GJ65" s="3">
        <v>5137266.05</v>
      </c>
      <c r="GK65" s="3">
        <v>243110998.21000001</v>
      </c>
      <c r="GL65" s="3">
        <v>0</v>
      </c>
      <c r="GM65" s="3">
        <v>248248264.25999999</v>
      </c>
      <c r="GN65" s="3">
        <v>5137266.05</v>
      </c>
      <c r="GO65" s="3">
        <v>112077497.54000001</v>
      </c>
      <c r="GP65" s="3">
        <v>0</v>
      </c>
      <c r="GQ65" s="3">
        <v>117214763.59</v>
      </c>
      <c r="GR65" s="3">
        <v>4942809.5</v>
      </c>
      <c r="GS65" s="3">
        <v>25272119.170000002</v>
      </c>
      <c r="GT65" s="3">
        <v>0</v>
      </c>
      <c r="GU65" s="3">
        <v>30214928.670000002</v>
      </c>
      <c r="GV65" s="3">
        <v>3929000</v>
      </c>
      <c r="GW65" s="3">
        <v>4731000</v>
      </c>
      <c r="GX65" s="3">
        <v>0</v>
      </c>
      <c r="GY65" s="3">
        <v>8660000</v>
      </c>
      <c r="GZ65" s="3">
        <v>3929000</v>
      </c>
      <c r="HA65" s="3">
        <v>4731000</v>
      </c>
      <c r="HB65" s="3">
        <v>0</v>
      </c>
      <c r="HC65" s="3">
        <v>8660000</v>
      </c>
      <c r="HD65" s="3">
        <v>4295000</v>
      </c>
      <c r="HE65" s="3">
        <v>4731000</v>
      </c>
      <c r="HF65" s="3">
        <v>0</v>
      </c>
      <c r="HG65" s="3">
        <v>9026000</v>
      </c>
      <c r="HH65" s="3">
        <v>18816624.140000001</v>
      </c>
      <c r="HI65" s="3">
        <v>114474190.8</v>
      </c>
      <c r="HJ65" s="3">
        <v>14032570</v>
      </c>
      <c r="HK65" s="3">
        <v>147323384.94</v>
      </c>
      <c r="HL65" s="3">
        <v>18816624.140000001</v>
      </c>
      <c r="HM65" s="3">
        <v>114474190.8</v>
      </c>
      <c r="HN65" s="3">
        <v>14032570</v>
      </c>
      <c r="HO65" s="3">
        <v>147323384.94</v>
      </c>
      <c r="HP65" s="3">
        <v>18803738.739999998</v>
      </c>
      <c r="HQ65" s="3">
        <v>73400653.760000005</v>
      </c>
      <c r="HR65" s="3">
        <v>11773932.859999999</v>
      </c>
      <c r="HS65" s="3">
        <v>103978325.36</v>
      </c>
      <c r="HT65" s="3">
        <v>18356772.289999999</v>
      </c>
      <c r="HU65" s="3">
        <v>41889786.399999999</v>
      </c>
      <c r="HV65" s="3">
        <v>6607812.8600000003</v>
      </c>
      <c r="HW65" s="3">
        <v>66854371.549999997</v>
      </c>
      <c r="HX65" s="3">
        <v>2376000</v>
      </c>
      <c r="HY65" s="3">
        <v>4804000</v>
      </c>
      <c r="HZ65" s="3">
        <v>0</v>
      </c>
      <c r="IA65" s="3">
        <v>7180000</v>
      </c>
      <c r="IB65" s="3">
        <v>2376000</v>
      </c>
      <c r="IC65" s="3">
        <v>4804000</v>
      </c>
      <c r="ID65" s="3">
        <v>0</v>
      </c>
      <c r="IE65" s="3">
        <v>7180000</v>
      </c>
      <c r="IF65" s="3"/>
      <c r="IG65" s="3"/>
      <c r="IH65" s="3"/>
      <c r="II65" s="3"/>
      <c r="IJ65" s="3"/>
      <c r="IK65" s="3"/>
      <c r="IL65" s="3"/>
      <c r="IM65" s="3"/>
      <c r="IN65" s="3"/>
      <c r="IO65" s="3"/>
      <c r="IP65" s="3"/>
      <c r="IQ65" s="3"/>
      <c r="IR65" s="3"/>
      <c r="IS65" s="3"/>
      <c r="IT65" s="3"/>
      <c r="IU65" s="3"/>
      <c r="IV65" s="3"/>
      <c r="IW65" s="3"/>
      <c r="IX65" s="3"/>
      <c r="IY65" s="3"/>
      <c r="IZ65" s="3">
        <v>0</v>
      </c>
      <c r="JA65" s="3">
        <v>3241000</v>
      </c>
      <c r="JB65" s="3">
        <v>0</v>
      </c>
      <c r="JC65" s="3">
        <v>3241000</v>
      </c>
      <c r="JD65" s="3"/>
      <c r="JE65" s="3"/>
      <c r="JF65" s="3"/>
      <c r="JG65" s="3"/>
    </row>
    <row r="66" spans="1:267" x14ac:dyDescent="0.25">
      <c r="A66" t="s">
        <v>505</v>
      </c>
      <c r="B66" t="s">
        <v>397</v>
      </c>
      <c r="C66" t="s">
        <v>199</v>
      </c>
      <c r="D66" t="s">
        <v>200</v>
      </c>
      <c r="E66" t="s">
        <v>295</v>
      </c>
      <c r="F66" t="s">
        <v>554</v>
      </c>
      <c r="G66" t="s">
        <v>456</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v>0</v>
      </c>
      <c r="ES66" s="3">
        <v>602639000</v>
      </c>
      <c r="ET66" s="3">
        <v>0</v>
      </c>
      <c r="EU66" s="3">
        <v>602639000</v>
      </c>
      <c r="EV66" s="3"/>
      <c r="EW66" s="3"/>
      <c r="EX66" s="3"/>
      <c r="EY66" s="3"/>
      <c r="EZ66" s="3"/>
      <c r="FA66" s="3"/>
      <c r="FB66" s="3"/>
      <c r="FC66" s="3"/>
      <c r="FD66" s="3"/>
      <c r="FE66" s="3"/>
      <c r="FF66" s="3"/>
      <c r="FG66" s="3"/>
      <c r="FH66" s="3"/>
      <c r="FI66" s="3"/>
      <c r="FJ66" s="3"/>
      <c r="FK66" s="3"/>
      <c r="FL66" s="3"/>
      <c r="FM66" s="3"/>
      <c r="FN66" s="3"/>
      <c r="FO66" s="3"/>
      <c r="FP66" s="3"/>
      <c r="FQ66" s="3"/>
      <c r="FR66" s="3"/>
      <c r="FS66" s="3"/>
      <c r="FT66" s="3">
        <v>0</v>
      </c>
      <c r="FU66" s="3">
        <v>604382000</v>
      </c>
      <c r="FV66" s="3">
        <v>0</v>
      </c>
      <c r="FW66" s="3">
        <v>604382000</v>
      </c>
      <c r="FX66" s="3">
        <v>0</v>
      </c>
      <c r="FY66" s="3">
        <v>0</v>
      </c>
      <c r="FZ66" s="3">
        <v>0</v>
      </c>
      <c r="GA66" s="3">
        <v>0</v>
      </c>
      <c r="GB66" s="3">
        <v>0</v>
      </c>
      <c r="GC66" s="3">
        <v>0</v>
      </c>
      <c r="GD66" s="3">
        <v>0</v>
      </c>
      <c r="GE66" s="3">
        <v>0</v>
      </c>
      <c r="GF66" s="3">
        <v>0</v>
      </c>
      <c r="GG66" s="3">
        <v>0</v>
      </c>
      <c r="GH66" s="3">
        <v>0</v>
      </c>
      <c r="GI66" s="3">
        <v>0</v>
      </c>
      <c r="GJ66" s="3">
        <v>0</v>
      </c>
      <c r="GK66" s="3">
        <v>0</v>
      </c>
      <c r="GL66" s="3">
        <v>0</v>
      </c>
      <c r="GM66" s="3">
        <v>0</v>
      </c>
      <c r="GN66" s="3">
        <v>0</v>
      </c>
      <c r="GO66" s="3">
        <v>0</v>
      </c>
      <c r="GP66" s="3">
        <v>0</v>
      </c>
      <c r="GQ66" s="3">
        <v>0</v>
      </c>
      <c r="GR66" s="3">
        <v>0</v>
      </c>
      <c r="GS66" s="3">
        <v>0</v>
      </c>
      <c r="GT66" s="3">
        <v>0</v>
      </c>
      <c r="GU66" s="3">
        <v>0</v>
      </c>
      <c r="GV66" s="3">
        <v>0</v>
      </c>
      <c r="GW66" s="3">
        <v>505024000</v>
      </c>
      <c r="GX66" s="3">
        <v>0</v>
      </c>
      <c r="GY66" s="3">
        <v>505024000</v>
      </c>
      <c r="GZ66" s="3">
        <v>0</v>
      </c>
      <c r="HA66" s="3">
        <v>505024000</v>
      </c>
      <c r="HB66" s="3">
        <v>0</v>
      </c>
      <c r="HC66" s="3">
        <v>505024000</v>
      </c>
      <c r="HD66" s="3">
        <v>0</v>
      </c>
      <c r="HE66" s="3">
        <v>505024000</v>
      </c>
      <c r="HF66" s="3">
        <v>0</v>
      </c>
      <c r="HG66" s="3">
        <v>505024000</v>
      </c>
      <c r="HH66" s="3">
        <v>0</v>
      </c>
      <c r="HI66" s="3">
        <v>505024000</v>
      </c>
      <c r="HJ66" s="3">
        <v>0</v>
      </c>
      <c r="HK66" s="3">
        <v>505024000</v>
      </c>
      <c r="HL66" s="3">
        <v>0</v>
      </c>
      <c r="HM66" s="3">
        <v>505024000</v>
      </c>
      <c r="HN66" s="3">
        <v>0</v>
      </c>
      <c r="HO66" s="3">
        <v>505024000</v>
      </c>
      <c r="HP66" s="3">
        <v>0</v>
      </c>
      <c r="HQ66" s="3">
        <v>257023678.03</v>
      </c>
      <c r="HR66" s="3">
        <v>0</v>
      </c>
      <c r="HS66" s="3">
        <v>257023678.03</v>
      </c>
      <c r="HT66" s="3">
        <v>0</v>
      </c>
      <c r="HU66" s="3">
        <v>3069638.56</v>
      </c>
      <c r="HV66" s="3">
        <v>0</v>
      </c>
      <c r="HW66" s="3">
        <v>3069638.56</v>
      </c>
      <c r="HX66" s="3">
        <v>0</v>
      </c>
      <c r="HY66" s="3">
        <v>458349000</v>
      </c>
      <c r="HZ66" s="3">
        <v>0</v>
      </c>
      <c r="IA66" s="3">
        <v>458349000</v>
      </c>
      <c r="IB66" s="3">
        <v>0</v>
      </c>
      <c r="IC66" s="3">
        <v>458349000</v>
      </c>
      <c r="ID66" s="3">
        <v>0</v>
      </c>
      <c r="IE66" s="3">
        <v>458349000</v>
      </c>
      <c r="IF66" s="3"/>
      <c r="IG66" s="3"/>
      <c r="IH66" s="3"/>
      <c r="II66" s="3"/>
      <c r="IJ66" s="3"/>
      <c r="IK66" s="3"/>
      <c r="IL66" s="3"/>
      <c r="IM66" s="3"/>
      <c r="IN66" s="3"/>
      <c r="IO66" s="3"/>
      <c r="IP66" s="3"/>
      <c r="IQ66" s="3"/>
      <c r="IR66" s="3"/>
      <c r="IS66" s="3"/>
      <c r="IT66" s="3"/>
      <c r="IU66" s="3"/>
      <c r="IV66" s="3"/>
      <c r="IW66" s="3"/>
      <c r="IX66" s="3"/>
      <c r="IY66" s="3"/>
      <c r="IZ66" s="3">
        <v>0</v>
      </c>
      <c r="JA66" s="3">
        <v>719823000</v>
      </c>
      <c r="JB66" s="3">
        <v>0</v>
      </c>
      <c r="JC66" s="3">
        <v>719823000</v>
      </c>
      <c r="JD66" s="3"/>
      <c r="JE66" s="3"/>
      <c r="JF66" s="3"/>
      <c r="JG66" s="3"/>
    </row>
    <row r="67" spans="1:267" x14ac:dyDescent="0.25">
      <c r="A67" t="s">
        <v>505</v>
      </c>
      <c r="B67" t="s">
        <v>397</v>
      </c>
      <c r="C67" t="s">
        <v>555</v>
      </c>
      <c r="D67" t="s">
        <v>457</v>
      </c>
      <c r="E67" t="s">
        <v>201</v>
      </c>
      <c r="F67" t="s">
        <v>202</v>
      </c>
      <c r="G67" t="s">
        <v>203</v>
      </c>
      <c r="H67" s="3">
        <v>13508000</v>
      </c>
      <c r="I67" s="3">
        <v>9214000</v>
      </c>
      <c r="J67" s="3">
        <v>656000</v>
      </c>
      <c r="K67" s="3">
        <v>23378000</v>
      </c>
      <c r="L67" s="3">
        <v>13508000</v>
      </c>
      <c r="M67" s="3">
        <v>9214000</v>
      </c>
      <c r="N67" s="3">
        <v>656000</v>
      </c>
      <c r="O67" s="3">
        <v>23378000</v>
      </c>
      <c r="P67" s="3"/>
      <c r="Q67" s="3"/>
      <c r="R67" s="3"/>
      <c r="S67" s="3"/>
      <c r="T67" s="3"/>
      <c r="U67" s="3"/>
      <c r="V67" s="3"/>
      <c r="W67" s="3"/>
      <c r="X67" s="3"/>
      <c r="Y67" s="3"/>
      <c r="Z67" s="3"/>
      <c r="AA67" s="3"/>
      <c r="AB67" s="3"/>
      <c r="AC67" s="3"/>
      <c r="AD67" s="3"/>
      <c r="AE67" s="3"/>
      <c r="AF67" s="3"/>
      <c r="AG67" s="3"/>
      <c r="AH67" s="3"/>
      <c r="AI67" s="3"/>
      <c r="AJ67" s="3">
        <v>16149000</v>
      </c>
      <c r="AK67" s="3">
        <v>10983000</v>
      </c>
      <c r="AL67" s="3">
        <v>429000</v>
      </c>
      <c r="AM67" s="3">
        <v>27561000</v>
      </c>
      <c r="AN67" s="3">
        <v>16149000</v>
      </c>
      <c r="AO67" s="3">
        <v>14592000</v>
      </c>
      <c r="AP67" s="3">
        <v>429000</v>
      </c>
      <c r="AQ67" s="3">
        <v>31170000</v>
      </c>
      <c r="AR67" s="3"/>
      <c r="AS67" s="3"/>
      <c r="AT67" s="3"/>
      <c r="AU67" s="3"/>
      <c r="AV67" s="3"/>
      <c r="AW67" s="3"/>
      <c r="AX67" s="3"/>
      <c r="AY67" s="3"/>
      <c r="AZ67" s="3"/>
      <c r="BA67" s="3"/>
      <c r="BB67" s="3"/>
      <c r="BC67" s="3"/>
      <c r="BD67" s="3"/>
      <c r="BE67" s="3"/>
      <c r="BF67" s="3"/>
      <c r="BG67" s="3"/>
      <c r="BH67" s="3"/>
      <c r="BI67" s="3"/>
      <c r="BJ67" s="3"/>
      <c r="BK67" s="3"/>
      <c r="BL67" s="3">
        <v>15896000</v>
      </c>
      <c r="BM67" s="3">
        <v>8594000</v>
      </c>
      <c r="BN67" s="3">
        <v>257000</v>
      </c>
      <c r="BO67" s="3">
        <v>24747000</v>
      </c>
      <c r="BP67" s="3">
        <v>15896000</v>
      </c>
      <c r="BQ67" s="3">
        <v>13628000</v>
      </c>
      <c r="BR67" s="3">
        <v>1157000</v>
      </c>
      <c r="BS67" s="3">
        <v>30681000</v>
      </c>
      <c r="BT67" s="3"/>
      <c r="BU67" s="3"/>
      <c r="BV67" s="3"/>
      <c r="BW67" s="3"/>
      <c r="BX67" s="3"/>
      <c r="BY67" s="3"/>
      <c r="BZ67" s="3"/>
      <c r="CA67" s="3"/>
      <c r="CB67" s="3"/>
      <c r="CC67" s="3"/>
      <c r="CD67" s="3"/>
      <c r="CE67" s="3"/>
      <c r="CF67" s="3"/>
      <c r="CG67" s="3"/>
      <c r="CH67" s="3"/>
      <c r="CI67" s="3"/>
      <c r="CJ67" s="3"/>
      <c r="CK67" s="3"/>
      <c r="CL67" s="3"/>
      <c r="CM67" s="3"/>
      <c r="CN67" s="3">
        <v>14277000</v>
      </c>
      <c r="CO67" s="3">
        <v>8428000</v>
      </c>
      <c r="CP67" s="3">
        <v>0</v>
      </c>
      <c r="CQ67" s="3">
        <v>22705000</v>
      </c>
      <c r="CR67" s="3">
        <v>14277000</v>
      </c>
      <c r="CS67" s="3">
        <v>13917000</v>
      </c>
      <c r="CT67" s="3">
        <v>3720000</v>
      </c>
      <c r="CU67" s="3">
        <v>31914000</v>
      </c>
      <c r="CV67" s="3"/>
      <c r="CW67" s="3"/>
      <c r="CX67" s="3"/>
      <c r="CY67" s="3"/>
      <c r="CZ67" s="3"/>
      <c r="DA67" s="3"/>
      <c r="DB67" s="3"/>
      <c r="DC67" s="3"/>
      <c r="DD67" s="3"/>
      <c r="DE67" s="3"/>
      <c r="DF67" s="3"/>
      <c r="DG67" s="3"/>
      <c r="DH67" s="3"/>
      <c r="DI67" s="3"/>
      <c r="DJ67" s="3"/>
      <c r="DK67" s="3"/>
      <c r="DL67" s="3"/>
      <c r="DM67" s="3"/>
      <c r="DN67" s="3"/>
      <c r="DO67" s="3"/>
      <c r="DP67" s="3">
        <v>14856000</v>
      </c>
      <c r="DQ67" s="3">
        <v>8428000</v>
      </c>
      <c r="DR67" s="3">
        <v>0</v>
      </c>
      <c r="DS67" s="3">
        <v>23284000</v>
      </c>
      <c r="DT67" s="3">
        <v>14856000</v>
      </c>
      <c r="DU67" s="3">
        <v>20252000</v>
      </c>
      <c r="DV67" s="3">
        <v>4585000</v>
      </c>
      <c r="DW67" s="3">
        <v>39693000</v>
      </c>
      <c r="DX67" s="3"/>
      <c r="DY67" s="3"/>
      <c r="DZ67" s="3"/>
      <c r="EA67" s="3"/>
      <c r="EB67" s="3"/>
      <c r="EC67" s="3"/>
      <c r="ED67" s="3"/>
      <c r="EE67" s="3"/>
      <c r="EF67" s="3"/>
      <c r="EG67" s="3"/>
      <c r="EH67" s="3"/>
      <c r="EI67" s="3"/>
      <c r="EJ67" s="3"/>
      <c r="EK67" s="3"/>
      <c r="EL67" s="3"/>
      <c r="EM67" s="3"/>
      <c r="EN67" s="3"/>
      <c r="EO67" s="3"/>
      <c r="EP67" s="3"/>
      <c r="EQ67" s="3"/>
      <c r="ER67" s="3">
        <v>20042000</v>
      </c>
      <c r="ES67" s="3">
        <v>8736000</v>
      </c>
      <c r="ET67" s="3">
        <v>0</v>
      </c>
      <c r="EU67" s="3">
        <v>28778000</v>
      </c>
      <c r="EV67" s="3">
        <v>20042000</v>
      </c>
      <c r="EW67" s="3">
        <v>28236000</v>
      </c>
      <c r="EX67" s="3">
        <v>2000000</v>
      </c>
      <c r="EY67" s="3">
        <v>50278000</v>
      </c>
      <c r="EZ67" s="3"/>
      <c r="FA67" s="3"/>
      <c r="FB67" s="3"/>
      <c r="FC67" s="3"/>
      <c r="FD67" s="3"/>
      <c r="FE67" s="3"/>
      <c r="FF67" s="3"/>
      <c r="FG67" s="3"/>
      <c r="FH67" s="3"/>
      <c r="FI67" s="3"/>
      <c r="FJ67" s="3"/>
      <c r="FK67" s="3"/>
      <c r="FL67" s="3"/>
      <c r="FM67" s="3"/>
      <c r="FN67" s="3"/>
      <c r="FO67" s="3"/>
      <c r="FP67" s="3"/>
      <c r="FQ67" s="3"/>
      <c r="FR67" s="3"/>
      <c r="FS67" s="3"/>
      <c r="FT67" s="3">
        <v>20175000</v>
      </c>
      <c r="FU67" s="3">
        <v>11089000</v>
      </c>
      <c r="FV67" s="3">
        <v>0</v>
      </c>
      <c r="FW67" s="3">
        <v>31264000</v>
      </c>
      <c r="FX67" s="3">
        <v>20175000</v>
      </c>
      <c r="FY67" s="3">
        <v>14089000</v>
      </c>
      <c r="FZ67" s="3">
        <v>0</v>
      </c>
      <c r="GA67" s="3">
        <v>34264000</v>
      </c>
      <c r="GB67" s="3"/>
      <c r="GC67" s="3"/>
      <c r="GD67" s="3"/>
      <c r="GE67" s="3"/>
      <c r="GF67" s="3"/>
      <c r="GG67" s="3"/>
      <c r="GH67" s="3"/>
      <c r="GI67" s="3"/>
      <c r="GJ67" s="3"/>
      <c r="GK67" s="3"/>
      <c r="GL67" s="3"/>
      <c r="GM67" s="3"/>
      <c r="GN67" s="3"/>
      <c r="GO67" s="3"/>
      <c r="GP67" s="3"/>
      <c r="GQ67" s="3"/>
      <c r="GR67" s="3"/>
      <c r="GS67" s="3"/>
      <c r="GT67" s="3"/>
      <c r="GU67" s="3"/>
      <c r="GV67" s="3">
        <v>20872000</v>
      </c>
      <c r="GW67" s="3">
        <v>24881000</v>
      </c>
      <c r="GX67" s="3">
        <v>8338000</v>
      </c>
      <c r="GY67" s="3">
        <v>54091000</v>
      </c>
      <c r="GZ67" s="3">
        <v>20872000</v>
      </c>
      <c r="HA67" s="3">
        <v>35881000</v>
      </c>
      <c r="HB67" s="3">
        <v>9338000</v>
      </c>
      <c r="HC67" s="3">
        <v>66091000</v>
      </c>
      <c r="HD67" s="3"/>
      <c r="HE67" s="3"/>
      <c r="HF67" s="3"/>
      <c r="HG67" s="3"/>
      <c r="HH67" s="3"/>
      <c r="HI67" s="3"/>
      <c r="HJ67" s="3"/>
      <c r="HK67" s="3"/>
      <c r="HL67" s="3"/>
      <c r="HM67" s="3"/>
      <c r="HN67" s="3"/>
      <c r="HO67" s="3"/>
      <c r="HP67" s="3"/>
      <c r="HQ67" s="3"/>
      <c r="HR67" s="3"/>
      <c r="HS67" s="3"/>
      <c r="HT67" s="3"/>
      <c r="HU67" s="3"/>
      <c r="HV67" s="3"/>
      <c r="HW67" s="3"/>
      <c r="HX67" s="3">
        <v>22253000</v>
      </c>
      <c r="HY67" s="3">
        <v>18055000</v>
      </c>
      <c r="HZ67" s="3">
        <v>0</v>
      </c>
      <c r="IA67" s="3">
        <v>40308000</v>
      </c>
      <c r="IB67" s="3">
        <v>22253000</v>
      </c>
      <c r="IC67" s="3">
        <v>35055000</v>
      </c>
      <c r="ID67" s="3">
        <v>0</v>
      </c>
      <c r="IE67" s="3">
        <v>57308000</v>
      </c>
      <c r="IF67" s="3"/>
      <c r="IG67" s="3"/>
      <c r="IH67" s="3"/>
      <c r="II67" s="3"/>
      <c r="IJ67" s="3"/>
      <c r="IK67" s="3"/>
      <c r="IL67" s="3"/>
      <c r="IM67" s="3"/>
      <c r="IN67" s="3"/>
      <c r="IO67" s="3"/>
      <c r="IP67" s="3"/>
      <c r="IQ67" s="3"/>
      <c r="IR67" s="3"/>
      <c r="IS67" s="3"/>
      <c r="IT67" s="3"/>
      <c r="IU67" s="3"/>
      <c r="IV67" s="3"/>
      <c r="IW67" s="3"/>
      <c r="IX67" s="3"/>
      <c r="IY67" s="3"/>
      <c r="IZ67" s="3">
        <v>23288000</v>
      </c>
      <c r="JA67" s="3">
        <v>26469000</v>
      </c>
      <c r="JB67" s="3">
        <v>0</v>
      </c>
      <c r="JC67" s="3">
        <v>49757000</v>
      </c>
      <c r="JD67" s="3"/>
      <c r="JE67" s="3"/>
      <c r="JF67" s="3"/>
      <c r="JG67" s="3"/>
    </row>
    <row r="68" spans="1:267" x14ac:dyDescent="0.25">
      <c r="A68" t="s">
        <v>505</v>
      </c>
      <c r="B68" t="s">
        <v>397</v>
      </c>
      <c r="C68" t="s">
        <v>555</v>
      </c>
      <c r="D68" t="s">
        <v>457</v>
      </c>
      <c r="E68" t="s">
        <v>201</v>
      </c>
      <c r="F68" t="s">
        <v>204</v>
      </c>
      <c r="G68" t="s">
        <v>205</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v>321000</v>
      </c>
      <c r="CO68" s="3">
        <v>0</v>
      </c>
      <c r="CP68" s="3">
        <v>0</v>
      </c>
      <c r="CQ68" s="3">
        <v>321000</v>
      </c>
      <c r="CR68" s="3">
        <v>321000</v>
      </c>
      <c r="CS68" s="3">
        <v>0</v>
      </c>
      <c r="CT68" s="3">
        <v>0</v>
      </c>
      <c r="CU68" s="3">
        <v>321000</v>
      </c>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v>124000</v>
      </c>
      <c r="HY68" s="3">
        <v>0</v>
      </c>
      <c r="HZ68" s="3">
        <v>0</v>
      </c>
      <c r="IA68" s="3">
        <v>124000</v>
      </c>
      <c r="IB68" s="3">
        <v>124000</v>
      </c>
      <c r="IC68" s="3">
        <v>0</v>
      </c>
      <c r="ID68" s="3">
        <v>0</v>
      </c>
      <c r="IE68" s="3">
        <v>124000</v>
      </c>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row>
    <row r="69" spans="1:267" x14ac:dyDescent="0.25">
      <c r="A69" t="s">
        <v>505</v>
      </c>
      <c r="B69" t="s">
        <v>397</v>
      </c>
      <c r="C69" t="s">
        <v>555</v>
      </c>
      <c r="D69" t="s">
        <v>457</v>
      </c>
      <c r="E69" t="s">
        <v>217</v>
      </c>
      <c r="F69" t="s">
        <v>218</v>
      </c>
      <c r="G69" t="s">
        <v>458</v>
      </c>
      <c r="H69" s="3">
        <v>3011000</v>
      </c>
      <c r="I69" s="3">
        <v>5767000</v>
      </c>
      <c r="J69" s="3">
        <v>0</v>
      </c>
      <c r="K69" s="3">
        <v>8778000</v>
      </c>
      <c r="L69" s="3">
        <v>3011000</v>
      </c>
      <c r="M69" s="3">
        <v>12767000</v>
      </c>
      <c r="N69" s="3">
        <v>0</v>
      </c>
      <c r="O69" s="3">
        <v>15778000</v>
      </c>
      <c r="P69" s="3"/>
      <c r="Q69" s="3"/>
      <c r="R69" s="3"/>
      <c r="S69" s="3"/>
      <c r="T69" s="3"/>
      <c r="U69" s="3"/>
      <c r="V69" s="3"/>
      <c r="W69" s="3"/>
      <c r="X69" s="3"/>
      <c r="Y69" s="3"/>
      <c r="Z69" s="3"/>
      <c r="AA69" s="3"/>
      <c r="AB69" s="3"/>
      <c r="AC69" s="3"/>
      <c r="AD69" s="3"/>
      <c r="AE69" s="3"/>
      <c r="AF69" s="3"/>
      <c r="AG69" s="3"/>
      <c r="AH69" s="3"/>
      <c r="AI69" s="3"/>
      <c r="AJ69" s="3">
        <v>2297000</v>
      </c>
      <c r="AK69" s="3">
        <v>10800000</v>
      </c>
      <c r="AL69" s="3">
        <v>0</v>
      </c>
      <c r="AM69" s="3">
        <v>13097000</v>
      </c>
      <c r="AN69" s="3">
        <v>2297000</v>
      </c>
      <c r="AO69" s="3">
        <v>26960000</v>
      </c>
      <c r="AP69" s="3">
        <v>0</v>
      </c>
      <c r="AQ69" s="3">
        <v>29257000</v>
      </c>
      <c r="AR69" s="3"/>
      <c r="AS69" s="3"/>
      <c r="AT69" s="3"/>
      <c r="AU69" s="3"/>
      <c r="AV69" s="3"/>
      <c r="AW69" s="3"/>
      <c r="AX69" s="3"/>
      <c r="AY69" s="3"/>
      <c r="AZ69" s="3"/>
      <c r="BA69" s="3"/>
      <c r="BB69" s="3"/>
      <c r="BC69" s="3"/>
      <c r="BD69" s="3"/>
      <c r="BE69" s="3"/>
      <c r="BF69" s="3"/>
      <c r="BG69" s="3"/>
      <c r="BH69" s="3"/>
      <c r="BI69" s="3"/>
      <c r="BJ69" s="3"/>
      <c r="BK69" s="3"/>
      <c r="BL69" s="3">
        <v>3534000</v>
      </c>
      <c r="BM69" s="3">
        <v>17685000</v>
      </c>
      <c r="BN69" s="3">
        <v>0</v>
      </c>
      <c r="BO69" s="3">
        <v>21219000</v>
      </c>
      <c r="BP69" s="3">
        <v>3534000</v>
      </c>
      <c r="BQ69" s="3">
        <v>42685000</v>
      </c>
      <c r="BR69" s="3">
        <v>0</v>
      </c>
      <c r="BS69" s="3">
        <v>46219000</v>
      </c>
      <c r="BT69" s="3"/>
      <c r="BU69" s="3"/>
      <c r="BV69" s="3"/>
      <c r="BW69" s="3"/>
      <c r="BX69" s="3"/>
      <c r="BY69" s="3"/>
      <c r="BZ69" s="3"/>
      <c r="CA69" s="3"/>
      <c r="CB69" s="3"/>
      <c r="CC69" s="3"/>
      <c r="CD69" s="3"/>
      <c r="CE69" s="3"/>
      <c r="CF69" s="3"/>
      <c r="CG69" s="3"/>
      <c r="CH69" s="3"/>
      <c r="CI69" s="3"/>
      <c r="CJ69" s="3"/>
      <c r="CK69" s="3"/>
      <c r="CL69" s="3"/>
      <c r="CM69" s="3"/>
      <c r="CN69" s="3">
        <v>5800000</v>
      </c>
      <c r="CO69" s="3">
        <v>12002000</v>
      </c>
      <c r="CP69" s="3">
        <v>0</v>
      </c>
      <c r="CQ69" s="3">
        <v>17802000</v>
      </c>
      <c r="CR69" s="3">
        <v>5800000</v>
      </c>
      <c r="CS69" s="3">
        <v>38323000</v>
      </c>
      <c r="CT69" s="3">
        <v>0</v>
      </c>
      <c r="CU69" s="3">
        <v>44123000</v>
      </c>
      <c r="CV69" s="3"/>
      <c r="CW69" s="3"/>
      <c r="CX69" s="3"/>
      <c r="CY69" s="3"/>
      <c r="CZ69" s="3"/>
      <c r="DA69" s="3"/>
      <c r="DB69" s="3"/>
      <c r="DC69" s="3"/>
      <c r="DD69" s="3"/>
      <c r="DE69" s="3"/>
      <c r="DF69" s="3"/>
      <c r="DG69" s="3"/>
      <c r="DH69" s="3"/>
      <c r="DI69" s="3"/>
      <c r="DJ69" s="3"/>
      <c r="DK69" s="3"/>
      <c r="DL69" s="3"/>
      <c r="DM69" s="3"/>
      <c r="DN69" s="3"/>
      <c r="DO69" s="3"/>
      <c r="DP69" s="3">
        <v>5630000</v>
      </c>
      <c r="DQ69" s="3">
        <v>10502000</v>
      </c>
      <c r="DR69" s="3">
        <v>0</v>
      </c>
      <c r="DS69" s="3">
        <v>16132000</v>
      </c>
      <c r="DT69" s="3">
        <v>5630000</v>
      </c>
      <c r="DU69" s="3">
        <v>40929000</v>
      </c>
      <c r="DV69" s="3">
        <v>0</v>
      </c>
      <c r="DW69" s="3">
        <v>46559000</v>
      </c>
      <c r="DX69" s="3"/>
      <c r="DY69" s="3"/>
      <c r="DZ69" s="3"/>
      <c r="EA69" s="3"/>
      <c r="EB69" s="3"/>
      <c r="EC69" s="3"/>
      <c r="ED69" s="3"/>
      <c r="EE69" s="3"/>
      <c r="EF69" s="3"/>
      <c r="EG69" s="3"/>
      <c r="EH69" s="3"/>
      <c r="EI69" s="3"/>
      <c r="EJ69" s="3"/>
      <c r="EK69" s="3"/>
      <c r="EL69" s="3"/>
      <c r="EM69" s="3"/>
      <c r="EN69" s="3"/>
      <c r="EO69" s="3"/>
      <c r="EP69" s="3"/>
      <c r="EQ69" s="3"/>
      <c r="ER69" s="3">
        <v>12412000</v>
      </c>
      <c r="ES69" s="3">
        <v>12441000</v>
      </c>
      <c r="ET69" s="3">
        <v>0</v>
      </c>
      <c r="EU69" s="3">
        <v>24853000</v>
      </c>
      <c r="EV69" s="3">
        <v>12412000</v>
      </c>
      <c r="EW69" s="3">
        <v>65197000</v>
      </c>
      <c r="EX69" s="3">
        <v>0</v>
      </c>
      <c r="EY69" s="3">
        <v>77609000</v>
      </c>
      <c r="EZ69" s="3"/>
      <c r="FA69" s="3"/>
      <c r="FB69" s="3"/>
      <c r="FC69" s="3"/>
      <c r="FD69" s="3"/>
      <c r="FE69" s="3"/>
      <c r="FF69" s="3"/>
      <c r="FG69" s="3"/>
      <c r="FH69" s="3"/>
      <c r="FI69" s="3"/>
      <c r="FJ69" s="3"/>
      <c r="FK69" s="3"/>
      <c r="FL69" s="3"/>
      <c r="FM69" s="3"/>
      <c r="FN69" s="3"/>
      <c r="FO69" s="3"/>
      <c r="FP69" s="3"/>
      <c r="FQ69" s="3"/>
      <c r="FR69" s="3"/>
      <c r="FS69" s="3"/>
      <c r="FT69" s="3">
        <v>13097000</v>
      </c>
      <c r="FU69" s="3">
        <v>73606000</v>
      </c>
      <c r="FV69" s="3">
        <v>0</v>
      </c>
      <c r="FW69" s="3">
        <v>86703000</v>
      </c>
      <c r="FX69" s="3">
        <v>13097000</v>
      </c>
      <c r="FY69" s="3">
        <v>165151000</v>
      </c>
      <c r="FZ69" s="3">
        <v>0</v>
      </c>
      <c r="GA69" s="3">
        <v>178248000</v>
      </c>
      <c r="GB69" s="3"/>
      <c r="GC69" s="3"/>
      <c r="GD69" s="3"/>
      <c r="GE69" s="3"/>
      <c r="GF69" s="3"/>
      <c r="GG69" s="3"/>
      <c r="GH69" s="3"/>
      <c r="GI69" s="3"/>
      <c r="GJ69" s="3"/>
      <c r="GK69" s="3"/>
      <c r="GL69" s="3"/>
      <c r="GM69" s="3"/>
      <c r="GN69" s="3"/>
      <c r="GO69" s="3"/>
      <c r="GP69" s="3"/>
      <c r="GQ69" s="3"/>
      <c r="GR69" s="3"/>
      <c r="GS69" s="3"/>
      <c r="GT69" s="3"/>
      <c r="GU69" s="3"/>
      <c r="GV69" s="3">
        <v>14566000</v>
      </c>
      <c r="GW69" s="3">
        <v>60597000</v>
      </c>
      <c r="GX69" s="3">
        <v>0</v>
      </c>
      <c r="GY69" s="3">
        <v>75163000</v>
      </c>
      <c r="GZ69" s="3">
        <v>14566000</v>
      </c>
      <c r="HA69" s="3">
        <v>239580000</v>
      </c>
      <c r="HB69" s="3">
        <v>0</v>
      </c>
      <c r="HC69" s="3">
        <v>254146000</v>
      </c>
      <c r="HD69" s="3"/>
      <c r="HE69" s="3"/>
      <c r="HF69" s="3"/>
      <c r="HG69" s="3"/>
      <c r="HH69" s="3"/>
      <c r="HI69" s="3"/>
      <c r="HJ69" s="3"/>
      <c r="HK69" s="3"/>
      <c r="HL69" s="3"/>
      <c r="HM69" s="3"/>
      <c r="HN69" s="3"/>
      <c r="HO69" s="3"/>
      <c r="HP69" s="3"/>
      <c r="HQ69" s="3"/>
      <c r="HR69" s="3"/>
      <c r="HS69" s="3"/>
      <c r="HT69" s="3"/>
      <c r="HU69" s="3"/>
      <c r="HV69" s="3"/>
      <c r="HW69" s="3"/>
      <c r="HX69" s="3">
        <v>15149000</v>
      </c>
      <c r="HY69" s="3">
        <v>76472000</v>
      </c>
      <c r="HZ69" s="3">
        <v>0</v>
      </c>
      <c r="IA69" s="3">
        <v>91621000</v>
      </c>
      <c r="IB69" s="3">
        <v>15149000</v>
      </c>
      <c r="IC69" s="3">
        <v>103472000</v>
      </c>
      <c r="ID69" s="3">
        <v>0</v>
      </c>
      <c r="IE69" s="3">
        <v>118621000</v>
      </c>
      <c r="IF69" s="3"/>
      <c r="IG69" s="3"/>
      <c r="IH69" s="3"/>
      <c r="II69" s="3"/>
      <c r="IJ69" s="3"/>
      <c r="IK69" s="3"/>
      <c r="IL69" s="3"/>
      <c r="IM69" s="3"/>
      <c r="IN69" s="3"/>
      <c r="IO69" s="3"/>
      <c r="IP69" s="3"/>
      <c r="IQ69" s="3"/>
      <c r="IR69" s="3"/>
      <c r="IS69" s="3"/>
      <c r="IT69" s="3"/>
      <c r="IU69" s="3"/>
      <c r="IV69" s="3"/>
      <c r="IW69" s="3"/>
      <c r="IX69" s="3"/>
      <c r="IY69" s="3"/>
      <c r="IZ69" s="3">
        <v>15959000</v>
      </c>
      <c r="JA69" s="3">
        <v>78837000</v>
      </c>
      <c r="JB69" s="3">
        <v>0</v>
      </c>
      <c r="JC69" s="3">
        <v>94796000</v>
      </c>
      <c r="JD69" s="3"/>
      <c r="JE69" s="3"/>
      <c r="JF69" s="3"/>
      <c r="JG69" s="3"/>
    </row>
    <row r="70" spans="1:267" x14ac:dyDescent="0.25">
      <c r="A70" t="s">
        <v>505</v>
      </c>
      <c r="B70" t="s">
        <v>397</v>
      </c>
      <c r="C70" t="s">
        <v>555</v>
      </c>
      <c r="D70" t="s">
        <v>457</v>
      </c>
      <c r="E70" t="s">
        <v>217</v>
      </c>
      <c r="F70" t="s">
        <v>220</v>
      </c>
      <c r="G70" t="s">
        <v>459</v>
      </c>
      <c r="H70" s="3">
        <v>2167000</v>
      </c>
      <c r="I70" s="3">
        <v>1600000</v>
      </c>
      <c r="J70" s="3">
        <v>0</v>
      </c>
      <c r="K70" s="3">
        <v>3767000</v>
      </c>
      <c r="L70" s="3">
        <v>2167000</v>
      </c>
      <c r="M70" s="3">
        <v>1600000</v>
      </c>
      <c r="N70" s="3">
        <v>0</v>
      </c>
      <c r="O70" s="3">
        <v>3767000</v>
      </c>
      <c r="P70" s="3"/>
      <c r="Q70" s="3"/>
      <c r="R70" s="3"/>
      <c r="S70" s="3"/>
      <c r="T70" s="3"/>
      <c r="U70" s="3"/>
      <c r="V70" s="3"/>
      <c r="W70" s="3"/>
      <c r="X70" s="3"/>
      <c r="Y70" s="3"/>
      <c r="Z70" s="3"/>
      <c r="AA70" s="3"/>
      <c r="AB70" s="3"/>
      <c r="AC70" s="3"/>
      <c r="AD70" s="3"/>
      <c r="AE70" s="3"/>
      <c r="AF70" s="3"/>
      <c r="AG70" s="3"/>
      <c r="AH70" s="3"/>
      <c r="AI70" s="3"/>
      <c r="AJ70" s="3">
        <v>2913000</v>
      </c>
      <c r="AK70" s="3">
        <v>1550000</v>
      </c>
      <c r="AL70" s="3">
        <v>0</v>
      </c>
      <c r="AM70" s="3">
        <v>4463000</v>
      </c>
      <c r="AN70" s="3">
        <v>2913000</v>
      </c>
      <c r="AO70" s="3">
        <v>1550000</v>
      </c>
      <c r="AP70" s="3">
        <v>0</v>
      </c>
      <c r="AQ70" s="3">
        <v>4463000</v>
      </c>
      <c r="AR70" s="3"/>
      <c r="AS70" s="3"/>
      <c r="AT70" s="3"/>
      <c r="AU70" s="3"/>
      <c r="AV70" s="3"/>
      <c r="AW70" s="3"/>
      <c r="AX70" s="3"/>
      <c r="AY70" s="3"/>
      <c r="AZ70" s="3"/>
      <c r="BA70" s="3"/>
      <c r="BB70" s="3"/>
      <c r="BC70" s="3"/>
      <c r="BD70" s="3"/>
      <c r="BE70" s="3"/>
      <c r="BF70" s="3"/>
      <c r="BG70" s="3"/>
      <c r="BH70" s="3"/>
      <c r="BI70" s="3"/>
      <c r="BJ70" s="3"/>
      <c r="BK70" s="3"/>
      <c r="BL70" s="3">
        <v>2908000</v>
      </c>
      <c r="BM70" s="3">
        <v>2117000</v>
      </c>
      <c r="BN70" s="3">
        <v>0</v>
      </c>
      <c r="BO70" s="3">
        <v>5025000</v>
      </c>
      <c r="BP70" s="3">
        <v>2908000</v>
      </c>
      <c r="BQ70" s="3">
        <v>2117000</v>
      </c>
      <c r="BR70" s="3">
        <v>0</v>
      </c>
      <c r="BS70" s="3">
        <v>5025000</v>
      </c>
      <c r="BT70" s="3"/>
      <c r="BU70" s="3"/>
      <c r="BV70" s="3"/>
      <c r="BW70" s="3"/>
      <c r="BX70" s="3"/>
      <c r="BY70" s="3"/>
      <c r="BZ70" s="3"/>
      <c r="CA70" s="3"/>
      <c r="CB70" s="3"/>
      <c r="CC70" s="3"/>
      <c r="CD70" s="3"/>
      <c r="CE70" s="3"/>
      <c r="CF70" s="3"/>
      <c r="CG70" s="3"/>
      <c r="CH70" s="3"/>
      <c r="CI70" s="3"/>
      <c r="CJ70" s="3"/>
      <c r="CK70" s="3"/>
      <c r="CL70" s="3"/>
      <c r="CM70" s="3"/>
      <c r="CN70" s="3">
        <v>3090000</v>
      </c>
      <c r="CO70" s="3">
        <v>333000</v>
      </c>
      <c r="CP70" s="3">
        <v>0</v>
      </c>
      <c r="CQ70" s="3">
        <v>3423000</v>
      </c>
      <c r="CR70" s="3">
        <v>3090000</v>
      </c>
      <c r="CS70" s="3">
        <v>2233000</v>
      </c>
      <c r="CT70" s="3">
        <v>0</v>
      </c>
      <c r="CU70" s="3">
        <v>5323000</v>
      </c>
      <c r="CV70" s="3"/>
      <c r="CW70" s="3"/>
      <c r="CX70" s="3"/>
      <c r="CY70" s="3"/>
      <c r="CZ70" s="3"/>
      <c r="DA70" s="3"/>
      <c r="DB70" s="3"/>
      <c r="DC70" s="3"/>
      <c r="DD70" s="3"/>
      <c r="DE70" s="3"/>
      <c r="DF70" s="3"/>
      <c r="DG70" s="3"/>
      <c r="DH70" s="3"/>
      <c r="DI70" s="3"/>
      <c r="DJ70" s="3"/>
      <c r="DK70" s="3"/>
      <c r="DL70" s="3"/>
      <c r="DM70" s="3"/>
      <c r="DN70" s="3"/>
      <c r="DO70" s="3"/>
      <c r="DP70" s="3">
        <v>2638000</v>
      </c>
      <c r="DQ70" s="3">
        <v>1500000</v>
      </c>
      <c r="DR70" s="3">
        <v>0</v>
      </c>
      <c r="DS70" s="3">
        <v>4138000</v>
      </c>
      <c r="DT70" s="3">
        <v>2638000</v>
      </c>
      <c r="DU70" s="3">
        <v>8983000</v>
      </c>
      <c r="DV70" s="3">
        <v>0</v>
      </c>
      <c r="DW70" s="3">
        <v>11621000</v>
      </c>
      <c r="DX70" s="3"/>
      <c r="DY70" s="3"/>
      <c r="DZ70" s="3"/>
      <c r="EA70" s="3"/>
      <c r="EB70" s="3"/>
      <c r="EC70" s="3"/>
      <c r="ED70" s="3"/>
      <c r="EE70" s="3"/>
      <c r="EF70" s="3"/>
      <c r="EG70" s="3"/>
      <c r="EH70" s="3"/>
      <c r="EI70" s="3"/>
      <c r="EJ70" s="3"/>
      <c r="EK70" s="3"/>
      <c r="EL70" s="3"/>
      <c r="EM70" s="3"/>
      <c r="EN70" s="3"/>
      <c r="EO70" s="3"/>
      <c r="EP70" s="3"/>
      <c r="EQ70" s="3"/>
      <c r="ER70" s="3">
        <v>4405000</v>
      </c>
      <c r="ES70" s="3">
        <v>1600000</v>
      </c>
      <c r="ET70" s="3">
        <v>0</v>
      </c>
      <c r="EU70" s="3">
        <v>6005000</v>
      </c>
      <c r="EV70" s="3">
        <v>4405000</v>
      </c>
      <c r="EW70" s="3">
        <v>4600000</v>
      </c>
      <c r="EX70" s="3">
        <v>0</v>
      </c>
      <c r="EY70" s="3">
        <v>9005000</v>
      </c>
      <c r="EZ70" s="3"/>
      <c r="FA70" s="3"/>
      <c r="FB70" s="3"/>
      <c r="FC70" s="3"/>
      <c r="FD70" s="3"/>
      <c r="FE70" s="3"/>
      <c r="FF70" s="3"/>
      <c r="FG70" s="3"/>
      <c r="FH70" s="3"/>
      <c r="FI70" s="3"/>
      <c r="FJ70" s="3"/>
      <c r="FK70" s="3"/>
      <c r="FL70" s="3"/>
      <c r="FM70" s="3"/>
      <c r="FN70" s="3"/>
      <c r="FO70" s="3"/>
      <c r="FP70" s="3"/>
      <c r="FQ70" s="3"/>
      <c r="FR70" s="3"/>
      <c r="FS70" s="3"/>
      <c r="FT70" s="3">
        <v>4135000</v>
      </c>
      <c r="FU70" s="3">
        <v>2085000</v>
      </c>
      <c r="FV70" s="3">
        <v>0</v>
      </c>
      <c r="FW70" s="3">
        <v>6220000</v>
      </c>
      <c r="FX70" s="3">
        <v>4135000</v>
      </c>
      <c r="FY70" s="3">
        <v>8085000</v>
      </c>
      <c r="FZ70" s="3">
        <v>0</v>
      </c>
      <c r="GA70" s="3">
        <v>12220000</v>
      </c>
      <c r="GB70" s="3"/>
      <c r="GC70" s="3"/>
      <c r="GD70" s="3"/>
      <c r="GE70" s="3"/>
      <c r="GF70" s="3"/>
      <c r="GG70" s="3"/>
      <c r="GH70" s="3"/>
      <c r="GI70" s="3"/>
      <c r="GJ70" s="3"/>
      <c r="GK70" s="3"/>
      <c r="GL70" s="3"/>
      <c r="GM70" s="3"/>
      <c r="GN70" s="3"/>
      <c r="GO70" s="3"/>
      <c r="GP70" s="3"/>
      <c r="GQ70" s="3"/>
      <c r="GR70" s="3"/>
      <c r="GS70" s="3"/>
      <c r="GT70" s="3"/>
      <c r="GU70" s="3"/>
      <c r="GV70" s="3">
        <v>6002000</v>
      </c>
      <c r="GW70" s="3">
        <v>6085000</v>
      </c>
      <c r="GX70" s="3">
        <v>0</v>
      </c>
      <c r="GY70" s="3">
        <v>12087000</v>
      </c>
      <c r="GZ70" s="3">
        <v>6002000</v>
      </c>
      <c r="HA70" s="3">
        <v>6085000</v>
      </c>
      <c r="HB70" s="3">
        <v>0</v>
      </c>
      <c r="HC70" s="3">
        <v>12087000</v>
      </c>
      <c r="HD70" s="3"/>
      <c r="HE70" s="3"/>
      <c r="HF70" s="3"/>
      <c r="HG70" s="3"/>
      <c r="HH70" s="3"/>
      <c r="HI70" s="3"/>
      <c r="HJ70" s="3"/>
      <c r="HK70" s="3"/>
      <c r="HL70" s="3"/>
      <c r="HM70" s="3"/>
      <c r="HN70" s="3"/>
      <c r="HO70" s="3"/>
      <c r="HP70" s="3"/>
      <c r="HQ70" s="3"/>
      <c r="HR70" s="3"/>
      <c r="HS70" s="3"/>
      <c r="HT70" s="3"/>
      <c r="HU70" s="3"/>
      <c r="HV70" s="3"/>
      <c r="HW70" s="3"/>
      <c r="HX70" s="3">
        <v>6324000</v>
      </c>
      <c r="HY70" s="3">
        <v>6157000</v>
      </c>
      <c r="HZ70" s="3">
        <v>0</v>
      </c>
      <c r="IA70" s="3">
        <v>12481000</v>
      </c>
      <c r="IB70" s="3">
        <v>6324000</v>
      </c>
      <c r="IC70" s="3">
        <v>9157000</v>
      </c>
      <c r="ID70" s="3">
        <v>0</v>
      </c>
      <c r="IE70" s="3">
        <v>15481000</v>
      </c>
      <c r="IF70" s="3"/>
      <c r="IG70" s="3"/>
      <c r="IH70" s="3"/>
      <c r="II70" s="3"/>
      <c r="IJ70" s="3"/>
      <c r="IK70" s="3"/>
      <c r="IL70" s="3"/>
      <c r="IM70" s="3"/>
      <c r="IN70" s="3"/>
      <c r="IO70" s="3"/>
      <c r="IP70" s="3"/>
      <c r="IQ70" s="3"/>
      <c r="IR70" s="3"/>
      <c r="IS70" s="3"/>
      <c r="IT70" s="3"/>
      <c r="IU70" s="3"/>
      <c r="IV70" s="3"/>
      <c r="IW70" s="3"/>
      <c r="IX70" s="3"/>
      <c r="IY70" s="3"/>
      <c r="IZ70" s="3">
        <v>6648000</v>
      </c>
      <c r="JA70" s="3">
        <v>6268000</v>
      </c>
      <c r="JB70" s="3">
        <v>0</v>
      </c>
      <c r="JC70" s="3">
        <v>12916000</v>
      </c>
      <c r="JD70" s="3"/>
      <c r="JE70" s="3"/>
      <c r="JF70" s="3"/>
      <c r="JG70" s="3"/>
    </row>
    <row r="71" spans="1:267" x14ac:dyDescent="0.25">
      <c r="A71" t="s">
        <v>505</v>
      </c>
      <c r="B71" t="s">
        <v>397</v>
      </c>
      <c r="C71" t="s">
        <v>555</v>
      </c>
      <c r="D71" t="s">
        <v>457</v>
      </c>
      <c r="E71" t="s">
        <v>217</v>
      </c>
      <c r="F71" t="s">
        <v>222</v>
      </c>
      <c r="G71" t="s">
        <v>460</v>
      </c>
      <c r="H71" s="3">
        <v>289000</v>
      </c>
      <c r="I71" s="3">
        <v>1479000</v>
      </c>
      <c r="J71" s="3">
        <v>0</v>
      </c>
      <c r="K71" s="3">
        <v>1768000</v>
      </c>
      <c r="L71" s="3">
        <v>289000</v>
      </c>
      <c r="M71" s="3">
        <v>1479000</v>
      </c>
      <c r="N71" s="3">
        <v>0</v>
      </c>
      <c r="O71" s="3">
        <v>1768000</v>
      </c>
      <c r="P71" s="3"/>
      <c r="Q71" s="3"/>
      <c r="R71" s="3"/>
      <c r="S71" s="3"/>
      <c r="T71" s="3"/>
      <c r="U71" s="3"/>
      <c r="V71" s="3"/>
      <c r="W71" s="3"/>
      <c r="X71" s="3"/>
      <c r="Y71" s="3"/>
      <c r="Z71" s="3"/>
      <c r="AA71" s="3"/>
      <c r="AB71" s="3"/>
      <c r="AC71" s="3"/>
      <c r="AD71" s="3"/>
      <c r="AE71" s="3"/>
      <c r="AF71" s="3"/>
      <c r="AG71" s="3"/>
      <c r="AH71" s="3"/>
      <c r="AI71" s="3"/>
      <c r="AJ71" s="3">
        <v>1740000</v>
      </c>
      <c r="AK71" s="3">
        <v>1907000</v>
      </c>
      <c r="AL71" s="3">
        <v>0</v>
      </c>
      <c r="AM71" s="3">
        <v>3647000</v>
      </c>
      <c r="AN71" s="3">
        <v>1740000</v>
      </c>
      <c r="AO71" s="3">
        <v>1907000</v>
      </c>
      <c r="AP71" s="3">
        <v>0</v>
      </c>
      <c r="AQ71" s="3">
        <v>3647000</v>
      </c>
      <c r="AR71" s="3"/>
      <c r="AS71" s="3"/>
      <c r="AT71" s="3"/>
      <c r="AU71" s="3"/>
      <c r="AV71" s="3"/>
      <c r="AW71" s="3"/>
      <c r="AX71" s="3"/>
      <c r="AY71" s="3"/>
      <c r="AZ71" s="3"/>
      <c r="BA71" s="3"/>
      <c r="BB71" s="3"/>
      <c r="BC71" s="3"/>
      <c r="BD71" s="3"/>
      <c r="BE71" s="3"/>
      <c r="BF71" s="3"/>
      <c r="BG71" s="3"/>
      <c r="BH71" s="3"/>
      <c r="BI71" s="3"/>
      <c r="BJ71" s="3"/>
      <c r="BK71" s="3"/>
      <c r="BL71" s="3">
        <v>1601000</v>
      </c>
      <c r="BM71" s="3">
        <v>5132000</v>
      </c>
      <c r="BN71" s="3">
        <v>0</v>
      </c>
      <c r="BO71" s="3">
        <v>6733000</v>
      </c>
      <c r="BP71" s="3">
        <v>1601000</v>
      </c>
      <c r="BQ71" s="3">
        <v>5132000</v>
      </c>
      <c r="BR71" s="3">
        <v>0</v>
      </c>
      <c r="BS71" s="3">
        <v>6733000</v>
      </c>
      <c r="BT71" s="3"/>
      <c r="BU71" s="3"/>
      <c r="BV71" s="3"/>
      <c r="BW71" s="3"/>
      <c r="BX71" s="3"/>
      <c r="BY71" s="3"/>
      <c r="BZ71" s="3"/>
      <c r="CA71" s="3"/>
      <c r="CB71" s="3"/>
      <c r="CC71" s="3"/>
      <c r="CD71" s="3"/>
      <c r="CE71" s="3"/>
      <c r="CF71" s="3"/>
      <c r="CG71" s="3"/>
      <c r="CH71" s="3"/>
      <c r="CI71" s="3"/>
      <c r="CJ71" s="3"/>
      <c r="CK71" s="3"/>
      <c r="CL71" s="3"/>
      <c r="CM71" s="3"/>
      <c r="CN71" s="3">
        <v>700000</v>
      </c>
      <c r="CO71" s="3">
        <v>1145000</v>
      </c>
      <c r="CP71" s="3">
        <v>0</v>
      </c>
      <c r="CQ71" s="3">
        <v>1845000</v>
      </c>
      <c r="CR71" s="3">
        <v>700000</v>
      </c>
      <c r="CS71" s="3">
        <v>4829000</v>
      </c>
      <c r="CT71" s="3">
        <v>0</v>
      </c>
      <c r="CU71" s="3">
        <v>5529000</v>
      </c>
      <c r="CV71" s="3"/>
      <c r="CW71" s="3"/>
      <c r="CX71" s="3"/>
      <c r="CY71" s="3"/>
      <c r="CZ71" s="3"/>
      <c r="DA71" s="3"/>
      <c r="DB71" s="3"/>
      <c r="DC71" s="3"/>
      <c r="DD71" s="3"/>
      <c r="DE71" s="3"/>
      <c r="DF71" s="3"/>
      <c r="DG71" s="3"/>
      <c r="DH71" s="3"/>
      <c r="DI71" s="3"/>
      <c r="DJ71" s="3"/>
      <c r="DK71" s="3"/>
      <c r="DL71" s="3"/>
      <c r="DM71" s="3"/>
      <c r="DN71" s="3"/>
      <c r="DO71" s="3"/>
      <c r="DP71" s="3">
        <v>2532000</v>
      </c>
      <c r="DQ71" s="3">
        <v>1145000</v>
      </c>
      <c r="DR71" s="3">
        <v>0</v>
      </c>
      <c r="DS71" s="3">
        <v>3677000</v>
      </c>
      <c r="DT71" s="3">
        <v>2532000</v>
      </c>
      <c r="DU71" s="3">
        <v>4913000</v>
      </c>
      <c r="DV71" s="3">
        <v>0</v>
      </c>
      <c r="DW71" s="3">
        <v>7445000</v>
      </c>
      <c r="DX71" s="3"/>
      <c r="DY71" s="3"/>
      <c r="DZ71" s="3"/>
      <c r="EA71" s="3"/>
      <c r="EB71" s="3"/>
      <c r="EC71" s="3"/>
      <c r="ED71" s="3"/>
      <c r="EE71" s="3"/>
      <c r="EF71" s="3"/>
      <c r="EG71" s="3"/>
      <c r="EH71" s="3"/>
      <c r="EI71" s="3"/>
      <c r="EJ71" s="3"/>
      <c r="EK71" s="3"/>
      <c r="EL71" s="3"/>
      <c r="EM71" s="3"/>
      <c r="EN71" s="3"/>
      <c r="EO71" s="3"/>
      <c r="EP71" s="3"/>
      <c r="EQ71" s="3"/>
      <c r="ER71" s="3">
        <v>3749000</v>
      </c>
      <c r="ES71" s="3">
        <v>1187000</v>
      </c>
      <c r="ET71" s="3">
        <v>0</v>
      </c>
      <c r="EU71" s="3">
        <v>4936000</v>
      </c>
      <c r="EV71" s="3">
        <v>3749000</v>
      </c>
      <c r="EW71" s="3">
        <v>1187000</v>
      </c>
      <c r="EX71" s="3">
        <v>0</v>
      </c>
      <c r="EY71" s="3">
        <v>4936000</v>
      </c>
      <c r="EZ71" s="3"/>
      <c r="FA71" s="3"/>
      <c r="FB71" s="3"/>
      <c r="FC71" s="3"/>
      <c r="FD71" s="3"/>
      <c r="FE71" s="3"/>
      <c r="FF71" s="3"/>
      <c r="FG71" s="3"/>
      <c r="FH71" s="3"/>
      <c r="FI71" s="3"/>
      <c r="FJ71" s="3"/>
      <c r="FK71" s="3"/>
      <c r="FL71" s="3"/>
      <c r="FM71" s="3"/>
      <c r="FN71" s="3"/>
      <c r="FO71" s="3"/>
      <c r="FP71" s="3"/>
      <c r="FQ71" s="3"/>
      <c r="FR71" s="3"/>
      <c r="FS71" s="3"/>
      <c r="FT71" s="3">
        <v>3076000</v>
      </c>
      <c r="FU71" s="3">
        <v>1208000</v>
      </c>
      <c r="FV71" s="3">
        <v>0</v>
      </c>
      <c r="FW71" s="3">
        <v>4284000</v>
      </c>
      <c r="FX71" s="3">
        <v>3076000</v>
      </c>
      <c r="FY71" s="3">
        <v>6208000</v>
      </c>
      <c r="FZ71" s="3">
        <v>0</v>
      </c>
      <c r="GA71" s="3">
        <v>9284000</v>
      </c>
      <c r="GB71" s="3"/>
      <c r="GC71" s="3"/>
      <c r="GD71" s="3"/>
      <c r="GE71" s="3"/>
      <c r="GF71" s="3"/>
      <c r="GG71" s="3"/>
      <c r="GH71" s="3"/>
      <c r="GI71" s="3"/>
      <c r="GJ71" s="3"/>
      <c r="GK71" s="3"/>
      <c r="GL71" s="3"/>
      <c r="GM71" s="3"/>
      <c r="GN71" s="3"/>
      <c r="GO71" s="3"/>
      <c r="GP71" s="3"/>
      <c r="GQ71" s="3"/>
      <c r="GR71" s="3"/>
      <c r="GS71" s="3"/>
      <c r="GT71" s="3"/>
      <c r="GU71" s="3"/>
      <c r="GV71" s="3">
        <v>3835000</v>
      </c>
      <c r="GW71" s="3">
        <v>1230000</v>
      </c>
      <c r="GX71" s="3">
        <v>0</v>
      </c>
      <c r="GY71" s="3">
        <v>5065000</v>
      </c>
      <c r="GZ71" s="3">
        <v>3835000</v>
      </c>
      <c r="HA71" s="3">
        <v>8230000</v>
      </c>
      <c r="HB71" s="3">
        <v>0</v>
      </c>
      <c r="HC71" s="3">
        <v>12065000</v>
      </c>
      <c r="HD71" s="3"/>
      <c r="HE71" s="3"/>
      <c r="HF71" s="3"/>
      <c r="HG71" s="3"/>
      <c r="HH71" s="3"/>
      <c r="HI71" s="3"/>
      <c r="HJ71" s="3"/>
      <c r="HK71" s="3"/>
      <c r="HL71" s="3"/>
      <c r="HM71" s="3"/>
      <c r="HN71" s="3"/>
      <c r="HO71" s="3"/>
      <c r="HP71" s="3"/>
      <c r="HQ71" s="3"/>
      <c r="HR71" s="3"/>
      <c r="HS71" s="3"/>
      <c r="HT71" s="3"/>
      <c r="HU71" s="3"/>
      <c r="HV71" s="3"/>
      <c r="HW71" s="3"/>
      <c r="HX71" s="3">
        <v>6271000</v>
      </c>
      <c r="HY71" s="3">
        <v>1252000</v>
      </c>
      <c r="HZ71" s="3">
        <v>0</v>
      </c>
      <c r="IA71" s="3">
        <v>7523000</v>
      </c>
      <c r="IB71" s="3">
        <v>6271000</v>
      </c>
      <c r="IC71" s="3">
        <v>4252000</v>
      </c>
      <c r="ID71" s="3">
        <v>0</v>
      </c>
      <c r="IE71" s="3">
        <v>10523000</v>
      </c>
      <c r="IF71" s="3"/>
      <c r="IG71" s="3"/>
      <c r="IH71" s="3"/>
      <c r="II71" s="3"/>
      <c r="IJ71" s="3"/>
      <c r="IK71" s="3"/>
      <c r="IL71" s="3"/>
      <c r="IM71" s="3"/>
      <c r="IN71" s="3"/>
      <c r="IO71" s="3"/>
      <c r="IP71" s="3"/>
      <c r="IQ71" s="3"/>
      <c r="IR71" s="3"/>
      <c r="IS71" s="3"/>
      <c r="IT71" s="3"/>
      <c r="IU71" s="3"/>
      <c r="IV71" s="3"/>
      <c r="IW71" s="3"/>
      <c r="IX71" s="3"/>
      <c r="IY71" s="3"/>
      <c r="IZ71" s="3">
        <v>6645000</v>
      </c>
      <c r="JA71" s="3">
        <v>1125000</v>
      </c>
      <c r="JB71" s="3">
        <v>0</v>
      </c>
      <c r="JC71" s="3">
        <v>7770000</v>
      </c>
      <c r="JD71" s="3"/>
      <c r="JE71" s="3"/>
      <c r="JF71" s="3"/>
      <c r="JG71" s="3"/>
    </row>
    <row r="72" spans="1:267" x14ac:dyDescent="0.25">
      <c r="A72" t="s">
        <v>505</v>
      </c>
      <c r="B72" t="s">
        <v>397</v>
      </c>
      <c r="C72" t="s">
        <v>556</v>
      </c>
      <c r="D72" t="s">
        <v>461</v>
      </c>
      <c r="E72" t="s">
        <v>201</v>
      </c>
      <c r="F72" t="s">
        <v>202</v>
      </c>
      <c r="G72" t="s">
        <v>203</v>
      </c>
      <c r="H72" s="3">
        <v>3560000</v>
      </c>
      <c r="I72" s="3">
        <v>1801000</v>
      </c>
      <c r="J72" s="3">
        <v>0</v>
      </c>
      <c r="K72" s="3">
        <v>5361000</v>
      </c>
      <c r="L72" s="3">
        <v>3560000</v>
      </c>
      <c r="M72" s="3">
        <v>1801000</v>
      </c>
      <c r="N72" s="3">
        <v>0</v>
      </c>
      <c r="O72" s="3">
        <v>5361000</v>
      </c>
      <c r="P72" s="3"/>
      <c r="Q72" s="3"/>
      <c r="R72" s="3"/>
      <c r="S72" s="3"/>
      <c r="T72" s="3"/>
      <c r="U72" s="3"/>
      <c r="V72" s="3"/>
      <c r="W72" s="3"/>
      <c r="X72" s="3"/>
      <c r="Y72" s="3"/>
      <c r="Z72" s="3"/>
      <c r="AA72" s="3"/>
      <c r="AB72" s="3"/>
      <c r="AC72" s="3"/>
      <c r="AD72" s="3"/>
      <c r="AE72" s="3"/>
      <c r="AF72" s="3"/>
      <c r="AG72" s="3"/>
      <c r="AH72" s="3"/>
      <c r="AI72" s="3"/>
      <c r="AJ72" s="3">
        <v>4163000</v>
      </c>
      <c r="AK72" s="3">
        <v>1833000</v>
      </c>
      <c r="AL72" s="3">
        <v>0</v>
      </c>
      <c r="AM72" s="3">
        <v>5996000</v>
      </c>
      <c r="AN72" s="3">
        <v>4163000</v>
      </c>
      <c r="AO72" s="3">
        <v>1833000</v>
      </c>
      <c r="AP72" s="3">
        <v>0</v>
      </c>
      <c r="AQ72" s="3">
        <v>5996000</v>
      </c>
      <c r="AR72" s="3"/>
      <c r="AS72" s="3"/>
      <c r="AT72" s="3"/>
      <c r="AU72" s="3"/>
      <c r="AV72" s="3"/>
      <c r="AW72" s="3"/>
      <c r="AX72" s="3"/>
      <c r="AY72" s="3"/>
      <c r="AZ72" s="3"/>
      <c r="BA72" s="3"/>
      <c r="BB72" s="3"/>
      <c r="BC72" s="3"/>
      <c r="BD72" s="3"/>
      <c r="BE72" s="3"/>
      <c r="BF72" s="3"/>
      <c r="BG72" s="3"/>
      <c r="BH72" s="3"/>
      <c r="BI72" s="3"/>
      <c r="BJ72" s="3"/>
      <c r="BK72" s="3"/>
      <c r="BL72" s="3">
        <v>1987000</v>
      </c>
      <c r="BM72" s="3">
        <v>1866000</v>
      </c>
      <c r="BN72" s="3">
        <v>0</v>
      </c>
      <c r="BO72" s="3">
        <v>3853000</v>
      </c>
      <c r="BP72" s="3">
        <v>1987000</v>
      </c>
      <c r="BQ72" s="3">
        <v>1866000</v>
      </c>
      <c r="BR72" s="3">
        <v>0</v>
      </c>
      <c r="BS72" s="3">
        <v>3853000</v>
      </c>
      <c r="BT72" s="3"/>
      <c r="BU72" s="3"/>
      <c r="BV72" s="3"/>
      <c r="BW72" s="3"/>
      <c r="BX72" s="3"/>
      <c r="BY72" s="3"/>
      <c r="BZ72" s="3"/>
      <c r="CA72" s="3"/>
      <c r="CB72" s="3"/>
      <c r="CC72" s="3"/>
      <c r="CD72" s="3"/>
      <c r="CE72" s="3"/>
      <c r="CF72" s="3"/>
      <c r="CG72" s="3"/>
      <c r="CH72" s="3"/>
      <c r="CI72" s="3"/>
      <c r="CJ72" s="3"/>
      <c r="CK72" s="3"/>
      <c r="CL72" s="3"/>
      <c r="CM72" s="3"/>
      <c r="CN72" s="3">
        <v>3316000</v>
      </c>
      <c r="CO72" s="3">
        <v>1900000</v>
      </c>
      <c r="CP72" s="3">
        <v>0</v>
      </c>
      <c r="CQ72" s="3">
        <v>5216000</v>
      </c>
      <c r="CR72" s="3">
        <v>3316000</v>
      </c>
      <c r="CS72" s="3">
        <v>1900000</v>
      </c>
      <c r="CT72" s="3">
        <v>0</v>
      </c>
      <c r="CU72" s="3">
        <v>5216000</v>
      </c>
      <c r="CV72" s="3"/>
      <c r="CW72" s="3"/>
      <c r="CX72" s="3"/>
      <c r="CY72" s="3"/>
      <c r="CZ72" s="3"/>
      <c r="DA72" s="3"/>
      <c r="DB72" s="3"/>
      <c r="DC72" s="3"/>
      <c r="DD72" s="3"/>
      <c r="DE72" s="3"/>
      <c r="DF72" s="3"/>
      <c r="DG72" s="3"/>
      <c r="DH72" s="3"/>
      <c r="DI72" s="3"/>
      <c r="DJ72" s="3"/>
      <c r="DK72" s="3"/>
      <c r="DL72" s="3"/>
      <c r="DM72" s="3"/>
      <c r="DN72" s="3"/>
      <c r="DO72" s="3"/>
      <c r="DP72" s="3">
        <v>6580000</v>
      </c>
      <c r="DQ72" s="3">
        <v>5236000</v>
      </c>
      <c r="DR72" s="3">
        <v>2000000</v>
      </c>
      <c r="DS72" s="3">
        <v>13816000</v>
      </c>
      <c r="DT72" s="3">
        <v>6580000</v>
      </c>
      <c r="DU72" s="3">
        <v>5236000</v>
      </c>
      <c r="DV72" s="3">
        <v>2600000</v>
      </c>
      <c r="DW72" s="3">
        <v>14416000</v>
      </c>
      <c r="DX72" s="3"/>
      <c r="DY72" s="3"/>
      <c r="DZ72" s="3"/>
      <c r="EA72" s="3"/>
      <c r="EB72" s="3"/>
      <c r="EC72" s="3"/>
      <c r="ED72" s="3"/>
      <c r="EE72" s="3"/>
      <c r="EF72" s="3"/>
      <c r="EG72" s="3"/>
      <c r="EH72" s="3"/>
      <c r="EI72" s="3"/>
      <c r="EJ72" s="3"/>
      <c r="EK72" s="3"/>
      <c r="EL72" s="3"/>
      <c r="EM72" s="3"/>
      <c r="EN72" s="3"/>
      <c r="EO72" s="3"/>
      <c r="EP72" s="3"/>
      <c r="EQ72" s="3"/>
      <c r="ER72" s="3">
        <v>9460000</v>
      </c>
      <c r="ES72" s="3">
        <v>7117000</v>
      </c>
      <c r="ET72" s="3">
        <v>0</v>
      </c>
      <c r="EU72" s="3">
        <v>16577000</v>
      </c>
      <c r="EV72" s="3">
        <v>9460000</v>
      </c>
      <c r="EW72" s="3">
        <v>7117000</v>
      </c>
      <c r="EX72" s="3">
        <v>0</v>
      </c>
      <c r="EY72" s="3">
        <v>16577000</v>
      </c>
      <c r="EZ72" s="3"/>
      <c r="FA72" s="3"/>
      <c r="FB72" s="3"/>
      <c r="FC72" s="3"/>
      <c r="FD72" s="3"/>
      <c r="FE72" s="3"/>
      <c r="FF72" s="3"/>
      <c r="FG72" s="3"/>
      <c r="FH72" s="3"/>
      <c r="FI72" s="3"/>
      <c r="FJ72" s="3"/>
      <c r="FK72" s="3"/>
      <c r="FL72" s="3"/>
      <c r="FM72" s="3"/>
      <c r="FN72" s="3"/>
      <c r="FO72" s="3"/>
      <c r="FP72" s="3"/>
      <c r="FQ72" s="3"/>
      <c r="FR72" s="3"/>
      <c r="FS72" s="3"/>
      <c r="FT72" s="3">
        <v>9694000</v>
      </c>
      <c r="FU72" s="3">
        <v>7245000</v>
      </c>
      <c r="FV72" s="3">
        <v>0</v>
      </c>
      <c r="FW72" s="3">
        <v>16939000</v>
      </c>
      <c r="FX72" s="3">
        <v>9694000</v>
      </c>
      <c r="FY72" s="3">
        <v>23045000</v>
      </c>
      <c r="FZ72" s="3">
        <v>4200000</v>
      </c>
      <c r="GA72" s="3">
        <v>36939000</v>
      </c>
      <c r="GB72" s="3"/>
      <c r="GC72" s="3"/>
      <c r="GD72" s="3"/>
      <c r="GE72" s="3"/>
      <c r="GF72" s="3"/>
      <c r="GG72" s="3"/>
      <c r="GH72" s="3"/>
      <c r="GI72" s="3"/>
      <c r="GJ72" s="3"/>
      <c r="GK72" s="3"/>
      <c r="GL72" s="3"/>
      <c r="GM72" s="3"/>
      <c r="GN72" s="3"/>
      <c r="GO72" s="3"/>
      <c r="GP72" s="3"/>
      <c r="GQ72" s="3"/>
      <c r="GR72" s="3"/>
      <c r="GS72" s="3"/>
      <c r="GT72" s="3"/>
      <c r="GU72" s="3"/>
      <c r="GV72" s="3">
        <v>14877000</v>
      </c>
      <c r="GW72" s="3">
        <v>7375000</v>
      </c>
      <c r="GX72" s="3">
        <v>0</v>
      </c>
      <c r="GY72" s="3">
        <v>22252000</v>
      </c>
      <c r="GZ72" s="3">
        <v>14877000</v>
      </c>
      <c r="HA72" s="3">
        <v>23575000</v>
      </c>
      <c r="HB72" s="3">
        <v>4200000</v>
      </c>
      <c r="HC72" s="3">
        <v>42652000</v>
      </c>
      <c r="HD72" s="3"/>
      <c r="HE72" s="3"/>
      <c r="HF72" s="3"/>
      <c r="HG72" s="3"/>
      <c r="HH72" s="3"/>
      <c r="HI72" s="3"/>
      <c r="HJ72" s="3"/>
      <c r="HK72" s="3"/>
      <c r="HL72" s="3"/>
      <c r="HM72" s="3"/>
      <c r="HN72" s="3"/>
      <c r="HO72" s="3"/>
      <c r="HP72" s="3"/>
      <c r="HQ72" s="3"/>
      <c r="HR72" s="3"/>
      <c r="HS72" s="3"/>
      <c r="HT72" s="3"/>
      <c r="HU72" s="3"/>
      <c r="HV72" s="3"/>
      <c r="HW72" s="3"/>
      <c r="HX72" s="3">
        <v>13635000</v>
      </c>
      <c r="HY72" s="3">
        <v>8284000</v>
      </c>
      <c r="HZ72" s="3">
        <v>0</v>
      </c>
      <c r="IA72" s="3">
        <v>21919000</v>
      </c>
      <c r="IB72" s="3">
        <v>13635000</v>
      </c>
      <c r="IC72" s="3">
        <v>12788000</v>
      </c>
      <c r="ID72" s="3">
        <v>0</v>
      </c>
      <c r="IE72" s="3">
        <v>26423000</v>
      </c>
      <c r="IF72" s="3"/>
      <c r="IG72" s="3"/>
      <c r="IH72" s="3"/>
      <c r="II72" s="3"/>
      <c r="IJ72" s="3"/>
      <c r="IK72" s="3"/>
      <c r="IL72" s="3"/>
      <c r="IM72" s="3"/>
      <c r="IN72" s="3"/>
      <c r="IO72" s="3"/>
      <c r="IP72" s="3"/>
      <c r="IQ72" s="3"/>
      <c r="IR72" s="3"/>
      <c r="IS72" s="3"/>
      <c r="IT72" s="3"/>
      <c r="IU72" s="3"/>
      <c r="IV72" s="3"/>
      <c r="IW72" s="3"/>
      <c r="IX72" s="3"/>
      <c r="IY72" s="3"/>
      <c r="IZ72" s="3">
        <v>14745000</v>
      </c>
      <c r="JA72" s="3">
        <v>16015000</v>
      </c>
      <c r="JB72" s="3">
        <v>0</v>
      </c>
      <c r="JC72" s="3">
        <v>30760000</v>
      </c>
      <c r="JD72" s="3"/>
      <c r="JE72" s="3"/>
      <c r="JF72" s="3"/>
      <c r="JG72" s="3"/>
    </row>
    <row r="73" spans="1:267" x14ac:dyDescent="0.25">
      <c r="A73" t="s">
        <v>505</v>
      </c>
      <c r="B73" t="s">
        <v>397</v>
      </c>
      <c r="C73" t="s">
        <v>556</v>
      </c>
      <c r="D73" t="s">
        <v>461</v>
      </c>
      <c r="E73" t="s">
        <v>217</v>
      </c>
      <c r="F73" t="s">
        <v>218</v>
      </c>
      <c r="G73" t="s">
        <v>462</v>
      </c>
      <c r="H73" s="3">
        <v>1233000</v>
      </c>
      <c r="I73" s="3">
        <v>7804000</v>
      </c>
      <c r="J73" s="3">
        <v>0</v>
      </c>
      <c r="K73" s="3">
        <v>9037000</v>
      </c>
      <c r="L73" s="3">
        <v>1233000</v>
      </c>
      <c r="M73" s="3">
        <v>7804000</v>
      </c>
      <c r="N73" s="3">
        <v>0</v>
      </c>
      <c r="O73" s="3">
        <v>9037000</v>
      </c>
      <c r="P73" s="3"/>
      <c r="Q73" s="3"/>
      <c r="R73" s="3"/>
      <c r="S73" s="3"/>
      <c r="T73" s="3"/>
      <c r="U73" s="3"/>
      <c r="V73" s="3"/>
      <c r="W73" s="3"/>
      <c r="X73" s="3"/>
      <c r="Y73" s="3"/>
      <c r="Z73" s="3"/>
      <c r="AA73" s="3"/>
      <c r="AB73" s="3"/>
      <c r="AC73" s="3"/>
      <c r="AD73" s="3"/>
      <c r="AE73" s="3"/>
      <c r="AF73" s="3"/>
      <c r="AG73" s="3"/>
      <c r="AH73" s="3"/>
      <c r="AI73" s="3"/>
      <c r="AJ73" s="3">
        <v>1290000</v>
      </c>
      <c r="AK73" s="3">
        <v>7865000</v>
      </c>
      <c r="AL73" s="3">
        <v>0</v>
      </c>
      <c r="AM73" s="3">
        <v>9155000</v>
      </c>
      <c r="AN73" s="3">
        <v>1290000</v>
      </c>
      <c r="AO73" s="3">
        <v>7865000</v>
      </c>
      <c r="AP73" s="3">
        <v>0</v>
      </c>
      <c r="AQ73" s="3">
        <v>9155000</v>
      </c>
      <c r="AR73" s="3"/>
      <c r="AS73" s="3"/>
      <c r="AT73" s="3"/>
      <c r="AU73" s="3"/>
      <c r="AV73" s="3"/>
      <c r="AW73" s="3"/>
      <c r="AX73" s="3"/>
      <c r="AY73" s="3"/>
      <c r="AZ73" s="3"/>
      <c r="BA73" s="3"/>
      <c r="BB73" s="3"/>
      <c r="BC73" s="3"/>
      <c r="BD73" s="3"/>
      <c r="BE73" s="3"/>
      <c r="BF73" s="3"/>
      <c r="BG73" s="3"/>
      <c r="BH73" s="3"/>
      <c r="BI73" s="3"/>
      <c r="BJ73" s="3"/>
      <c r="BK73" s="3"/>
      <c r="BL73" s="3">
        <v>1290000</v>
      </c>
      <c r="BM73" s="3">
        <v>7686000</v>
      </c>
      <c r="BN73" s="3">
        <v>0</v>
      </c>
      <c r="BO73" s="3">
        <v>8976000</v>
      </c>
      <c r="BP73" s="3">
        <v>1290000</v>
      </c>
      <c r="BQ73" s="3">
        <v>7686000</v>
      </c>
      <c r="BR73" s="3">
        <v>5000000</v>
      </c>
      <c r="BS73" s="3">
        <v>13976000</v>
      </c>
      <c r="BT73" s="3"/>
      <c r="BU73" s="3"/>
      <c r="BV73" s="3"/>
      <c r="BW73" s="3"/>
      <c r="BX73" s="3"/>
      <c r="BY73" s="3"/>
      <c r="BZ73" s="3"/>
      <c r="CA73" s="3"/>
      <c r="CB73" s="3"/>
      <c r="CC73" s="3"/>
      <c r="CD73" s="3"/>
      <c r="CE73" s="3"/>
      <c r="CF73" s="3"/>
      <c r="CG73" s="3"/>
      <c r="CH73" s="3"/>
      <c r="CI73" s="3"/>
      <c r="CJ73" s="3"/>
      <c r="CK73" s="3"/>
      <c r="CL73" s="3"/>
      <c r="CM73" s="3"/>
      <c r="CN73" s="3">
        <v>4036000</v>
      </c>
      <c r="CO73" s="3">
        <v>7824000</v>
      </c>
      <c r="CP73" s="3">
        <v>0</v>
      </c>
      <c r="CQ73" s="3">
        <v>11860000</v>
      </c>
      <c r="CR73" s="3">
        <v>4036000</v>
      </c>
      <c r="CS73" s="3">
        <v>15824000</v>
      </c>
      <c r="CT73" s="3">
        <v>0</v>
      </c>
      <c r="CU73" s="3">
        <v>19860000</v>
      </c>
      <c r="CV73" s="3"/>
      <c r="CW73" s="3"/>
      <c r="CX73" s="3"/>
      <c r="CY73" s="3"/>
      <c r="CZ73" s="3"/>
      <c r="DA73" s="3"/>
      <c r="DB73" s="3"/>
      <c r="DC73" s="3"/>
      <c r="DD73" s="3"/>
      <c r="DE73" s="3"/>
      <c r="DF73" s="3"/>
      <c r="DG73" s="3"/>
      <c r="DH73" s="3"/>
      <c r="DI73" s="3"/>
      <c r="DJ73" s="3"/>
      <c r="DK73" s="3"/>
      <c r="DL73" s="3"/>
      <c r="DM73" s="3"/>
      <c r="DN73" s="3"/>
      <c r="DO73" s="3"/>
      <c r="DP73" s="3">
        <v>5063000</v>
      </c>
      <c r="DQ73" s="3">
        <v>7824000</v>
      </c>
      <c r="DR73" s="3">
        <v>0</v>
      </c>
      <c r="DS73" s="3">
        <v>12887000</v>
      </c>
      <c r="DT73" s="3">
        <v>5063000</v>
      </c>
      <c r="DU73" s="3">
        <v>16744000</v>
      </c>
      <c r="DV73" s="3">
        <v>4000000</v>
      </c>
      <c r="DW73" s="3">
        <v>25807000</v>
      </c>
      <c r="DX73" s="3"/>
      <c r="DY73" s="3"/>
      <c r="DZ73" s="3"/>
      <c r="EA73" s="3"/>
      <c r="EB73" s="3"/>
      <c r="EC73" s="3"/>
      <c r="ED73" s="3"/>
      <c r="EE73" s="3"/>
      <c r="EF73" s="3"/>
      <c r="EG73" s="3"/>
      <c r="EH73" s="3"/>
      <c r="EI73" s="3"/>
      <c r="EJ73" s="3"/>
      <c r="EK73" s="3"/>
      <c r="EL73" s="3"/>
      <c r="EM73" s="3"/>
      <c r="EN73" s="3"/>
      <c r="EO73" s="3"/>
      <c r="EP73" s="3"/>
      <c r="EQ73" s="3"/>
      <c r="ER73" s="3">
        <v>7383000</v>
      </c>
      <c r="ES73" s="3">
        <v>8110000</v>
      </c>
      <c r="ET73" s="3">
        <v>0</v>
      </c>
      <c r="EU73" s="3">
        <v>15493000</v>
      </c>
      <c r="EV73" s="3">
        <v>7383000</v>
      </c>
      <c r="EW73" s="3">
        <v>37110000</v>
      </c>
      <c r="EX73" s="3">
        <v>13500000</v>
      </c>
      <c r="EY73" s="3">
        <v>57993000</v>
      </c>
      <c r="EZ73" s="3"/>
      <c r="FA73" s="3"/>
      <c r="FB73" s="3"/>
      <c r="FC73" s="3"/>
      <c r="FD73" s="3"/>
      <c r="FE73" s="3"/>
      <c r="FF73" s="3"/>
      <c r="FG73" s="3"/>
      <c r="FH73" s="3"/>
      <c r="FI73" s="3"/>
      <c r="FJ73" s="3"/>
      <c r="FK73" s="3"/>
      <c r="FL73" s="3"/>
      <c r="FM73" s="3"/>
      <c r="FN73" s="3"/>
      <c r="FO73" s="3"/>
      <c r="FP73" s="3"/>
      <c r="FQ73" s="3"/>
      <c r="FR73" s="3"/>
      <c r="FS73" s="3"/>
      <c r="FT73" s="3">
        <v>7885000</v>
      </c>
      <c r="FU73" s="3">
        <v>37256000</v>
      </c>
      <c r="FV73" s="3">
        <v>0</v>
      </c>
      <c r="FW73" s="3">
        <v>45141000</v>
      </c>
      <c r="FX73" s="3">
        <v>7885000</v>
      </c>
      <c r="FY73" s="3">
        <v>37256000</v>
      </c>
      <c r="FZ73" s="3">
        <v>0</v>
      </c>
      <c r="GA73" s="3">
        <v>45141000</v>
      </c>
      <c r="GB73" s="3"/>
      <c r="GC73" s="3"/>
      <c r="GD73" s="3"/>
      <c r="GE73" s="3"/>
      <c r="GF73" s="3"/>
      <c r="GG73" s="3"/>
      <c r="GH73" s="3"/>
      <c r="GI73" s="3"/>
      <c r="GJ73" s="3"/>
      <c r="GK73" s="3"/>
      <c r="GL73" s="3"/>
      <c r="GM73" s="3"/>
      <c r="GN73" s="3"/>
      <c r="GO73" s="3"/>
      <c r="GP73" s="3"/>
      <c r="GQ73" s="3"/>
      <c r="GR73" s="3"/>
      <c r="GS73" s="3"/>
      <c r="GT73" s="3"/>
      <c r="GU73" s="3"/>
      <c r="GV73" s="3">
        <v>5566000</v>
      </c>
      <c r="GW73" s="3">
        <v>37775000</v>
      </c>
      <c r="GX73" s="3">
        <v>0</v>
      </c>
      <c r="GY73" s="3">
        <v>43341000</v>
      </c>
      <c r="GZ73" s="3">
        <v>5566000</v>
      </c>
      <c r="HA73" s="3">
        <v>62375000</v>
      </c>
      <c r="HB73" s="3">
        <v>0</v>
      </c>
      <c r="HC73" s="3">
        <v>67941000</v>
      </c>
      <c r="HD73" s="3"/>
      <c r="HE73" s="3"/>
      <c r="HF73" s="3"/>
      <c r="HG73" s="3"/>
      <c r="HH73" s="3"/>
      <c r="HI73" s="3"/>
      <c r="HJ73" s="3"/>
      <c r="HK73" s="3"/>
      <c r="HL73" s="3"/>
      <c r="HM73" s="3"/>
      <c r="HN73" s="3"/>
      <c r="HO73" s="3"/>
      <c r="HP73" s="3"/>
      <c r="HQ73" s="3"/>
      <c r="HR73" s="3"/>
      <c r="HS73" s="3"/>
      <c r="HT73" s="3"/>
      <c r="HU73" s="3"/>
      <c r="HV73" s="3"/>
      <c r="HW73" s="3"/>
      <c r="HX73" s="3">
        <v>11044000</v>
      </c>
      <c r="HY73" s="3">
        <v>38301000</v>
      </c>
      <c r="HZ73" s="3">
        <v>0</v>
      </c>
      <c r="IA73" s="3">
        <v>49345000</v>
      </c>
      <c r="IB73" s="3">
        <v>11044000</v>
      </c>
      <c r="IC73" s="3">
        <v>78797000</v>
      </c>
      <c r="ID73" s="3">
        <v>0</v>
      </c>
      <c r="IE73" s="3">
        <v>89841000</v>
      </c>
      <c r="IF73" s="3"/>
      <c r="IG73" s="3"/>
      <c r="IH73" s="3"/>
      <c r="II73" s="3"/>
      <c r="IJ73" s="3"/>
      <c r="IK73" s="3"/>
      <c r="IL73" s="3"/>
      <c r="IM73" s="3"/>
      <c r="IN73" s="3"/>
      <c r="IO73" s="3"/>
      <c r="IP73" s="3"/>
      <c r="IQ73" s="3"/>
      <c r="IR73" s="3"/>
      <c r="IS73" s="3"/>
      <c r="IT73" s="3"/>
      <c r="IU73" s="3"/>
      <c r="IV73" s="3"/>
      <c r="IW73" s="3"/>
      <c r="IX73" s="3"/>
      <c r="IY73" s="3"/>
      <c r="IZ73" s="3">
        <v>11103000</v>
      </c>
      <c r="JA73" s="3">
        <v>32765000</v>
      </c>
      <c r="JB73" s="3">
        <v>0</v>
      </c>
      <c r="JC73" s="3">
        <v>43868000</v>
      </c>
      <c r="JD73" s="3"/>
      <c r="JE73" s="3"/>
      <c r="JF73" s="3"/>
      <c r="JG73" s="3"/>
    </row>
    <row r="74" spans="1:267" x14ac:dyDescent="0.25">
      <c r="A74" t="s">
        <v>505</v>
      </c>
      <c r="B74" t="s">
        <v>397</v>
      </c>
      <c r="C74" t="s">
        <v>556</v>
      </c>
      <c r="D74" t="s">
        <v>461</v>
      </c>
      <c r="E74" t="s">
        <v>217</v>
      </c>
      <c r="F74" s="4" t="s">
        <v>220</v>
      </c>
      <c r="G74" t="s">
        <v>631</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v>0</v>
      </c>
      <c r="AK74" s="3">
        <v>0</v>
      </c>
      <c r="AL74" s="3">
        <v>0</v>
      </c>
      <c r="AM74" s="3">
        <v>0</v>
      </c>
      <c r="AN74" s="3">
        <v>0</v>
      </c>
      <c r="AO74" s="3">
        <v>2000000</v>
      </c>
      <c r="AP74" s="3">
        <v>0</v>
      </c>
      <c r="AQ74" s="3">
        <v>2000000</v>
      </c>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c r="IW74" s="3"/>
      <c r="IX74" s="3"/>
      <c r="IY74" s="3"/>
      <c r="IZ74" s="3"/>
      <c r="JA74" s="3"/>
      <c r="JB74" s="3"/>
      <c r="JC74" s="3"/>
      <c r="JD74" s="3"/>
      <c r="JE74" s="3"/>
      <c r="JF74" s="3"/>
      <c r="JG74" s="3"/>
    </row>
    <row r="75" spans="1:267" x14ac:dyDescent="0.25">
      <c r="A75" t="s">
        <v>505</v>
      </c>
      <c r="B75" t="s">
        <v>397</v>
      </c>
      <c r="C75" t="s">
        <v>557</v>
      </c>
      <c r="D75" t="s">
        <v>463</v>
      </c>
      <c r="E75" t="s">
        <v>201</v>
      </c>
      <c r="F75" t="s">
        <v>202</v>
      </c>
      <c r="G75" t="s">
        <v>203</v>
      </c>
      <c r="H75" s="3">
        <v>16776000</v>
      </c>
      <c r="I75" s="3">
        <v>34197000</v>
      </c>
      <c r="J75" s="3">
        <v>3610000</v>
      </c>
      <c r="K75" s="3">
        <v>54583000</v>
      </c>
      <c r="L75" s="3">
        <v>16776000</v>
      </c>
      <c r="M75" s="3">
        <v>34197000</v>
      </c>
      <c r="N75" s="3">
        <v>3610000</v>
      </c>
      <c r="O75" s="3">
        <v>54583000</v>
      </c>
      <c r="P75" s="3"/>
      <c r="Q75" s="3"/>
      <c r="R75" s="3"/>
      <c r="S75" s="3"/>
      <c r="T75" s="3"/>
      <c r="U75" s="3"/>
      <c r="V75" s="3"/>
      <c r="W75" s="3"/>
      <c r="X75" s="3"/>
      <c r="Y75" s="3"/>
      <c r="Z75" s="3"/>
      <c r="AA75" s="3"/>
      <c r="AB75" s="3"/>
      <c r="AC75" s="3"/>
      <c r="AD75" s="3"/>
      <c r="AE75" s="3"/>
      <c r="AF75" s="3"/>
      <c r="AG75" s="3"/>
      <c r="AH75" s="3"/>
      <c r="AI75" s="3"/>
      <c r="AJ75" s="3">
        <v>27832000</v>
      </c>
      <c r="AK75" s="3">
        <v>55662000</v>
      </c>
      <c r="AL75" s="3">
        <v>0</v>
      </c>
      <c r="AM75" s="3">
        <v>83494000</v>
      </c>
      <c r="AN75" s="3">
        <v>27832000</v>
      </c>
      <c r="AO75" s="3">
        <v>140662000</v>
      </c>
      <c r="AP75" s="3">
        <v>0</v>
      </c>
      <c r="AQ75" s="3">
        <v>168494000</v>
      </c>
      <c r="AR75" s="3"/>
      <c r="AS75" s="3"/>
      <c r="AT75" s="3"/>
      <c r="AU75" s="3"/>
      <c r="AV75" s="3"/>
      <c r="AW75" s="3"/>
      <c r="AX75" s="3"/>
      <c r="AY75" s="3"/>
      <c r="AZ75" s="3"/>
      <c r="BA75" s="3"/>
      <c r="BB75" s="3"/>
      <c r="BC75" s="3"/>
      <c r="BD75" s="3"/>
      <c r="BE75" s="3"/>
      <c r="BF75" s="3"/>
      <c r="BG75" s="3"/>
      <c r="BH75" s="3"/>
      <c r="BI75" s="3"/>
      <c r="BJ75" s="3"/>
      <c r="BK75" s="3"/>
      <c r="BL75" s="3">
        <v>36967000</v>
      </c>
      <c r="BM75" s="3">
        <v>61040000</v>
      </c>
      <c r="BN75" s="3">
        <v>0</v>
      </c>
      <c r="BO75" s="3">
        <v>98007000</v>
      </c>
      <c r="BP75" s="3">
        <v>36967000</v>
      </c>
      <c r="BQ75" s="3">
        <v>111040000</v>
      </c>
      <c r="BR75" s="3">
        <v>0</v>
      </c>
      <c r="BS75" s="3">
        <v>148007000</v>
      </c>
      <c r="BT75" s="3"/>
      <c r="BU75" s="3"/>
      <c r="BV75" s="3"/>
      <c r="BW75" s="3"/>
      <c r="BX75" s="3"/>
      <c r="BY75" s="3"/>
      <c r="BZ75" s="3"/>
      <c r="CA75" s="3"/>
      <c r="CB75" s="3"/>
      <c r="CC75" s="3"/>
      <c r="CD75" s="3"/>
      <c r="CE75" s="3"/>
      <c r="CF75" s="3"/>
      <c r="CG75" s="3"/>
      <c r="CH75" s="3"/>
      <c r="CI75" s="3"/>
      <c r="CJ75" s="3"/>
      <c r="CK75" s="3"/>
      <c r="CL75" s="3"/>
      <c r="CM75" s="3"/>
      <c r="CN75" s="3">
        <v>40907000</v>
      </c>
      <c r="CO75" s="3">
        <v>145970000</v>
      </c>
      <c r="CP75" s="3">
        <v>0</v>
      </c>
      <c r="CQ75" s="3">
        <v>186877000</v>
      </c>
      <c r="CR75" s="3">
        <v>40907000</v>
      </c>
      <c r="CS75" s="3">
        <v>145970000</v>
      </c>
      <c r="CT75" s="3">
        <v>0</v>
      </c>
      <c r="CU75" s="3">
        <v>186877000</v>
      </c>
      <c r="CV75" s="3"/>
      <c r="CW75" s="3"/>
      <c r="CX75" s="3"/>
      <c r="CY75" s="3"/>
      <c r="CZ75" s="3"/>
      <c r="DA75" s="3"/>
      <c r="DB75" s="3"/>
      <c r="DC75" s="3"/>
      <c r="DD75" s="3"/>
      <c r="DE75" s="3"/>
      <c r="DF75" s="3"/>
      <c r="DG75" s="3"/>
      <c r="DH75" s="3"/>
      <c r="DI75" s="3"/>
      <c r="DJ75" s="3"/>
      <c r="DK75" s="3"/>
      <c r="DL75" s="3"/>
      <c r="DM75" s="3"/>
      <c r="DN75" s="3"/>
      <c r="DO75" s="3"/>
      <c r="DP75" s="3">
        <v>45026000</v>
      </c>
      <c r="DQ75" s="3">
        <v>120993000</v>
      </c>
      <c r="DR75" s="3">
        <v>0</v>
      </c>
      <c r="DS75" s="3">
        <v>166019000</v>
      </c>
      <c r="DT75" s="3">
        <v>45026000</v>
      </c>
      <c r="DU75" s="3">
        <v>140241000</v>
      </c>
      <c r="DV75" s="3">
        <v>11176000</v>
      </c>
      <c r="DW75" s="3">
        <v>196443000</v>
      </c>
      <c r="DX75" s="3"/>
      <c r="DY75" s="3"/>
      <c r="DZ75" s="3"/>
      <c r="EA75" s="3"/>
      <c r="EB75" s="3"/>
      <c r="EC75" s="3"/>
      <c r="ED75" s="3"/>
      <c r="EE75" s="3"/>
      <c r="EF75" s="3"/>
      <c r="EG75" s="3"/>
      <c r="EH75" s="3"/>
      <c r="EI75" s="3"/>
      <c r="EJ75" s="3"/>
      <c r="EK75" s="3"/>
      <c r="EL75" s="3"/>
      <c r="EM75" s="3"/>
      <c r="EN75" s="3"/>
      <c r="EO75" s="3"/>
      <c r="EP75" s="3"/>
      <c r="EQ75" s="3"/>
      <c r="ER75" s="3">
        <v>43197000</v>
      </c>
      <c r="ES75" s="3">
        <v>159041000</v>
      </c>
      <c r="ET75" s="3">
        <v>0</v>
      </c>
      <c r="EU75" s="3">
        <v>202238000</v>
      </c>
      <c r="EV75" s="3">
        <v>43197000</v>
      </c>
      <c r="EW75" s="3">
        <v>187041000</v>
      </c>
      <c r="EX75" s="3">
        <v>12500000</v>
      </c>
      <c r="EY75" s="3">
        <v>242738000</v>
      </c>
      <c r="EZ75" s="3"/>
      <c r="FA75" s="3"/>
      <c r="FB75" s="3"/>
      <c r="FC75" s="3"/>
      <c r="FD75" s="3"/>
      <c r="FE75" s="3"/>
      <c r="FF75" s="3"/>
      <c r="FG75" s="3"/>
      <c r="FH75" s="3"/>
      <c r="FI75" s="3"/>
      <c r="FJ75" s="3"/>
      <c r="FK75" s="3"/>
      <c r="FL75" s="3"/>
      <c r="FM75" s="3"/>
      <c r="FN75" s="3"/>
      <c r="FO75" s="3"/>
      <c r="FP75" s="3"/>
      <c r="FQ75" s="3"/>
      <c r="FR75" s="3"/>
      <c r="FS75" s="3"/>
      <c r="FT75" s="3">
        <v>51692000</v>
      </c>
      <c r="FU75" s="3">
        <v>178840000</v>
      </c>
      <c r="FV75" s="3">
        <v>177651000</v>
      </c>
      <c r="FW75" s="3">
        <v>408183000</v>
      </c>
      <c r="FX75" s="3">
        <v>104692000</v>
      </c>
      <c r="FY75" s="3">
        <v>358840000</v>
      </c>
      <c r="FZ75" s="3">
        <v>211651000</v>
      </c>
      <c r="GA75" s="3">
        <v>675183000</v>
      </c>
      <c r="GB75" s="3"/>
      <c r="GC75" s="3"/>
      <c r="GD75" s="3"/>
      <c r="GE75" s="3"/>
      <c r="GF75" s="3"/>
      <c r="GG75" s="3"/>
      <c r="GH75" s="3"/>
      <c r="GI75" s="3"/>
      <c r="GJ75" s="3"/>
      <c r="GK75" s="3"/>
      <c r="GL75" s="3"/>
      <c r="GM75" s="3"/>
      <c r="GN75" s="3"/>
      <c r="GO75" s="3"/>
      <c r="GP75" s="3"/>
      <c r="GQ75" s="3"/>
      <c r="GR75" s="3"/>
      <c r="GS75" s="3"/>
      <c r="GT75" s="3"/>
      <c r="GU75" s="3"/>
      <c r="GV75" s="3">
        <v>52795000</v>
      </c>
      <c r="GW75" s="3">
        <v>367240000</v>
      </c>
      <c r="GX75" s="3">
        <v>0</v>
      </c>
      <c r="GY75" s="3">
        <v>420035000</v>
      </c>
      <c r="GZ75" s="3">
        <v>52795000</v>
      </c>
      <c r="HA75" s="3">
        <v>368740000</v>
      </c>
      <c r="HB75" s="3">
        <v>56162000</v>
      </c>
      <c r="HC75" s="3">
        <v>477697000</v>
      </c>
      <c r="HD75" s="3"/>
      <c r="HE75" s="3"/>
      <c r="HF75" s="3"/>
      <c r="HG75" s="3"/>
      <c r="HH75" s="3"/>
      <c r="HI75" s="3"/>
      <c r="HJ75" s="3"/>
      <c r="HK75" s="3"/>
      <c r="HL75" s="3"/>
      <c r="HM75" s="3"/>
      <c r="HN75" s="3"/>
      <c r="HO75" s="3"/>
      <c r="HP75" s="3"/>
      <c r="HQ75" s="3"/>
      <c r="HR75" s="3"/>
      <c r="HS75" s="3"/>
      <c r="HT75" s="3"/>
      <c r="HU75" s="3"/>
      <c r="HV75" s="3"/>
      <c r="HW75" s="3"/>
      <c r="HX75" s="3">
        <v>71401000</v>
      </c>
      <c r="HY75" s="3">
        <v>351811000</v>
      </c>
      <c r="HZ75" s="3">
        <v>0</v>
      </c>
      <c r="IA75" s="3">
        <v>423212000</v>
      </c>
      <c r="IB75" s="3">
        <v>71401000</v>
      </c>
      <c r="IC75" s="3">
        <v>396811000</v>
      </c>
      <c r="ID75" s="3">
        <v>0</v>
      </c>
      <c r="IE75" s="3">
        <v>468212000</v>
      </c>
      <c r="IF75" s="3"/>
      <c r="IG75" s="3"/>
      <c r="IH75" s="3"/>
      <c r="II75" s="3"/>
      <c r="IJ75" s="3"/>
      <c r="IK75" s="3"/>
      <c r="IL75" s="3"/>
      <c r="IM75" s="3"/>
      <c r="IN75" s="3"/>
      <c r="IO75" s="3"/>
      <c r="IP75" s="3"/>
      <c r="IQ75" s="3"/>
      <c r="IR75" s="3"/>
      <c r="IS75" s="3"/>
      <c r="IT75" s="3"/>
      <c r="IU75" s="3"/>
      <c r="IV75" s="3"/>
      <c r="IW75" s="3"/>
      <c r="IX75" s="3"/>
      <c r="IY75" s="3"/>
      <c r="IZ75" s="3">
        <v>69671000</v>
      </c>
      <c r="JA75" s="3">
        <v>356162000</v>
      </c>
      <c r="JB75" s="3">
        <v>0</v>
      </c>
      <c r="JC75" s="3">
        <v>425833000</v>
      </c>
      <c r="JD75" s="3"/>
      <c r="JE75" s="3"/>
      <c r="JF75" s="3"/>
      <c r="JG75" s="3"/>
    </row>
    <row r="76" spans="1:267" x14ac:dyDescent="0.25">
      <c r="A76" t="s">
        <v>505</v>
      </c>
      <c r="B76" t="s">
        <v>397</v>
      </c>
      <c r="C76" t="s">
        <v>557</v>
      </c>
      <c r="D76" t="s">
        <v>463</v>
      </c>
      <c r="E76" t="s">
        <v>201</v>
      </c>
      <c r="F76" t="s">
        <v>204</v>
      </c>
      <c r="G76" t="s">
        <v>205</v>
      </c>
      <c r="H76" s="3">
        <v>11424000</v>
      </c>
      <c r="I76" s="3">
        <v>0</v>
      </c>
      <c r="J76" s="3">
        <v>0</v>
      </c>
      <c r="K76" s="3">
        <v>11424000</v>
      </c>
      <c r="L76" s="3">
        <v>11424000</v>
      </c>
      <c r="M76" s="3">
        <v>0</v>
      </c>
      <c r="N76" s="3">
        <v>0</v>
      </c>
      <c r="O76" s="3">
        <v>11424000</v>
      </c>
      <c r="P76" s="3"/>
      <c r="Q76" s="3"/>
      <c r="R76" s="3"/>
      <c r="S76" s="3"/>
      <c r="T76" s="3"/>
      <c r="U76" s="3"/>
      <c r="V76" s="3"/>
      <c r="W76" s="3"/>
      <c r="X76" s="3"/>
      <c r="Y76" s="3"/>
      <c r="Z76" s="3"/>
      <c r="AA76" s="3"/>
      <c r="AB76" s="3"/>
      <c r="AC76" s="3"/>
      <c r="AD76" s="3"/>
      <c r="AE76" s="3"/>
      <c r="AF76" s="3"/>
      <c r="AG76" s="3"/>
      <c r="AH76" s="3"/>
      <c r="AI76" s="3"/>
      <c r="AJ76" s="3">
        <v>2855000</v>
      </c>
      <c r="AK76" s="3">
        <v>0</v>
      </c>
      <c r="AL76" s="3">
        <v>0</v>
      </c>
      <c r="AM76" s="3">
        <v>2855000</v>
      </c>
      <c r="AN76" s="3">
        <v>2855000</v>
      </c>
      <c r="AO76" s="3">
        <v>0</v>
      </c>
      <c r="AP76" s="3">
        <v>0</v>
      </c>
      <c r="AQ76" s="3">
        <v>2855000</v>
      </c>
      <c r="AR76" s="3"/>
      <c r="AS76" s="3"/>
      <c r="AT76" s="3"/>
      <c r="AU76" s="3"/>
      <c r="AV76" s="3"/>
      <c r="AW76" s="3"/>
      <c r="AX76" s="3"/>
      <c r="AY76" s="3"/>
      <c r="AZ76" s="3"/>
      <c r="BA76" s="3"/>
      <c r="BB76" s="3"/>
      <c r="BC76" s="3"/>
      <c r="BD76" s="3"/>
      <c r="BE76" s="3"/>
      <c r="BF76" s="3"/>
      <c r="BG76" s="3"/>
      <c r="BH76" s="3"/>
      <c r="BI76" s="3"/>
      <c r="BJ76" s="3"/>
      <c r="BK76" s="3"/>
      <c r="BL76" s="3">
        <v>5025000</v>
      </c>
      <c r="BM76" s="3">
        <v>0</v>
      </c>
      <c r="BN76" s="3">
        <v>0</v>
      </c>
      <c r="BO76" s="3">
        <v>5025000</v>
      </c>
      <c r="BP76" s="3">
        <v>5025000</v>
      </c>
      <c r="BQ76" s="3">
        <v>0</v>
      </c>
      <c r="BR76" s="3">
        <v>0</v>
      </c>
      <c r="BS76" s="3">
        <v>5025000</v>
      </c>
      <c r="BT76" s="3"/>
      <c r="BU76" s="3"/>
      <c r="BV76" s="3"/>
      <c r="BW76" s="3"/>
      <c r="BX76" s="3"/>
      <c r="BY76" s="3"/>
      <c r="BZ76" s="3"/>
      <c r="CA76" s="3"/>
      <c r="CB76" s="3"/>
      <c r="CC76" s="3"/>
      <c r="CD76" s="3"/>
      <c r="CE76" s="3"/>
      <c r="CF76" s="3"/>
      <c r="CG76" s="3"/>
      <c r="CH76" s="3"/>
      <c r="CI76" s="3"/>
      <c r="CJ76" s="3"/>
      <c r="CK76" s="3"/>
      <c r="CL76" s="3"/>
      <c r="CM76" s="3"/>
      <c r="CN76" s="3">
        <v>1414000</v>
      </c>
      <c r="CO76" s="3">
        <v>0</v>
      </c>
      <c r="CP76" s="3">
        <v>0</v>
      </c>
      <c r="CQ76" s="3">
        <v>1414000</v>
      </c>
      <c r="CR76" s="3">
        <v>1414000</v>
      </c>
      <c r="CS76" s="3">
        <v>0</v>
      </c>
      <c r="CT76" s="3">
        <v>0</v>
      </c>
      <c r="CU76" s="3">
        <v>1414000</v>
      </c>
      <c r="CV76" s="3"/>
      <c r="CW76" s="3"/>
      <c r="CX76" s="3"/>
      <c r="CY76" s="3"/>
      <c r="CZ76" s="3"/>
      <c r="DA76" s="3"/>
      <c r="DB76" s="3"/>
      <c r="DC76" s="3"/>
      <c r="DD76" s="3"/>
      <c r="DE76" s="3"/>
      <c r="DF76" s="3"/>
      <c r="DG76" s="3"/>
      <c r="DH76" s="3"/>
      <c r="DI76" s="3"/>
      <c r="DJ76" s="3"/>
      <c r="DK76" s="3"/>
      <c r="DL76" s="3"/>
      <c r="DM76" s="3"/>
      <c r="DN76" s="3"/>
      <c r="DO76" s="3"/>
      <c r="DP76" s="3">
        <v>1947000</v>
      </c>
      <c r="DQ76" s="3">
        <v>0</v>
      </c>
      <c r="DR76" s="3">
        <v>0</v>
      </c>
      <c r="DS76" s="3">
        <v>1947000</v>
      </c>
      <c r="DT76" s="3">
        <v>1947000</v>
      </c>
      <c r="DU76" s="3">
        <v>0</v>
      </c>
      <c r="DV76" s="3">
        <v>0</v>
      </c>
      <c r="DW76" s="3">
        <v>1947000</v>
      </c>
      <c r="DX76" s="3"/>
      <c r="DY76" s="3"/>
      <c r="DZ76" s="3"/>
      <c r="EA76" s="3"/>
      <c r="EB76" s="3"/>
      <c r="EC76" s="3"/>
      <c r="ED76" s="3"/>
      <c r="EE76" s="3"/>
      <c r="EF76" s="3"/>
      <c r="EG76" s="3"/>
      <c r="EH76" s="3"/>
      <c r="EI76" s="3"/>
      <c r="EJ76" s="3"/>
      <c r="EK76" s="3"/>
      <c r="EL76" s="3"/>
      <c r="EM76" s="3"/>
      <c r="EN76" s="3"/>
      <c r="EO76" s="3"/>
      <c r="EP76" s="3"/>
      <c r="EQ76" s="3"/>
      <c r="ER76" s="3">
        <v>460000</v>
      </c>
      <c r="ES76" s="3">
        <v>0</v>
      </c>
      <c r="ET76" s="3">
        <v>0</v>
      </c>
      <c r="EU76" s="3">
        <v>460000</v>
      </c>
      <c r="EV76" s="3">
        <v>460000</v>
      </c>
      <c r="EW76" s="3">
        <v>0</v>
      </c>
      <c r="EX76" s="3">
        <v>0</v>
      </c>
      <c r="EY76" s="3">
        <v>460000</v>
      </c>
      <c r="EZ76" s="3"/>
      <c r="FA76" s="3"/>
      <c r="FB76" s="3"/>
      <c r="FC76" s="3"/>
      <c r="FD76" s="3"/>
      <c r="FE76" s="3"/>
      <c r="FF76" s="3"/>
      <c r="FG76" s="3"/>
      <c r="FH76" s="3"/>
      <c r="FI76" s="3"/>
      <c r="FJ76" s="3"/>
      <c r="FK76" s="3"/>
      <c r="FL76" s="3"/>
      <c r="FM76" s="3"/>
      <c r="FN76" s="3"/>
      <c r="FO76" s="3"/>
      <c r="FP76" s="3"/>
      <c r="FQ76" s="3"/>
      <c r="FR76" s="3"/>
      <c r="FS76" s="3"/>
      <c r="FT76" s="3">
        <v>954000</v>
      </c>
      <c r="FU76" s="3">
        <v>0</v>
      </c>
      <c r="FV76" s="3">
        <v>0</v>
      </c>
      <c r="FW76" s="3">
        <v>954000</v>
      </c>
      <c r="FX76" s="3">
        <v>954000</v>
      </c>
      <c r="FY76" s="3">
        <v>0</v>
      </c>
      <c r="FZ76" s="3">
        <v>0</v>
      </c>
      <c r="GA76" s="3">
        <v>954000</v>
      </c>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v>1729000</v>
      </c>
      <c r="HY76" s="3">
        <v>0</v>
      </c>
      <c r="HZ76" s="3">
        <v>0</v>
      </c>
      <c r="IA76" s="3">
        <v>1729000</v>
      </c>
      <c r="IB76" s="3">
        <v>1729000</v>
      </c>
      <c r="IC76" s="3">
        <v>0</v>
      </c>
      <c r="ID76" s="3">
        <v>0</v>
      </c>
      <c r="IE76" s="3">
        <v>1729000</v>
      </c>
      <c r="IF76" s="3"/>
      <c r="IG76" s="3"/>
      <c r="IH76" s="3"/>
      <c r="II76" s="3"/>
      <c r="IJ76" s="3"/>
      <c r="IK76" s="3"/>
      <c r="IL76" s="3"/>
      <c r="IM76" s="3"/>
      <c r="IN76" s="3"/>
      <c r="IO76" s="3"/>
      <c r="IP76" s="3"/>
      <c r="IQ76" s="3"/>
      <c r="IR76" s="3"/>
      <c r="IS76" s="3"/>
      <c r="IT76" s="3"/>
      <c r="IU76" s="3"/>
      <c r="IV76" s="3"/>
      <c r="IW76" s="3"/>
      <c r="IX76" s="3"/>
      <c r="IY76" s="3"/>
      <c r="IZ76" s="3">
        <v>461000</v>
      </c>
      <c r="JA76" s="3">
        <v>0</v>
      </c>
      <c r="JB76" s="3">
        <v>0</v>
      </c>
      <c r="JC76" s="3">
        <v>461000</v>
      </c>
      <c r="JD76" s="3"/>
      <c r="JE76" s="3"/>
      <c r="JF76" s="3"/>
      <c r="JG76" s="3"/>
    </row>
    <row r="77" spans="1:267" x14ac:dyDescent="0.25">
      <c r="A77" t="s">
        <v>505</v>
      </c>
      <c r="B77" t="s">
        <v>397</v>
      </c>
      <c r="C77" t="s">
        <v>557</v>
      </c>
      <c r="D77" t="s">
        <v>463</v>
      </c>
      <c r="E77" t="s">
        <v>208</v>
      </c>
      <c r="F77" t="s">
        <v>209</v>
      </c>
      <c r="G77" t="s">
        <v>464</v>
      </c>
      <c r="H77" s="3">
        <v>588000</v>
      </c>
      <c r="I77" s="3">
        <v>1651000</v>
      </c>
      <c r="J77" s="3">
        <v>270000</v>
      </c>
      <c r="K77" s="3">
        <v>2509000</v>
      </c>
      <c r="L77" s="3">
        <v>588000</v>
      </c>
      <c r="M77" s="3">
        <v>1651000</v>
      </c>
      <c r="N77" s="3">
        <v>270000</v>
      </c>
      <c r="O77" s="3">
        <v>2509000</v>
      </c>
      <c r="P77" s="3"/>
      <c r="Q77" s="3"/>
      <c r="R77" s="3"/>
      <c r="S77" s="3"/>
      <c r="T77" s="3"/>
      <c r="U77" s="3"/>
      <c r="V77" s="3"/>
      <c r="W77" s="3"/>
      <c r="X77" s="3"/>
      <c r="Y77" s="3"/>
      <c r="Z77" s="3"/>
      <c r="AA77" s="3"/>
      <c r="AB77" s="3"/>
      <c r="AC77" s="3"/>
      <c r="AD77" s="3"/>
      <c r="AE77" s="3"/>
      <c r="AF77" s="3"/>
      <c r="AG77" s="3"/>
      <c r="AH77" s="3"/>
      <c r="AI77" s="3"/>
      <c r="AJ77" s="3">
        <v>1107000</v>
      </c>
      <c r="AK77" s="3">
        <v>1261000</v>
      </c>
      <c r="AL77" s="3">
        <v>0</v>
      </c>
      <c r="AM77" s="3">
        <v>2368000</v>
      </c>
      <c r="AN77" s="3">
        <v>1107000</v>
      </c>
      <c r="AO77" s="3">
        <v>1261000</v>
      </c>
      <c r="AP77" s="3">
        <v>0</v>
      </c>
      <c r="AQ77" s="3">
        <v>2368000</v>
      </c>
      <c r="AR77" s="3"/>
      <c r="AS77" s="3"/>
      <c r="AT77" s="3"/>
      <c r="AU77" s="3"/>
      <c r="AV77" s="3"/>
      <c r="AW77" s="3"/>
      <c r="AX77" s="3"/>
      <c r="AY77" s="3"/>
      <c r="AZ77" s="3"/>
      <c r="BA77" s="3"/>
      <c r="BB77" s="3"/>
      <c r="BC77" s="3"/>
      <c r="BD77" s="3"/>
      <c r="BE77" s="3"/>
      <c r="BF77" s="3"/>
      <c r="BG77" s="3"/>
      <c r="BH77" s="3"/>
      <c r="BI77" s="3"/>
      <c r="BJ77" s="3"/>
      <c r="BK77" s="3"/>
      <c r="BL77" s="3">
        <v>1102000</v>
      </c>
      <c r="BM77" s="3">
        <v>692000</v>
      </c>
      <c r="BN77" s="3">
        <v>0</v>
      </c>
      <c r="BO77" s="3">
        <v>1794000</v>
      </c>
      <c r="BP77" s="3">
        <v>1102000</v>
      </c>
      <c r="BQ77" s="3">
        <v>692000</v>
      </c>
      <c r="BR77" s="3">
        <v>0</v>
      </c>
      <c r="BS77" s="3">
        <v>1794000</v>
      </c>
      <c r="BT77" s="3"/>
      <c r="BU77" s="3"/>
      <c r="BV77" s="3"/>
      <c r="BW77" s="3"/>
      <c r="BX77" s="3"/>
      <c r="BY77" s="3"/>
      <c r="BZ77" s="3"/>
      <c r="CA77" s="3"/>
      <c r="CB77" s="3"/>
      <c r="CC77" s="3"/>
      <c r="CD77" s="3"/>
      <c r="CE77" s="3"/>
      <c r="CF77" s="3"/>
      <c r="CG77" s="3"/>
      <c r="CH77" s="3"/>
      <c r="CI77" s="3"/>
      <c r="CJ77" s="3"/>
      <c r="CK77" s="3"/>
      <c r="CL77" s="3"/>
      <c r="CM77" s="3"/>
      <c r="CN77" s="3">
        <v>520000</v>
      </c>
      <c r="CO77" s="3">
        <v>704000</v>
      </c>
      <c r="CP77" s="3">
        <v>0</v>
      </c>
      <c r="CQ77" s="3">
        <v>1224000</v>
      </c>
      <c r="CR77" s="3">
        <v>520000</v>
      </c>
      <c r="CS77" s="3">
        <v>704000</v>
      </c>
      <c r="CT77" s="3">
        <v>0</v>
      </c>
      <c r="CU77" s="3">
        <v>1224000</v>
      </c>
      <c r="CV77" s="3"/>
      <c r="CW77" s="3"/>
      <c r="CX77" s="3"/>
      <c r="CY77" s="3"/>
      <c r="CZ77" s="3"/>
      <c r="DA77" s="3"/>
      <c r="DB77" s="3"/>
      <c r="DC77" s="3"/>
      <c r="DD77" s="3"/>
      <c r="DE77" s="3"/>
      <c r="DF77" s="3"/>
      <c r="DG77" s="3"/>
      <c r="DH77" s="3"/>
      <c r="DI77" s="3"/>
      <c r="DJ77" s="3"/>
      <c r="DK77" s="3"/>
      <c r="DL77" s="3"/>
      <c r="DM77" s="3"/>
      <c r="DN77" s="3"/>
      <c r="DO77" s="3"/>
      <c r="DP77" s="3">
        <v>1233000</v>
      </c>
      <c r="DQ77" s="3">
        <v>704000</v>
      </c>
      <c r="DR77" s="3">
        <v>0</v>
      </c>
      <c r="DS77" s="3">
        <v>1937000</v>
      </c>
      <c r="DT77" s="3">
        <v>1233000</v>
      </c>
      <c r="DU77" s="3">
        <v>704000</v>
      </c>
      <c r="DV77" s="3">
        <v>0</v>
      </c>
      <c r="DW77" s="3">
        <v>1937000</v>
      </c>
      <c r="DX77" s="3"/>
      <c r="DY77" s="3"/>
      <c r="DZ77" s="3"/>
      <c r="EA77" s="3"/>
      <c r="EB77" s="3"/>
      <c r="EC77" s="3"/>
      <c r="ED77" s="3"/>
      <c r="EE77" s="3"/>
      <c r="EF77" s="3"/>
      <c r="EG77" s="3"/>
      <c r="EH77" s="3"/>
      <c r="EI77" s="3"/>
      <c r="EJ77" s="3"/>
      <c r="EK77" s="3"/>
      <c r="EL77" s="3"/>
      <c r="EM77" s="3"/>
      <c r="EN77" s="3"/>
      <c r="EO77" s="3"/>
      <c r="EP77" s="3"/>
      <c r="EQ77" s="3"/>
      <c r="ER77" s="3">
        <v>1137000</v>
      </c>
      <c r="ES77" s="3">
        <v>730000</v>
      </c>
      <c r="ET77" s="3">
        <v>0</v>
      </c>
      <c r="EU77" s="3">
        <v>1867000</v>
      </c>
      <c r="EV77" s="3">
        <v>1137000</v>
      </c>
      <c r="EW77" s="3">
        <v>730000</v>
      </c>
      <c r="EX77" s="3">
        <v>0</v>
      </c>
      <c r="EY77" s="3">
        <v>1867000</v>
      </c>
      <c r="EZ77" s="3"/>
      <c r="FA77" s="3"/>
      <c r="FB77" s="3"/>
      <c r="FC77" s="3"/>
      <c r="FD77" s="3"/>
      <c r="FE77" s="3"/>
      <c r="FF77" s="3"/>
      <c r="FG77" s="3"/>
      <c r="FH77" s="3"/>
      <c r="FI77" s="3"/>
      <c r="FJ77" s="3"/>
      <c r="FK77" s="3"/>
      <c r="FL77" s="3"/>
      <c r="FM77" s="3"/>
      <c r="FN77" s="3"/>
      <c r="FO77" s="3"/>
      <c r="FP77" s="3"/>
      <c r="FQ77" s="3"/>
      <c r="FR77" s="3"/>
      <c r="FS77" s="3"/>
      <c r="FT77" s="3">
        <v>1848000</v>
      </c>
      <c r="FU77" s="3">
        <v>743000</v>
      </c>
      <c r="FV77" s="3">
        <v>0</v>
      </c>
      <c r="FW77" s="3">
        <v>2591000</v>
      </c>
      <c r="FX77" s="3">
        <v>1848000</v>
      </c>
      <c r="FY77" s="3">
        <v>743000</v>
      </c>
      <c r="FZ77" s="3">
        <v>0</v>
      </c>
      <c r="GA77" s="3">
        <v>2591000</v>
      </c>
      <c r="GB77" s="3"/>
      <c r="GC77" s="3"/>
      <c r="GD77" s="3"/>
      <c r="GE77" s="3"/>
      <c r="GF77" s="3"/>
      <c r="GG77" s="3"/>
      <c r="GH77" s="3"/>
      <c r="GI77" s="3"/>
      <c r="GJ77" s="3"/>
      <c r="GK77" s="3"/>
      <c r="GL77" s="3"/>
      <c r="GM77" s="3"/>
      <c r="GN77" s="3"/>
      <c r="GO77" s="3"/>
      <c r="GP77" s="3"/>
      <c r="GQ77" s="3"/>
      <c r="GR77" s="3"/>
      <c r="GS77" s="3"/>
      <c r="GT77" s="3"/>
      <c r="GU77" s="3"/>
      <c r="GV77" s="3">
        <v>2181000</v>
      </c>
      <c r="GW77" s="3">
        <v>756000</v>
      </c>
      <c r="GX77" s="3">
        <v>0</v>
      </c>
      <c r="GY77" s="3">
        <v>2937000</v>
      </c>
      <c r="GZ77" s="3">
        <v>2181000</v>
      </c>
      <c r="HA77" s="3">
        <v>756000</v>
      </c>
      <c r="HB77" s="3">
        <v>0</v>
      </c>
      <c r="HC77" s="3">
        <v>2937000</v>
      </c>
      <c r="HD77" s="3"/>
      <c r="HE77" s="3"/>
      <c r="HF77" s="3"/>
      <c r="HG77" s="3"/>
      <c r="HH77" s="3"/>
      <c r="HI77" s="3"/>
      <c r="HJ77" s="3"/>
      <c r="HK77" s="3"/>
      <c r="HL77" s="3"/>
      <c r="HM77" s="3"/>
      <c r="HN77" s="3"/>
      <c r="HO77" s="3"/>
      <c r="HP77" s="3"/>
      <c r="HQ77" s="3"/>
      <c r="HR77" s="3"/>
      <c r="HS77" s="3"/>
      <c r="HT77" s="3"/>
      <c r="HU77" s="3"/>
      <c r="HV77" s="3"/>
      <c r="HW77" s="3"/>
      <c r="HX77" s="3">
        <v>3129000</v>
      </c>
      <c r="HY77" s="3">
        <v>770000</v>
      </c>
      <c r="HZ77" s="3">
        <v>0</v>
      </c>
      <c r="IA77" s="3">
        <v>3899000</v>
      </c>
      <c r="IB77" s="3">
        <v>3129000</v>
      </c>
      <c r="IC77" s="3">
        <v>770000</v>
      </c>
      <c r="ID77" s="3">
        <v>0</v>
      </c>
      <c r="IE77" s="3">
        <v>3899000</v>
      </c>
      <c r="IF77" s="3"/>
      <c r="IG77" s="3"/>
      <c r="IH77" s="3"/>
      <c r="II77" s="3"/>
      <c r="IJ77" s="3"/>
      <c r="IK77" s="3"/>
      <c r="IL77" s="3"/>
      <c r="IM77" s="3"/>
      <c r="IN77" s="3"/>
      <c r="IO77" s="3"/>
      <c r="IP77" s="3"/>
      <c r="IQ77" s="3"/>
      <c r="IR77" s="3"/>
      <c r="IS77" s="3"/>
      <c r="IT77" s="3"/>
      <c r="IU77" s="3"/>
      <c r="IV77" s="3"/>
      <c r="IW77" s="3"/>
      <c r="IX77" s="3"/>
      <c r="IY77" s="3"/>
      <c r="IZ77" s="3">
        <v>3298000</v>
      </c>
      <c r="JA77" s="3">
        <v>666000</v>
      </c>
      <c r="JB77" s="3">
        <v>0</v>
      </c>
      <c r="JC77" s="3">
        <v>3964000</v>
      </c>
      <c r="JD77" s="3"/>
      <c r="JE77" s="3"/>
      <c r="JF77" s="3"/>
      <c r="JG77" s="3"/>
    </row>
    <row r="78" spans="1:267" x14ac:dyDescent="0.25">
      <c r="A78" t="s">
        <v>505</v>
      </c>
      <c r="B78" t="s">
        <v>397</v>
      </c>
      <c r="C78" t="s">
        <v>557</v>
      </c>
      <c r="D78" t="s">
        <v>463</v>
      </c>
      <c r="E78" t="s">
        <v>217</v>
      </c>
      <c r="F78" t="s">
        <v>218</v>
      </c>
      <c r="G78" t="s">
        <v>465</v>
      </c>
      <c r="H78" s="3">
        <v>67220000</v>
      </c>
      <c r="I78" s="3">
        <v>77530000</v>
      </c>
      <c r="J78" s="3">
        <v>15518000</v>
      </c>
      <c r="K78" s="3">
        <v>160268000</v>
      </c>
      <c r="L78" s="3">
        <v>67220000</v>
      </c>
      <c r="M78" s="3">
        <v>113030000</v>
      </c>
      <c r="N78" s="3">
        <v>19018000</v>
      </c>
      <c r="O78" s="3">
        <v>199268000</v>
      </c>
      <c r="P78" s="3"/>
      <c r="Q78" s="3"/>
      <c r="R78" s="3"/>
      <c r="S78" s="3"/>
      <c r="T78" s="3"/>
      <c r="U78" s="3"/>
      <c r="V78" s="3"/>
      <c r="W78" s="3"/>
      <c r="X78" s="3"/>
      <c r="Y78" s="3"/>
      <c r="Z78" s="3"/>
      <c r="AA78" s="3"/>
      <c r="AB78" s="3"/>
      <c r="AC78" s="3"/>
      <c r="AD78" s="3"/>
      <c r="AE78" s="3"/>
      <c r="AF78" s="3"/>
      <c r="AG78" s="3"/>
      <c r="AH78" s="3"/>
      <c r="AI78" s="3"/>
      <c r="AJ78" s="3">
        <v>91599000</v>
      </c>
      <c r="AK78" s="3">
        <v>110941000</v>
      </c>
      <c r="AL78" s="3">
        <v>0</v>
      </c>
      <c r="AM78" s="3">
        <v>202540000</v>
      </c>
      <c r="AN78" s="3">
        <v>91599000</v>
      </c>
      <c r="AO78" s="3">
        <v>167122000</v>
      </c>
      <c r="AP78" s="3">
        <v>16500000</v>
      </c>
      <c r="AQ78" s="3">
        <v>275221000</v>
      </c>
      <c r="AR78" s="3"/>
      <c r="AS78" s="3"/>
      <c r="AT78" s="3"/>
      <c r="AU78" s="3"/>
      <c r="AV78" s="3"/>
      <c r="AW78" s="3"/>
      <c r="AX78" s="3"/>
      <c r="AY78" s="3"/>
      <c r="AZ78" s="3"/>
      <c r="BA78" s="3"/>
      <c r="BB78" s="3"/>
      <c r="BC78" s="3"/>
      <c r="BD78" s="3"/>
      <c r="BE78" s="3"/>
      <c r="BF78" s="3"/>
      <c r="BG78" s="3"/>
      <c r="BH78" s="3"/>
      <c r="BI78" s="3"/>
      <c r="BJ78" s="3"/>
      <c r="BK78" s="3"/>
      <c r="BL78" s="3">
        <v>105682000</v>
      </c>
      <c r="BM78" s="3">
        <v>134537000</v>
      </c>
      <c r="BN78" s="3">
        <v>0</v>
      </c>
      <c r="BO78" s="3">
        <v>240219000</v>
      </c>
      <c r="BP78" s="3">
        <v>105682000</v>
      </c>
      <c r="BQ78" s="3">
        <v>134537000</v>
      </c>
      <c r="BR78" s="3">
        <v>0</v>
      </c>
      <c r="BS78" s="3">
        <v>240219000</v>
      </c>
      <c r="BT78" s="3"/>
      <c r="BU78" s="3"/>
      <c r="BV78" s="3"/>
      <c r="BW78" s="3"/>
      <c r="BX78" s="3"/>
      <c r="BY78" s="3"/>
      <c r="BZ78" s="3"/>
      <c r="CA78" s="3"/>
      <c r="CB78" s="3"/>
      <c r="CC78" s="3"/>
      <c r="CD78" s="3"/>
      <c r="CE78" s="3"/>
      <c r="CF78" s="3"/>
      <c r="CG78" s="3"/>
      <c r="CH78" s="3"/>
      <c r="CI78" s="3"/>
      <c r="CJ78" s="3"/>
      <c r="CK78" s="3"/>
      <c r="CL78" s="3"/>
      <c r="CM78" s="3"/>
      <c r="CN78" s="3">
        <v>116845000</v>
      </c>
      <c r="CO78" s="3">
        <v>80442000</v>
      </c>
      <c r="CP78" s="3">
        <v>0</v>
      </c>
      <c r="CQ78" s="3">
        <v>197287000</v>
      </c>
      <c r="CR78" s="3">
        <v>116845000</v>
      </c>
      <c r="CS78" s="3">
        <v>85442000</v>
      </c>
      <c r="CT78" s="3">
        <v>27113000</v>
      </c>
      <c r="CU78" s="3">
        <v>229400000</v>
      </c>
      <c r="CV78" s="3"/>
      <c r="CW78" s="3"/>
      <c r="CX78" s="3"/>
      <c r="CY78" s="3"/>
      <c r="CZ78" s="3"/>
      <c r="DA78" s="3"/>
      <c r="DB78" s="3"/>
      <c r="DC78" s="3"/>
      <c r="DD78" s="3"/>
      <c r="DE78" s="3"/>
      <c r="DF78" s="3"/>
      <c r="DG78" s="3"/>
      <c r="DH78" s="3"/>
      <c r="DI78" s="3"/>
      <c r="DJ78" s="3"/>
      <c r="DK78" s="3"/>
      <c r="DL78" s="3"/>
      <c r="DM78" s="3"/>
      <c r="DN78" s="3"/>
      <c r="DO78" s="3"/>
      <c r="DP78" s="3">
        <v>115340000</v>
      </c>
      <c r="DQ78" s="3">
        <v>80442000</v>
      </c>
      <c r="DR78" s="3">
        <v>0</v>
      </c>
      <c r="DS78" s="3">
        <v>195782000</v>
      </c>
      <c r="DT78" s="3">
        <v>115340000</v>
      </c>
      <c r="DU78" s="3">
        <v>99777000</v>
      </c>
      <c r="DV78" s="3">
        <v>6600000</v>
      </c>
      <c r="DW78" s="3">
        <v>221717000</v>
      </c>
      <c r="DX78" s="3"/>
      <c r="DY78" s="3"/>
      <c r="DZ78" s="3"/>
      <c r="EA78" s="3"/>
      <c r="EB78" s="3"/>
      <c r="EC78" s="3"/>
      <c r="ED78" s="3"/>
      <c r="EE78" s="3"/>
      <c r="EF78" s="3"/>
      <c r="EG78" s="3"/>
      <c r="EH78" s="3"/>
      <c r="EI78" s="3"/>
      <c r="EJ78" s="3"/>
      <c r="EK78" s="3"/>
      <c r="EL78" s="3"/>
      <c r="EM78" s="3"/>
      <c r="EN78" s="3"/>
      <c r="EO78" s="3"/>
      <c r="EP78" s="3"/>
      <c r="EQ78" s="3"/>
      <c r="ER78" s="3">
        <v>110960000</v>
      </c>
      <c r="ES78" s="3">
        <v>83381000</v>
      </c>
      <c r="ET78" s="3">
        <v>0</v>
      </c>
      <c r="EU78" s="3">
        <v>194341000</v>
      </c>
      <c r="EV78" s="3">
        <v>110960000</v>
      </c>
      <c r="EW78" s="3">
        <v>97597000</v>
      </c>
      <c r="EX78" s="3">
        <v>2500000</v>
      </c>
      <c r="EY78" s="3">
        <v>211057000</v>
      </c>
      <c r="EZ78" s="3"/>
      <c r="FA78" s="3"/>
      <c r="FB78" s="3"/>
      <c r="FC78" s="3"/>
      <c r="FD78" s="3"/>
      <c r="FE78" s="3"/>
      <c r="FF78" s="3"/>
      <c r="FG78" s="3"/>
      <c r="FH78" s="3"/>
      <c r="FI78" s="3"/>
      <c r="FJ78" s="3"/>
      <c r="FK78" s="3"/>
      <c r="FL78" s="3"/>
      <c r="FM78" s="3"/>
      <c r="FN78" s="3"/>
      <c r="FO78" s="3"/>
      <c r="FP78" s="3"/>
      <c r="FQ78" s="3"/>
      <c r="FR78" s="3"/>
      <c r="FS78" s="3"/>
      <c r="FT78" s="3">
        <v>123866000</v>
      </c>
      <c r="FU78" s="3">
        <v>97804000</v>
      </c>
      <c r="FV78" s="3">
        <v>0</v>
      </c>
      <c r="FW78" s="3">
        <v>221670000</v>
      </c>
      <c r="FX78" s="3">
        <v>123866000</v>
      </c>
      <c r="FY78" s="3">
        <v>107804000</v>
      </c>
      <c r="FZ78" s="3">
        <v>0</v>
      </c>
      <c r="GA78" s="3">
        <v>231670000</v>
      </c>
      <c r="GB78" s="3"/>
      <c r="GC78" s="3"/>
      <c r="GD78" s="3"/>
      <c r="GE78" s="3"/>
      <c r="GF78" s="3"/>
      <c r="GG78" s="3"/>
      <c r="GH78" s="3"/>
      <c r="GI78" s="3"/>
      <c r="GJ78" s="3"/>
      <c r="GK78" s="3"/>
      <c r="GL78" s="3"/>
      <c r="GM78" s="3"/>
      <c r="GN78" s="3"/>
      <c r="GO78" s="3"/>
      <c r="GP78" s="3"/>
      <c r="GQ78" s="3"/>
      <c r="GR78" s="3"/>
      <c r="GS78" s="3"/>
      <c r="GT78" s="3"/>
      <c r="GU78" s="3"/>
      <c r="GV78" s="3">
        <v>143205000</v>
      </c>
      <c r="GW78" s="3">
        <v>80720000</v>
      </c>
      <c r="GX78" s="3">
        <v>0</v>
      </c>
      <c r="GY78" s="3">
        <v>223925000</v>
      </c>
      <c r="GZ78" s="3">
        <v>143205000</v>
      </c>
      <c r="HA78" s="3">
        <v>102720000</v>
      </c>
      <c r="HB78" s="3">
        <v>0</v>
      </c>
      <c r="HC78" s="3">
        <v>245925000</v>
      </c>
      <c r="HD78" s="3"/>
      <c r="HE78" s="3"/>
      <c r="HF78" s="3"/>
      <c r="HG78" s="3"/>
      <c r="HH78" s="3"/>
      <c r="HI78" s="3"/>
      <c r="HJ78" s="3"/>
      <c r="HK78" s="3"/>
      <c r="HL78" s="3"/>
      <c r="HM78" s="3"/>
      <c r="HN78" s="3"/>
      <c r="HO78" s="3"/>
      <c r="HP78" s="3"/>
      <c r="HQ78" s="3"/>
      <c r="HR78" s="3"/>
      <c r="HS78" s="3"/>
      <c r="HT78" s="3"/>
      <c r="HU78" s="3"/>
      <c r="HV78" s="3"/>
      <c r="HW78" s="3"/>
      <c r="HX78" s="3">
        <v>218389000</v>
      </c>
      <c r="HY78" s="3">
        <v>80811000</v>
      </c>
      <c r="HZ78" s="3">
        <v>0</v>
      </c>
      <c r="IA78" s="3">
        <v>299200000</v>
      </c>
      <c r="IB78" s="3">
        <v>218389000</v>
      </c>
      <c r="IC78" s="3">
        <v>80811000</v>
      </c>
      <c r="ID78" s="3">
        <v>0</v>
      </c>
      <c r="IE78" s="3">
        <v>299200000</v>
      </c>
      <c r="IF78" s="3"/>
      <c r="IG78" s="3"/>
      <c r="IH78" s="3"/>
      <c r="II78" s="3"/>
      <c r="IJ78" s="3"/>
      <c r="IK78" s="3"/>
      <c r="IL78" s="3"/>
      <c r="IM78" s="3"/>
      <c r="IN78" s="3"/>
      <c r="IO78" s="3"/>
      <c r="IP78" s="3"/>
      <c r="IQ78" s="3"/>
      <c r="IR78" s="3"/>
      <c r="IS78" s="3"/>
      <c r="IT78" s="3"/>
      <c r="IU78" s="3"/>
      <c r="IV78" s="3"/>
      <c r="IW78" s="3"/>
      <c r="IX78" s="3"/>
      <c r="IY78" s="3"/>
      <c r="IZ78" s="3">
        <v>243868000</v>
      </c>
      <c r="JA78" s="3">
        <v>69984000</v>
      </c>
      <c r="JB78" s="3">
        <v>0</v>
      </c>
      <c r="JC78" s="3">
        <v>313852000</v>
      </c>
      <c r="JD78" s="3"/>
      <c r="JE78" s="3"/>
      <c r="JF78" s="3"/>
      <c r="JG78" s="3"/>
    </row>
    <row r="79" spans="1:267" x14ac:dyDescent="0.25">
      <c r="A79" t="s">
        <v>505</v>
      </c>
      <c r="B79" t="s">
        <v>397</v>
      </c>
      <c r="C79" t="s">
        <v>557</v>
      </c>
      <c r="D79" t="s">
        <v>463</v>
      </c>
      <c r="E79" t="s">
        <v>217</v>
      </c>
      <c r="F79" t="s">
        <v>220</v>
      </c>
      <c r="G79" t="s">
        <v>466</v>
      </c>
      <c r="H79" s="3">
        <v>16409000</v>
      </c>
      <c r="I79" s="3">
        <v>35860000</v>
      </c>
      <c r="J79" s="3">
        <v>2368000</v>
      </c>
      <c r="K79" s="3">
        <v>54637000</v>
      </c>
      <c r="L79" s="3">
        <v>16409000</v>
      </c>
      <c r="M79" s="3">
        <v>35860000</v>
      </c>
      <c r="N79" s="3">
        <v>2368000</v>
      </c>
      <c r="O79" s="3">
        <v>54637000</v>
      </c>
      <c r="P79" s="3"/>
      <c r="Q79" s="3"/>
      <c r="R79" s="3"/>
      <c r="S79" s="3"/>
      <c r="T79" s="3"/>
      <c r="U79" s="3"/>
      <c r="V79" s="3"/>
      <c r="W79" s="3"/>
      <c r="X79" s="3"/>
      <c r="Y79" s="3"/>
      <c r="Z79" s="3"/>
      <c r="AA79" s="3"/>
      <c r="AB79" s="3"/>
      <c r="AC79" s="3"/>
      <c r="AD79" s="3"/>
      <c r="AE79" s="3"/>
      <c r="AF79" s="3"/>
      <c r="AG79" s="3"/>
      <c r="AH79" s="3"/>
      <c r="AI79" s="3"/>
      <c r="AJ79" s="3">
        <v>17004000</v>
      </c>
      <c r="AK79" s="3">
        <v>55599000</v>
      </c>
      <c r="AL79" s="3">
        <v>0</v>
      </c>
      <c r="AM79" s="3">
        <v>72603000</v>
      </c>
      <c r="AN79" s="3">
        <v>17004000</v>
      </c>
      <c r="AO79" s="3">
        <v>67599000</v>
      </c>
      <c r="AP79" s="3">
        <v>0</v>
      </c>
      <c r="AQ79" s="3">
        <v>84603000</v>
      </c>
      <c r="AR79" s="3"/>
      <c r="AS79" s="3"/>
      <c r="AT79" s="3"/>
      <c r="AU79" s="3"/>
      <c r="AV79" s="3"/>
      <c r="AW79" s="3"/>
      <c r="AX79" s="3"/>
      <c r="AY79" s="3"/>
      <c r="AZ79" s="3"/>
      <c r="BA79" s="3"/>
      <c r="BB79" s="3"/>
      <c r="BC79" s="3"/>
      <c r="BD79" s="3"/>
      <c r="BE79" s="3"/>
      <c r="BF79" s="3"/>
      <c r="BG79" s="3"/>
      <c r="BH79" s="3"/>
      <c r="BI79" s="3"/>
      <c r="BJ79" s="3"/>
      <c r="BK79" s="3"/>
      <c r="BL79" s="3">
        <v>18146000</v>
      </c>
      <c r="BM79" s="3">
        <v>69887000</v>
      </c>
      <c r="BN79" s="3">
        <v>0</v>
      </c>
      <c r="BO79" s="3">
        <v>88033000</v>
      </c>
      <c r="BP79" s="3">
        <v>18146000</v>
      </c>
      <c r="BQ79" s="3">
        <v>69887000</v>
      </c>
      <c r="BR79" s="3">
        <v>0</v>
      </c>
      <c r="BS79" s="3">
        <v>88033000</v>
      </c>
      <c r="BT79" s="3"/>
      <c r="BU79" s="3"/>
      <c r="BV79" s="3"/>
      <c r="BW79" s="3"/>
      <c r="BX79" s="3"/>
      <c r="BY79" s="3"/>
      <c r="BZ79" s="3"/>
      <c r="CA79" s="3"/>
      <c r="CB79" s="3"/>
      <c r="CC79" s="3"/>
      <c r="CD79" s="3"/>
      <c r="CE79" s="3"/>
      <c r="CF79" s="3"/>
      <c r="CG79" s="3"/>
      <c r="CH79" s="3"/>
      <c r="CI79" s="3"/>
      <c r="CJ79" s="3"/>
      <c r="CK79" s="3"/>
      <c r="CL79" s="3"/>
      <c r="CM79" s="3"/>
      <c r="CN79" s="3">
        <v>19609000</v>
      </c>
      <c r="CO79" s="3">
        <v>26031000</v>
      </c>
      <c r="CP79" s="3">
        <v>0</v>
      </c>
      <c r="CQ79" s="3">
        <v>45640000</v>
      </c>
      <c r="CR79" s="3">
        <v>19609000</v>
      </c>
      <c r="CS79" s="3">
        <v>43918000</v>
      </c>
      <c r="CT79" s="3">
        <v>0</v>
      </c>
      <c r="CU79" s="3">
        <v>63527000</v>
      </c>
      <c r="CV79" s="3"/>
      <c r="CW79" s="3"/>
      <c r="CX79" s="3"/>
      <c r="CY79" s="3"/>
      <c r="CZ79" s="3"/>
      <c r="DA79" s="3"/>
      <c r="DB79" s="3"/>
      <c r="DC79" s="3"/>
      <c r="DD79" s="3"/>
      <c r="DE79" s="3"/>
      <c r="DF79" s="3"/>
      <c r="DG79" s="3"/>
      <c r="DH79" s="3"/>
      <c r="DI79" s="3"/>
      <c r="DJ79" s="3"/>
      <c r="DK79" s="3"/>
      <c r="DL79" s="3"/>
      <c r="DM79" s="3"/>
      <c r="DN79" s="3"/>
      <c r="DO79" s="3"/>
      <c r="DP79" s="3">
        <v>19086000</v>
      </c>
      <c r="DQ79" s="3">
        <v>26031000</v>
      </c>
      <c r="DR79" s="3">
        <v>0</v>
      </c>
      <c r="DS79" s="3">
        <v>45117000</v>
      </c>
      <c r="DT79" s="3">
        <v>19086000</v>
      </c>
      <c r="DU79" s="3">
        <v>75670000</v>
      </c>
      <c r="DV79" s="3">
        <v>0</v>
      </c>
      <c r="DW79" s="3">
        <v>94756000</v>
      </c>
      <c r="DX79" s="3"/>
      <c r="DY79" s="3"/>
      <c r="DZ79" s="3"/>
      <c r="EA79" s="3"/>
      <c r="EB79" s="3"/>
      <c r="EC79" s="3"/>
      <c r="ED79" s="3"/>
      <c r="EE79" s="3"/>
      <c r="EF79" s="3"/>
      <c r="EG79" s="3"/>
      <c r="EH79" s="3"/>
      <c r="EI79" s="3"/>
      <c r="EJ79" s="3"/>
      <c r="EK79" s="3"/>
      <c r="EL79" s="3"/>
      <c r="EM79" s="3"/>
      <c r="EN79" s="3"/>
      <c r="EO79" s="3"/>
      <c r="EP79" s="3"/>
      <c r="EQ79" s="3"/>
      <c r="ER79" s="3">
        <v>18519000</v>
      </c>
      <c r="ES79" s="3">
        <v>26982000</v>
      </c>
      <c r="ET79" s="3">
        <v>0</v>
      </c>
      <c r="EU79" s="3">
        <v>45501000</v>
      </c>
      <c r="EV79" s="3">
        <v>18519000</v>
      </c>
      <c r="EW79" s="3">
        <v>66982000</v>
      </c>
      <c r="EX79" s="3">
        <v>0</v>
      </c>
      <c r="EY79" s="3">
        <v>85501000</v>
      </c>
      <c r="EZ79" s="3"/>
      <c r="FA79" s="3"/>
      <c r="FB79" s="3"/>
      <c r="FC79" s="3"/>
      <c r="FD79" s="3"/>
      <c r="FE79" s="3"/>
      <c r="FF79" s="3"/>
      <c r="FG79" s="3"/>
      <c r="FH79" s="3"/>
      <c r="FI79" s="3"/>
      <c r="FJ79" s="3"/>
      <c r="FK79" s="3"/>
      <c r="FL79" s="3"/>
      <c r="FM79" s="3"/>
      <c r="FN79" s="3"/>
      <c r="FO79" s="3"/>
      <c r="FP79" s="3"/>
      <c r="FQ79" s="3"/>
      <c r="FR79" s="3"/>
      <c r="FS79" s="3"/>
      <c r="FT79" s="3">
        <v>20303000</v>
      </c>
      <c r="FU79" s="3">
        <v>62358000</v>
      </c>
      <c r="FV79" s="3">
        <v>0</v>
      </c>
      <c r="FW79" s="3">
        <v>82661000</v>
      </c>
      <c r="FX79" s="3">
        <v>20303000</v>
      </c>
      <c r="FY79" s="3">
        <v>67358000</v>
      </c>
      <c r="FZ79" s="3">
        <v>0</v>
      </c>
      <c r="GA79" s="3">
        <v>87661000</v>
      </c>
      <c r="GB79" s="3"/>
      <c r="GC79" s="3"/>
      <c r="GD79" s="3"/>
      <c r="GE79" s="3"/>
      <c r="GF79" s="3"/>
      <c r="GG79" s="3"/>
      <c r="GH79" s="3"/>
      <c r="GI79" s="3"/>
      <c r="GJ79" s="3"/>
      <c r="GK79" s="3"/>
      <c r="GL79" s="3"/>
      <c r="GM79" s="3"/>
      <c r="GN79" s="3"/>
      <c r="GO79" s="3"/>
      <c r="GP79" s="3"/>
      <c r="GQ79" s="3"/>
      <c r="GR79" s="3"/>
      <c r="GS79" s="3"/>
      <c r="GT79" s="3"/>
      <c r="GU79" s="3"/>
      <c r="GV79" s="3">
        <v>22984000</v>
      </c>
      <c r="GW79" s="3">
        <v>56776000</v>
      </c>
      <c r="GX79" s="3">
        <v>0</v>
      </c>
      <c r="GY79" s="3">
        <v>79760000</v>
      </c>
      <c r="GZ79" s="3">
        <v>22984000</v>
      </c>
      <c r="HA79" s="3">
        <v>67176000</v>
      </c>
      <c r="HB79" s="3">
        <v>0</v>
      </c>
      <c r="HC79" s="3">
        <v>90160000</v>
      </c>
      <c r="HD79" s="3"/>
      <c r="HE79" s="3"/>
      <c r="HF79" s="3"/>
      <c r="HG79" s="3"/>
      <c r="HH79" s="3"/>
      <c r="HI79" s="3"/>
      <c r="HJ79" s="3"/>
      <c r="HK79" s="3"/>
      <c r="HL79" s="3"/>
      <c r="HM79" s="3"/>
      <c r="HN79" s="3"/>
      <c r="HO79" s="3"/>
      <c r="HP79" s="3"/>
      <c r="HQ79" s="3"/>
      <c r="HR79" s="3"/>
      <c r="HS79" s="3"/>
      <c r="HT79" s="3"/>
      <c r="HU79" s="3"/>
      <c r="HV79" s="3"/>
      <c r="HW79" s="3"/>
      <c r="HX79" s="3">
        <v>26592000</v>
      </c>
      <c r="HY79" s="3">
        <v>57332000</v>
      </c>
      <c r="HZ79" s="3">
        <v>0</v>
      </c>
      <c r="IA79" s="3">
        <v>83924000</v>
      </c>
      <c r="IB79" s="3">
        <v>26592000</v>
      </c>
      <c r="IC79" s="3">
        <v>57332000</v>
      </c>
      <c r="ID79" s="3">
        <v>0</v>
      </c>
      <c r="IE79" s="3">
        <v>83924000</v>
      </c>
      <c r="IF79" s="3"/>
      <c r="IG79" s="3"/>
      <c r="IH79" s="3"/>
      <c r="II79" s="3"/>
      <c r="IJ79" s="3"/>
      <c r="IK79" s="3"/>
      <c r="IL79" s="3"/>
      <c r="IM79" s="3"/>
      <c r="IN79" s="3"/>
      <c r="IO79" s="3"/>
      <c r="IP79" s="3"/>
      <c r="IQ79" s="3"/>
      <c r="IR79" s="3"/>
      <c r="IS79" s="3"/>
      <c r="IT79" s="3"/>
      <c r="IU79" s="3"/>
      <c r="IV79" s="3"/>
      <c r="IW79" s="3"/>
      <c r="IX79" s="3"/>
      <c r="IY79" s="3"/>
      <c r="IZ79" s="3">
        <v>27741000</v>
      </c>
      <c r="JA79" s="3">
        <v>49651000</v>
      </c>
      <c r="JB79" s="3">
        <v>0</v>
      </c>
      <c r="JC79" s="3">
        <v>77392000</v>
      </c>
      <c r="JD79" s="3"/>
      <c r="JE79" s="3"/>
      <c r="JF79" s="3"/>
      <c r="JG79" s="3"/>
    </row>
    <row r="80" spans="1:267" x14ac:dyDescent="0.25">
      <c r="A80" t="s">
        <v>505</v>
      </c>
      <c r="B80" t="s">
        <v>397</v>
      </c>
      <c r="C80" t="s">
        <v>557</v>
      </c>
      <c r="D80" t="s">
        <v>463</v>
      </c>
      <c r="E80" t="s">
        <v>217</v>
      </c>
      <c r="F80" s="4" t="s">
        <v>618</v>
      </c>
      <c r="G80" t="s">
        <v>643</v>
      </c>
      <c r="H80" s="3">
        <v>0</v>
      </c>
      <c r="I80" s="3">
        <v>0</v>
      </c>
      <c r="J80" s="3">
        <v>10450000</v>
      </c>
      <c r="K80" s="3">
        <v>10450000</v>
      </c>
      <c r="L80" s="3">
        <v>0</v>
      </c>
      <c r="M80" s="3">
        <v>0</v>
      </c>
      <c r="N80" s="3">
        <v>10450000</v>
      </c>
      <c r="O80" s="3">
        <v>10450000</v>
      </c>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c r="IT80" s="3"/>
      <c r="IU80" s="3"/>
      <c r="IV80" s="3"/>
      <c r="IW80" s="3"/>
      <c r="IX80" s="3"/>
      <c r="IY80" s="3"/>
      <c r="IZ80" s="3"/>
      <c r="JA80" s="3"/>
      <c r="JB80" s="3"/>
      <c r="JC80" s="3"/>
      <c r="JD80" s="3"/>
      <c r="JE80" s="3"/>
      <c r="JF80" s="3"/>
      <c r="JG80" s="3"/>
    </row>
    <row r="81" spans="1:267" x14ac:dyDescent="0.25">
      <c r="A81" t="s">
        <v>505</v>
      </c>
      <c r="B81" t="s">
        <v>397</v>
      </c>
      <c r="C81" t="s">
        <v>557</v>
      </c>
      <c r="D81" t="s">
        <v>463</v>
      </c>
      <c r="E81" t="s">
        <v>217</v>
      </c>
      <c r="F81" s="4" t="s">
        <v>642</v>
      </c>
      <c r="G81" t="s">
        <v>644</v>
      </c>
      <c r="H81" s="3"/>
      <c r="I81" s="3"/>
      <c r="J81" s="3"/>
      <c r="K81" s="3"/>
      <c r="L81" s="3">
        <v>0</v>
      </c>
      <c r="M81" s="3">
        <v>0</v>
      </c>
      <c r="N81" s="3">
        <v>15000000</v>
      </c>
      <c r="O81" s="3">
        <v>15000000</v>
      </c>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c r="IT81" s="3"/>
      <c r="IU81" s="3"/>
      <c r="IV81" s="3"/>
      <c r="IW81" s="3"/>
      <c r="IX81" s="3"/>
      <c r="IY81" s="3"/>
      <c r="IZ81" s="3"/>
      <c r="JA81" s="3"/>
      <c r="JB81" s="3"/>
      <c r="JC81" s="3"/>
      <c r="JD81" s="3"/>
      <c r="JE81" s="3"/>
      <c r="JF81" s="3"/>
      <c r="JG81" s="3"/>
    </row>
    <row r="82" spans="1:267" x14ac:dyDescent="0.25">
      <c r="A82" t="s">
        <v>505</v>
      </c>
      <c r="B82" t="s">
        <v>397</v>
      </c>
      <c r="C82" t="s">
        <v>557</v>
      </c>
      <c r="D82" t="s">
        <v>463</v>
      </c>
      <c r="E82" t="s">
        <v>217</v>
      </c>
      <c r="F82" s="4" t="s">
        <v>641</v>
      </c>
      <c r="G82" t="s">
        <v>645</v>
      </c>
      <c r="H82" s="3">
        <v>0</v>
      </c>
      <c r="I82" s="3">
        <v>0</v>
      </c>
      <c r="J82" s="3">
        <v>0</v>
      </c>
      <c r="K82" s="3">
        <v>0</v>
      </c>
      <c r="L82" s="3">
        <v>0</v>
      </c>
      <c r="M82" s="3">
        <v>0</v>
      </c>
      <c r="N82" s="3">
        <v>40000000</v>
      </c>
      <c r="O82" s="3">
        <v>40000000</v>
      </c>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row>
    <row r="83" spans="1:267" x14ac:dyDescent="0.25">
      <c r="A83" t="s">
        <v>505</v>
      </c>
      <c r="B83" t="s">
        <v>397</v>
      </c>
      <c r="C83" t="s">
        <v>557</v>
      </c>
      <c r="D83" t="s">
        <v>463</v>
      </c>
      <c r="E83" t="s">
        <v>217</v>
      </c>
      <c r="F83" s="4" t="s">
        <v>640</v>
      </c>
      <c r="G83" t="s">
        <v>646</v>
      </c>
      <c r="H83" s="3">
        <v>0</v>
      </c>
      <c r="I83" s="3">
        <v>0</v>
      </c>
      <c r="J83" s="3">
        <v>0</v>
      </c>
      <c r="K83" s="3">
        <v>0</v>
      </c>
      <c r="L83" s="3">
        <v>0</v>
      </c>
      <c r="M83" s="3">
        <v>0</v>
      </c>
      <c r="N83" s="3">
        <v>30000000</v>
      </c>
      <c r="O83" s="3">
        <v>30000000</v>
      </c>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row>
    <row r="84" spans="1:267" x14ac:dyDescent="0.25">
      <c r="A84" t="s">
        <v>505</v>
      </c>
      <c r="B84" t="s">
        <v>397</v>
      </c>
      <c r="C84" t="s">
        <v>557</v>
      </c>
      <c r="D84" t="s">
        <v>463</v>
      </c>
      <c r="E84" t="s">
        <v>217</v>
      </c>
      <c r="F84" s="4" t="s">
        <v>639</v>
      </c>
      <c r="G84" t="s">
        <v>647</v>
      </c>
      <c r="H84" s="3">
        <v>0</v>
      </c>
      <c r="I84" s="3">
        <v>0</v>
      </c>
      <c r="J84" s="3">
        <v>0</v>
      </c>
      <c r="K84" s="3">
        <v>0</v>
      </c>
      <c r="L84" s="3">
        <v>0</v>
      </c>
      <c r="M84" s="3">
        <v>0</v>
      </c>
      <c r="N84" s="3">
        <v>4000000</v>
      </c>
      <c r="O84" s="3">
        <v>4000000</v>
      </c>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row>
    <row r="85" spans="1:267" x14ac:dyDescent="0.25">
      <c r="A85" t="s">
        <v>505</v>
      </c>
      <c r="B85" t="s">
        <v>397</v>
      </c>
      <c r="C85" t="s">
        <v>557</v>
      </c>
      <c r="D85" t="s">
        <v>463</v>
      </c>
      <c r="E85" t="s">
        <v>217</v>
      </c>
      <c r="F85" s="4" t="s">
        <v>638</v>
      </c>
      <c r="G85" t="s">
        <v>648</v>
      </c>
      <c r="H85" s="3">
        <v>0</v>
      </c>
      <c r="I85" s="3">
        <v>0</v>
      </c>
      <c r="J85" s="3">
        <v>0</v>
      </c>
      <c r="K85" s="3">
        <v>0</v>
      </c>
      <c r="L85" s="3">
        <v>0</v>
      </c>
      <c r="M85" s="3">
        <v>0</v>
      </c>
      <c r="N85" s="3">
        <v>100000000</v>
      </c>
      <c r="O85" s="3">
        <v>100000000</v>
      </c>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row>
    <row r="86" spans="1:267" x14ac:dyDescent="0.25">
      <c r="A86" t="s">
        <v>505</v>
      </c>
      <c r="B86" t="s">
        <v>397</v>
      </c>
      <c r="C86" t="s">
        <v>557</v>
      </c>
      <c r="D86" t="s">
        <v>463</v>
      </c>
      <c r="E86" t="s">
        <v>217</v>
      </c>
      <c r="F86" s="4" t="s">
        <v>632</v>
      </c>
      <c r="G86" t="s">
        <v>633</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v>0</v>
      </c>
      <c r="AK86" s="3">
        <v>0</v>
      </c>
      <c r="AL86" s="3">
        <v>0</v>
      </c>
      <c r="AM86" s="3">
        <v>0</v>
      </c>
      <c r="AN86" s="3">
        <v>0</v>
      </c>
      <c r="AO86" s="3">
        <v>0</v>
      </c>
      <c r="AP86" s="3">
        <v>50000000</v>
      </c>
      <c r="AQ86" s="3">
        <v>50000000</v>
      </c>
      <c r="AR86" s="3"/>
      <c r="AS86" s="3"/>
      <c r="AT86" s="3"/>
      <c r="AU86" s="3"/>
      <c r="AV86" s="3"/>
      <c r="AW86" s="3"/>
      <c r="AX86" s="3"/>
      <c r="AY86" s="3"/>
      <c r="AZ86" s="3"/>
      <c r="BA86" s="3"/>
      <c r="BB86" s="3"/>
      <c r="BC86" s="3"/>
      <c r="BD86" s="3"/>
      <c r="BE86" s="3"/>
      <c r="BF86" s="3"/>
      <c r="BG86" s="3"/>
      <c r="BH86" s="3"/>
      <c r="BI86" s="3"/>
      <c r="BJ86" s="3"/>
      <c r="BK86" s="3"/>
      <c r="BL86" s="3">
        <v>0</v>
      </c>
      <c r="BM86" s="3">
        <v>0</v>
      </c>
      <c r="BN86" s="3">
        <v>0</v>
      </c>
      <c r="BO86" s="3">
        <v>0</v>
      </c>
      <c r="BP86" s="3">
        <v>0</v>
      </c>
      <c r="BQ86" s="3">
        <v>0</v>
      </c>
      <c r="BR86" s="3">
        <v>10000000</v>
      </c>
      <c r="BS86" s="3">
        <v>10000000</v>
      </c>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row>
    <row r="87" spans="1:267" x14ac:dyDescent="0.25">
      <c r="A87" t="s">
        <v>505</v>
      </c>
      <c r="B87" t="s">
        <v>397</v>
      </c>
      <c r="C87" t="s">
        <v>557</v>
      </c>
      <c r="D87" t="s">
        <v>463</v>
      </c>
      <c r="E87" t="s">
        <v>217</v>
      </c>
      <c r="F87" t="s">
        <v>558</v>
      </c>
      <c r="G87" t="s">
        <v>467</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v>0</v>
      </c>
      <c r="BM87" s="3">
        <v>0</v>
      </c>
      <c r="BN87" s="3">
        <v>0</v>
      </c>
      <c r="BO87" s="3">
        <v>0</v>
      </c>
      <c r="BP87" s="3">
        <v>0</v>
      </c>
      <c r="BQ87" s="3">
        <v>0</v>
      </c>
      <c r="BR87" s="3">
        <v>10000000</v>
      </c>
      <c r="BS87" s="3">
        <v>10000000</v>
      </c>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row>
    <row r="88" spans="1:267" x14ac:dyDescent="0.25">
      <c r="A88" t="s">
        <v>505</v>
      </c>
      <c r="B88" t="s">
        <v>397</v>
      </c>
      <c r="C88" t="s">
        <v>557</v>
      </c>
      <c r="D88" t="s">
        <v>463</v>
      </c>
      <c r="E88" t="s">
        <v>217</v>
      </c>
      <c r="F88" t="s">
        <v>559</v>
      </c>
      <c r="G88" t="s">
        <v>468</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v>0</v>
      </c>
      <c r="CO88" s="3">
        <v>0</v>
      </c>
      <c r="CP88" s="3">
        <v>0</v>
      </c>
      <c r="CQ88" s="3">
        <v>0</v>
      </c>
      <c r="CR88" s="3">
        <v>0</v>
      </c>
      <c r="CS88" s="3">
        <v>0</v>
      </c>
      <c r="CT88" s="3">
        <v>40000000</v>
      </c>
      <c r="CU88" s="3">
        <v>40000000</v>
      </c>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row>
    <row r="89" spans="1:267" x14ac:dyDescent="0.25">
      <c r="A89" t="s">
        <v>505</v>
      </c>
      <c r="B89" t="s">
        <v>397</v>
      </c>
      <c r="C89" t="s">
        <v>557</v>
      </c>
      <c r="D89" t="s">
        <v>463</v>
      </c>
      <c r="E89" t="s">
        <v>217</v>
      </c>
      <c r="F89" t="s">
        <v>560</v>
      </c>
      <c r="G89" t="s">
        <v>469</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v>0</v>
      </c>
      <c r="CO89" s="3">
        <v>0</v>
      </c>
      <c r="CP89" s="3">
        <v>0</v>
      </c>
      <c r="CQ89" s="3">
        <v>0</v>
      </c>
      <c r="CR89" s="3">
        <v>0</v>
      </c>
      <c r="CS89" s="3">
        <v>0</v>
      </c>
      <c r="CT89" s="3">
        <v>15000000</v>
      </c>
      <c r="CU89" s="3">
        <v>15000000</v>
      </c>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row>
    <row r="90" spans="1:267" x14ac:dyDescent="0.25">
      <c r="A90" t="s">
        <v>505</v>
      </c>
      <c r="B90" t="s">
        <v>397</v>
      </c>
      <c r="C90" t="s">
        <v>557</v>
      </c>
      <c r="D90" t="s">
        <v>463</v>
      </c>
      <c r="E90" t="s">
        <v>217</v>
      </c>
      <c r="F90" t="s">
        <v>561</v>
      </c>
      <c r="G90" t="s">
        <v>562</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v>0</v>
      </c>
      <c r="DQ90" s="3">
        <v>0</v>
      </c>
      <c r="DR90" s="3">
        <v>0</v>
      </c>
      <c r="DS90" s="3">
        <v>0</v>
      </c>
      <c r="DT90" s="3">
        <v>0</v>
      </c>
      <c r="DU90" s="3">
        <v>0</v>
      </c>
      <c r="DV90" s="3">
        <v>100000000</v>
      </c>
      <c r="DW90" s="3">
        <v>100000000</v>
      </c>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row>
    <row r="91" spans="1:267" x14ac:dyDescent="0.25">
      <c r="A91" t="s">
        <v>505</v>
      </c>
      <c r="B91" t="s">
        <v>397</v>
      </c>
      <c r="C91" t="s">
        <v>557</v>
      </c>
      <c r="D91" t="s">
        <v>463</v>
      </c>
      <c r="E91" t="s">
        <v>217</v>
      </c>
      <c r="F91" t="s">
        <v>563</v>
      </c>
      <c r="G91" t="s">
        <v>470</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v>0</v>
      </c>
      <c r="DQ91" s="3">
        <v>0</v>
      </c>
      <c r="DR91" s="3">
        <v>0</v>
      </c>
      <c r="DS91" s="3">
        <v>0</v>
      </c>
      <c r="DT91" s="3">
        <v>0</v>
      </c>
      <c r="DU91" s="3">
        <v>0</v>
      </c>
      <c r="DV91" s="3">
        <v>21105000</v>
      </c>
      <c r="DW91" s="3">
        <v>21105000</v>
      </c>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row>
    <row r="92" spans="1:267" x14ac:dyDescent="0.25">
      <c r="A92" t="s">
        <v>505</v>
      </c>
      <c r="B92" t="s">
        <v>397</v>
      </c>
      <c r="C92" t="s">
        <v>557</v>
      </c>
      <c r="D92" t="s">
        <v>463</v>
      </c>
      <c r="E92" t="s">
        <v>217</v>
      </c>
      <c r="F92" t="s">
        <v>564</v>
      </c>
      <c r="G92" t="s">
        <v>471</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v>0</v>
      </c>
      <c r="DQ92" s="3">
        <v>0</v>
      </c>
      <c r="DR92" s="3">
        <v>0</v>
      </c>
      <c r="DS92" s="3">
        <v>0</v>
      </c>
      <c r="DT92" s="3">
        <v>0</v>
      </c>
      <c r="DU92" s="3">
        <v>1522000</v>
      </c>
      <c r="DV92" s="3">
        <v>734000</v>
      </c>
      <c r="DW92" s="3">
        <v>2256000</v>
      </c>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row>
    <row r="93" spans="1:267" x14ac:dyDescent="0.25">
      <c r="A93" t="s">
        <v>505</v>
      </c>
      <c r="B93" t="s">
        <v>397</v>
      </c>
      <c r="C93" t="s">
        <v>557</v>
      </c>
      <c r="D93" t="s">
        <v>463</v>
      </c>
      <c r="E93" t="s">
        <v>217</v>
      </c>
      <c r="F93" t="s">
        <v>565</v>
      </c>
      <c r="G93" t="s">
        <v>472</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v>0</v>
      </c>
      <c r="DQ93" s="3">
        <v>0</v>
      </c>
      <c r="DR93" s="3">
        <v>0</v>
      </c>
      <c r="DS93" s="3">
        <v>0</v>
      </c>
      <c r="DT93" s="3">
        <v>0</v>
      </c>
      <c r="DU93" s="3">
        <v>0</v>
      </c>
      <c r="DV93" s="3">
        <v>30422000</v>
      </c>
      <c r="DW93" s="3">
        <v>30422000</v>
      </c>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c r="IT93" s="3"/>
      <c r="IU93" s="3"/>
      <c r="IV93" s="3"/>
      <c r="IW93" s="3"/>
      <c r="IX93" s="3"/>
      <c r="IY93" s="3"/>
      <c r="IZ93" s="3"/>
      <c r="JA93" s="3"/>
      <c r="JB93" s="3"/>
      <c r="JC93" s="3"/>
      <c r="JD93" s="3"/>
      <c r="JE93" s="3"/>
      <c r="JF93" s="3"/>
      <c r="JG93" s="3"/>
    </row>
    <row r="94" spans="1:267" x14ac:dyDescent="0.25">
      <c r="A94" t="s">
        <v>505</v>
      </c>
      <c r="B94" t="s">
        <v>397</v>
      </c>
      <c r="C94" t="s">
        <v>557</v>
      </c>
      <c r="D94" t="s">
        <v>463</v>
      </c>
      <c r="E94" t="s">
        <v>217</v>
      </c>
      <c r="F94" t="s">
        <v>566</v>
      </c>
      <c r="G94" t="s">
        <v>473</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v>0</v>
      </c>
      <c r="DQ94" s="3">
        <v>0</v>
      </c>
      <c r="DR94" s="3">
        <v>0</v>
      </c>
      <c r="DS94" s="3">
        <v>0</v>
      </c>
      <c r="DT94" s="3">
        <v>0</v>
      </c>
      <c r="DU94" s="3">
        <v>0</v>
      </c>
      <c r="DV94" s="3">
        <v>11000000</v>
      </c>
      <c r="DW94" s="3">
        <v>11000000</v>
      </c>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c r="IT94" s="3"/>
      <c r="IU94" s="3"/>
      <c r="IV94" s="3"/>
      <c r="IW94" s="3"/>
      <c r="IX94" s="3"/>
      <c r="IY94" s="3"/>
      <c r="IZ94" s="3"/>
      <c r="JA94" s="3"/>
      <c r="JB94" s="3"/>
      <c r="JC94" s="3"/>
      <c r="JD94" s="3"/>
      <c r="JE94" s="3"/>
      <c r="JF94" s="3"/>
      <c r="JG94" s="3"/>
    </row>
    <row r="95" spans="1:267" x14ac:dyDescent="0.25">
      <c r="A95" t="s">
        <v>505</v>
      </c>
      <c r="B95" t="s">
        <v>397</v>
      </c>
      <c r="C95" t="s">
        <v>557</v>
      </c>
      <c r="D95" t="s">
        <v>463</v>
      </c>
      <c r="E95" t="s">
        <v>217</v>
      </c>
      <c r="F95" t="s">
        <v>567</v>
      </c>
      <c r="G95" t="s">
        <v>474</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v>0</v>
      </c>
      <c r="ES95" s="3">
        <v>0</v>
      </c>
      <c r="ET95" s="3">
        <v>0</v>
      </c>
      <c r="EU95" s="3">
        <v>0</v>
      </c>
      <c r="EV95" s="3">
        <v>0</v>
      </c>
      <c r="EW95" s="3">
        <v>0</v>
      </c>
      <c r="EX95" s="3">
        <v>85000000</v>
      </c>
      <c r="EY95" s="3">
        <v>85000000</v>
      </c>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c r="JA95" s="3"/>
      <c r="JB95" s="3"/>
      <c r="JC95" s="3"/>
      <c r="JD95" s="3"/>
      <c r="JE95" s="3"/>
      <c r="JF95" s="3"/>
      <c r="JG95" s="3"/>
    </row>
    <row r="96" spans="1:267" x14ac:dyDescent="0.25">
      <c r="A96" t="s">
        <v>505</v>
      </c>
      <c r="B96" t="s">
        <v>397</v>
      </c>
      <c r="C96" t="s">
        <v>557</v>
      </c>
      <c r="D96" t="s">
        <v>463</v>
      </c>
      <c r="E96" t="s">
        <v>217</v>
      </c>
      <c r="F96" t="s">
        <v>568</v>
      </c>
      <c r="G96" t="s">
        <v>569</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v>0</v>
      </c>
      <c r="EW96" s="3">
        <v>0</v>
      </c>
      <c r="EX96" s="3">
        <v>30000000</v>
      </c>
      <c r="EY96" s="3">
        <v>30000000</v>
      </c>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c r="IT96" s="3"/>
      <c r="IU96" s="3"/>
      <c r="IV96" s="3"/>
      <c r="IW96" s="3"/>
      <c r="IX96" s="3"/>
      <c r="IY96" s="3"/>
      <c r="IZ96" s="3"/>
      <c r="JA96" s="3"/>
      <c r="JB96" s="3"/>
      <c r="JC96" s="3"/>
      <c r="JD96" s="3"/>
      <c r="JE96" s="3"/>
      <c r="JF96" s="3"/>
      <c r="JG96" s="3"/>
    </row>
    <row r="97" spans="1:267" x14ac:dyDescent="0.25">
      <c r="A97" t="s">
        <v>505</v>
      </c>
      <c r="B97" t="s">
        <v>397</v>
      </c>
      <c r="C97" t="s">
        <v>557</v>
      </c>
      <c r="D97" t="s">
        <v>463</v>
      </c>
      <c r="E97" t="s">
        <v>217</v>
      </c>
      <c r="F97" t="s">
        <v>570</v>
      </c>
      <c r="G97" t="s">
        <v>475</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v>0</v>
      </c>
      <c r="ES97" s="3">
        <v>0</v>
      </c>
      <c r="ET97" s="3">
        <v>0</v>
      </c>
      <c r="EU97" s="3">
        <v>0</v>
      </c>
      <c r="EV97" s="3">
        <v>0</v>
      </c>
      <c r="EW97" s="3">
        <v>0</v>
      </c>
      <c r="EX97" s="3">
        <v>250000000</v>
      </c>
      <c r="EY97" s="3">
        <v>250000000</v>
      </c>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c r="IT97" s="3"/>
      <c r="IU97" s="3"/>
      <c r="IV97" s="3"/>
      <c r="IW97" s="3"/>
      <c r="IX97" s="3"/>
      <c r="IY97" s="3"/>
      <c r="IZ97" s="3"/>
      <c r="JA97" s="3"/>
      <c r="JB97" s="3"/>
      <c r="JC97" s="3"/>
      <c r="JD97" s="3"/>
      <c r="JE97" s="3"/>
      <c r="JF97" s="3"/>
      <c r="JG97" s="3"/>
    </row>
    <row r="98" spans="1:267" x14ac:dyDescent="0.25">
      <c r="A98" t="s">
        <v>505</v>
      </c>
      <c r="B98" t="s">
        <v>397</v>
      </c>
      <c r="C98" t="s">
        <v>557</v>
      </c>
      <c r="D98" t="s">
        <v>463</v>
      </c>
      <c r="E98" t="s">
        <v>217</v>
      </c>
      <c r="F98" t="s">
        <v>571</v>
      </c>
      <c r="G98" t="s">
        <v>476</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v>0</v>
      </c>
      <c r="ES98" s="3">
        <v>0</v>
      </c>
      <c r="ET98" s="3">
        <v>0</v>
      </c>
      <c r="EU98" s="3">
        <v>0</v>
      </c>
      <c r="EV98" s="3">
        <v>0</v>
      </c>
      <c r="EW98" s="3">
        <v>0</v>
      </c>
      <c r="EX98" s="3">
        <v>200000000</v>
      </c>
      <c r="EY98" s="3">
        <v>200000000</v>
      </c>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c r="IT98" s="3"/>
      <c r="IU98" s="3"/>
      <c r="IV98" s="3"/>
      <c r="IW98" s="3"/>
      <c r="IX98" s="3"/>
      <c r="IY98" s="3"/>
      <c r="IZ98" s="3"/>
      <c r="JA98" s="3"/>
      <c r="JB98" s="3"/>
      <c r="JC98" s="3"/>
      <c r="JD98" s="3"/>
      <c r="JE98" s="3"/>
      <c r="JF98" s="3"/>
      <c r="JG98" s="3"/>
    </row>
    <row r="99" spans="1:267" x14ac:dyDescent="0.25">
      <c r="A99" t="s">
        <v>505</v>
      </c>
      <c r="B99" t="s">
        <v>397</v>
      </c>
      <c r="C99" t="s">
        <v>557</v>
      </c>
      <c r="D99" t="s">
        <v>463</v>
      </c>
      <c r="E99" t="s">
        <v>217</v>
      </c>
      <c r="F99" t="s">
        <v>572</v>
      </c>
      <c r="G99" t="s">
        <v>477</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v>0</v>
      </c>
      <c r="ES99" s="3">
        <v>0</v>
      </c>
      <c r="ET99" s="3">
        <v>0</v>
      </c>
      <c r="EU99" s="3">
        <v>0</v>
      </c>
      <c r="EV99" s="3">
        <v>0</v>
      </c>
      <c r="EW99" s="3">
        <v>0</v>
      </c>
      <c r="EX99" s="3">
        <v>66000000</v>
      </c>
      <c r="EY99" s="3">
        <v>66000000</v>
      </c>
      <c r="EZ99" s="3"/>
      <c r="FA99" s="3"/>
      <c r="FB99" s="3"/>
      <c r="FC99" s="3"/>
      <c r="FD99" s="3"/>
      <c r="FE99" s="3"/>
      <c r="FF99" s="3"/>
      <c r="FG99" s="3"/>
      <c r="FH99" s="3"/>
      <c r="FI99" s="3"/>
      <c r="FJ99" s="3"/>
      <c r="FK99" s="3"/>
      <c r="FL99" s="3"/>
      <c r="FM99" s="3"/>
      <c r="FN99" s="3"/>
      <c r="FO99" s="3"/>
      <c r="FP99" s="3"/>
      <c r="FQ99" s="3"/>
      <c r="FR99" s="3"/>
      <c r="FS99" s="3"/>
      <c r="FT99" s="3">
        <v>0</v>
      </c>
      <c r="FU99" s="3">
        <v>0</v>
      </c>
      <c r="FV99" s="3">
        <v>74143000</v>
      </c>
      <c r="FW99" s="3">
        <v>74143000</v>
      </c>
      <c r="FX99" s="3">
        <v>0</v>
      </c>
      <c r="FY99" s="3">
        <v>0</v>
      </c>
      <c r="FZ99" s="3">
        <v>123143000</v>
      </c>
      <c r="GA99" s="3">
        <v>123143000</v>
      </c>
      <c r="GB99" s="3"/>
      <c r="GC99" s="3"/>
      <c r="GD99" s="3"/>
      <c r="GE99" s="3"/>
      <c r="GF99" s="3"/>
      <c r="GG99" s="3"/>
      <c r="GH99" s="3"/>
      <c r="GI99" s="3"/>
      <c r="GJ99" s="3"/>
      <c r="GK99" s="3"/>
      <c r="GL99" s="3"/>
      <c r="GM99" s="3"/>
      <c r="GN99" s="3"/>
      <c r="GO99" s="3"/>
      <c r="GP99" s="3"/>
      <c r="GQ99" s="3"/>
      <c r="GR99" s="3"/>
      <c r="GS99" s="3"/>
      <c r="GT99" s="3"/>
      <c r="GU99" s="3"/>
      <c r="GV99" s="3">
        <v>0</v>
      </c>
      <c r="GW99" s="3">
        <v>13052000</v>
      </c>
      <c r="GX99" s="3">
        <v>116844000</v>
      </c>
      <c r="GY99" s="3">
        <v>129896000</v>
      </c>
      <c r="GZ99" s="3">
        <v>0</v>
      </c>
      <c r="HA99" s="3">
        <v>13052000</v>
      </c>
      <c r="HB99" s="3">
        <v>116844000</v>
      </c>
      <c r="HC99" s="3">
        <v>129896000</v>
      </c>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c r="IT99" s="3"/>
      <c r="IU99" s="3"/>
      <c r="IV99" s="3"/>
      <c r="IW99" s="3"/>
      <c r="IX99" s="3"/>
      <c r="IY99" s="3"/>
      <c r="IZ99" s="3"/>
      <c r="JA99" s="3"/>
      <c r="JB99" s="3"/>
      <c r="JC99" s="3"/>
      <c r="JD99" s="3"/>
      <c r="JE99" s="3"/>
      <c r="JF99" s="3"/>
      <c r="JG99" s="3"/>
    </row>
    <row r="100" spans="1:267" x14ac:dyDescent="0.25">
      <c r="A100" t="s">
        <v>505</v>
      </c>
      <c r="B100" t="s">
        <v>397</v>
      </c>
      <c r="C100" t="s">
        <v>557</v>
      </c>
      <c r="D100" t="s">
        <v>463</v>
      </c>
      <c r="E100" t="s">
        <v>217</v>
      </c>
      <c r="F100" t="s">
        <v>573</v>
      </c>
      <c r="G100" t="s">
        <v>478</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v>0</v>
      </c>
      <c r="ES100" s="3">
        <v>0</v>
      </c>
      <c r="ET100" s="3">
        <v>0</v>
      </c>
      <c r="EU100" s="3">
        <v>0</v>
      </c>
      <c r="EV100" s="3">
        <v>0</v>
      </c>
      <c r="EW100" s="3">
        <v>0</v>
      </c>
      <c r="EX100" s="3">
        <v>25000000</v>
      </c>
      <c r="EY100" s="3">
        <v>25000000</v>
      </c>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c r="IT100" s="3"/>
      <c r="IU100" s="3"/>
      <c r="IV100" s="3"/>
      <c r="IW100" s="3"/>
      <c r="IX100" s="3"/>
      <c r="IY100" s="3"/>
      <c r="IZ100" s="3"/>
      <c r="JA100" s="3"/>
      <c r="JB100" s="3"/>
      <c r="JC100" s="3"/>
      <c r="JD100" s="3"/>
      <c r="JE100" s="3"/>
      <c r="JF100" s="3"/>
      <c r="JG100" s="3"/>
    </row>
    <row r="101" spans="1:267" x14ac:dyDescent="0.25">
      <c r="A101" t="s">
        <v>505</v>
      </c>
      <c r="B101" t="s">
        <v>397</v>
      </c>
      <c r="C101" t="s">
        <v>557</v>
      </c>
      <c r="D101" t="s">
        <v>463</v>
      </c>
      <c r="E101" t="s">
        <v>217</v>
      </c>
      <c r="F101" t="s">
        <v>574</v>
      </c>
      <c r="G101" t="s">
        <v>479</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v>0</v>
      </c>
      <c r="ES101" s="3">
        <v>0</v>
      </c>
      <c r="ET101" s="3">
        <v>0</v>
      </c>
      <c r="EU101" s="3">
        <v>0</v>
      </c>
      <c r="EV101" s="3">
        <v>0</v>
      </c>
      <c r="EW101" s="3">
        <v>0</v>
      </c>
      <c r="EX101" s="3">
        <v>6000000</v>
      </c>
      <c r="EY101" s="3">
        <v>6000000</v>
      </c>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row>
    <row r="102" spans="1:267" x14ac:dyDescent="0.25">
      <c r="A102" t="s">
        <v>505</v>
      </c>
      <c r="B102" t="s">
        <v>397</v>
      </c>
      <c r="C102" t="s">
        <v>557</v>
      </c>
      <c r="D102" t="s">
        <v>463</v>
      </c>
      <c r="E102" t="s">
        <v>217</v>
      </c>
      <c r="F102" t="s">
        <v>575</v>
      </c>
      <c r="G102" t="s">
        <v>576</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v>0</v>
      </c>
      <c r="FU102" s="3">
        <v>0</v>
      </c>
      <c r="FV102" s="3">
        <v>50000000</v>
      </c>
      <c r="FW102" s="3">
        <v>50000000</v>
      </c>
      <c r="FX102" s="3">
        <v>0</v>
      </c>
      <c r="FY102" s="3">
        <v>0</v>
      </c>
      <c r="FZ102" s="3">
        <v>50000000</v>
      </c>
      <c r="GA102" s="3">
        <v>50000000</v>
      </c>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row>
    <row r="103" spans="1:267" x14ac:dyDescent="0.25">
      <c r="A103" t="s">
        <v>505</v>
      </c>
      <c r="B103" t="s">
        <v>397</v>
      </c>
      <c r="C103" t="s">
        <v>557</v>
      </c>
      <c r="D103" t="s">
        <v>463</v>
      </c>
      <c r="E103" t="s">
        <v>217</v>
      </c>
      <c r="F103" t="s">
        <v>577</v>
      </c>
      <c r="G103" t="s">
        <v>480</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v>0</v>
      </c>
      <c r="FU103" s="3">
        <v>0</v>
      </c>
      <c r="FV103" s="3">
        <v>0</v>
      </c>
      <c r="FW103" s="3">
        <v>0</v>
      </c>
      <c r="FX103" s="3">
        <v>0</v>
      </c>
      <c r="FY103" s="3">
        <v>0</v>
      </c>
      <c r="FZ103" s="3">
        <v>150000000</v>
      </c>
      <c r="GA103" s="3">
        <v>150000000</v>
      </c>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row>
    <row r="104" spans="1:267" x14ac:dyDescent="0.25">
      <c r="A104" t="s">
        <v>505</v>
      </c>
      <c r="B104" t="s">
        <v>397</v>
      </c>
      <c r="C104" t="s">
        <v>557</v>
      </c>
      <c r="D104" t="s">
        <v>463</v>
      </c>
      <c r="E104" t="s">
        <v>217</v>
      </c>
      <c r="F104" t="s">
        <v>578</v>
      </c>
      <c r="G104" t="s">
        <v>481</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v>0</v>
      </c>
      <c r="FU104" s="3">
        <v>0</v>
      </c>
      <c r="FV104" s="3">
        <v>0</v>
      </c>
      <c r="FW104" s="3">
        <v>0</v>
      </c>
      <c r="FX104" s="3">
        <v>0</v>
      </c>
      <c r="FY104" s="3">
        <v>0</v>
      </c>
      <c r="FZ104" s="3">
        <v>18000000</v>
      </c>
      <c r="GA104" s="3">
        <v>18000000</v>
      </c>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row>
    <row r="105" spans="1:267" x14ac:dyDescent="0.25">
      <c r="A105" t="s">
        <v>505</v>
      </c>
      <c r="B105" t="s">
        <v>397</v>
      </c>
      <c r="C105" t="s">
        <v>557</v>
      </c>
      <c r="D105" t="s">
        <v>463</v>
      </c>
      <c r="E105" t="s">
        <v>217</v>
      </c>
      <c r="F105" t="s">
        <v>579</v>
      </c>
      <c r="G105" t="s">
        <v>580</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v>0</v>
      </c>
      <c r="FU105" s="3">
        <v>0</v>
      </c>
      <c r="FV105" s="3">
        <v>0</v>
      </c>
      <c r="FW105" s="3">
        <v>0</v>
      </c>
      <c r="FX105" s="3">
        <v>0</v>
      </c>
      <c r="FY105" s="3">
        <v>0</v>
      </c>
      <c r="FZ105" s="3">
        <v>6000000</v>
      </c>
      <c r="GA105" s="3">
        <v>6000000</v>
      </c>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row>
    <row r="106" spans="1:267" x14ac:dyDescent="0.25">
      <c r="A106" t="s">
        <v>505</v>
      </c>
      <c r="B106" t="s">
        <v>397</v>
      </c>
      <c r="C106" t="s">
        <v>557</v>
      </c>
      <c r="D106" t="s">
        <v>463</v>
      </c>
      <c r="E106" t="s">
        <v>217</v>
      </c>
      <c r="F106" t="s">
        <v>581</v>
      </c>
      <c r="G106" t="s">
        <v>482</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v>0</v>
      </c>
      <c r="FU106" s="3">
        <v>0</v>
      </c>
      <c r="FV106" s="3">
        <v>150000000</v>
      </c>
      <c r="FW106" s="3">
        <v>150000000</v>
      </c>
      <c r="FX106" s="3">
        <v>0</v>
      </c>
      <c r="FY106" s="3">
        <v>0</v>
      </c>
      <c r="FZ106" s="3">
        <v>54000000</v>
      </c>
      <c r="GA106" s="3">
        <v>54000000</v>
      </c>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row>
    <row r="107" spans="1:267" x14ac:dyDescent="0.25">
      <c r="A107" t="s">
        <v>505</v>
      </c>
      <c r="B107" t="s">
        <v>397</v>
      </c>
      <c r="C107" t="s">
        <v>557</v>
      </c>
      <c r="D107" t="s">
        <v>463</v>
      </c>
      <c r="E107" t="s">
        <v>217</v>
      </c>
      <c r="F107" t="s">
        <v>582</v>
      </c>
      <c r="G107" t="s">
        <v>483</v>
      </c>
      <c r="H107" s="3"/>
      <c r="I107" s="3"/>
      <c r="J107" s="3"/>
      <c r="K107" s="3"/>
      <c r="L107" s="3"/>
      <c r="M107" s="3"/>
      <c r="N107" s="3"/>
      <c r="O107" s="3"/>
      <c r="AJ107" s="3"/>
      <c r="AK107" s="3"/>
      <c r="AL107" s="3"/>
      <c r="AM107" s="3"/>
      <c r="AN107" s="3"/>
      <c r="AO107" s="3"/>
      <c r="AP107" s="3"/>
      <c r="AQ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v>0</v>
      </c>
      <c r="GW107" s="3">
        <v>0</v>
      </c>
      <c r="GX107" s="3">
        <v>0</v>
      </c>
      <c r="GY107" s="3">
        <v>0</v>
      </c>
      <c r="GZ107" s="3">
        <v>0</v>
      </c>
      <c r="HA107" s="3">
        <v>0</v>
      </c>
      <c r="HB107" s="3">
        <v>380000000</v>
      </c>
      <c r="HC107" s="3">
        <v>380000000</v>
      </c>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row>
    <row r="108" spans="1:267" x14ac:dyDescent="0.25">
      <c r="A108" t="s">
        <v>505</v>
      </c>
      <c r="B108" t="s">
        <v>397</v>
      </c>
      <c r="C108" t="s">
        <v>557</v>
      </c>
      <c r="D108" t="s">
        <v>463</v>
      </c>
      <c r="E108" t="s">
        <v>217</v>
      </c>
      <c r="F108" t="s">
        <v>583</v>
      </c>
      <c r="G108" t="s">
        <v>584</v>
      </c>
      <c r="H108" s="3"/>
      <c r="I108" s="3"/>
      <c r="J108" s="3"/>
      <c r="K108" s="3"/>
      <c r="L108" s="3"/>
      <c r="M108" s="3"/>
      <c r="N108" s="3"/>
      <c r="O108" s="3"/>
      <c r="AJ108" s="3"/>
      <c r="AK108" s="3"/>
      <c r="AL108" s="3"/>
      <c r="AM108" s="3"/>
      <c r="AN108" s="3"/>
      <c r="AO108" s="3"/>
      <c r="AP108" s="3"/>
      <c r="AQ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v>0</v>
      </c>
      <c r="FU108" s="3">
        <v>0</v>
      </c>
      <c r="FV108" s="3">
        <v>18000000</v>
      </c>
      <c r="FW108" s="3">
        <v>18000000</v>
      </c>
      <c r="FX108" s="3">
        <v>0</v>
      </c>
      <c r="FY108" s="3">
        <v>0</v>
      </c>
      <c r="FZ108" s="3">
        <v>0</v>
      </c>
      <c r="GA108" s="3">
        <v>0</v>
      </c>
      <c r="GB108" s="3"/>
      <c r="GC108" s="3"/>
      <c r="GD108" s="3"/>
      <c r="GE108" s="3"/>
      <c r="GF108" s="3"/>
      <c r="GG108" s="3"/>
      <c r="GH108" s="3"/>
      <c r="GI108" s="3"/>
      <c r="GJ108" s="3"/>
      <c r="GK108" s="3"/>
      <c r="GL108" s="3"/>
      <c r="GM108" s="3"/>
      <c r="GN108" s="3"/>
      <c r="GO108" s="3"/>
      <c r="GP108" s="3"/>
      <c r="GQ108" s="3"/>
      <c r="GR108" s="3"/>
      <c r="GS108" s="3"/>
      <c r="GT108" s="3"/>
      <c r="GU108" s="3"/>
      <c r="GV108" s="3">
        <v>0</v>
      </c>
      <c r="GW108" s="3">
        <v>0</v>
      </c>
      <c r="GX108" s="3">
        <v>380000000</v>
      </c>
      <c r="GY108" s="3">
        <v>380000000</v>
      </c>
      <c r="GZ108" s="3">
        <v>0</v>
      </c>
      <c r="HA108" s="3">
        <v>0</v>
      </c>
      <c r="HB108" s="3">
        <v>15000000</v>
      </c>
      <c r="HC108" s="3">
        <v>15000000</v>
      </c>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row>
    <row r="109" spans="1:267" x14ac:dyDescent="0.25">
      <c r="A109" t="s">
        <v>505</v>
      </c>
      <c r="B109" t="s">
        <v>397</v>
      </c>
      <c r="C109" t="s">
        <v>557</v>
      </c>
      <c r="D109" t="s">
        <v>463</v>
      </c>
      <c r="E109" t="s">
        <v>217</v>
      </c>
      <c r="F109" t="s">
        <v>585</v>
      </c>
      <c r="G109" t="s">
        <v>586</v>
      </c>
      <c r="H109" s="3"/>
      <c r="I109" s="3"/>
      <c r="J109" s="3"/>
      <c r="K109" s="3"/>
      <c r="L109" s="3"/>
      <c r="M109" s="3"/>
      <c r="N109" s="3"/>
      <c r="O109" s="3"/>
      <c r="AJ109" s="3"/>
      <c r="AK109" s="3"/>
      <c r="AL109" s="3"/>
      <c r="AM109" s="3"/>
      <c r="AN109" s="3"/>
      <c r="AO109" s="3"/>
      <c r="AP109" s="3"/>
      <c r="AQ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v>0</v>
      </c>
      <c r="GW109" s="3">
        <v>0</v>
      </c>
      <c r="GX109" s="3">
        <v>0</v>
      </c>
      <c r="GY109" s="3">
        <v>0</v>
      </c>
      <c r="GZ109" s="3">
        <v>0</v>
      </c>
      <c r="HA109" s="3">
        <v>0</v>
      </c>
      <c r="HB109" s="3">
        <v>15000000</v>
      </c>
      <c r="HC109" s="3">
        <v>15000000</v>
      </c>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c r="JE109" s="3"/>
      <c r="JF109" s="3"/>
      <c r="JG109" s="3"/>
    </row>
    <row r="110" spans="1:267" x14ac:dyDescent="0.25">
      <c r="A110" t="s">
        <v>505</v>
      </c>
      <c r="B110" t="s">
        <v>397</v>
      </c>
      <c r="C110" t="s">
        <v>557</v>
      </c>
      <c r="D110" t="s">
        <v>463</v>
      </c>
      <c r="E110" t="s">
        <v>217</v>
      </c>
      <c r="F110" t="s">
        <v>587</v>
      </c>
      <c r="G110" t="s">
        <v>484</v>
      </c>
      <c r="H110" s="3"/>
      <c r="I110" s="3"/>
      <c r="J110" s="3"/>
      <c r="K110" s="3"/>
      <c r="L110" s="3"/>
      <c r="M110" s="3"/>
      <c r="N110" s="3"/>
      <c r="O110" s="3"/>
      <c r="AJ110" s="3"/>
      <c r="AK110" s="3"/>
      <c r="AL110" s="3"/>
      <c r="AM110" s="3"/>
      <c r="AN110" s="3"/>
      <c r="AO110" s="3"/>
      <c r="AP110" s="3"/>
      <c r="AQ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v>0</v>
      </c>
      <c r="FU110" s="3">
        <v>0</v>
      </c>
      <c r="FV110" s="3">
        <v>6000000</v>
      </c>
      <c r="FW110" s="3">
        <v>6000000</v>
      </c>
      <c r="FX110" s="3">
        <v>0</v>
      </c>
      <c r="FY110" s="3">
        <v>0</v>
      </c>
      <c r="FZ110" s="3">
        <v>0</v>
      </c>
      <c r="GA110" s="3">
        <v>0</v>
      </c>
      <c r="GB110" s="3"/>
      <c r="GC110" s="3"/>
      <c r="GD110" s="3"/>
      <c r="GE110" s="3"/>
      <c r="GF110" s="3"/>
      <c r="GG110" s="3"/>
      <c r="GH110" s="3"/>
      <c r="GI110" s="3"/>
      <c r="GJ110" s="3"/>
      <c r="GK110" s="3"/>
      <c r="GL110" s="3"/>
      <c r="GM110" s="3"/>
      <c r="GN110" s="3"/>
      <c r="GO110" s="3"/>
      <c r="GP110" s="3"/>
      <c r="GQ110" s="3"/>
      <c r="GR110" s="3"/>
      <c r="GS110" s="3"/>
      <c r="GT110" s="3"/>
      <c r="GU110" s="3"/>
      <c r="GV110" s="3">
        <v>0</v>
      </c>
      <c r="GW110" s="3">
        <v>0</v>
      </c>
      <c r="GX110" s="3">
        <v>0</v>
      </c>
      <c r="GY110" s="3">
        <v>0</v>
      </c>
      <c r="GZ110" s="3">
        <v>0</v>
      </c>
      <c r="HA110" s="3">
        <v>0</v>
      </c>
      <c r="HB110" s="3">
        <v>85000000</v>
      </c>
      <c r="HC110" s="3">
        <v>85000000</v>
      </c>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row>
    <row r="111" spans="1:267" x14ac:dyDescent="0.25">
      <c r="A111" t="s">
        <v>505</v>
      </c>
      <c r="B111" t="s">
        <v>397</v>
      </c>
      <c r="C111" t="s">
        <v>557</v>
      </c>
      <c r="D111" t="s">
        <v>463</v>
      </c>
      <c r="E111" t="s">
        <v>217</v>
      </c>
      <c r="F111" t="s">
        <v>588</v>
      </c>
      <c r="G111" t="s">
        <v>485</v>
      </c>
      <c r="H111" s="3"/>
      <c r="I111" s="3"/>
      <c r="J111" s="3"/>
      <c r="K111" s="3"/>
      <c r="L111" s="3"/>
      <c r="M111" s="3"/>
      <c r="N111" s="3"/>
      <c r="O111" s="3"/>
      <c r="AJ111" s="3"/>
      <c r="AK111" s="3"/>
      <c r="AL111" s="3"/>
      <c r="AM111" s="3"/>
      <c r="AN111" s="3"/>
      <c r="AO111" s="3"/>
      <c r="AP111" s="3"/>
      <c r="AQ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v>0</v>
      </c>
      <c r="GW111" s="3">
        <v>0</v>
      </c>
      <c r="GX111" s="3">
        <v>15000000</v>
      </c>
      <c r="GY111" s="3">
        <v>15000000</v>
      </c>
      <c r="GZ111" s="3">
        <v>0</v>
      </c>
      <c r="HA111" s="3">
        <v>0</v>
      </c>
      <c r="HB111" s="3">
        <v>5000000</v>
      </c>
      <c r="HC111" s="3">
        <v>5000000</v>
      </c>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row>
    <row r="112" spans="1:267" x14ac:dyDescent="0.25">
      <c r="A112" t="s">
        <v>505</v>
      </c>
      <c r="B112" t="s">
        <v>397</v>
      </c>
      <c r="C112" t="s">
        <v>557</v>
      </c>
      <c r="D112" t="s">
        <v>463</v>
      </c>
      <c r="E112" t="s">
        <v>217</v>
      </c>
      <c r="F112" t="s">
        <v>589</v>
      </c>
      <c r="G112" t="s">
        <v>486</v>
      </c>
      <c r="H112" s="3"/>
      <c r="I112" s="3"/>
      <c r="J112" s="3"/>
      <c r="K112" s="3"/>
      <c r="L112" s="3"/>
      <c r="M112" s="3"/>
      <c r="N112" s="3"/>
      <c r="O112" s="3"/>
      <c r="AJ112" s="3"/>
      <c r="AK112" s="3"/>
      <c r="AL112" s="3"/>
      <c r="AM112" s="3"/>
      <c r="AN112" s="3"/>
      <c r="AO112" s="3"/>
      <c r="AP112" s="3"/>
      <c r="AQ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v>0</v>
      </c>
      <c r="GW112" s="3">
        <v>0</v>
      </c>
      <c r="GX112" s="3">
        <v>0</v>
      </c>
      <c r="GY112" s="3">
        <v>0</v>
      </c>
      <c r="GZ112" s="3">
        <v>0</v>
      </c>
      <c r="HA112" s="3">
        <v>0</v>
      </c>
      <c r="HB112" s="3">
        <v>2400000</v>
      </c>
      <c r="HC112" s="3">
        <v>2400000</v>
      </c>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row>
    <row r="113" spans="1:267" x14ac:dyDescent="0.25">
      <c r="A113" t="s">
        <v>505</v>
      </c>
      <c r="B113" t="s">
        <v>397</v>
      </c>
      <c r="C113" t="s">
        <v>557</v>
      </c>
      <c r="D113" t="s">
        <v>463</v>
      </c>
      <c r="E113" t="s">
        <v>217</v>
      </c>
      <c r="F113" t="s">
        <v>590</v>
      </c>
      <c r="G113" t="s">
        <v>591</v>
      </c>
      <c r="H113" s="3"/>
      <c r="I113" s="3"/>
      <c r="J113" s="3"/>
      <c r="K113" s="3"/>
      <c r="L113" s="3"/>
      <c r="M113" s="3"/>
      <c r="N113" s="3"/>
      <c r="O113" s="3"/>
      <c r="AJ113" s="3"/>
      <c r="AK113" s="3"/>
      <c r="AL113" s="3"/>
      <c r="AM113" s="3"/>
      <c r="AN113" s="3"/>
      <c r="AO113" s="3"/>
      <c r="AP113" s="3"/>
      <c r="AQ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v>0</v>
      </c>
      <c r="GW113" s="3">
        <v>0</v>
      </c>
      <c r="GX113" s="3">
        <v>15000000</v>
      </c>
      <c r="GY113" s="3">
        <v>15000000</v>
      </c>
      <c r="GZ113" s="3">
        <v>0</v>
      </c>
      <c r="HA113" s="3">
        <v>0</v>
      </c>
      <c r="HB113" s="3">
        <v>20000000</v>
      </c>
      <c r="HC113" s="3">
        <v>20000000</v>
      </c>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c r="IM113" s="3"/>
      <c r="IN113" s="3"/>
      <c r="IO113" s="3"/>
      <c r="IP113" s="3"/>
      <c r="IQ113" s="3"/>
      <c r="IR113" s="3"/>
      <c r="IS113" s="3"/>
      <c r="IT113" s="3"/>
      <c r="IU113" s="3"/>
      <c r="IV113" s="3"/>
      <c r="IW113" s="3"/>
      <c r="IX113" s="3"/>
      <c r="IY113" s="3"/>
      <c r="IZ113" s="3"/>
      <c r="JA113" s="3"/>
      <c r="JB113" s="3"/>
      <c r="JC113" s="3"/>
      <c r="JD113" s="3"/>
      <c r="JE113" s="3"/>
      <c r="JF113" s="3"/>
      <c r="JG113" s="3"/>
    </row>
    <row r="114" spans="1:267" x14ac:dyDescent="0.25">
      <c r="A114" t="s">
        <v>505</v>
      </c>
      <c r="B114" t="s">
        <v>397</v>
      </c>
      <c r="C114" t="s">
        <v>557</v>
      </c>
      <c r="D114" t="s">
        <v>463</v>
      </c>
      <c r="E114" t="s">
        <v>217</v>
      </c>
      <c r="F114" t="s">
        <v>592</v>
      </c>
      <c r="G114" t="s">
        <v>487</v>
      </c>
      <c r="H114" s="3"/>
      <c r="I114" s="3"/>
      <c r="J114" s="3"/>
      <c r="K114" s="3"/>
      <c r="L114" s="3"/>
      <c r="M114" s="3"/>
      <c r="N114" s="3"/>
      <c r="O114" s="3"/>
      <c r="AJ114" s="3"/>
      <c r="AK114" s="3"/>
      <c r="AL114" s="3"/>
      <c r="AM114" s="3"/>
      <c r="AN114" s="3"/>
      <c r="AO114" s="3"/>
      <c r="AP114" s="3"/>
      <c r="AQ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v>0</v>
      </c>
      <c r="GW114" s="3">
        <v>0</v>
      </c>
      <c r="GX114" s="3">
        <v>60000000</v>
      </c>
      <c r="GY114" s="3">
        <v>60000000</v>
      </c>
      <c r="GZ114" s="3">
        <v>0</v>
      </c>
      <c r="HA114" s="3">
        <v>0</v>
      </c>
      <c r="HB114" s="3">
        <v>10000000</v>
      </c>
      <c r="HC114" s="3">
        <v>10000000</v>
      </c>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c r="IM114" s="3"/>
      <c r="IN114" s="3"/>
      <c r="IO114" s="3"/>
      <c r="IP114" s="3"/>
      <c r="IQ114" s="3"/>
      <c r="IR114" s="3"/>
      <c r="IS114" s="3"/>
      <c r="IT114" s="3"/>
      <c r="IU114" s="3"/>
      <c r="IV114" s="3"/>
      <c r="IW114" s="3"/>
      <c r="IX114" s="3"/>
      <c r="IY114" s="3"/>
      <c r="IZ114" s="3"/>
      <c r="JA114" s="3"/>
      <c r="JB114" s="3"/>
      <c r="JC114" s="3"/>
      <c r="JD114" s="3"/>
      <c r="JE114" s="3"/>
      <c r="JF114" s="3"/>
      <c r="JG114" s="3"/>
    </row>
    <row r="115" spans="1:267" x14ac:dyDescent="0.25">
      <c r="A115" t="s">
        <v>505</v>
      </c>
      <c r="B115" t="s">
        <v>397</v>
      </c>
      <c r="C115" t="s">
        <v>557</v>
      </c>
      <c r="D115" t="s">
        <v>463</v>
      </c>
      <c r="E115" t="s">
        <v>217</v>
      </c>
      <c r="F115" t="s">
        <v>593</v>
      </c>
      <c r="G115" t="s">
        <v>488</v>
      </c>
      <c r="H115" s="3"/>
      <c r="I115" s="3"/>
      <c r="J115" s="3"/>
      <c r="K115" s="3"/>
      <c r="L115" s="3"/>
      <c r="M115" s="3"/>
      <c r="N115" s="3"/>
      <c r="O115" s="3"/>
      <c r="AJ115" s="3"/>
      <c r="AK115" s="3"/>
      <c r="AL115" s="3"/>
      <c r="AM115" s="3"/>
      <c r="AN115" s="3"/>
      <c r="AO115" s="3"/>
      <c r="AP115" s="3"/>
      <c r="AQ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v>0</v>
      </c>
      <c r="GW115" s="3">
        <v>0</v>
      </c>
      <c r="GX115" s="3">
        <v>0</v>
      </c>
      <c r="GY115" s="3">
        <v>0</v>
      </c>
      <c r="GZ115" s="3">
        <v>0</v>
      </c>
      <c r="HA115" s="3">
        <v>0</v>
      </c>
      <c r="HB115" s="3">
        <v>30000000</v>
      </c>
      <c r="HC115" s="3">
        <v>30000000</v>
      </c>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c r="IM115" s="3"/>
      <c r="IN115" s="3"/>
      <c r="IO115" s="3"/>
      <c r="IP115" s="3"/>
      <c r="IQ115" s="3"/>
      <c r="IR115" s="3"/>
      <c r="IS115" s="3"/>
      <c r="IT115" s="3"/>
      <c r="IU115" s="3"/>
      <c r="IV115" s="3"/>
      <c r="IW115" s="3"/>
      <c r="IX115" s="3"/>
      <c r="IY115" s="3"/>
      <c r="IZ115" s="3"/>
      <c r="JA115" s="3"/>
      <c r="JB115" s="3"/>
      <c r="JC115" s="3"/>
      <c r="JD115" s="3"/>
      <c r="JE115" s="3"/>
      <c r="JF115" s="3"/>
      <c r="JG115" s="3"/>
    </row>
    <row r="116" spans="1:267" x14ac:dyDescent="0.25">
      <c r="A116" t="s">
        <v>505</v>
      </c>
      <c r="B116" t="s">
        <v>397</v>
      </c>
      <c r="C116" t="s">
        <v>557</v>
      </c>
      <c r="D116" t="s">
        <v>463</v>
      </c>
      <c r="E116" t="s">
        <v>217</v>
      </c>
      <c r="F116" t="s">
        <v>594</v>
      </c>
      <c r="G116" t="s">
        <v>489</v>
      </c>
      <c r="H116" s="3"/>
      <c r="I116" s="3"/>
      <c r="J116" s="3"/>
      <c r="K116" s="3"/>
      <c r="L116" s="3"/>
      <c r="M116" s="3"/>
      <c r="N116" s="3"/>
      <c r="O116" s="3"/>
      <c r="AJ116" s="3"/>
      <c r="AK116" s="3"/>
      <c r="AL116" s="3"/>
      <c r="AM116" s="3"/>
      <c r="AN116" s="3"/>
      <c r="AO116" s="3"/>
      <c r="AP116" s="3"/>
      <c r="AQ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v>0</v>
      </c>
      <c r="GW116" s="3">
        <v>0</v>
      </c>
      <c r="GX116" s="3">
        <v>0</v>
      </c>
      <c r="GY116" s="3">
        <v>0</v>
      </c>
      <c r="GZ116" s="3">
        <v>0</v>
      </c>
      <c r="HA116" s="3">
        <v>0</v>
      </c>
      <c r="HB116" s="3">
        <v>60000000</v>
      </c>
      <c r="HC116" s="3">
        <v>60000000</v>
      </c>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c r="IM116" s="3"/>
      <c r="IN116" s="3"/>
      <c r="IO116" s="3"/>
      <c r="IP116" s="3"/>
      <c r="IQ116" s="3"/>
      <c r="IR116" s="3"/>
      <c r="IS116" s="3"/>
      <c r="IT116" s="3"/>
      <c r="IU116" s="3"/>
      <c r="IV116" s="3"/>
      <c r="IW116" s="3"/>
      <c r="IX116" s="3"/>
      <c r="IY116" s="3"/>
      <c r="IZ116" s="3"/>
      <c r="JA116" s="3"/>
      <c r="JB116" s="3"/>
      <c r="JC116" s="3"/>
      <c r="JD116" s="3"/>
      <c r="JE116" s="3"/>
      <c r="JF116" s="3"/>
      <c r="JG116" s="3"/>
    </row>
    <row r="117" spans="1:267" x14ac:dyDescent="0.25">
      <c r="A117" t="s">
        <v>505</v>
      </c>
      <c r="B117" t="s">
        <v>397</v>
      </c>
      <c r="C117" t="s">
        <v>557</v>
      </c>
      <c r="D117" t="s">
        <v>463</v>
      </c>
      <c r="E117" t="s">
        <v>217</v>
      </c>
      <c r="F117" t="s">
        <v>595</v>
      </c>
      <c r="G117" t="s">
        <v>490</v>
      </c>
      <c r="H117" s="3"/>
      <c r="I117" s="3"/>
      <c r="J117" s="3"/>
      <c r="K117" s="3"/>
      <c r="L117" s="3"/>
      <c r="M117" s="3"/>
      <c r="N117" s="3"/>
      <c r="O117" s="3"/>
      <c r="AJ117" s="3"/>
      <c r="AK117" s="3"/>
      <c r="AL117" s="3"/>
      <c r="AM117" s="3"/>
      <c r="AN117" s="3"/>
      <c r="AO117" s="3"/>
      <c r="AP117" s="3"/>
      <c r="AQ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v>0</v>
      </c>
      <c r="HY117" s="3">
        <v>0</v>
      </c>
      <c r="HZ117" s="3">
        <v>0</v>
      </c>
      <c r="IA117" s="3">
        <v>0</v>
      </c>
      <c r="IB117" s="3">
        <v>0</v>
      </c>
      <c r="IC117" s="3">
        <v>0</v>
      </c>
      <c r="ID117" s="3">
        <v>50000000</v>
      </c>
      <c r="IE117" s="3">
        <v>50000000</v>
      </c>
      <c r="IF117" s="3"/>
      <c r="IG117" s="3"/>
      <c r="IH117" s="3"/>
      <c r="II117" s="3"/>
      <c r="IJ117" s="3"/>
      <c r="IK117" s="3"/>
      <c r="IL117" s="3"/>
      <c r="IM117" s="3"/>
      <c r="IN117" s="3"/>
      <c r="IO117" s="3"/>
      <c r="IP117" s="3"/>
      <c r="IQ117" s="3"/>
      <c r="IR117" s="3"/>
      <c r="IS117" s="3"/>
      <c r="IT117" s="3"/>
      <c r="IU117" s="3"/>
      <c r="IV117" s="3"/>
      <c r="IW117" s="3"/>
      <c r="IX117" s="3"/>
      <c r="IY117" s="3"/>
      <c r="IZ117" s="3"/>
      <c r="JA117" s="3"/>
      <c r="JB117" s="3"/>
      <c r="JC117" s="3"/>
      <c r="JD117" s="3"/>
      <c r="JE117" s="3"/>
      <c r="JF117" s="3"/>
      <c r="JG117" s="3"/>
    </row>
    <row r="118" spans="1:267" x14ac:dyDescent="0.25">
      <c r="A118" t="s">
        <v>505</v>
      </c>
      <c r="B118" t="s">
        <v>397</v>
      </c>
      <c r="C118" t="s">
        <v>557</v>
      </c>
      <c r="D118" t="s">
        <v>463</v>
      </c>
      <c r="E118" t="s">
        <v>217</v>
      </c>
      <c r="F118" t="s">
        <v>596</v>
      </c>
      <c r="G118" t="s">
        <v>491</v>
      </c>
      <c r="H118" s="3"/>
      <c r="I118" s="3"/>
      <c r="J118" s="3"/>
      <c r="K118" s="3"/>
      <c r="L118" s="3"/>
      <c r="M118" s="3"/>
      <c r="N118" s="3"/>
      <c r="O118" s="3"/>
      <c r="AJ118" s="3"/>
      <c r="AK118" s="3"/>
      <c r="AL118" s="3"/>
      <c r="AM118" s="3"/>
      <c r="AN118" s="3"/>
      <c r="AO118" s="3"/>
      <c r="AP118" s="3"/>
      <c r="AQ118" s="3"/>
      <c r="BL118" s="3"/>
      <c r="BM118" s="3"/>
      <c r="BN118" s="3"/>
      <c r="BO118" s="3"/>
      <c r="BP118" s="3"/>
      <c r="BQ118" s="3"/>
      <c r="BR118" s="3"/>
      <c r="BS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v>0</v>
      </c>
      <c r="HY118" s="3">
        <v>0</v>
      </c>
      <c r="HZ118" s="3">
        <v>0</v>
      </c>
      <c r="IA118" s="3">
        <v>0</v>
      </c>
      <c r="IB118" s="3">
        <v>0</v>
      </c>
      <c r="IC118" s="3">
        <v>0</v>
      </c>
      <c r="ID118" s="3">
        <v>20000000</v>
      </c>
      <c r="IE118" s="3">
        <v>20000000</v>
      </c>
      <c r="IF118" s="3"/>
      <c r="IG118" s="3"/>
      <c r="IH118" s="3"/>
      <c r="II118" s="3"/>
      <c r="IJ118" s="3"/>
      <c r="IK118" s="3"/>
      <c r="IL118" s="3"/>
      <c r="IM118" s="3"/>
      <c r="IN118" s="3"/>
      <c r="IO118" s="3"/>
      <c r="IP118" s="3"/>
      <c r="IQ118" s="3"/>
      <c r="IR118" s="3"/>
      <c r="IS118" s="3"/>
      <c r="IT118" s="3"/>
      <c r="IU118" s="3"/>
      <c r="IV118" s="3"/>
      <c r="IW118" s="3"/>
      <c r="IX118" s="3"/>
      <c r="IY118" s="3"/>
      <c r="IZ118" s="3"/>
      <c r="JA118" s="3"/>
      <c r="JB118" s="3"/>
      <c r="JC118" s="3"/>
      <c r="JD118" s="3"/>
      <c r="JE118" s="3"/>
      <c r="JF118" s="3"/>
      <c r="JG118" s="3"/>
    </row>
    <row r="119" spans="1:267" x14ac:dyDescent="0.25">
      <c r="A119" t="s">
        <v>505</v>
      </c>
      <c r="B119" t="s">
        <v>397</v>
      </c>
      <c r="C119" t="s">
        <v>557</v>
      </c>
      <c r="D119" t="s">
        <v>463</v>
      </c>
      <c r="E119" t="s">
        <v>217</v>
      </c>
      <c r="F119" t="s">
        <v>597</v>
      </c>
      <c r="G119" t="s">
        <v>492</v>
      </c>
      <c r="H119" s="3"/>
      <c r="I119" s="3"/>
      <c r="J119" s="3"/>
      <c r="L119" s="3"/>
      <c r="M119" s="3"/>
      <c r="N119" s="3"/>
      <c r="AJ119" s="3"/>
      <c r="AK119" s="3"/>
      <c r="AL119" s="3"/>
      <c r="AN119" s="3"/>
      <c r="AO119" s="3"/>
      <c r="AP119" s="3"/>
      <c r="BL119" s="3"/>
      <c r="BM119" s="3"/>
      <c r="BN119" s="3"/>
      <c r="BO119" s="3"/>
      <c r="BP119" s="3"/>
      <c r="BQ119" s="3"/>
      <c r="BR119" s="3"/>
      <c r="BS119" s="3"/>
      <c r="CN119" s="3"/>
      <c r="CO119" s="3"/>
      <c r="CP119" s="3"/>
      <c r="CQ119" s="3"/>
      <c r="CR119" s="3"/>
      <c r="CS119" s="3"/>
      <c r="CT119" s="3"/>
      <c r="CU119" s="3"/>
      <c r="DP119" s="3"/>
      <c r="DQ119" s="3"/>
      <c r="DR119" s="3"/>
      <c r="DS119" s="3"/>
      <c r="DT119" s="3"/>
      <c r="DU119" s="3"/>
      <c r="DV119" s="3"/>
      <c r="DW119" s="3"/>
      <c r="ER119" s="3"/>
      <c r="ES119" s="3"/>
      <c r="ET119" s="3"/>
      <c r="EU119" s="3"/>
      <c r="EV119" s="3"/>
      <c r="EW119" s="3"/>
      <c r="EX119" s="3"/>
      <c r="EY119" s="3"/>
      <c r="FT119" s="3"/>
      <c r="FU119" s="3"/>
      <c r="FV119" s="3"/>
      <c r="FW119" s="3"/>
      <c r="FX119" s="3"/>
      <c r="FY119" s="3"/>
      <c r="FZ119" s="3"/>
      <c r="GA119" s="3"/>
      <c r="GV119" s="3"/>
      <c r="GW119" s="3"/>
      <c r="GX119" s="3"/>
      <c r="GY119" s="3"/>
      <c r="GZ119" s="3"/>
      <c r="HA119" s="3"/>
      <c r="HB119" s="3"/>
      <c r="HC119" s="3"/>
      <c r="HX119" s="3">
        <v>0</v>
      </c>
      <c r="HY119" s="3">
        <v>0</v>
      </c>
      <c r="HZ119" s="3">
        <v>0</v>
      </c>
      <c r="IA119" s="3">
        <v>0</v>
      </c>
      <c r="IB119" s="3">
        <v>0</v>
      </c>
      <c r="IC119" s="3">
        <v>0</v>
      </c>
      <c r="ID119" s="3">
        <v>40000000</v>
      </c>
      <c r="IE119" s="3">
        <v>40000000</v>
      </c>
      <c r="IZ119" s="3"/>
      <c r="JA119" s="3"/>
      <c r="JB119" s="3"/>
      <c r="JC119" s="3"/>
      <c r="JD119" s="3"/>
      <c r="JE119" s="3"/>
      <c r="JF119" s="3"/>
      <c r="JG119" s="3"/>
    </row>
    <row r="120" spans="1:267" x14ac:dyDescent="0.25">
      <c r="A120" t="s">
        <v>505</v>
      </c>
      <c r="B120" t="s">
        <v>397</v>
      </c>
      <c r="C120" t="s">
        <v>557</v>
      </c>
      <c r="D120" t="s">
        <v>463</v>
      </c>
      <c r="E120" t="s">
        <v>217</v>
      </c>
      <c r="F120" t="s">
        <v>598</v>
      </c>
      <c r="G120" t="s">
        <v>493</v>
      </c>
      <c r="H120" s="3"/>
      <c r="I120" s="3"/>
      <c r="J120" s="3"/>
      <c r="L120" s="3"/>
      <c r="M120" s="3"/>
      <c r="N120" s="3"/>
      <c r="AJ120" s="3"/>
      <c r="AK120" s="3"/>
      <c r="AL120" s="3"/>
      <c r="AN120" s="3"/>
      <c r="AO120" s="3"/>
      <c r="AP120" s="3"/>
      <c r="BL120" s="3"/>
      <c r="BM120" s="3"/>
      <c r="BN120" s="3"/>
      <c r="BO120" s="3"/>
      <c r="BP120" s="3"/>
      <c r="BQ120" s="3"/>
      <c r="BR120" s="3"/>
      <c r="BS120" s="3"/>
      <c r="CN120" s="3"/>
      <c r="CO120" s="3"/>
      <c r="CP120" s="3"/>
      <c r="CQ120" s="3"/>
      <c r="CR120" s="3"/>
      <c r="CS120" s="3"/>
      <c r="CT120" s="3"/>
      <c r="CU120" s="3"/>
      <c r="DP120" s="3"/>
      <c r="DQ120" s="3"/>
      <c r="DR120" s="3"/>
      <c r="DS120" s="3"/>
      <c r="DT120" s="3"/>
      <c r="DU120" s="3"/>
      <c r="DV120" s="3"/>
      <c r="DW120" s="3"/>
      <c r="ER120" s="3"/>
      <c r="ES120" s="3"/>
      <c r="ET120" s="3"/>
      <c r="EU120" s="3"/>
      <c r="EV120" s="3"/>
      <c r="EW120" s="3"/>
      <c r="EX120" s="3"/>
      <c r="EY120" s="3"/>
      <c r="FT120" s="3"/>
      <c r="FU120" s="3"/>
      <c r="FV120" s="3"/>
      <c r="FW120" s="3"/>
      <c r="FX120" s="3"/>
      <c r="FY120" s="3"/>
      <c r="FZ120" s="3"/>
      <c r="GA120" s="3"/>
      <c r="GV120" s="3"/>
      <c r="GW120" s="3"/>
      <c r="GX120" s="3"/>
      <c r="GY120" s="3"/>
      <c r="GZ120" s="3"/>
      <c r="HA120" s="3"/>
      <c r="HB120" s="3"/>
      <c r="HC120" s="3"/>
      <c r="HX120" s="3">
        <v>0</v>
      </c>
      <c r="HY120" s="3">
        <v>0</v>
      </c>
      <c r="HZ120" s="3">
        <v>0</v>
      </c>
      <c r="IA120" s="3">
        <v>0</v>
      </c>
      <c r="IB120" s="3">
        <v>0</v>
      </c>
      <c r="IC120" s="3">
        <v>0</v>
      </c>
      <c r="ID120" s="3">
        <v>20000000</v>
      </c>
      <c r="IE120" s="3">
        <v>20000000</v>
      </c>
      <c r="IZ120" s="3"/>
      <c r="JA120" s="3"/>
      <c r="JB120" s="3"/>
      <c r="JC120" s="3"/>
      <c r="JD120" s="3"/>
      <c r="JE120" s="3"/>
      <c r="JF120" s="3"/>
      <c r="JG120" s="3"/>
    </row>
    <row r="121" spans="1:267" x14ac:dyDescent="0.25">
      <c r="A121" t="s">
        <v>505</v>
      </c>
      <c r="B121" t="s">
        <v>397</v>
      </c>
      <c r="C121" t="s">
        <v>557</v>
      </c>
      <c r="D121" t="s">
        <v>463</v>
      </c>
      <c r="E121" t="s">
        <v>217</v>
      </c>
      <c r="F121" s="20" t="s">
        <v>1356</v>
      </c>
      <c r="G121" t="s">
        <v>1362</v>
      </c>
      <c r="H121" s="3"/>
      <c r="I121" s="3"/>
      <c r="J121" s="3"/>
      <c r="L121" s="3"/>
      <c r="M121" s="3"/>
      <c r="N121" s="3"/>
      <c r="AJ121" s="3"/>
      <c r="AK121" s="3"/>
      <c r="AL121" s="3"/>
      <c r="AN121" s="3"/>
      <c r="AO121" s="3"/>
      <c r="AP121" s="3"/>
      <c r="BL121" s="3"/>
      <c r="BM121" s="3"/>
      <c r="BN121" s="3"/>
      <c r="BO121" s="3"/>
      <c r="BP121" s="3"/>
      <c r="BQ121" s="3"/>
      <c r="BR121" s="3"/>
      <c r="BS121" s="3"/>
      <c r="CN121" s="3"/>
      <c r="CO121" s="3"/>
      <c r="CP121" s="3"/>
      <c r="CQ121" s="3"/>
      <c r="CR121" s="3"/>
      <c r="CS121" s="3"/>
      <c r="CT121" s="3"/>
      <c r="CU121" s="3"/>
      <c r="DP121" s="3"/>
      <c r="DQ121" s="3"/>
      <c r="DR121" s="3"/>
      <c r="DS121" s="3"/>
      <c r="DT121" s="3"/>
      <c r="DU121" s="3"/>
      <c r="DV121" s="3"/>
      <c r="DW121" s="3"/>
      <c r="ER121" s="3"/>
      <c r="ES121" s="3"/>
      <c r="ET121" s="3"/>
      <c r="EU121" s="3"/>
      <c r="EV121" s="3"/>
      <c r="EW121" s="3"/>
      <c r="EX121" s="3"/>
      <c r="EY121" s="3"/>
      <c r="FT121" s="3"/>
      <c r="FU121" s="3"/>
      <c r="FV121" s="3"/>
      <c r="FW121" s="3"/>
      <c r="FX121" s="3"/>
      <c r="FY121" s="3"/>
      <c r="FZ121" s="3"/>
      <c r="GA121" s="3"/>
      <c r="GV121" s="3"/>
      <c r="GW121" s="3"/>
      <c r="GX121" s="3"/>
      <c r="GY121" s="3"/>
      <c r="GZ121" s="3"/>
      <c r="HA121" s="3"/>
      <c r="HB121" s="3"/>
      <c r="HC121" s="3"/>
      <c r="HX121" s="3"/>
      <c r="HY121" s="3"/>
      <c r="HZ121" s="3"/>
      <c r="IA121" s="3"/>
      <c r="IB121" s="3"/>
      <c r="IC121" s="3"/>
      <c r="ID121" s="3"/>
      <c r="IE121" s="3"/>
      <c r="IZ121" s="3">
        <v>0</v>
      </c>
      <c r="JA121" s="3">
        <v>0</v>
      </c>
      <c r="JB121" s="3">
        <v>9000000</v>
      </c>
      <c r="JC121" s="3">
        <v>9000000</v>
      </c>
      <c r="JD121" s="3"/>
      <c r="JE121" s="3"/>
      <c r="JF121" s="3"/>
      <c r="JG121" s="3"/>
    </row>
    <row r="122" spans="1:267" x14ac:dyDescent="0.25">
      <c r="A122" t="s">
        <v>505</v>
      </c>
      <c r="B122" t="s">
        <v>397</v>
      </c>
      <c r="C122" t="s">
        <v>557</v>
      </c>
      <c r="D122" t="s">
        <v>463</v>
      </c>
      <c r="E122" t="s">
        <v>217</v>
      </c>
      <c r="F122" s="20" t="s">
        <v>1357</v>
      </c>
      <c r="G122" t="s">
        <v>1363</v>
      </c>
      <c r="H122" s="3"/>
      <c r="I122" s="3"/>
      <c r="J122" s="3"/>
      <c r="L122" s="3"/>
      <c r="M122" s="3"/>
      <c r="N122" s="3"/>
      <c r="AJ122" s="3"/>
      <c r="AK122" s="3"/>
      <c r="AL122" s="3"/>
      <c r="AN122" s="3"/>
      <c r="AO122" s="3"/>
      <c r="AP122" s="3"/>
      <c r="BL122" s="3"/>
      <c r="BM122" s="3"/>
      <c r="BN122" s="3"/>
      <c r="BO122" s="3"/>
      <c r="BP122" s="3"/>
      <c r="BQ122" s="3"/>
      <c r="BR122" s="3"/>
      <c r="BS122" s="3"/>
      <c r="CN122" s="3"/>
      <c r="CO122" s="3"/>
      <c r="CP122" s="3"/>
      <c r="CQ122" s="3"/>
      <c r="CR122" s="3"/>
      <c r="CS122" s="3"/>
      <c r="CT122" s="3"/>
      <c r="CU122" s="3"/>
      <c r="DP122" s="3"/>
      <c r="DQ122" s="3"/>
      <c r="DR122" s="3"/>
      <c r="DS122" s="3"/>
      <c r="DT122" s="3"/>
      <c r="DU122" s="3"/>
      <c r="DV122" s="3"/>
      <c r="DW122" s="3"/>
      <c r="ER122" s="3"/>
      <c r="ES122" s="3"/>
      <c r="ET122" s="3"/>
      <c r="EU122" s="3"/>
      <c r="EV122" s="3"/>
      <c r="EW122" s="3"/>
      <c r="EX122" s="3"/>
      <c r="EY122" s="3"/>
      <c r="FT122" s="3"/>
      <c r="FU122" s="3"/>
      <c r="FV122" s="3"/>
      <c r="FW122" s="3"/>
      <c r="FX122" s="3"/>
      <c r="FY122" s="3"/>
      <c r="FZ122" s="3"/>
      <c r="GA122" s="3"/>
      <c r="GV122" s="3"/>
      <c r="GW122" s="3"/>
      <c r="GX122" s="3"/>
      <c r="GY122" s="3"/>
      <c r="GZ122" s="3"/>
      <c r="HA122" s="3"/>
      <c r="HB122" s="3"/>
      <c r="HC122" s="3"/>
      <c r="HX122" s="3"/>
      <c r="HY122" s="3"/>
      <c r="HZ122" s="3"/>
      <c r="IA122" s="3"/>
      <c r="IB122" s="3"/>
      <c r="IC122" s="3"/>
      <c r="ID122" s="3"/>
      <c r="IE122" s="3"/>
      <c r="IZ122" s="3">
        <v>0</v>
      </c>
      <c r="JA122" s="3">
        <v>0</v>
      </c>
      <c r="JB122" s="3">
        <v>22000000</v>
      </c>
      <c r="JC122" s="3">
        <v>22000000</v>
      </c>
      <c r="JD122" s="3"/>
      <c r="JE122" s="3"/>
      <c r="JF122" s="3"/>
      <c r="JG122" s="3"/>
    </row>
    <row r="123" spans="1:267" x14ac:dyDescent="0.25">
      <c r="A123" t="s">
        <v>505</v>
      </c>
      <c r="B123" t="s">
        <v>397</v>
      </c>
      <c r="C123" t="s">
        <v>557</v>
      </c>
      <c r="D123" t="s">
        <v>463</v>
      </c>
      <c r="E123" t="s">
        <v>217</v>
      </c>
      <c r="F123" s="20" t="s">
        <v>1358</v>
      </c>
      <c r="G123" t="s">
        <v>1364</v>
      </c>
      <c r="H123" s="3"/>
      <c r="I123" s="3"/>
      <c r="J123" s="3"/>
      <c r="L123" s="3"/>
      <c r="M123" s="3"/>
      <c r="N123" s="3"/>
      <c r="AJ123" s="3"/>
      <c r="AK123" s="3"/>
      <c r="AL123" s="3"/>
      <c r="AN123" s="3"/>
      <c r="AO123" s="3"/>
      <c r="AP123" s="3"/>
      <c r="BL123" s="3"/>
      <c r="BM123" s="3"/>
      <c r="BN123" s="3"/>
      <c r="BO123" s="3"/>
      <c r="BP123" s="3"/>
      <c r="BQ123" s="3"/>
      <c r="BR123" s="3"/>
      <c r="BS123" s="3"/>
      <c r="CN123" s="3"/>
      <c r="CO123" s="3"/>
      <c r="CP123" s="3"/>
      <c r="CQ123" s="3"/>
      <c r="CR123" s="3"/>
      <c r="CS123" s="3"/>
      <c r="CT123" s="3"/>
      <c r="CU123" s="3"/>
      <c r="DP123" s="3"/>
      <c r="DQ123" s="3"/>
      <c r="DR123" s="3"/>
      <c r="DS123" s="3"/>
      <c r="DT123" s="3"/>
      <c r="DU123" s="3"/>
      <c r="DV123" s="3"/>
      <c r="DW123" s="3"/>
      <c r="ER123" s="3"/>
      <c r="ES123" s="3"/>
      <c r="ET123" s="3"/>
      <c r="EU123" s="3"/>
      <c r="EV123" s="3"/>
      <c r="EW123" s="3"/>
      <c r="EX123" s="3"/>
      <c r="EY123" s="3"/>
      <c r="FT123" s="3"/>
      <c r="FU123" s="3"/>
      <c r="FV123" s="3"/>
      <c r="FW123" s="3"/>
      <c r="FX123" s="3"/>
      <c r="FY123" s="3"/>
      <c r="FZ123" s="3"/>
      <c r="GA123" s="3"/>
      <c r="GV123" s="3"/>
      <c r="GW123" s="3"/>
      <c r="GX123" s="3"/>
      <c r="GY123" s="3"/>
      <c r="GZ123" s="3"/>
      <c r="HA123" s="3"/>
      <c r="HB123" s="3"/>
      <c r="HC123" s="3"/>
      <c r="HX123" s="3"/>
      <c r="HY123" s="3"/>
      <c r="HZ123" s="3"/>
      <c r="IA123" s="3"/>
      <c r="IB123" s="3"/>
      <c r="IC123" s="3"/>
      <c r="ID123" s="3"/>
      <c r="IE123" s="3"/>
      <c r="IZ123" s="3">
        <v>0</v>
      </c>
      <c r="JA123" s="3">
        <v>0</v>
      </c>
      <c r="JB123" s="3">
        <v>30000000</v>
      </c>
      <c r="JC123" s="3">
        <v>30000000</v>
      </c>
      <c r="JD123" s="3"/>
      <c r="JE123" s="3"/>
      <c r="JF123" s="3"/>
      <c r="JG123" s="3"/>
    </row>
    <row r="124" spans="1:267" x14ac:dyDescent="0.25">
      <c r="A124" t="s">
        <v>505</v>
      </c>
      <c r="B124" t="s">
        <v>397</v>
      </c>
      <c r="C124" t="s">
        <v>557</v>
      </c>
      <c r="D124" t="s">
        <v>463</v>
      </c>
      <c r="E124" t="s">
        <v>217</v>
      </c>
      <c r="F124" s="20" t="s">
        <v>1359</v>
      </c>
      <c r="G124" t="s">
        <v>1365</v>
      </c>
      <c r="H124" s="3"/>
      <c r="I124" s="3"/>
      <c r="J124" s="3"/>
      <c r="L124" s="3"/>
      <c r="M124" s="3"/>
      <c r="N124" s="3"/>
      <c r="AJ124" s="3"/>
      <c r="AK124" s="3"/>
      <c r="AL124" s="3"/>
      <c r="AN124" s="3"/>
      <c r="AO124" s="3"/>
      <c r="AP124" s="3"/>
      <c r="BL124" s="3"/>
      <c r="BM124" s="3"/>
      <c r="BN124" s="3"/>
      <c r="BO124" s="3"/>
      <c r="BP124" s="3"/>
      <c r="BQ124" s="3"/>
      <c r="BR124" s="3"/>
      <c r="BS124" s="3"/>
      <c r="CN124" s="3"/>
      <c r="CO124" s="3"/>
      <c r="CP124" s="3"/>
      <c r="CQ124" s="3"/>
      <c r="CR124" s="3"/>
      <c r="CS124" s="3"/>
      <c r="CT124" s="3"/>
      <c r="CU124" s="3"/>
      <c r="DP124" s="3"/>
      <c r="DQ124" s="3"/>
      <c r="DR124" s="3"/>
      <c r="DS124" s="3"/>
      <c r="DT124" s="3"/>
      <c r="DU124" s="3"/>
      <c r="DV124" s="3"/>
      <c r="DW124" s="3"/>
      <c r="ER124" s="3"/>
      <c r="ES124" s="3"/>
      <c r="ET124" s="3"/>
      <c r="EU124" s="3"/>
      <c r="EV124" s="3"/>
      <c r="EW124" s="3"/>
      <c r="EX124" s="3"/>
      <c r="EY124" s="3"/>
      <c r="FT124" s="3"/>
      <c r="FU124" s="3"/>
      <c r="FV124" s="3"/>
      <c r="FW124" s="3"/>
      <c r="FX124" s="3"/>
      <c r="FY124" s="3"/>
      <c r="FZ124" s="3"/>
      <c r="GA124" s="3"/>
      <c r="GV124" s="3"/>
      <c r="GW124" s="3"/>
      <c r="GX124" s="3"/>
      <c r="GY124" s="3"/>
      <c r="GZ124" s="3"/>
      <c r="HA124" s="3"/>
      <c r="HB124" s="3"/>
      <c r="HC124" s="3"/>
      <c r="HX124" s="3"/>
      <c r="HY124" s="3"/>
      <c r="HZ124" s="3"/>
      <c r="IA124" s="3"/>
      <c r="IB124" s="3"/>
      <c r="IC124" s="3"/>
      <c r="ID124" s="3"/>
      <c r="IE124" s="3"/>
      <c r="IZ124" s="3">
        <v>0</v>
      </c>
      <c r="JA124" s="3">
        <v>0</v>
      </c>
      <c r="JB124" s="3">
        <v>8000000</v>
      </c>
      <c r="JC124" s="3">
        <v>8000000</v>
      </c>
      <c r="JD124" s="3"/>
      <c r="JE124" s="3"/>
      <c r="JF124" s="3"/>
      <c r="JG124" s="3"/>
    </row>
    <row r="125" spans="1:267" x14ac:dyDescent="0.25">
      <c r="A125" t="s">
        <v>505</v>
      </c>
      <c r="B125" t="s">
        <v>397</v>
      </c>
      <c r="C125" t="s">
        <v>557</v>
      </c>
      <c r="D125" t="s">
        <v>463</v>
      </c>
      <c r="E125" t="s">
        <v>217</v>
      </c>
      <c r="F125" s="20" t="s">
        <v>1360</v>
      </c>
      <c r="G125" t="s">
        <v>1366</v>
      </c>
      <c r="H125" s="3"/>
      <c r="I125" s="3"/>
      <c r="J125" s="3"/>
      <c r="L125" s="3"/>
      <c r="M125" s="3"/>
      <c r="N125" s="3"/>
      <c r="AJ125" s="3"/>
      <c r="AK125" s="3"/>
      <c r="AL125" s="3"/>
      <c r="AN125" s="3"/>
      <c r="AO125" s="3"/>
      <c r="AP125" s="3"/>
      <c r="BL125" s="3"/>
      <c r="BM125" s="3"/>
      <c r="BN125" s="3"/>
      <c r="BO125" s="3"/>
      <c r="BP125" s="3"/>
      <c r="BQ125" s="3"/>
      <c r="BR125" s="3"/>
      <c r="BS125" s="3"/>
      <c r="CN125" s="3"/>
      <c r="CO125" s="3"/>
      <c r="CP125" s="3"/>
      <c r="CQ125" s="3"/>
      <c r="CR125" s="3"/>
      <c r="CS125" s="3"/>
      <c r="CT125" s="3"/>
      <c r="CU125" s="3"/>
      <c r="DP125" s="3"/>
      <c r="DQ125" s="3"/>
      <c r="DR125" s="3"/>
      <c r="DS125" s="3"/>
      <c r="DT125" s="3"/>
      <c r="DU125" s="3"/>
      <c r="DV125" s="3"/>
      <c r="DW125" s="3"/>
      <c r="ER125" s="3"/>
      <c r="ES125" s="3"/>
      <c r="ET125" s="3"/>
      <c r="EU125" s="3"/>
      <c r="EV125" s="3"/>
      <c r="EW125" s="3"/>
      <c r="EX125" s="3"/>
      <c r="EY125" s="3"/>
      <c r="FT125" s="3"/>
      <c r="FU125" s="3"/>
      <c r="FV125" s="3"/>
      <c r="FW125" s="3"/>
      <c r="FX125" s="3"/>
      <c r="FY125" s="3"/>
      <c r="FZ125" s="3"/>
      <c r="GA125" s="3"/>
      <c r="GV125" s="3"/>
      <c r="GW125" s="3"/>
      <c r="GX125" s="3"/>
      <c r="GY125" s="3"/>
      <c r="GZ125" s="3"/>
      <c r="HA125" s="3"/>
      <c r="HB125" s="3"/>
      <c r="HC125" s="3"/>
      <c r="HX125" s="3"/>
      <c r="HY125" s="3"/>
      <c r="HZ125" s="3"/>
      <c r="IA125" s="3"/>
      <c r="IB125" s="3"/>
      <c r="IC125" s="3"/>
      <c r="ID125" s="3"/>
      <c r="IE125" s="3"/>
      <c r="IZ125" s="3">
        <v>0</v>
      </c>
      <c r="JA125" s="3">
        <v>0</v>
      </c>
      <c r="JB125" s="3">
        <v>400000000</v>
      </c>
      <c r="JC125" s="3">
        <v>400000000</v>
      </c>
      <c r="JD125" s="3"/>
      <c r="JE125" s="3"/>
      <c r="JF125" s="3"/>
      <c r="JG125" s="3"/>
    </row>
    <row r="126" spans="1:267" x14ac:dyDescent="0.25">
      <c r="A126" t="s">
        <v>505</v>
      </c>
      <c r="B126" t="s">
        <v>397</v>
      </c>
      <c r="C126" t="s">
        <v>557</v>
      </c>
      <c r="D126" t="s">
        <v>463</v>
      </c>
      <c r="E126" t="s">
        <v>217</v>
      </c>
      <c r="F126" s="20" t="s">
        <v>1361</v>
      </c>
      <c r="G126" t="s">
        <v>1367</v>
      </c>
      <c r="H126" s="3"/>
      <c r="I126" s="3"/>
      <c r="J126" s="3"/>
      <c r="L126" s="3"/>
      <c r="M126" s="3"/>
      <c r="N126" s="3"/>
      <c r="AJ126" s="3"/>
      <c r="AK126" s="3"/>
      <c r="AL126" s="3"/>
      <c r="AN126" s="3"/>
      <c r="AO126" s="3"/>
      <c r="AP126" s="3"/>
      <c r="BL126" s="3"/>
      <c r="BM126" s="3"/>
      <c r="BN126" s="3"/>
      <c r="BO126" s="3"/>
      <c r="BP126" s="3"/>
      <c r="BQ126" s="3"/>
      <c r="BR126" s="3"/>
      <c r="BS126" s="3"/>
      <c r="CN126" s="3"/>
      <c r="CO126" s="3"/>
      <c r="CP126" s="3"/>
      <c r="CQ126" s="3"/>
      <c r="CR126" s="3"/>
      <c r="CS126" s="3"/>
      <c r="CT126" s="3"/>
      <c r="CU126" s="3"/>
      <c r="DP126" s="3"/>
      <c r="DQ126" s="3"/>
      <c r="DR126" s="3"/>
      <c r="DS126" s="3"/>
      <c r="DT126" s="3"/>
      <c r="DU126" s="3"/>
      <c r="DV126" s="3"/>
      <c r="DW126" s="3"/>
      <c r="ER126" s="3"/>
      <c r="ES126" s="3"/>
      <c r="ET126" s="3"/>
      <c r="EU126" s="3"/>
      <c r="EV126" s="3"/>
      <c r="EW126" s="3"/>
      <c r="EX126" s="3"/>
      <c r="EY126" s="3"/>
      <c r="FT126" s="3"/>
      <c r="FU126" s="3"/>
      <c r="FV126" s="3"/>
      <c r="FW126" s="3"/>
      <c r="FX126" s="3"/>
      <c r="FY126" s="3"/>
      <c r="FZ126" s="3"/>
      <c r="GA126" s="3"/>
      <c r="GV126" s="3"/>
      <c r="GW126" s="3"/>
      <c r="GX126" s="3"/>
      <c r="GY126" s="3"/>
      <c r="GZ126" s="3"/>
      <c r="HA126" s="3"/>
      <c r="HB126" s="3"/>
      <c r="HC126" s="3"/>
      <c r="HX126" s="3"/>
      <c r="HY126" s="3"/>
      <c r="HZ126" s="3"/>
      <c r="IA126" s="3"/>
      <c r="IB126" s="3"/>
      <c r="IC126" s="3"/>
      <c r="ID126" s="3"/>
      <c r="IE126" s="3"/>
      <c r="IZ126" s="3">
        <v>0</v>
      </c>
      <c r="JA126" s="3">
        <v>0</v>
      </c>
      <c r="JB126" s="3">
        <v>240000000</v>
      </c>
      <c r="JC126" s="3">
        <v>240000000</v>
      </c>
      <c r="JD126" s="3"/>
      <c r="JE126" s="3"/>
      <c r="JF126" s="3"/>
      <c r="JG126" s="3"/>
    </row>
    <row r="127" spans="1:267" x14ac:dyDescent="0.25">
      <c r="A127" t="s">
        <v>505</v>
      </c>
      <c r="B127" t="s">
        <v>397</v>
      </c>
      <c r="C127" t="s">
        <v>599</v>
      </c>
      <c r="D127" t="s">
        <v>494</v>
      </c>
      <c r="E127" t="s">
        <v>201</v>
      </c>
      <c r="F127" t="s">
        <v>202</v>
      </c>
      <c r="G127" t="s">
        <v>203</v>
      </c>
      <c r="H127" s="3">
        <v>11297000</v>
      </c>
      <c r="I127" s="3">
        <v>36093000</v>
      </c>
      <c r="J127" s="3">
        <v>5650000</v>
      </c>
      <c r="K127" s="3">
        <v>53040000</v>
      </c>
      <c r="L127" s="3">
        <v>11297000</v>
      </c>
      <c r="M127" s="3">
        <v>36651000</v>
      </c>
      <c r="N127" s="3">
        <v>45092000</v>
      </c>
      <c r="O127" s="3">
        <v>93040000</v>
      </c>
      <c r="AJ127" s="3">
        <v>14402000</v>
      </c>
      <c r="AK127" s="3">
        <v>29761000</v>
      </c>
      <c r="AL127" s="3">
        <v>1414000</v>
      </c>
      <c r="AM127" s="3">
        <v>45577000</v>
      </c>
      <c r="AN127" s="3">
        <v>14402000</v>
      </c>
      <c r="AO127" s="3">
        <v>35561000</v>
      </c>
      <c r="AP127" s="3">
        <v>14335000</v>
      </c>
      <c r="AQ127" s="3">
        <v>64298000</v>
      </c>
      <c r="BL127" s="3">
        <v>13697000</v>
      </c>
      <c r="BM127" s="3">
        <v>30937000</v>
      </c>
      <c r="BN127" s="3">
        <v>4489000</v>
      </c>
      <c r="BO127" s="3">
        <v>49123000</v>
      </c>
      <c r="BP127" s="3">
        <v>13697000</v>
      </c>
      <c r="BQ127" s="3">
        <v>31637000</v>
      </c>
      <c r="BR127" s="3">
        <v>7239000</v>
      </c>
      <c r="BS127" s="3">
        <v>52573000</v>
      </c>
      <c r="CN127" s="3">
        <v>14886000</v>
      </c>
      <c r="CO127" s="3">
        <v>29766000</v>
      </c>
      <c r="CP127" s="3">
        <v>0</v>
      </c>
      <c r="CQ127" s="3">
        <v>44652000</v>
      </c>
      <c r="CR127" s="3">
        <v>14886000</v>
      </c>
      <c r="CS127" s="3">
        <v>32439000</v>
      </c>
      <c r="CT127" s="3">
        <v>15950000</v>
      </c>
      <c r="CU127" s="3">
        <v>63275000</v>
      </c>
      <c r="DP127" s="3">
        <v>15788000</v>
      </c>
      <c r="DQ127" s="3">
        <v>29766000</v>
      </c>
      <c r="DR127" s="3">
        <v>0</v>
      </c>
      <c r="DS127" s="3">
        <v>45554000</v>
      </c>
      <c r="DT127" s="3">
        <v>15788000</v>
      </c>
      <c r="DU127" s="3">
        <v>30746000</v>
      </c>
      <c r="DV127" s="3">
        <v>2957000</v>
      </c>
      <c r="DW127" s="3">
        <v>49491000</v>
      </c>
      <c r="ER127" s="3">
        <v>15756000</v>
      </c>
      <c r="ES127" s="3">
        <v>30910000</v>
      </c>
      <c r="ET127" s="3">
        <v>0</v>
      </c>
      <c r="EU127" s="3">
        <v>46666000</v>
      </c>
      <c r="EV127" s="3">
        <v>15756000</v>
      </c>
      <c r="EW127" s="3">
        <v>32401000</v>
      </c>
      <c r="EX127" s="3">
        <v>1775000</v>
      </c>
      <c r="EY127" s="3">
        <v>49932000</v>
      </c>
      <c r="FT127" s="3">
        <v>12815000</v>
      </c>
      <c r="FU127" s="3">
        <v>34182000</v>
      </c>
      <c r="FV127" s="3">
        <v>0</v>
      </c>
      <c r="FW127" s="3">
        <v>46997000</v>
      </c>
      <c r="FX127" s="3">
        <v>12815000</v>
      </c>
      <c r="FY127" s="3">
        <v>38510000</v>
      </c>
      <c r="FZ127" s="3">
        <v>0</v>
      </c>
      <c r="GA127" s="3">
        <v>51325000</v>
      </c>
      <c r="GV127" s="3">
        <v>17083000</v>
      </c>
      <c r="GW127" s="3">
        <v>37013000</v>
      </c>
      <c r="GX127" s="3">
        <v>0</v>
      </c>
      <c r="GY127" s="3">
        <v>54096000</v>
      </c>
      <c r="GZ127" s="3">
        <v>17083000</v>
      </c>
      <c r="HA127" s="3">
        <v>39809000</v>
      </c>
      <c r="HB127" s="3">
        <v>22195000</v>
      </c>
      <c r="HC127" s="3">
        <v>79087000</v>
      </c>
      <c r="HX127" s="3">
        <v>21402000</v>
      </c>
      <c r="HY127" s="3">
        <v>38184000</v>
      </c>
      <c r="HZ127" s="3">
        <v>35716000</v>
      </c>
      <c r="IA127" s="3">
        <v>95302000</v>
      </c>
      <c r="IB127" s="3">
        <v>21402000</v>
      </c>
      <c r="IC127" s="3">
        <v>41433000</v>
      </c>
      <c r="ID127" s="3">
        <v>87917000</v>
      </c>
      <c r="IE127" s="3">
        <v>150752000</v>
      </c>
      <c r="IZ127" s="3">
        <v>25369000</v>
      </c>
      <c r="JA127" s="3">
        <v>40908000</v>
      </c>
      <c r="JB127" s="3">
        <v>0</v>
      </c>
      <c r="JC127" s="3">
        <v>66277000</v>
      </c>
      <c r="JD127" s="3"/>
      <c r="JE127" s="3"/>
      <c r="JF127" s="3"/>
      <c r="JG127" s="3"/>
    </row>
    <row r="128" spans="1:267" x14ac:dyDescent="0.25">
      <c r="A128" t="s">
        <v>505</v>
      </c>
      <c r="B128" t="s">
        <v>397</v>
      </c>
      <c r="C128" t="s">
        <v>599</v>
      </c>
      <c r="D128" t="s">
        <v>494</v>
      </c>
      <c r="E128" t="s">
        <v>201</v>
      </c>
      <c r="F128" t="s">
        <v>204</v>
      </c>
      <c r="G128" t="s">
        <v>205</v>
      </c>
      <c r="H128" s="3">
        <v>3052000</v>
      </c>
      <c r="I128" s="3">
        <v>0</v>
      </c>
      <c r="J128" s="3">
        <v>0</v>
      </c>
      <c r="K128" s="3">
        <v>3052000</v>
      </c>
      <c r="L128" s="3">
        <v>3052000</v>
      </c>
      <c r="M128" s="3">
        <v>0</v>
      </c>
      <c r="N128" s="3">
        <v>0</v>
      </c>
      <c r="O128" s="3">
        <v>3052000</v>
      </c>
      <c r="AJ128" s="3">
        <v>1743000</v>
      </c>
      <c r="AK128" s="3">
        <v>0</v>
      </c>
      <c r="AL128" s="3">
        <v>0</v>
      </c>
      <c r="AM128" s="3">
        <v>1743000</v>
      </c>
      <c r="AN128" s="3">
        <v>1743000</v>
      </c>
      <c r="AO128" s="3">
        <v>0</v>
      </c>
      <c r="AP128" s="3">
        <v>0</v>
      </c>
      <c r="AQ128" s="3">
        <v>1743000</v>
      </c>
      <c r="BL128" s="3">
        <v>1722000</v>
      </c>
      <c r="BM128" s="3">
        <v>0</v>
      </c>
      <c r="BN128" s="3">
        <v>0</v>
      </c>
      <c r="BO128" s="3">
        <v>1722000</v>
      </c>
      <c r="BP128" s="3">
        <v>1722000</v>
      </c>
      <c r="BQ128" s="3">
        <v>0</v>
      </c>
      <c r="BR128" s="3">
        <v>0</v>
      </c>
      <c r="BS128" s="3">
        <v>1722000</v>
      </c>
      <c r="CN128" s="3">
        <v>1722000</v>
      </c>
      <c r="CO128" s="3">
        <v>0</v>
      </c>
      <c r="CP128" s="3">
        <v>0</v>
      </c>
      <c r="CQ128" s="3">
        <v>1722000</v>
      </c>
      <c r="CR128" s="3">
        <v>1722000</v>
      </c>
      <c r="CS128" s="3">
        <v>0</v>
      </c>
      <c r="CT128" s="3">
        <v>0</v>
      </c>
      <c r="CU128" s="3">
        <v>1722000</v>
      </c>
      <c r="DP128" s="3">
        <v>4699000</v>
      </c>
      <c r="DQ128" s="3">
        <v>0</v>
      </c>
      <c r="DR128" s="3">
        <v>0</v>
      </c>
      <c r="DS128" s="3">
        <v>4699000</v>
      </c>
      <c r="DT128" s="3">
        <v>4699000</v>
      </c>
      <c r="DU128" s="3">
        <v>0</v>
      </c>
      <c r="DV128" s="3">
        <v>0</v>
      </c>
      <c r="DW128" s="3">
        <v>4699000</v>
      </c>
      <c r="ER128" s="3">
        <v>6324000</v>
      </c>
      <c r="ES128" s="3">
        <v>0</v>
      </c>
      <c r="ET128" s="3">
        <v>0</v>
      </c>
      <c r="EU128" s="3">
        <v>6324000</v>
      </c>
      <c r="EV128" s="3">
        <v>6324000</v>
      </c>
      <c r="EW128" s="3">
        <v>0</v>
      </c>
      <c r="EX128" s="3">
        <v>0</v>
      </c>
      <c r="EY128" s="3">
        <v>6324000</v>
      </c>
      <c r="FT128" s="3">
        <v>8027000</v>
      </c>
      <c r="FU128" s="3">
        <v>0</v>
      </c>
      <c r="FV128" s="3">
        <v>0</v>
      </c>
      <c r="FW128" s="3">
        <v>8027000</v>
      </c>
      <c r="FX128" s="3">
        <v>8027000</v>
      </c>
      <c r="FY128" s="3">
        <v>0</v>
      </c>
      <c r="FZ128" s="3">
        <v>0</v>
      </c>
      <c r="GA128" s="3">
        <v>8027000</v>
      </c>
      <c r="GV128" s="3">
        <v>6154000</v>
      </c>
      <c r="GW128" s="3">
        <v>0</v>
      </c>
      <c r="GX128" s="3">
        <v>0</v>
      </c>
      <c r="GY128" s="3">
        <v>6154000</v>
      </c>
      <c r="GZ128" s="3">
        <v>6154000</v>
      </c>
      <c r="HA128" s="3">
        <v>0</v>
      </c>
      <c r="HB128" s="3">
        <v>0</v>
      </c>
      <c r="HC128" s="3">
        <v>6154000</v>
      </c>
      <c r="HX128" s="3">
        <v>8024000</v>
      </c>
      <c r="HY128" s="3">
        <v>0</v>
      </c>
      <c r="HZ128" s="3">
        <v>0</v>
      </c>
      <c r="IA128" s="3">
        <v>8024000</v>
      </c>
      <c r="IB128" s="3">
        <v>8024000</v>
      </c>
      <c r="IC128" s="3">
        <v>0</v>
      </c>
      <c r="ID128" s="3">
        <v>0</v>
      </c>
      <c r="IE128" s="3">
        <v>8024000</v>
      </c>
      <c r="IZ128" s="3">
        <v>6545000</v>
      </c>
      <c r="JA128" s="3">
        <v>0</v>
      </c>
      <c r="JB128" s="3">
        <v>0</v>
      </c>
      <c r="JC128" s="3">
        <v>6545000</v>
      </c>
      <c r="JD128" s="3"/>
      <c r="JE128" s="3"/>
      <c r="JF128" s="3"/>
      <c r="JG128" s="3"/>
    </row>
    <row r="129" spans="1:267" x14ac:dyDescent="0.25">
      <c r="A129" t="s">
        <v>505</v>
      </c>
      <c r="B129" t="s">
        <v>397</v>
      </c>
      <c r="C129" t="s">
        <v>599</v>
      </c>
      <c r="D129" t="s">
        <v>494</v>
      </c>
      <c r="E129" t="s">
        <v>217</v>
      </c>
      <c r="F129" t="s">
        <v>218</v>
      </c>
      <c r="G129" t="s">
        <v>495</v>
      </c>
      <c r="H129" s="3">
        <v>10583000</v>
      </c>
      <c r="I129" s="3">
        <v>28357000</v>
      </c>
      <c r="J129" s="3">
        <v>635000</v>
      </c>
      <c r="K129" s="3">
        <v>39575000</v>
      </c>
      <c r="L129" s="3">
        <v>10583000</v>
      </c>
      <c r="M129" s="3">
        <v>28357000</v>
      </c>
      <c r="N129" s="3">
        <v>635000</v>
      </c>
      <c r="O129" s="3">
        <v>39575000</v>
      </c>
      <c r="AJ129" s="3">
        <v>13341000</v>
      </c>
      <c r="AK129" s="3">
        <v>31209000</v>
      </c>
      <c r="AL129" s="3">
        <v>1312000</v>
      </c>
      <c r="AM129" s="3">
        <v>45862000</v>
      </c>
      <c r="AN129" s="3">
        <v>13341000</v>
      </c>
      <c r="AO129" s="3">
        <v>36209000</v>
      </c>
      <c r="AP129" s="3">
        <v>1312000</v>
      </c>
      <c r="AQ129" s="3">
        <v>50862000</v>
      </c>
      <c r="BL129" s="3">
        <v>13145000</v>
      </c>
      <c r="BM129" s="3">
        <v>30931000</v>
      </c>
      <c r="BN129" s="3">
        <v>6245000</v>
      </c>
      <c r="BO129" s="3">
        <v>50321000</v>
      </c>
      <c r="BP129" s="3">
        <v>13145000</v>
      </c>
      <c r="BQ129" s="3">
        <v>31631000</v>
      </c>
      <c r="BR129" s="3">
        <v>12095000</v>
      </c>
      <c r="BS129" s="3">
        <v>56871000</v>
      </c>
      <c r="CN129" s="3">
        <v>14439000</v>
      </c>
      <c r="CO129" s="3">
        <v>31373000</v>
      </c>
      <c r="CP129" s="3">
        <v>0</v>
      </c>
      <c r="CQ129" s="3">
        <v>45812000</v>
      </c>
      <c r="CR129" s="3">
        <v>14439000</v>
      </c>
      <c r="CS129" s="3">
        <v>33243000</v>
      </c>
      <c r="CT129" s="3">
        <v>2075000</v>
      </c>
      <c r="CU129" s="3">
        <v>49757000</v>
      </c>
      <c r="DP129" s="3">
        <v>15603000</v>
      </c>
      <c r="DQ129" s="3">
        <v>31373000</v>
      </c>
      <c r="DR129" s="3">
        <v>0</v>
      </c>
      <c r="DS129" s="3">
        <v>46976000</v>
      </c>
      <c r="DT129" s="3">
        <v>15603000</v>
      </c>
      <c r="DU129" s="3">
        <v>33141000</v>
      </c>
      <c r="DV129" s="3">
        <v>1000000</v>
      </c>
      <c r="DW129" s="3">
        <v>49744000</v>
      </c>
      <c r="ER129" s="3">
        <v>15386000</v>
      </c>
      <c r="ES129" s="3">
        <v>32519000</v>
      </c>
      <c r="ET129" s="3">
        <v>0</v>
      </c>
      <c r="EU129" s="3">
        <v>47905000</v>
      </c>
      <c r="EV129" s="3">
        <v>15386000</v>
      </c>
      <c r="EW129" s="3">
        <v>32519000</v>
      </c>
      <c r="EX129" s="3">
        <v>3010000</v>
      </c>
      <c r="EY129" s="3">
        <v>50915000</v>
      </c>
      <c r="FT129" s="3">
        <v>12099000</v>
      </c>
      <c r="FU129" s="3">
        <v>31118000</v>
      </c>
      <c r="FV129" s="3">
        <v>0</v>
      </c>
      <c r="FW129" s="3">
        <v>43217000</v>
      </c>
      <c r="FX129" s="3">
        <v>12099000</v>
      </c>
      <c r="FY129" s="3">
        <v>36790000</v>
      </c>
      <c r="FZ129" s="3">
        <v>0</v>
      </c>
      <c r="GA129" s="3">
        <v>48889000</v>
      </c>
      <c r="GV129" s="3">
        <v>14825000</v>
      </c>
      <c r="GW129" s="3">
        <v>35571000</v>
      </c>
      <c r="GX129" s="3">
        <v>0</v>
      </c>
      <c r="GY129" s="3">
        <v>50396000</v>
      </c>
      <c r="GZ129" s="3">
        <v>14825000</v>
      </c>
      <c r="HA129" s="3">
        <v>46008000</v>
      </c>
      <c r="HB129" s="3">
        <v>4260000</v>
      </c>
      <c r="HC129" s="3">
        <v>65093000</v>
      </c>
      <c r="HX129" s="3">
        <v>16929000</v>
      </c>
      <c r="HY129" s="3">
        <v>36976000</v>
      </c>
      <c r="HZ129" s="3">
        <v>0</v>
      </c>
      <c r="IA129" s="3">
        <v>53905000</v>
      </c>
      <c r="IB129" s="3">
        <v>16929000</v>
      </c>
      <c r="IC129" s="3">
        <v>42749000</v>
      </c>
      <c r="ID129" s="3">
        <v>0</v>
      </c>
      <c r="IE129" s="3">
        <v>59678000</v>
      </c>
      <c r="IZ129" s="3">
        <v>18399000</v>
      </c>
      <c r="JA129" s="3">
        <v>40142000</v>
      </c>
      <c r="JB129" s="3">
        <v>0</v>
      </c>
      <c r="JC129" s="3">
        <v>58541000</v>
      </c>
      <c r="JD129" s="3"/>
      <c r="JE129" s="3"/>
      <c r="JF129" s="3"/>
      <c r="JG129" s="3"/>
    </row>
    <row r="130" spans="1:267" x14ac:dyDescent="0.25">
      <c r="A130" t="s">
        <v>505</v>
      </c>
      <c r="B130" t="s">
        <v>397</v>
      </c>
      <c r="C130" t="s">
        <v>600</v>
      </c>
      <c r="D130" t="s">
        <v>496</v>
      </c>
      <c r="E130" t="s">
        <v>201</v>
      </c>
      <c r="F130" t="s">
        <v>202</v>
      </c>
      <c r="G130" t="s">
        <v>203</v>
      </c>
      <c r="H130" s="3">
        <v>8573000</v>
      </c>
      <c r="I130" s="3">
        <v>24031000</v>
      </c>
      <c r="J130" s="3">
        <v>0</v>
      </c>
      <c r="K130" s="3">
        <v>32604000</v>
      </c>
      <c r="L130" s="3">
        <v>8573000</v>
      </c>
      <c r="M130" s="3">
        <v>24031000</v>
      </c>
      <c r="N130" s="3">
        <v>0</v>
      </c>
      <c r="O130" s="3">
        <v>32604000</v>
      </c>
      <c r="AJ130" s="3">
        <v>9763000</v>
      </c>
      <c r="AK130" s="3">
        <v>20549000</v>
      </c>
      <c r="AL130" s="3">
        <v>0</v>
      </c>
      <c r="AM130" s="3">
        <v>30312000</v>
      </c>
      <c r="AN130" s="3">
        <v>9763000</v>
      </c>
      <c r="AO130" s="3">
        <v>20549000</v>
      </c>
      <c r="AP130" s="3">
        <v>0</v>
      </c>
      <c r="AQ130" s="3">
        <v>30312000</v>
      </c>
      <c r="BL130" s="3">
        <v>9763000</v>
      </c>
      <c r="BM130" s="3">
        <v>23451000</v>
      </c>
      <c r="BN130" s="3">
        <v>4294000</v>
      </c>
      <c r="BO130" s="3">
        <v>37508000</v>
      </c>
      <c r="BP130" s="3">
        <v>9763000</v>
      </c>
      <c r="BQ130" s="3">
        <v>23451000</v>
      </c>
      <c r="BR130" s="3">
        <v>4294000</v>
      </c>
      <c r="BS130" s="3">
        <v>37508000</v>
      </c>
      <c r="CN130" s="3">
        <v>15622000</v>
      </c>
      <c r="CO130" s="3">
        <v>16037000</v>
      </c>
      <c r="CP130" s="3">
        <v>1260000</v>
      </c>
      <c r="CQ130" s="3">
        <v>32919000</v>
      </c>
      <c r="CR130" s="3">
        <v>15622000</v>
      </c>
      <c r="CS130" s="3">
        <v>16037000</v>
      </c>
      <c r="CT130" s="3">
        <v>1260000</v>
      </c>
      <c r="CU130" s="3">
        <v>32919000</v>
      </c>
      <c r="DP130" s="3">
        <v>15681000</v>
      </c>
      <c r="DQ130" s="3">
        <v>17217000</v>
      </c>
      <c r="DR130" s="3">
        <v>80000</v>
      </c>
      <c r="DS130" s="3">
        <v>32978000</v>
      </c>
      <c r="DT130" s="3">
        <v>15681000</v>
      </c>
      <c r="DU130" s="3">
        <v>17217000</v>
      </c>
      <c r="DV130" s="3">
        <v>1380000</v>
      </c>
      <c r="DW130" s="3">
        <v>34278000</v>
      </c>
      <c r="ER130" s="3">
        <v>15715000</v>
      </c>
      <c r="ES130" s="3">
        <v>16623000</v>
      </c>
      <c r="ET130" s="3">
        <v>0</v>
      </c>
      <c r="EU130" s="3">
        <v>32338000</v>
      </c>
      <c r="EV130" s="3">
        <v>15715000</v>
      </c>
      <c r="EW130" s="3">
        <v>16623000</v>
      </c>
      <c r="EX130" s="3">
        <v>0</v>
      </c>
      <c r="EY130" s="3">
        <v>32338000</v>
      </c>
      <c r="FT130" s="3">
        <v>13482000</v>
      </c>
      <c r="FU130" s="3">
        <v>18234000</v>
      </c>
      <c r="FV130" s="3">
        <v>340000</v>
      </c>
      <c r="FW130" s="3">
        <v>32056000</v>
      </c>
      <c r="FX130" s="3">
        <v>16628000</v>
      </c>
      <c r="FY130" s="3">
        <v>20432000</v>
      </c>
      <c r="FZ130" s="3">
        <v>3340000</v>
      </c>
      <c r="GA130" s="3">
        <v>40400000</v>
      </c>
      <c r="GV130" s="3">
        <v>15023000</v>
      </c>
      <c r="GW130" s="3">
        <v>20461000</v>
      </c>
      <c r="GX130" s="3">
        <v>591000</v>
      </c>
      <c r="GY130" s="3">
        <v>36075000</v>
      </c>
      <c r="GZ130" s="3">
        <v>15023000</v>
      </c>
      <c r="HA130" s="3">
        <v>21101000</v>
      </c>
      <c r="HB130" s="3">
        <v>2522000</v>
      </c>
      <c r="HC130" s="3">
        <v>38646000</v>
      </c>
      <c r="HX130" s="3"/>
      <c r="HY130" s="3"/>
      <c r="HZ130" s="3"/>
      <c r="IA130" s="3"/>
      <c r="IB130" s="3"/>
      <c r="IC130" s="3"/>
      <c r="ID130" s="3"/>
      <c r="IE130" s="3"/>
      <c r="IZ130" s="3"/>
      <c r="JA130" s="3"/>
      <c r="JB130" s="3"/>
      <c r="JC130" s="3"/>
      <c r="JD130" s="3"/>
      <c r="JE130" s="3"/>
      <c r="JF130" s="3"/>
      <c r="JG130" s="3"/>
    </row>
    <row r="131" spans="1:267" x14ac:dyDescent="0.25">
      <c r="A131" t="s">
        <v>505</v>
      </c>
      <c r="B131" t="s">
        <v>397</v>
      </c>
      <c r="C131" t="s">
        <v>600</v>
      </c>
      <c r="D131" t="s">
        <v>496</v>
      </c>
      <c r="E131" t="s">
        <v>201</v>
      </c>
      <c r="F131" t="s">
        <v>204</v>
      </c>
      <c r="G131" t="s">
        <v>205</v>
      </c>
      <c r="H131" s="3"/>
      <c r="I131" s="3"/>
      <c r="J131" s="3"/>
      <c r="L131" s="3"/>
      <c r="M131" s="3"/>
      <c r="N131" s="3"/>
      <c r="AJ131" s="3"/>
      <c r="AK131" s="3"/>
      <c r="AL131" s="3"/>
      <c r="AN131" s="3"/>
      <c r="AO131" s="3"/>
      <c r="AP131" s="3"/>
      <c r="BL131" s="3">
        <v>515000</v>
      </c>
      <c r="BM131" s="3">
        <v>0</v>
      </c>
      <c r="BN131" s="3">
        <v>0</v>
      </c>
      <c r="BO131" s="3">
        <v>515000</v>
      </c>
      <c r="BP131" s="3">
        <v>515000</v>
      </c>
      <c r="BQ131" s="3">
        <v>0</v>
      </c>
      <c r="BR131" s="3">
        <v>0</v>
      </c>
      <c r="BS131" s="3">
        <v>515000</v>
      </c>
      <c r="CN131" s="3"/>
      <c r="CO131" s="3"/>
      <c r="CP131" s="3"/>
      <c r="CQ131" s="3"/>
      <c r="CR131" s="3"/>
      <c r="CS131" s="3"/>
      <c r="CT131" s="3"/>
      <c r="CU131" s="3"/>
      <c r="DP131" s="3"/>
      <c r="DQ131" s="3"/>
      <c r="DR131" s="3"/>
      <c r="DS131" s="3"/>
      <c r="DT131" s="3"/>
      <c r="DU131" s="3"/>
      <c r="DV131" s="3"/>
      <c r="DW131" s="3"/>
      <c r="ER131" s="3"/>
      <c r="ES131" s="3"/>
      <c r="ET131" s="3"/>
      <c r="EU131" s="3"/>
      <c r="EV131" s="3"/>
      <c r="EW131" s="3"/>
      <c r="EX131" s="3"/>
      <c r="EY131" s="3"/>
      <c r="FT131" s="3"/>
      <c r="FU131" s="3"/>
      <c r="FV131" s="3"/>
      <c r="FW131" s="3"/>
      <c r="FX131" s="3"/>
      <c r="FY131" s="3"/>
      <c r="FZ131" s="3"/>
      <c r="GA131" s="3"/>
      <c r="GV131" s="3"/>
      <c r="GW131" s="3"/>
      <c r="GX131" s="3"/>
      <c r="GY131" s="3"/>
      <c r="GZ131" s="3"/>
      <c r="HA131" s="3"/>
      <c r="HB131" s="3"/>
      <c r="HC131" s="3"/>
      <c r="HX131" s="3"/>
      <c r="HY131" s="3"/>
      <c r="HZ131" s="3"/>
      <c r="IA131" s="3"/>
      <c r="IB131" s="3"/>
      <c r="IC131" s="3"/>
      <c r="ID131" s="3"/>
      <c r="IE131" s="3"/>
      <c r="IZ131" s="3"/>
      <c r="JA131" s="3"/>
      <c r="JB131" s="3"/>
      <c r="JC131" s="3"/>
      <c r="JD131" s="3"/>
      <c r="JE131" s="3"/>
      <c r="JF131" s="3"/>
      <c r="JG131" s="3"/>
    </row>
    <row r="132" spans="1:267" x14ac:dyDescent="0.25">
      <c r="A132" t="s">
        <v>505</v>
      </c>
      <c r="B132" t="s">
        <v>397</v>
      </c>
      <c r="C132" t="s">
        <v>600</v>
      </c>
      <c r="D132" t="s">
        <v>496</v>
      </c>
      <c r="E132" t="s">
        <v>217</v>
      </c>
      <c r="F132" t="s">
        <v>218</v>
      </c>
      <c r="G132" t="s">
        <v>497</v>
      </c>
      <c r="H132" s="3">
        <v>0</v>
      </c>
      <c r="I132" s="3">
        <v>9485000</v>
      </c>
      <c r="J132" s="3">
        <v>0</v>
      </c>
      <c r="K132" s="3">
        <v>9485000</v>
      </c>
      <c r="L132" s="3">
        <v>0</v>
      </c>
      <c r="M132" s="3">
        <v>9485000</v>
      </c>
      <c r="N132" s="3">
        <v>0</v>
      </c>
      <c r="O132" s="3">
        <v>9485000</v>
      </c>
      <c r="AJ132" s="3">
        <v>0</v>
      </c>
      <c r="AK132" s="3">
        <v>3959000</v>
      </c>
      <c r="AL132" s="3">
        <v>0</v>
      </c>
      <c r="AM132" s="3">
        <v>3959000</v>
      </c>
      <c r="AN132" s="3">
        <v>0</v>
      </c>
      <c r="AO132" s="3">
        <v>3959000</v>
      </c>
      <c r="AP132" s="3">
        <v>0</v>
      </c>
      <c r="AQ132" s="3">
        <v>3959000</v>
      </c>
      <c r="BL132" s="3">
        <v>0</v>
      </c>
      <c r="BM132" s="3">
        <v>3063000</v>
      </c>
      <c r="BN132" s="3">
        <v>0</v>
      </c>
      <c r="BO132" s="3">
        <v>3063000</v>
      </c>
      <c r="BP132" s="3">
        <v>0</v>
      </c>
      <c r="BQ132" s="3">
        <v>3063000</v>
      </c>
      <c r="BR132" s="3">
        <v>0</v>
      </c>
      <c r="BS132" s="3">
        <v>3063000</v>
      </c>
      <c r="CN132" s="3">
        <v>0</v>
      </c>
      <c r="CO132" s="3">
        <v>3118000</v>
      </c>
      <c r="CP132" s="3">
        <v>0</v>
      </c>
      <c r="CQ132" s="3">
        <v>3118000</v>
      </c>
      <c r="CR132" s="3">
        <v>0</v>
      </c>
      <c r="CS132" s="3">
        <v>3118000</v>
      </c>
      <c r="CT132" s="3">
        <v>0</v>
      </c>
      <c r="CU132" s="3">
        <v>3118000</v>
      </c>
      <c r="DP132" s="3">
        <v>0</v>
      </c>
      <c r="DQ132" s="3">
        <v>3118000</v>
      </c>
      <c r="DR132" s="3">
        <v>0</v>
      </c>
      <c r="DS132" s="3">
        <v>3118000</v>
      </c>
      <c r="DT132" s="3">
        <v>0</v>
      </c>
      <c r="DU132" s="3">
        <v>3118000</v>
      </c>
      <c r="DV132" s="3">
        <v>0</v>
      </c>
      <c r="DW132" s="3">
        <v>3118000</v>
      </c>
      <c r="ER132" s="3">
        <v>0</v>
      </c>
      <c r="ES132" s="3">
        <v>3232000</v>
      </c>
      <c r="ET132" s="3">
        <v>0</v>
      </c>
      <c r="EU132" s="3">
        <v>3232000</v>
      </c>
      <c r="EV132" s="3">
        <v>0</v>
      </c>
      <c r="EW132" s="3">
        <v>3232000</v>
      </c>
      <c r="EX132" s="3">
        <v>0</v>
      </c>
      <c r="EY132" s="3">
        <v>3232000</v>
      </c>
      <c r="FT132" s="3">
        <v>0</v>
      </c>
      <c r="FU132" s="3">
        <v>2270000</v>
      </c>
      <c r="FV132" s="3">
        <v>0</v>
      </c>
      <c r="FW132" s="3">
        <v>2270000</v>
      </c>
      <c r="FX132" s="3">
        <v>0</v>
      </c>
      <c r="FY132" s="3">
        <v>2270000</v>
      </c>
      <c r="FZ132" s="3">
        <v>0</v>
      </c>
      <c r="GA132" s="3">
        <v>2270000</v>
      </c>
      <c r="GV132" s="3">
        <v>0</v>
      </c>
      <c r="GW132" s="3">
        <v>2311000</v>
      </c>
      <c r="GX132" s="3">
        <v>0</v>
      </c>
      <c r="GY132" s="3">
        <v>2311000</v>
      </c>
      <c r="GZ132" s="3">
        <v>0</v>
      </c>
      <c r="HA132" s="3">
        <v>5311000</v>
      </c>
      <c r="HB132" s="3">
        <v>0</v>
      </c>
      <c r="HC132" s="3">
        <v>5311000</v>
      </c>
      <c r="HX132" s="3"/>
      <c r="HY132" s="3"/>
      <c r="HZ132" s="3"/>
      <c r="IA132" s="3"/>
      <c r="IB132" s="3"/>
      <c r="IC132" s="3"/>
      <c r="ID132" s="3"/>
      <c r="IE132" s="3"/>
      <c r="IZ132" s="3"/>
      <c r="JA132" s="3"/>
      <c r="JB132" s="3"/>
      <c r="JC132" s="3"/>
      <c r="JD132" s="3"/>
      <c r="JE132" s="3"/>
      <c r="JF132" s="3"/>
      <c r="JG132" s="3"/>
    </row>
    <row r="133" spans="1:267" x14ac:dyDescent="0.25">
      <c r="A133" t="s">
        <v>505</v>
      </c>
      <c r="B133" t="s">
        <v>397</v>
      </c>
      <c r="C133" t="s">
        <v>600</v>
      </c>
      <c r="D133" t="s">
        <v>496</v>
      </c>
      <c r="E133" t="s">
        <v>217</v>
      </c>
      <c r="F133" t="s">
        <v>220</v>
      </c>
      <c r="G133" t="s">
        <v>498</v>
      </c>
      <c r="H133" s="3">
        <v>0</v>
      </c>
      <c r="I133" s="3">
        <v>31311000</v>
      </c>
      <c r="J133" s="3">
        <v>0</v>
      </c>
      <c r="K133" s="3">
        <v>31311000</v>
      </c>
      <c r="L133" s="3">
        <v>0</v>
      </c>
      <c r="M133" s="3">
        <v>31311000</v>
      </c>
      <c r="N133" s="3">
        <v>0</v>
      </c>
      <c r="O133" s="3">
        <v>31311000</v>
      </c>
      <c r="AJ133" s="3">
        <v>0</v>
      </c>
      <c r="AK133" s="3">
        <v>23268000</v>
      </c>
      <c r="AL133" s="3">
        <v>0</v>
      </c>
      <c r="AM133" s="3">
        <v>23268000</v>
      </c>
      <c r="AN133" s="3">
        <v>0</v>
      </c>
      <c r="AO133" s="3">
        <v>23268000</v>
      </c>
      <c r="AP133" s="3">
        <v>0</v>
      </c>
      <c r="AQ133" s="3">
        <v>23268000</v>
      </c>
      <c r="BL133" s="3">
        <v>0</v>
      </c>
      <c r="BM133" s="3">
        <v>22503000</v>
      </c>
      <c r="BN133" s="3">
        <v>0</v>
      </c>
      <c r="BO133" s="3">
        <v>22503000</v>
      </c>
      <c r="BP133" s="3">
        <v>0</v>
      </c>
      <c r="BQ133" s="3">
        <v>22503000</v>
      </c>
      <c r="BR133" s="3">
        <v>0</v>
      </c>
      <c r="BS133" s="3">
        <v>22503000</v>
      </c>
      <c r="CN133" s="3">
        <v>0</v>
      </c>
      <c r="CO133" s="3">
        <v>22908000</v>
      </c>
      <c r="CP133" s="3">
        <v>0</v>
      </c>
      <c r="CQ133" s="3">
        <v>22908000</v>
      </c>
      <c r="CR133" s="3">
        <v>0</v>
      </c>
      <c r="CS133" s="3">
        <v>22908000</v>
      </c>
      <c r="CT133" s="3">
        <v>0</v>
      </c>
      <c r="CU133" s="3">
        <v>22908000</v>
      </c>
      <c r="DP133" s="3">
        <v>0</v>
      </c>
      <c r="DQ133" s="3">
        <v>22908000</v>
      </c>
      <c r="DR133" s="3">
        <v>0</v>
      </c>
      <c r="DS133" s="3">
        <v>22908000</v>
      </c>
      <c r="DT133" s="3">
        <v>0</v>
      </c>
      <c r="DU133" s="3">
        <v>22908000</v>
      </c>
      <c r="DV133" s="3">
        <v>0</v>
      </c>
      <c r="DW133" s="3">
        <v>22908000</v>
      </c>
      <c r="ER133" s="3">
        <v>0</v>
      </c>
      <c r="ES133" s="3">
        <v>23745000</v>
      </c>
      <c r="ET133" s="3">
        <v>0</v>
      </c>
      <c r="EU133" s="3">
        <v>23745000</v>
      </c>
      <c r="EV133" s="3">
        <v>0</v>
      </c>
      <c r="EW133" s="3">
        <v>23745000</v>
      </c>
      <c r="EX133" s="3">
        <v>0</v>
      </c>
      <c r="EY133" s="3">
        <v>23745000</v>
      </c>
      <c r="FT133" s="3">
        <v>0</v>
      </c>
      <c r="FU133" s="3">
        <v>4110000</v>
      </c>
      <c r="FV133" s="3">
        <v>0</v>
      </c>
      <c r="FW133" s="3">
        <v>4110000</v>
      </c>
      <c r="FX133" s="3">
        <v>0</v>
      </c>
      <c r="FY133" s="3">
        <v>38110000</v>
      </c>
      <c r="FZ133" s="3">
        <v>0</v>
      </c>
      <c r="GA133" s="3">
        <v>38110000</v>
      </c>
      <c r="GV133" s="3">
        <v>0</v>
      </c>
      <c r="GW133" s="3">
        <v>24905000</v>
      </c>
      <c r="GX133" s="3">
        <v>0</v>
      </c>
      <c r="GY133" s="3">
        <v>24905000</v>
      </c>
      <c r="GZ133" s="3">
        <v>0</v>
      </c>
      <c r="HA133" s="3">
        <v>61077000</v>
      </c>
      <c r="HB133" s="3">
        <v>0</v>
      </c>
      <c r="HC133" s="3">
        <v>61077000</v>
      </c>
      <c r="HX133" s="3"/>
      <c r="HY133" s="3"/>
      <c r="HZ133" s="3"/>
      <c r="IA133" s="3"/>
      <c r="IB133" s="3"/>
      <c r="IC133" s="3"/>
      <c r="ID133" s="3"/>
      <c r="IE133" s="3"/>
      <c r="IZ133" s="3"/>
      <c r="JA133" s="3"/>
      <c r="JB133" s="3"/>
      <c r="JC133" s="3"/>
      <c r="JD133" s="3"/>
      <c r="JE133" s="3"/>
      <c r="JF133" s="3"/>
      <c r="JG133" s="3"/>
    </row>
    <row r="134" spans="1:267" x14ac:dyDescent="0.25">
      <c r="A134" t="s">
        <v>505</v>
      </c>
      <c r="B134" t="s">
        <v>397</v>
      </c>
      <c r="C134" t="s">
        <v>600</v>
      </c>
      <c r="D134" t="s">
        <v>496</v>
      </c>
      <c r="E134" t="s">
        <v>217</v>
      </c>
      <c r="F134" t="s">
        <v>222</v>
      </c>
      <c r="G134" t="s">
        <v>499</v>
      </c>
      <c r="H134" s="3">
        <v>0</v>
      </c>
      <c r="I134" s="3">
        <v>116000</v>
      </c>
      <c r="J134" s="3">
        <v>0</v>
      </c>
      <c r="K134" s="3">
        <v>116000</v>
      </c>
      <c r="L134" s="3">
        <v>0</v>
      </c>
      <c r="M134" s="3">
        <v>116000</v>
      </c>
      <c r="N134" s="3">
        <v>0</v>
      </c>
      <c r="O134" s="3">
        <v>116000</v>
      </c>
      <c r="AJ134" s="3">
        <v>0</v>
      </c>
      <c r="AK134" s="3">
        <v>108000</v>
      </c>
      <c r="AL134" s="3">
        <v>0</v>
      </c>
      <c r="AM134" s="3">
        <v>108000</v>
      </c>
      <c r="AN134" s="3">
        <v>0</v>
      </c>
      <c r="AO134" s="3">
        <v>108000</v>
      </c>
      <c r="AP134" s="3">
        <v>0</v>
      </c>
      <c r="AQ134" s="3">
        <v>108000</v>
      </c>
      <c r="BL134" s="3">
        <v>0</v>
      </c>
      <c r="BM134" s="3">
        <v>94000</v>
      </c>
      <c r="BN134" s="3">
        <v>0</v>
      </c>
      <c r="BO134" s="3">
        <v>94000</v>
      </c>
      <c r="BP134" s="3">
        <v>0</v>
      </c>
      <c r="BQ134" s="3">
        <v>94000</v>
      </c>
      <c r="BR134" s="3">
        <v>0</v>
      </c>
      <c r="BS134" s="3">
        <v>94000</v>
      </c>
      <c r="CN134" s="3">
        <v>0</v>
      </c>
      <c r="CO134" s="3">
        <v>96000</v>
      </c>
      <c r="CP134" s="3">
        <v>0</v>
      </c>
      <c r="CQ134" s="3">
        <v>96000</v>
      </c>
      <c r="CR134" s="3">
        <v>0</v>
      </c>
      <c r="CS134" s="3">
        <v>96000</v>
      </c>
      <c r="CT134" s="3">
        <v>0</v>
      </c>
      <c r="CU134" s="3">
        <v>96000</v>
      </c>
      <c r="DP134" s="3">
        <v>0</v>
      </c>
      <c r="DQ134" s="3">
        <v>96000</v>
      </c>
      <c r="DR134" s="3">
        <v>0</v>
      </c>
      <c r="DS134" s="3">
        <v>96000</v>
      </c>
      <c r="DT134" s="3">
        <v>0</v>
      </c>
      <c r="DU134" s="3">
        <v>96000</v>
      </c>
      <c r="DV134" s="3">
        <v>0</v>
      </c>
      <c r="DW134" s="3">
        <v>96000</v>
      </c>
      <c r="ER134" s="3">
        <v>0</v>
      </c>
      <c r="ES134" s="3">
        <v>100000</v>
      </c>
      <c r="ET134" s="3">
        <v>0</v>
      </c>
      <c r="EU134" s="3">
        <v>100000</v>
      </c>
      <c r="EV134" s="3">
        <v>0</v>
      </c>
      <c r="EW134" s="3">
        <v>100000</v>
      </c>
      <c r="EX134" s="3">
        <v>0</v>
      </c>
      <c r="EY134" s="3">
        <v>100000</v>
      </c>
      <c r="FT134" s="3">
        <v>0</v>
      </c>
      <c r="FU134" s="3">
        <v>12730000</v>
      </c>
      <c r="FV134" s="3">
        <v>0</v>
      </c>
      <c r="FW134" s="3">
        <v>12730000</v>
      </c>
      <c r="FX134" s="3">
        <v>0</v>
      </c>
      <c r="FY134" s="3">
        <v>12730000</v>
      </c>
      <c r="FZ134" s="3">
        <v>0</v>
      </c>
      <c r="GA134" s="3">
        <v>12730000</v>
      </c>
      <c r="GV134" s="3">
        <v>0</v>
      </c>
      <c r="GW134" s="3">
        <v>12958000</v>
      </c>
      <c r="GX134" s="3">
        <v>0</v>
      </c>
      <c r="GY134" s="3">
        <v>12958000</v>
      </c>
      <c r="GZ134" s="3">
        <v>0</v>
      </c>
      <c r="HA134" s="3">
        <v>12958000</v>
      </c>
      <c r="HB134" s="3">
        <v>0</v>
      </c>
      <c r="HC134" s="3">
        <v>12958000</v>
      </c>
      <c r="HX134" s="3"/>
      <c r="HY134" s="3"/>
      <c r="HZ134" s="3"/>
      <c r="IA134" s="3"/>
      <c r="IB134" s="3"/>
      <c r="IC134" s="3"/>
      <c r="ID134" s="3"/>
      <c r="IE134" s="3"/>
      <c r="IZ134" s="3"/>
      <c r="JA134" s="3"/>
      <c r="JB134" s="3"/>
      <c r="JC134" s="3"/>
      <c r="JD134" s="3"/>
      <c r="JE134" s="3"/>
      <c r="JF134" s="3"/>
      <c r="JG134" s="3"/>
    </row>
    <row r="135" spans="1:267" x14ac:dyDescent="0.25">
      <c r="A135" t="s">
        <v>505</v>
      </c>
      <c r="B135" t="s">
        <v>397</v>
      </c>
      <c r="C135" t="s">
        <v>600</v>
      </c>
      <c r="D135" t="s">
        <v>496</v>
      </c>
      <c r="E135" t="s">
        <v>217</v>
      </c>
      <c r="F135" t="s">
        <v>516</v>
      </c>
      <c r="G135" t="s">
        <v>500</v>
      </c>
      <c r="H135" s="3"/>
      <c r="I135" s="3"/>
      <c r="J135" s="3"/>
      <c r="L135" s="3"/>
      <c r="M135" s="3"/>
      <c r="N135" s="3"/>
      <c r="AJ135" s="3"/>
      <c r="AK135" s="3"/>
      <c r="AL135" s="3"/>
      <c r="AN135" s="3"/>
      <c r="AO135" s="3"/>
      <c r="AP135" s="3"/>
      <c r="BL135" s="3">
        <v>0</v>
      </c>
      <c r="BM135" s="3">
        <v>0</v>
      </c>
      <c r="BN135" s="3">
        <v>0</v>
      </c>
      <c r="BO135" s="3">
        <v>0</v>
      </c>
      <c r="BP135" s="3">
        <v>0</v>
      </c>
      <c r="BQ135" s="3">
        <v>294623000</v>
      </c>
      <c r="BR135" s="3">
        <v>0</v>
      </c>
      <c r="BS135" s="3">
        <v>294623000</v>
      </c>
      <c r="CN135" s="3">
        <v>0</v>
      </c>
      <c r="CO135" s="3">
        <v>0</v>
      </c>
      <c r="CP135" s="3">
        <v>0</v>
      </c>
      <c r="CQ135" s="3">
        <v>0</v>
      </c>
      <c r="CR135" s="3">
        <v>0</v>
      </c>
      <c r="CS135" s="3">
        <v>50000000</v>
      </c>
      <c r="CT135" s="3">
        <v>0</v>
      </c>
      <c r="CU135" s="3">
        <v>50000000</v>
      </c>
      <c r="DP135" s="3"/>
      <c r="DQ135" s="3"/>
      <c r="DR135" s="3"/>
      <c r="DS135" s="3"/>
      <c r="DT135" s="3">
        <v>0</v>
      </c>
      <c r="DU135" s="3">
        <v>182383000</v>
      </c>
      <c r="DV135" s="3">
        <v>0</v>
      </c>
      <c r="DW135" s="3">
        <v>182383000</v>
      </c>
      <c r="ER135" s="3">
        <v>0</v>
      </c>
      <c r="ES135" s="3">
        <v>0</v>
      </c>
      <c r="ET135" s="3">
        <v>0</v>
      </c>
      <c r="EU135" s="3">
        <v>0</v>
      </c>
      <c r="EV135" s="3">
        <v>0</v>
      </c>
      <c r="EW135" s="3">
        <v>232383000</v>
      </c>
      <c r="EX135" s="3">
        <v>0</v>
      </c>
      <c r="EY135" s="3">
        <v>232383000</v>
      </c>
      <c r="FT135" s="3">
        <v>0</v>
      </c>
      <c r="FU135" s="3">
        <v>170000000</v>
      </c>
      <c r="FV135" s="3">
        <v>0</v>
      </c>
      <c r="FW135" s="3">
        <v>170000000</v>
      </c>
      <c r="FX135" s="3">
        <v>0</v>
      </c>
      <c r="FY135" s="3">
        <v>221656000</v>
      </c>
      <c r="FZ135" s="3">
        <v>0</v>
      </c>
      <c r="GA135" s="3">
        <v>221656000</v>
      </c>
      <c r="GV135" s="3">
        <v>0</v>
      </c>
      <c r="GW135" s="3">
        <v>276988000</v>
      </c>
      <c r="GX135" s="3">
        <v>0</v>
      </c>
      <c r="GY135" s="3">
        <v>276988000</v>
      </c>
      <c r="GZ135" s="3">
        <v>0</v>
      </c>
      <c r="HA135" s="3">
        <v>300988000</v>
      </c>
      <c r="HB135" s="3">
        <v>0</v>
      </c>
      <c r="HC135" s="3">
        <v>300988000</v>
      </c>
      <c r="HX135" s="3"/>
      <c r="HY135" s="3"/>
      <c r="HZ135" s="3"/>
      <c r="IA135" s="3"/>
      <c r="IB135" s="3"/>
      <c r="IC135" s="3"/>
      <c r="ID135" s="3"/>
      <c r="IE135" s="3"/>
      <c r="IZ135" s="3"/>
      <c r="JA135" s="3"/>
      <c r="JB135" s="3"/>
      <c r="JC135" s="3"/>
      <c r="JD135" s="3"/>
      <c r="JE135" s="3"/>
      <c r="JF135" s="3"/>
      <c r="JG135" s="3"/>
    </row>
    <row r="136" spans="1:267" x14ac:dyDescent="0.25">
      <c r="A136" t="s">
        <v>505</v>
      </c>
      <c r="B136" t="s">
        <v>397</v>
      </c>
      <c r="C136" t="s">
        <v>601</v>
      </c>
      <c r="D136" t="s">
        <v>501</v>
      </c>
      <c r="E136" t="s">
        <v>201</v>
      </c>
      <c r="F136" t="s">
        <v>202</v>
      </c>
      <c r="G136" t="s">
        <v>203</v>
      </c>
      <c r="BO136" s="3"/>
      <c r="BS136" s="3"/>
      <c r="CP136" s="3"/>
      <c r="CQ136" s="3"/>
      <c r="CT136" s="3"/>
      <c r="CU136" s="3"/>
      <c r="DP136" s="3">
        <v>17691000</v>
      </c>
      <c r="DQ136" s="3">
        <v>131555000</v>
      </c>
      <c r="DR136" s="3">
        <v>0</v>
      </c>
      <c r="DS136" s="3">
        <v>149246000</v>
      </c>
      <c r="DT136" s="3">
        <v>17691000</v>
      </c>
      <c r="DU136" s="3">
        <v>131555000</v>
      </c>
      <c r="DV136" s="3">
        <v>0</v>
      </c>
      <c r="DW136" s="3">
        <v>149246000</v>
      </c>
      <c r="ER136" s="3">
        <v>6890000</v>
      </c>
      <c r="ES136" s="3">
        <v>131555000</v>
      </c>
      <c r="ET136" s="3">
        <v>0</v>
      </c>
      <c r="EU136" s="3">
        <v>138445000</v>
      </c>
      <c r="EV136" s="3">
        <v>17691000</v>
      </c>
      <c r="EW136" s="3">
        <v>131555000</v>
      </c>
      <c r="EX136" s="3">
        <v>2000000</v>
      </c>
      <c r="EY136" s="3">
        <v>151246000</v>
      </c>
      <c r="FT136" s="3">
        <v>24862000</v>
      </c>
      <c r="FU136" s="3">
        <v>57992000</v>
      </c>
      <c r="FV136" s="3">
        <v>0</v>
      </c>
      <c r="FW136" s="3">
        <v>82854000</v>
      </c>
      <c r="FX136" s="3">
        <v>44862000</v>
      </c>
      <c r="FY136" s="3">
        <v>57992000</v>
      </c>
      <c r="FZ136" s="3">
        <v>0</v>
      </c>
      <c r="GA136" s="3">
        <v>102854000</v>
      </c>
      <c r="GV136" s="3">
        <v>32437000</v>
      </c>
      <c r="GW136" s="3">
        <v>73493000</v>
      </c>
      <c r="GX136" s="3">
        <v>0</v>
      </c>
      <c r="GY136" s="3">
        <v>105930000</v>
      </c>
      <c r="GZ136" s="3">
        <v>32437000</v>
      </c>
      <c r="HA136" s="3">
        <v>73493000</v>
      </c>
      <c r="HB136" s="3">
        <v>3500000</v>
      </c>
      <c r="HC136" s="3">
        <v>109430000</v>
      </c>
      <c r="HX136" s="3">
        <v>41464000</v>
      </c>
      <c r="HY136" s="3">
        <v>74045000</v>
      </c>
      <c r="HZ136" s="3">
        <v>0</v>
      </c>
      <c r="IA136" s="3">
        <v>115509000</v>
      </c>
      <c r="IB136" s="3">
        <v>41464000</v>
      </c>
      <c r="IC136" s="3">
        <v>153097000</v>
      </c>
      <c r="ID136" s="3">
        <v>0</v>
      </c>
      <c r="IE136" s="3">
        <v>194561000</v>
      </c>
      <c r="IZ136" s="3">
        <v>29949000</v>
      </c>
      <c r="JA136" s="3">
        <v>70425000</v>
      </c>
      <c r="JB136" s="3">
        <v>0</v>
      </c>
      <c r="JC136" s="3">
        <v>100374000</v>
      </c>
      <c r="JD136" s="3"/>
      <c r="JE136" s="3"/>
      <c r="JF136" s="3"/>
      <c r="JG136" s="3"/>
    </row>
    <row r="137" spans="1:267" x14ac:dyDescent="0.25">
      <c r="A137" t="s">
        <v>505</v>
      </c>
      <c r="B137" t="s">
        <v>397</v>
      </c>
      <c r="C137" t="s">
        <v>601</v>
      </c>
      <c r="D137" t="s">
        <v>501</v>
      </c>
      <c r="E137" t="s">
        <v>201</v>
      </c>
      <c r="F137" t="s">
        <v>204</v>
      </c>
      <c r="G137" t="s">
        <v>205</v>
      </c>
      <c r="BO137" s="3"/>
      <c r="BS137" s="3"/>
      <c r="CP137" s="3"/>
      <c r="CQ137" s="3"/>
      <c r="CT137" s="3"/>
      <c r="CU137" s="3"/>
      <c r="DP137" s="3"/>
      <c r="DQ137" s="3"/>
      <c r="DR137" s="3"/>
      <c r="DS137" s="3"/>
      <c r="DT137" s="3"/>
      <c r="DU137" s="3"/>
      <c r="DV137" s="3"/>
      <c r="DW137" s="3"/>
      <c r="ER137" s="3"/>
      <c r="ES137" s="3"/>
      <c r="ET137" s="3"/>
      <c r="EU137" s="3"/>
      <c r="EV137" s="3"/>
      <c r="EW137" s="3"/>
      <c r="EX137" s="3"/>
      <c r="EY137" s="3"/>
      <c r="FT137" s="3"/>
      <c r="FU137" s="3"/>
      <c r="FV137" s="3"/>
      <c r="FW137" s="3"/>
      <c r="FX137" s="3"/>
      <c r="FY137" s="3"/>
      <c r="FZ137" s="3"/>
      <c r="GA137" s="3"/>
      <c r="GV137" s="3">
        <v>1787000</v>
      </c>
      <c r="GW137" s="3">
        <v>0</v>
      </c>
      <c r="GX137" s="3">
        <v>0</v>
      </c>
      <c r="GY137" s="3">
        <v>1787000</v>
      </c>
      <c r="GZ137" s="3">
        <v>1787000</v>
      </c>
      <c r="HA137" s="3">
        <v>0</v>
      </c>
      <c r="HB137" s="3">
        <v>0</v>
      </c>
      <c r="HC137" s="3">
        <v>1787000</v>
      </c>
      <c r="HX137" s="3">
        <v>2053000</v>
      </c>
      <c r="HY137" s="3">
        <v>0</v>
      </c>
      <c r="HZ137" s="3">
        <v>0</v>
      </c>
      <c r="IA137" s="3">
        <v>2053000</v>
      </c>
      <c r="IB137" s="3">
        <v>2053000</v>
      </c>
      <c r="IC137" s="3">
        <v>0</v>
      </c>
      <c r="ID137" s="3">
        <v>0</v>
      </c>
      <c r="IE137" s="3">
        <v>2053000</v>
      </c>
      <c r="IZ137" s="3"/>
      <c r="JA137" s="3"/>
      <c r="JB137" s="3"/>
      <c r="JC137" s="3"/>
      <c r="JD137" s="3"/>
      <c r="JE137" s="3"/>
      <c r="JF137" s="3"/>
      <c r="JG137" s="3"/>
    </row>
    <row r="138" spans="1:267" x14ac:dyDescent="0.25">
      <c r="A138" t="s">
        <v>505</v>
      </c>
      <c r="B138" t="s">
        <v>397</v>
      </c>
      <c r="C138" t="s">
        <v>601</v>
      </c>
      <c r="D138" t="s">
        <v>501</v>
      </c>
      <c r="E138" t="s">
        <v>217</v>
      </c>
      <c r="F138" t="s">
        <v>218</v>
      </c>
      <c r="G138" t="s">
        <v>502</v>
      </c>
      <c r="BO138" s="3"/>
      <c r="BS138" s="3"/>
      <c r="CP138" s="3"/>
      <c r="CQ138" s="3"/>
      <c r="CT138" s="3"/>
      <c r="CU138" s="3"/>
      <c r="DP138" s="3">
        <v>43125000</v>
      </c>
      <c r="DQ138" s="3">
        <v>88113000</v>
      </c>
      <c r="DR138" s="3">
        <v>0</v>
      </c>
      <c r="DS138" s="3">
        <v>131238000</v>
      </c>
      <c r="DT138" s="3">
        <v>43125000</v>
      </c>
      <c r="DU138" s="3">
        <v>145594000</v>
      </c>
      <c r="DV138" s="3">
        <v>0</v>
      </c>
      <c r="DW138" s="3">
        <v>188719000</v>
      </c>
      <c r="ER138" s="3">
        <v>0</v>
      </c>
      <c r="ES138" s="3">
        <v>88113000</v>
      </c>
      <c r="ET138" s="3">
        <v>0</v>
      </c>
      <c r="EU138" s="3">
        <v>88113000</v>
      </c>
      <c r="EV138" s="3">
        <v>47936000</v>
      </c>
      <c r="EW138" s="3">
        <v>145594000</v>
      </c>
      <c r="EX138" s="3">
        <v>12000000</v>
      </c>
      <c r="EY138" s="3">
        <v>205530000</v>
      </c>
      <c r="FT138" s="3">
        <v>0</v>
      </c>
      <c r="FU138" s="3">
        <v>112313000</v>
      </c>
      <c r="FV138" s="3">
        <v>0</v>
      </c>
      <c r="FW138" s="3">
        <v>112313000</v>
      </c>
      <c r="FX138" s="3">
        <v>0</v>
      </c>
      <c r="FY138" s="3">
        <v>112313000</v>
      </c>
      <c r="FZ138" s="3">
        <v>15420000</v>
      </c>
      <c r="GA138" s="3">
        <v>127733000</v>
      </c>
      <c r="GV138" s="3">
        <v>0</v>
      </c>
      <c r="GW138" s="3">
        <v>127027000</v>
      </c>
      <c r="GX138" s="3">
        <v>18652000</v>
      </c>
      <c r="GY138" s="3">
        <v>145679000</v>
      </c>
      <c r="GZ138" s="3">
        <v>0</v>
      </c>
      <c r="HA138" s="3">
        <v>173527000</v>
      </c>
      <c r="HB138" s="3">
        <v>18652000</v>
      </c>
      <c r="HC138" s="3">
        <v>192179000</v>
      </c>
      <c r="HX138" s="3">
        <v>10081000</v>
      </c>
      <c r="HY138" s="3">
        <v>118734000</v>
      </c>
      <c r="HZ138" s="3">
        <v>0</v>
      </c>
      <c r="IA138" s="3">
        <v>128815000</v>
      </c>
      <c r="IB138" s="3">
        <v>10081000</v>
      </c>
      <c r="IC138" s="3">
        <v>334192000</v>
      </c>
      <c r="ID138" s="3">
        <v>0</v>
      </c>
      <c r="IE138" s="3">
        <v>344273000</v>
      </c>
      <c r="IZ138" s="3">
        <v>23847000</v>
      </c>
      <c r="JA138" s="3">
        <v>129321000</v>
      </c>
      <c r="JB138" s="3">
        <v>0</v>
      </c>
      <c r="JC138" s="3">
        <v>153168000</v>
      </c>
      <c r="JD138" s="3"/>
      <c r="JE138" s="3"/>
      <c r="JF138" s="3"/>
      <c r="JG138" s="3"/>
    </row>
    <row r="139" spans="1:267" x14ac:dyDescent="0.25">
      <c r="A139" t="s">
        <v>505</v>
      </c>
      <c r="B139" t="s">
        <v>397</v>
      </c>
      <c r="C139" t="s">
        <v>602</v>
      </c>
      <c r="D139" t="s">
        <v>503</v>
      </c>
      <c r="E139" t="s">
        <v>201</v>
      </c>
      <c r="F139" t="s">
        <v>202</v>
      </c>
      <c r="G139" t="s">
        <v>203</v>
      </c>
      <c r="BO139" s="3"/>
      <c r="BS139" s="3"/>
      <c r="CQ139" s="3"/>
      <c r="CU139" s="3"/>
      <c r="DS139" s="3"/>
      <c r="DW139" s="3"/>
      <c r="EU139" s="3"/>
      <c r="EY139" s="3"/>
      <c r="FT139" s="3"/>
      <c r="FW139" s="3"/>
      <c r="FX139" s="3"/>
      <c r="GA139" s="3"/>
      <c r="GV139" s="3"/>
      <c r="GW139" s="3"/>
      <c r="GX139" s="3"/>
      <c r="GY139" s="3"/>
      <c r="GZ139" s="3"/>
      <c r="HA139" s="3"/>
      <c r="HB139" s="3"/>
      <c r="HC139" s="3"/>
      <c r="HX139" s="3">
        <v>501000</v>
      </c>
      <c r="HY139" s="3">
        <v>43006000</v>
      </c>
      <c r="HZ139" s="3">
        <v>880000</v>
      </c>
      <c r="IA139" s="3">
        <v>44387000</v>
      </c>
      <c r="IB139" s="3">
        <v>501000</v>
      </c>
      <c r="IC139" s="3">
        <v>43006000</v>
      </c>
      <c r="ID139" s="3">
        <v>3380000</v>
      </c>
      <c r="IE139" s="3">
        <v>46887000</v>
      </c>
      <c r="IZ139" s="3">
        <v>15673000</v>
      </c>
      <c r="JA139" s="3">
        <v>43957000</v>
      </c>
      <c r="JB139" s="3">
        <v>0</v>
      </c>
      <c r="JC139" s="3">
        <v>59630000</v>
      </c>
      <c r="JD139" s="3"/>
      <c r="JE139" s="3"/>
      <c r="JF139" s="3"/>
      <c r="JG139" s="3"/>
    </row>
    <row r="140" spans="1:267" x14ac:dyDescent="0.25">
      <c r="A140" t="s">
        <v>505</v>
      </c>
      <c r="B140" t="s">
        <v>397</v>
      </c>
      <c r="C140" t="s">
        <v>602</v>
      </c>
      <c r="D140" t="s">
        <v>503</v>
      </c>
      <c r="E140" t="s">
        <v>217</v>
      </c>
      <c r="F140" t="s">
        <v>218</v>
      </c>
      <c r="G140" t="s">
        <v>504</v>
      </c>
      <c r="BO140" s="3"/>
      <c r="BS140" s="3"/>
      <c r="CQ140" s="3"/>
      <c r="CU140" s="3"/>
      <c r="DS140" s="3"/>
      <c r="DW140" s="3"/>
      <c r="EU140" s="3"/>
      <c r="EY140" s="3"/>
      <c r="FT140" s="3"/>
      <c r="FW140" s="3"/>
      <c r="FX140" s="3"/>
      <c r="GA140" s="3"/>
      <c r="GV140" s="3"/>
      <c r="GW140" s="3"/>
      <c r="GX140" s="3"/>
      <c r="GY140" s="3"/>
      <c r="GZ140" s="3"/>
      <c r="HA140" s="3"/>
      <c r="HB140" s="3"/>
      <c r="HC140" s="3"/>
      <c r="HX140" s="3">
        <v>3981000</v>
      </c>
      <c r="HY140" s="3">
        <v>158703000</v>
      </c>
      <c r="HZ140" s="3">
        <v>0</v>
      </c>
      <c r="IA140" s="3">
        <v>162684000</v>
      </c>
      <c r="IB140" s="3">
        <v>3981000</v>
      </c>
      <c r="IC140" s="3">
        <v>512023000</v>
      </c>
      <c r="ID140" s="3">
        <v>0</v>
      </c>
      <c r="IE140" s="3">
        <v>516004000</v>
      </c>
      <c r="IZ140" s="3">
        <v>13945000</v>
      </c>
      <c r="JA140" s="3">
        <v>284160000</v>
      </c>
      <c r="JB140" s="3">
        <v>0</v>
      </c>
      <c r="JC140" s="3">
        <v>298105000</v>
      </c>
      <c r="JD140" s="3"/>
      <c r="JE140" s="3"/>
      <c r="JF140" s="3"/>
      <c r="JG14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940C-2D7A-4789-8286-58822CA8D2FD}">
  <dimension ref="A1:IH97"/>
  <sheetViews>
    <sheetView zoomScale="90" zoomScaleNormal="90" workbookViewId="0">
      <pane xSplit="7" ySplit="1" topLeftCell="H2" activePane="bottomRight" state="frozen"/>
      <selection pane="topRight" activeCell="H1" sqref="H1"/>
      <selection pane="bottomLeft" activeCell="A2" sqref="A2"/>
      <selection pane="bottomRight" activeCell="G37" sqref="G37"/>
    </sheetView>
  </sheetViews>
  <sheetFormatPr defaultRowHeight="15" x14ac:dyDescent="0.25"/>
  <cols>
    <col min="1" max="6" width="9.140625" customWidth="1"/>
    <col min="7" max="242" width="15.7109375" customWidth="1"/>
  </cols>
  <sheetData>
    <row r="1" spans="1:242" s="1" customFormat="1" x14ac:dyDescent="0.25">
      <c r="A1" s="1" t="s">
        <v>0</v>
      </c>
      <c r="B1" s="1" t="s">
        <v>1</v>
      </c>
      <c r="C1" s="1" t="s">
        <v>2</v>
      </c>
      <c r="D1" s="1" t="s">
        <v>3</v>
      </c>
      <c r="E1" s="1" t="s">
        <v>4</v>
      </c>
      <c r="F1" s="7" t="s">
        <v>5</v>
      </c>
      <c r="G1" s="7" t="s">
        <v>6</v>
      </c>
      <c r="H1" s="7" t="s">
        <v>610</v>
      </c>
      <c r="I1" s="7" t="s">
        <v>611</v>
      </c>
      <c r="J1" s="7" t="s">
        <v>612</v>
      </c>
      <c r="K1" s="7" t="s">
        <v>7</v>
      </c>
      <c r="L1" s="7" t="s">
        <v>613</v>
      </c>
      <c r="M1" s="7" t="s">
        <v>614</v>
      </c>
      <c r="N1" s="7" t="s">
        <v>615</v>
      </c>
      <c r="O1" s="7" t="s">
        <v>8</v>
      </c>
      <c r="P1" s="8" t="s">
        <v>649</v>
      </c>
      <c r="Q1" s="8" t="s">
        <v>650</v>
      </c>
      <c r="R1" s="8" t="s">
        <v>651</v>
      </c>
      <c r="S1" s="8" t="s">
        <v>9</v>
      </c>
      <c r="T1" s="8" t="s">
        <v>652</v>
      </c>
      <c r="U1" s="8" t="s">
        <v>653</v>
      </c>
      <c r="V1" s="8" t="s">
        <v>654</v>
      </c>
      <c r="W1" s="8" t="s">
        <v>10</v>
      </c>
      <c r="X1" s="8" t="s">
        <v>655</v>
      </c>
      <c r="Y1" s="8" t="s">
        <v>656</v>
      </c>
      <c r="Z1" s="8" t="s">
        <v>657</v>
      </c>
      <c r="AA1" s="8" t="s">
        <v>11</v>
      </c>
      <c r="AB1" s="8" t="s">
        <v>658</v>
      </c>
      <c r="AC1" s="8" t="s">
        <v>659</v>
      </c>
      <c r="AD1" s="8" t="s">
        <v>660</v>
      </c>
      <c r="AE1" s="8" t="s">
        <v>12</v>
      </c>
      <c r="AF1" s="8" t="s">
        <v>661</v>
      </c>
      <c r="AG1" s="8" t="s">
        <v>662</v>
      </c>
      <c r="AH1" s="8" t="s">
        <v>663</v>
      </c>
      <c r="AI1" s="8" t="s">
        <v>13</v>
      </c>
      <c r="AJ1" s="1" t="s">
        <v>604</v>
      </c>
      <c r="AK1" s="1" t="s">
        <v>605</v>
      </c>
      <c r="AL1" s="1" t="s">
        <v>606</v>
      </c>
      <c r="AM1" s="1" t="s">
        <v>14</v>
      </c>
      <c r="AN1" s="1" t="s">
        <v>607</v>
      </c>
      <c r="AO1" s="1" t="s">
        <v>608</v>
      </c>
      <c r="AP1" s="1" t="s">
        <v>609</v>
      </c>
      <c r="AQ1" s="1" t="s">
        <v>15</v>
      </c>
      <c r="AR1" s="2" t="s">
        <v>664</v>
      </c>
      <c r="AS1" s="2" t="s">
        <v>665</v>
      </c>
      <c r="AT1" s="2" t="s">
        <v>666</v>
      </c>
      <c r="AU1" s="2" t="s">
        <v>16</v>
      </c>
      <c r="AV1" s="2" t="s">
        <v>667</v>
      </c>
      <c r="AW1" s="2" t="s">
        <v>668</v>
      </c>
      <c r="AX1" s="2" t="s">
        <v>669</v>
      </c>
      <c r="AY1" s="2" t="s">
        <v>17</v>
      </c>
      <c r="AZ1" s="2" t="s">
        <v>670</v>
      </c>
      <c r="BA1" s="2" t="s">
        <v>671</v>
      </c>
      <c r="BB1" s="2" t="s">
        <v>672</v>
      </c>
      <c r="BC1" s="2" t="s">
        <v>18</v>
      </c>
      <c r="BD1" s="2" t="s">
        <v>673</v>
      </c>
      <c r="BE1" s="2" t="s">
        <v>674</v>
      </c>
      <c r="BF1" s="2" t="s">
        <v>675</v>
      </c>
      <c r="BG1" s="2" t="s">
        <v>19</v>
      </c>
      <c r="BH1" s="2" t="s">
        <v>676</v>
      </c>
      <c r="BI1" s="2" t="s">
        <v>677</v>
      </c>
      <c r="BJ1" s="2" t="s">
        <v>678</v>
      </c>
      <c r="BK1" s="2" t="s">
        <v>20</v>
      </c>
      <c r="BL1" s="1" t="s">
        <v>21</v>
      </c>
      <c r="BM1" s="1" t="s">
        <v>22</v>
      </c>
      <c r="BN1" s="1" t="s">
        <v>23</v>
      </c>
      <c r="BO1" s="1" t="s">
        <v>24</v>
      </c>
      <c r="BP1" s="1" t="s">
        <v>25</v>
      </c>
      <c r="BQ1" s="1" t="s">
        <v>26</v>
      </c>
      <c r="BR1" s="1" t="s">
        <v>27</v>
      </c>
      <c r="BS1" s="1" t="s">
        <v>28</v>
      </c>
      <c r="BT1" s="2" t="s">
        <v>29</v>
      </c>
      <c r="BU1" s="2" t="s">
        <v>30</v>
      </c>
      <c r="BV1" s="2" t="s">
        <v>31</v>
      </c>
      <c r="BW1" s="2" t="s">
        <v>32</v>
      </c>
      <c r="BX1" s="2" t="s">
        <v>33</v>
      </c>
      <c r="BY1" s="2" t="s">
        <v>34</v>
      </c>
      <c r="BZ1" s="2" t="s">
        <v>35</v>
      </c>
      <c r="CA1" s="2" t="s">
        <v>36</v>
      </c>
      <c r="CB1" s="2" t="s">
        <v>37</v>
      </c>
      <c r="CC1" s="2" t="s">
        <v>38</v>
      </c>
      <c r="CD1" s="2" t="s">
        <v>39</v>
      </c>
      <c r="CE1" s="2" t="s">
        <v>40</v>
      </c>
      <c r="CF1" s="2" t="s">
        <v>41</v>
      </c>
      <c r="CG1" s="2" t="s">
        <v>42</v>
      </c>
      <c r="CH1" s="2" t="s">
        <v>43</v>
      </c>
      <c r="CI1" s="2" t="s">
        <v>44</v>
      </c>
      <c r="CJ1" s="2" t="s">
        <v>45</v>
      </c>
      <c r="CK1" s="2" t="s">
        <v>46</v>
      </c>
      <c r="CL1" s="2" t="s">
        <v>47</v>
      </c>
      <c r="CM1" s="2" t="s">
        <v>48</v>
      </c>
      <c r="CN1" s="1" t="s">
        <v>49</v>
      </c>
      <c r="CO1" s="1" t="s">
        <v>50</v>
      </c>
      <c r="CP1" s="1" t="s">
        <v>51</v>
      </c>
      <c r="CQ1" s="1" t="s">
        <v>52</v>
      </c>
      <c r="CR1" s="1" t="s">
        <v>53</v>
      </c>
      <c r="CS1" s="1" t="s">
        <v>54</v>
      </c>
      <c r="CT1" s="1" t="s">
        <v>55</v>
      </c>
      <c r="CU1" s="1" t="s">
        <v>56</v>
      </c>
      <c r="CV1" s="2" t="s">
        <v>57</v>
      </c>
      <c r="CW1" s="2" t="s">
        <v>58</v>
      </c>
      <c r="CX1" s="2" t="s">
        <v>59</v>
      </c>
      <c r="CY1" s="2" t="s">
        <v>60</v>
      </c>
      <c r="CZ1" s="2" t="s">
        <v>61</v>
      </c>
      <c r="DA1" s="2" t="s">
        <v>62</v>
      </c>
      <c r="DB1" s="2" t="s">
        <v>63</v>
      </c>
      <c r="DC1" s="2" t="s">
        <v>64</v>
      </c>
      <c r="DD1" s="2" t="s">
        <v>65</v>
      </c>
      <c r="DE1" s="2" t="s">
        <v>66</v>
      </c>
      <c r="DF1" s="2" t="s">
        <v>67</v>
      </c>
      <c r="DG1" s="2" t="s">
        <v>68</v>
      </c>
      <c r="DH1" s="2" t="s">
        <v>69</v>
      </c>
      <c r="DI1" s="2" t="s">
        <v>70</v>
      </c>
      <c r="DJ1" s="2" t="s">
        <v>71</v>
      </c>
      <c r="DK1" s="2" t="s">
        <v>72</v>
      </c>
      <c r="DL1" s="2" t="s">
        <v>73</v>
      </c>
      <c r="DM1" s="2" t="s">
        <v>74</v>
      </c>
      <c r="DN1" s="2" t="s">
        <v>75</v>
      </c>
      <c r="DO1" s="2" t="s">
        <v>76</v>
      </c>
      <c r="DP1" s="1" t="s">
        <v>77</v>
      </c>
      <c r="DQ1" s="1" t="s">
        <v>78</v>
      </c>
      <c r="DR1" s="1" t="s">
        <v>79</v>
      </c>
      <c r="DS1" s="1" t="s">
        <v>80</v>
      </c>
      <c r="DT1" s="1" t="s">
        <v>81</v>
      </c>
      <c r="DU1" s="1" t="s">
        <v>82</v>
      </c>
      <c r="DV1" s="1" t="s">
        <v>83</v>
      </c>
      <c r="DW1" s="1" t="s">
        <v>84</v>
      </c>
      <c r="DX1" s="2" t="s">
        <v>85</v>
      </c>
      <c r="DY1" s="2" t="s">
        <v>86</v>
      </c>
      <c r="DZ1" s="2" t="s">
        <v>87</v>
      </c>
      <c r="EA1" s="2" t="s">
        <v>88</v>
      </c>
      <c r="EB1" s="2" t="s">
        <v>89</v>
      </c>
      <c r="EC1" s="2" t="s">
        <v>90</v>
      </c>
      <c r="ED1" s="2" t="s">
        <v>91</v>
      </c>
      <c r="EE1" s="2" t="s">
        <v>92</v>
      </c>
      <c r="EF1" s="2" t="s">
        <v>93</v>
      </c>
      <c r="EG1" s="2" t="s">
        <v>94</v>
      </c>
      <c r="EH1" s="2" t="s">
        <v>95</v>
      </c>
      <c r="EI1" s="2" t="s">
        <v>96</v>
      </c>
      <c r="EJ1" s="2" t="s">
        <v>97</v>
      </c>
      <c r="EK1" s="2" t="s">
        <v>98</v>
      </c>
      <c r="EL1" s="2" t="s">
        <v>99</v>
      </c>
      <c r="EM1" s="2" t="s">
        <v>100</v>
      </c>
      <c r="EN1" s="2" t="s">
        <v>101</v>
      </c>
      <c r="EO1" s="2" t="s">
        <v>102</v>
      </c>
      <c r="EP1" s="2" t="s">
        <v>103</v>
      </c>
      <c r="EQ1" s="2" t="s">
        <v>104</v>
      </c>
      <c r="ER1" s="1" t="s">
        <v>105</v>
      </c>
      <c r="ES1" s="1" t="s">
        <v>106</v>
      </c>
      <c r="ET1" s="1" t="s">
        <v>107</v>
      </c>
      <c r="EU1" s="1" t="s">
        <v>108</v>
      </c>
      <c r="EV1" s="1" t="s">
        <v>109</v>
      </c>
      <c r="EW1" s="1" t="s">
        <v>110</v>
      </c>
      <c r="EX1" s="1" t="s">
        <v>111</v>
      </c>
      <c r="EY1" s="1" t="s">
        <v>112</v>
      </c>
      <c r="EZ1" s="2" t="s">
        <v>113</v>
      </c>
      <c r="FA1" s="2" t="s">
        <v>114</v>
      </c>
      <c r="FB1" s="2" t="s">
        <v>115</v>
      </c>
      <c r="FC1" s="2" t="s">
        <v>116</v>
      </c>
      <c r="FD1" s="2" t="s">
        <v>117</v>
      </c>
      <c r="FE1" s="2" t="s">
        <v>118</v>
      </c>
      <c r="FF1" s="2" t="s">
        <v>119</v>
      </c>
      <c r="FG1" s="2" t="s">
        <v>120</v>
      </c>
      <c r="FH1" s="2" t="s">
        <v>121</v>
      </c>
      <c r="FI1" s="2" t="s">
        <v>122</v>
      </c>
      <c r="FJ1" s="2" t="s">
        <v>123</v>
      </c>
      <c r="FK1" s="2" t="s">
        <v>124</v>
      </c>
      <c r="FL1" s="2" t="s">
        <v>125</v>
      </c>
      <c r="FM1" s="2" t="s">
        <v>126</v>
      </c>
      <c r="FN1" s="2" t="s">
        <v>127</v>
      </c>
      <c r="FO1" s="2" t="s">
        <v>128</v>
      </c>
      <c r="FP1" s="2" t="s">
        <v>129</v>
      </c>
      <c r="FQ1" s="2" t="s">
        <v>130</v>
      </c>
      <c r="FR1" s="2" t="s">
        <v>131</v>
      </c>
      <c r="FS1" s="2" t="s">
        <v>132</v>
      </c>
      <c r="FT1" s="1" t="s">
        <v>133</v>
      </c>
      <c r="FU1" s="1" t="s">
        <v>134</v>
      </c>
      <c r="FV1" s="1" t="s">
        <v>135</v>
      </c>
      <c r="FW1" s="1" t="s">
        <v>136</v>
      </c>
      <c r="FX1" s="1" t="s">
        <v>137</v>
      </c>
      <c r="FY1" s="1" t="s">
        <v>138</v>
      </c>
      <c r="FZ1" s="1" t="s">
        <v>139</v>
      </c>
      <c r="GA1" s="1" t="s">
        <v>140</v>
      </c>
      <c r="GB1" s="2" t="s">
        <v>141</v>
      </c>
      <c r="GC1" s="2" t="s">
        <v>142</v>
      </c>
      <c r="GD1" s="2" t="s">
        <v>143</v>
      </c>
      <c r="GE1" s="2" t="s">
        <v>144</v>
      </c>
      <c r="GF1" s="2" t="s">
        <v>145</v>
      </c>
      <c r="GG1" s="2" t="s">
        <v>146</v>
      </c>
      <c r="GH1" s="2" t="s">
        <v>147</v>
      </c>
      <c r="GI1" s="2" t="s">
        <v>148</v>
      </c>
      <c r="GJ1" s="2" t="s">
        <v>149</v>
      </c>
      <c r="GK1" s="2" t="s">
        <v>150</v>
      </c>
      <c r="GL1" s="2" t="s">
        <v>151</v>
      </c>
      <c r="GM1" s="2" t="s">
        <v>152</v>
      </c>
      <c r="GN1" s="2" t="s">
        <v>153</v>
      </c>
      <c r="GO1" s="2" t="s">
        <v>154</v>
      </c>
      <c r="GP1" s="2" t="s">
        <v>155</v>
      </c>
      <c r="GQ1" s="2" t="s">
        <v>156</v>
      </c>
      <c r="GR1" s="2" t="s">
        <v>157</v>
      </c>
      <c r="GS1" s="2" t="s">
        <v>158</v>
      </c>
      <c r="GT1" s="2" t="s">
        <v>159</v>
      </c>
      <c r="GU1" s="2" t="s">
        <v>160</v>
      </c>
      <c r="GV1" s="1" t="s">
        <v>161</v>
      </c>
      <c r="GW1" s="1" t="s">
        <v>162</v>
      </c>
      <c r="GX1" s="1" t="s">
        <v>163</v>
      </c>
      <c r="GY1" s="1" t="s">
        <v>164</v>
      </c>
      <c r="GZ1" s="1" t="s">
        <v>165</v>
      </c>
      <c r="HA1" s="1" t="s">
        <v>166</v>
      </c>
      <c r="HB1" s="1" t="s">
        <v>167</v>
      </c>
      <c r="HC1" s="1" t="s">
        <v>168</v>
      </c>
      <c r="HD1" s="2" t="s">
        <v>169</v>
      </c>
      <c r="HE1" s="2" t="s">
        <v>170</v>
      </c>
      <c r="HF1" s="2" t="s">
        <v>171</v>
      </c>
      <c r="HG1" s="2" t="s">
        <v>172</v>
      </c>
      <c r="HH1" s="2" t="s">
        <v>173</v>
      </c>
      <c r="HI1" s="2" t="s">
        <v>174</v>
      </c>
      <c r="HJ1" s="2" t="s">
        <v>175</v>
      </c>
      <c r="HK1" s="2" t="s">
        <v>176</v>
      </c>
      <c r="HL1" s="2"/>
      <c r="HM1" s="2" t="s">
        <v>177</v>
      </c>
      <c r="HN1" s="2" t="s">
        <v>178</v>
      </c>
      <c r="HO1" s="2" t="s">
        <v>179</v>
      </c>
      <c r="HP1" s="2" t="s">
        <v>180</v>
      </c>
      <c r="HQ1" s="2" t="s">
        <v>181</v>
      </c>
      <c r="HR1" s="2" t="s">
        <v>182</v>
      </c>
      <c r="HS1" s="2" t="s">
        <v>183</v>
      </c>
      <c r="HT1" s="2" t="s">
        <v>184</v>
      </c>
      <c r="HU1" s="2"/>
      <c r="HV1" s="2" t="s">
        <v>185</v>
      </c>
      <c r="HW1" s="2" t="s">
        <v>186</v>
      </c>
      <c r="HX1" s="2" t="s">
        <v>187</v>
      </c>
      <c r="HY1" s="2" t="s">
        <v>188</v>
      </c>
      <c r="HZ1" s="2"/>
      <c r="IA1" s="1" t="s">
        <v>189</v>
      </c>
      <c r="IB1" s="1" t="s">
        <v>190</v>
      </c>
      <c r="IC1" s="1" t="s">
        <v>191</v>
      </c>
      <c r="ID1" s="1" t="s">
        <v>192</v>
      </c>
      <c r="IE1" s="1" t="s">
        <v>193</v>
      </c>
      <c r="IF1" s="1" t="s">
        <v>194</v>
      </c>
      <c r="IG1" s="1" t="s">
        <v>195</v>
      </c>
      <c r="IH1" s="1" t="s">
        <v>196</v>
      </c>
    </row>
    <row r="2" spans="1:242" x14ac:dyDescent="0.25">
      <c r="A2" t="s">
        <v>1170</v>
      </c>
      <c r="B2" t="s">
        <v>1171</v>
      </c>
      <c r="C2" t="s">
        <v>199</v>
      </c>
      <c r="D2" t="s">
        <v>200</v>
      </c>
      <c r="E2" t="s">
        <v>201</v>
      </c>
      <c r="F2" t="s">
        <v>202</v>
      </c>
      <c r="G2" t="s">
        <v>203</v>
      </c>
      <c r="H2" s="3">
        <v>145245000</v>
      </c>
      <c r="I2" s="3">
        <v>229070000</v>
      </c>
      <c r="J2" s="3">
        <v>315000</v>
      </c>
      <c r="K2" s="3">
        <v>374630000</v>
      </c>
      <c r="L2" s="3">
        <v>145245000</v>
      </c>
      <c r="M2" s="3">
        <v>229070000</v>
      </c>
      <c r="N2" s="3">
        <v>315000</v>
      </c>
      <c r="O2" s="3">
        <v>374630000</v>
      </c>
      <c r="P2" s="3">
        <v>145245000</v>
      </c>
      <c r="Q2" s="3">
        <v>229070000</v>
      </c>
      <c r="R2" s="3">
        <v>315000</v>
      </c>
      <c r="S2" s="3">
        <v>374630000</v>
      </c>
      <c r="T2" s="3">
        <v>160671250</v>
      </c>
      <c r="U2" s="3">
        <v>213643750</v>
      </c>
      <c r="V2" s="3">
        <v>315000</v>
      </c>
      <c r="W2" s="3">
        <v>374630000</v>
      </c>
      <c r="X2" s="3">
        <v>160671250</v>
      </c>
      <c r="Y2" s="3">
        <v>213643750</v>
      </c>
      <c r="Z2" s="3">
        <v>315000</v>
      </c>
      <c r="AA2" s="3">
        <v>374630000</v>
      </c>
      <c r="AB2" s="3">
        <v>160579154.13999999</v>
      </c>
      <c r="AC2" s="3">
        <v>194849304.27000001</v>
      </c>
      <c r="AD2" s="3">
        <v>285395</v>
      </c>
      <c r="AE2" s="3">
        <v>355713853.41000003</v>
      </c>
      <c r="AF2" s="3">
        <v>152747701.15000001</v>
      </c>
      <c r="AG2" s="3">
        <v>152579767.91</v>
      </c>
      <c r="AH2" s="3">
        <v>0</v>
      </c>
      <c r="AI2" s="3">
        <v>305327469.06</v>
      </c>
      <c r="AJ2" s="3">
        <v>178381000</v>
      </c>
      <c r="AK2" s="3">
        <v>217609000</v>
      </c>
      <c r="AL2" s="3">
        <v>11500000</v>
      </c>
      <c r="AM2" s="3">
        <v>407490000</v>
      </c>
      <c r="AN2" s="3">
        <v>178381000</v>
      </c>
      <c r="AO2" s="3">
        <v>285609000</v>
      </c>
      <c r="AP2" s="3">
        <v>43500000</v>
      </c>
      <c r="AQ2" s="3">
        <v>507490000</v>
      </c>
      <c r="AR2" s="3">
        <v>178381000</v>
      </c>
      <c r="AS2" s="3">
        <v>285609000</v>
      </c>
      <c r="AT2" s="3">
        <v>43500000</v>
      </c>
      <c r="AU2" s="3">
        <v>507490000</v>
      </c>
      <c r="AV2" s="3">
        <v>196599827</v>
      </c>
      <c r="AW2" s="3">
        <v>267390173</v>
      </c>
      <c r="AX2" s="3">
        <v>43500000</v>
      </c>
      <c r="AY2" s="3">
        <v>507490000</v>
      </c>
      <c r="AZ2" s="3">
        <v>196599827</v>
      </c>
      <c r="BA2" s="3">
        <v>267390173</v>
      </c>
      <c r="BB2" s="3">
        <v>43500000</v>
      </c>
      <c r="BC2" s="3">
        <v>507490000</v>
      </c>
      <c r="BD2" s="3">
        <v>196599827</v>
      </c>
      <c r="BE2" s="3">
        <v>229024006.61000001</v>
      </c>
      <c r="BF2" s="3">
        <v>8555000</v>
      </c>
      <c r="BG2" s="3">
        <v>434178833.61000001</v>
      </c>
      <c r="BH2" s="3">
        <v>177999613.19</v>
      </c>
      <c r="BI2" s="3">
        <v>149347634.78</v>
      </c>
      <c r="BJ2" s="3">
        <v>8555000</v>
      </c>
      <c r="BK2" s="3">
        <v>335902247.97000003</v>
      </c>
      <c r="BL2" s="3">
        <v>186956000</v>
      </c>
      <c r="BM2" s="3">
        <v>268059000</v>
      </c>
      <c r="BN2" s="3">
        <v>70450000</v>
      </c>
      <c r="BO2" s="3">
        <v>525465000</v>
      </c>
      <c r="BP2" s="3">
        <v>186956000</v>
      </c>
      <c r="BQ2" s="3">
        <v>302159000</v>
      </c>
      <c r="BR2" s="3">
        <v>70450000</v>
      </c>
      <c r="BS2" s="3">
        <v>559565000</v>
      </c>
      <c r="BT2" s="3">
        <v>186956000</v>
      </c>
      <c r="BU2" s="3">
        <v>302159000</v>
      </c>
      <c r="BV2" s="3">
        <v>70450000</v>
      </c>
      <c r="BW2" s="3">
        <v>559565000</v>
      </c>
      <c r="BX2" s="6">
        <v>208353000</v>
      </c>
      <c r="BY2" s="6">
        <v>262586500</v>
      </c>
      <c r="BZ2" s="3">
        <v>63460000</v>
      </c>
      <c r="CA2" s="3">
        <v>534399500</v>
      </c>
      <c r="CB2" s="3">
        <v>208353000</v>
      </c>
      <c r="CC2" s="3">
        <v>228486500</v>
      </c>
      <c r="CD2" s="3">
        <v>63460000</v>
      </c>
      <c r="CE2" s="3">
        <v>500299500</v>
      </c>
      <c r="CF2" s="3">
        <v>208165492.61000001</v>
      </c>
      <c r="CG2" s="3">
        <v>213182718.46000001</v>
      </c>
      <c r="CH2" s="3">
        <v>57210690</v>
      </c>
      <c r="CI2" s="3">
        <v>478558901.06999999</v>
      </c>
      <c r="CJ2" s="3">
        <v>173166181.34999999</v>
      </c>
      <c r="CK2" s="3">
        <v>132066311.94</v>
      </c>
      <c r="CL2" s="3">
        <v>795714.28</v>
      </c>
      <c r="CM2" s="3">
        <v>306028207.56999999</v>
      </c>
      <c r="CN2" s="3">
        <v>209581000</v>
      </c>
      <c r="CO2" s="3">
        <v>258002000</v>
      </c>
      <c r="CP2" s="3">
        <v>0</v>
      </c>
      <c r="CQ2" s="3">
        <v>467583000</v>
      </c>
      <c r="CR2" s="3">
        <v>209581000</v>
      </c>
      <c r="CS2" s="3">
        <v>259570000</v>
      </c>
      <c r="CT2" s="3">
        <v>1170000</v>
      </c>
      <c r="CU2" s="3">
        <v>470321000</v>
      </c>
      <c r="CV2" s="3"/>
      <c r="CW2" s="3"/>
      <c r="CX2" s="3"/>
      <c r="CY2" s="3"/>
      <c r="CZ2" s="3"/>
      <c r="DA2" s="3"/>
      <c r="DB2" s="3"/>
      <c r="DC2" s="3"/>
      <c r="DD2" s="3"/>
      <c r="DE2" s="3"/>
      <c r="DF2" s="3"/>
      <c r="DG2" s="3"/>
      <c r="DH2" s="3"/>
      <c r="DI2" s="3"/>
      <c r="DJ2" s="3"/>
      <c r="DK2" s="3"/>
      <c r="DL2" s="3"/>
      <c r="DM2" s="3"/>
      <c r="DN2" s="3"/>
      <c r="DO2" s="3"/>
      <c r="DP2" s="3">
        <v>215167000</v>
      </c>
      <c r="DQ2" s="3">
        <v>258002000</v>
      </c>
      <c r="DR2" s="3">
        <v>0</v>
      </c>
      <c r="DS2" s="3">
        <v>473169000</v>
      </c>
      <c r="DT2" s="3">
        <v>215167000</v>
      </c>
      <c r="DU2" s="3">
        <v>291252000</v>
      </c>
      <c r="DV2" s="3">
        <v>0</v>
      </c>
      <c r="DW2" s="3">
        <v>506419000</v>
      </c>
      <c r="DX2" s="3"/>
      <c r="DY2" s="3"/>
      <c r="DZ2" s="3"/>
      <c r="EA2" s="3"/>
      <c r="EB2" s="3"/>
      <c r="EC2" s="3"/>
      <c r="ED2" s="3"/>
      <c r="EE2" s="3"/>
      <c r="EF2" s="3"/>
      <c r="EG2" s="3"/>
      <c r="EH2" s="3"/>
      <c r="EI2" s="3"/>
      <c r="EJ2" s="3"/>
      <c r="EK2" s="3"/>
      <c r="EL2" s="3"/>
      <c r="EM2" s="3"/>
      <c r="EN2" s="3"/>
      <c r="EO2" s="3"/>
      <c r="EP2" s="3"/>
      <c r="EQ2" s="3"/>
      <c r="ER2" s="3">
        <v>205975000</v>
      </c>
      <c r="ES2" s="3">
        <v>257879000</v>
      </c>
      <c r="ET2" s="3">
        <v>0</v>
      </c>
      <c r="EU2" s="3">
        <v>463854000</v>
      </c>
      <c r="EV2" s="3">
        <v>205975000</v>
      </c>
      <c r="EW2" s="3">
        <v>257879000</v>
      </c>
      <c r="EX2" s="3">
        <v>0</v>
      </c>
      <c r="EY2" s="3">
        <v>463854000</v>
      </c>
      <c r="EZ2" s="3"/>
      <c r="FA2" s="3"/>
      <c r="FB2" s="3"/>
      <c r="FC2" s="3"/>
      <c r="FD2" s="3"/>
      <c r="FE2" s="3"/>
      <c r="FF2" s="3"/>
      <c r="FG2" s="3"/>
      <c r="FH2" s="3"/>
      <c r="FI2" s="3"/>
      <c r="FJ2" s="3"/>
      <c r="FK2" s="3"/>
      <c r="FL2" s="3"/>
      <c r="FM2" s="3"/>
      <c r="FN2" s="3"/>
      <c r="FO2" s="3"/>
      <c r="FP2" s="3"/>
      <c r="FQ2" s="3"/>
      <c r="FR2" s="3"/>
      <c r="FS2" s="3"/>
      <c r="FT2" s="3">
        <v>195372000</v>
      </c>
      <c r="FU2" s="3">
        <v>267522000</v>
      </c>
      <c r="FV2" s="3">
        <v>39062000</v>
      </c>
      <c r="FW2" s="3">
        <v>501956000</v>
      </c>
      <c r="FX2" s="3">
        <v>195372000</v>
      </c>
      <c r="FY2" s="3">
        <v>267522000</v>
      </c>
      <c r="FZ2" s="3">
        <v>39062000</v>
      </c>
      <c r="GA2" s="3">
        <v>501956000</v>
      </c>
      <c r="GB2" s="3">
        <v>195372000</v>
      </c>
      <c r="GC2" s="3">
        <v>267522000</v>
      </c>
      <c r="GD2" s="3">
        <v>39062000</v>
      </c>
      <c r="GE2" s="3">
        <v>501956000</v>
      </c>
      <c r="GF2" s="3">
        <v>201037005</v>
      </c>
      <c r="GG2" s="3">
        <v>265577000</v>
      </c>
      <c r="GH2" s="3">
        <v>35341995</v>
      </c>
      <c r="GI2" s="3">
        <v>501956000</v>
      </c>
      <c r="GJ2" s="3">
        <v>201037005</v>
      </c>
      <c r="GK2" s="3">
        <v>265577000</v>
      </c>
      <c r="GL2" s="3">
        <v>35341995</v>
      </c>
      <c r="GM2" s="3">
        <v>501956000</v>
      </c>
      <c r="GN2" s="3">
        <v>200693020.55000001</v>
      </c>
      <c r="GO2" s="3">
        <v>256762936.58000001</v>
      </c>
      <c r="GP2" s="3">
        <v>33551498.010000002</v>
      </c>
      <c r="GQ2" s="3">
        <v>491007455.13999999</v>
      </c>
      <c r="GR2" s="3">
        <v>194121740.56</v>
      </c>
      <c r="GS2" s="3">
        <v>211940149.18000001</v>
      </c>
      <c r="GT2" s="3">
        <v>16072820.58</v>
      </c>
      <c r="GU2" s="3">
        <v>422134710.31999999</v>
      </c>
      <c r="GV2" s="3">
        <v>216772000</v>
      </c>
      <c r="GW2" s="3">
        <v>290322000</v>
      </c>
      <c r="GX2" s="3">
        <v>146153000</v>
      </c>
      <c r="GY2" s="3">
        <v>653247000</v>
      </c>
      <c r="GZ2" s="3">
        <v>216772000</v>
      </c>
      <c r="HA2" s="3">
        <v>299962000</v>
      </c>
      <c r="HB2" s="3">
        <v>146153000</v>
      </c>
      <c r="HC2" s="3">
        <v>662887000</v>
      </c>
      <c r="HD2" s="3">
        <v>216772000</v>
      </c>
      <c r="HE2" s="3">
        <v>299962000</v>
      </c>
      <c r="HF2" s="3">
        <v>146153000</v>
      </c>
      <c r="HG2" s="3">
        <v>662887000</v>
      </c>
      <c r="HH2" s="3">
        <v>223718654.33000001</v>
      </c>
      <c r="HI2" s="3">
        <v>295323569.67000002</v>
      </c>
      <c r="HJ2" s="3">
        <v>143844776</v>
      </c>
      <c r="HK2" s="3">
        <v>662887000</v>
      </c>
      <c r="HL2" s="10">
        <f>HK2-SUM(HH2:HJ2)</f>
        <v>0</v>
      </c>
      <c r="HM2" s="3">
        <v>223718654.33000001</v>
      </c>
      <c r="HN2" s="3">
        <v>295323569.67000002</v>
      </c>
      <c r="HO2" s="3">
        <v>143844776</v>
      </c>
      <c r="HP2" s="3">
        <v>662887000</v>
      </c>
      <c r="HQ2" s="3">
        <v>223718654.33000001</v>
      </c>
      <c r="HR2" s="3">
        <v>282147895.5</v>
      </c>
      <c r="HS2" s="3">
        <v>112522609.31</v>
      </c>
      <c r="HT2" s="3">
        <v>618389159.13999999</v>
      </c>
      <c r="HU2" s="10">
        <f>HT2-SUM(HQ2:HS2)</f>
        <v>0</v>
      </c>
      <c r="HV2" s="3">
        <v>208361818.75999999</v>
      </c>
      <c r="HW2" s="3">
        <v>223427344.03999999</v>
      </c>
      <c r="HX2" s="3">
        <v>28371487.91</v>
      </c>
      <c r="HY2" s="3">
        <v>460160650.70999998</v>
      </c>
      <c r="HZ2" s="10">
        <f>HY2-SUM(HV2:HX2)</f>
        <v>0</v>
      </c>
      <c r="IA2" s="3">
        <v>236381000</v>
      </c>
      <c r="IB2" s="3">
        <v>338971000</v>
      </c>
      <c r="IC2" s="3">
        <v>73432000</v>
      </c>
      <c r="ID2" s="3">
        <v>648784000</v>
      </c>
      <c r="IE2" s="3">
        <v>236381000</v>
      </c>
      <c r="IF2" s="3">
        <v>338971000</v>
      </c>
      <c r="IG2" s="3">
        <v>68006000</v>
      </c>
      <c r="IH2" s="3">
        <v>643358000</v>
      </c>
    </row>
    <row r="3" spans="1:242" x14ac:dyDescent="0.25">
      <c r="A3" t="s">
        <v>1170</v>
      </c>
      <c r="B3" t="s">
        <v>1171</v>
      </c>
      <c r="C3" t="s">
        <v>199</v>
      </c>
      <c r="D3" t="s">
        <v>200</v>
      </c>
      <c r="E3" t="s">
        <v>201</v>
      </c>
      <c r="F3" t="s">
        <v>204</v>
      </c>
      <c r="G3" t="s">
        <v>205</v>
      </c>
      <c r="H3" s="3">
        <v>5539000</v>
      </c>
      <c r="I3" s="3">
        <v>0</v>
      </c>
      <c r="J3" s="3">
        <v>0</v>
      </c>
      <c r="K3" s="3">
        <v>5539000</v>
      </c>
      <c r="L3" s="3">
        <v>5539000</v>
      </c>
      <c r="M3" s="3">
        <v>0</v>
      </c>
      <c r="N3" s="3">
        <v>0</v>
      </c>
      <c r="O3" s="3">
        <v>5539000</v>
      </c>
      <c r="P3" s="3">
        <v>5539000</v>
      </c>
      <c r="Q3" s="3">
        <v>0</v>
      </c>
      <c r="R3" s="3">
        <v>0</v>
      </c>
      <c r="S3" s="3">
        <v>5539000</v>
      </c>
      <c r="T3" s="3">
        <v>5539000</v>
      </c>
      <c r="U3" s="3">
        <v>0</v>
      </c>
      <c r="V3" s="3">
        <v>0</v>
      </c>
      <c r="W3" s="3">
        <v>5539000</v>
      </c>
      <c r="X3" s="3">
        <v>5539000</v>
      </c>
      <c r="Y3" s="3">
        <v>0</v>
      </c>
      <c r="Z3" s="3">
        <v>0</v>
      </c>
      <c r="AA3" s="3">
        <v>5539000</v>
      </c>
      <c r="AB3" s="3">
        <v>5538993.4800000004</v>
      </c>
      <c r="AC3" s="3">
        <v>0</v>
      </c>
      <c r="AD3" s="3">
        <v>0</v>
      </c>
      <c r="AE3" s="3">
        <v>5538993.4800000004</v>
      </c>
      <c r="AF3" s="3">
        <v>5364075.21</v>
      </c>
      <c r="AG3" s="3">
        <v>0</v>
      </c>
      <c r="AH3" s="3">
        <v>0</v>
      </c>
      <c r="AI3" s="3">
        <v>5364075.21</v>
      </c>
      <c r="AJ3" s="3">
        <v>3855000</v>
      </c>
      <c r="AK3" s="3">
        <v>0</v>
      </c>
      <c r="AL3" s="3">
        <v>0</v>
      </c>
      <c r="AM3" s="3">
        <v>3855000</v>
      </c>
      <c r="AN3" s="3">
        <v>3855000</v>
      </c>
      <c r="AO3" s="3">
        <v>0</v>
      </c>
      <c r="AP3" s="3">
        <v>0</v>
      </c>
      <c r="AQ3" s="3">
        <v>3855000</v>
      </c>
      <c r="AR3" s="3">
        <v>3855000</v>
      </c>
      <c r="AS3" s="3">
        <v>0</v>
      </c>
      <c r="AT3" s="3">
        <v>0</v>
      </c>
      <c r="AU3" s="3">
        <v>3855000</v>
      </c>
      <c r="AV3" s="3">
        <v>3855000</v>
      </c>
      <c r="AW3" s="3">
        <v>0</v>
      </c>
      <c r="AX3" s="3">
        <v>0</v>
      </c>
      <c r="AY3" s="3">
        <v>3855000</v>
      </c>
      <c r="AZ3" s="3">
        <v>3855000</v>
      </c>
      <c r="BA3" s="3">
        <v>0</v>
      </c>
      <c r="BB3" s="3">
        <v>0</v>
      </c>
      <c r="BC3" s="3">
        <v>3855000</v>
      </c>
      <c r="BD3" s="3">
        <v>1947725.54</v>
      </c>
      <c r="BE3" s="3">
        <v>0</v>
      </c>
      <c r="BF3" s="3">
        <v>0</v>
      </c>
      <c r="BG3" s="3">
        <v>1947725.54</v>
      </c>
      <c r="BH3" s="3">
        <v>1947725.54</v>
      </c>
      <c r="BI3" s="3">
        <v>0</v>
      </c>
      <c r="BJ3" s="3">
        <v>0</v>
      </c>
      <c r="BK3" s="3">
        <v>1947725.54</v>
      </c>
      <c r="BL3" s="3">
        <v>4392000</v>
      </c>
      <c r="BM3" s="3">
        <v>0</v>
      </c>
      <c r="BN3" s="3">
        <v>0</v>
      </c>
      <c r="BO3" s="3">
        <v>4392000</v>
      </c>
      <c r="BP3" s="3">
        <v>4392000</v>
      </c>
      <c r="BQ3" s="3">
        <v>0</v>
      </c>
      <c r="BR3" s="3">
        <v>0</v>
      </c>
      <c r="BS3" s="3">
        <v>4392000</v>
      </c>
      <c r="BT3" s="3">
        <v>4392000</v>
      </c>
      <c r="BU3" s="3">
        <v>0</v>
      </c>
      <c r="BV3" s="3">
        <v>0</v>
      </c>
      <c r="BW3" s="3">
        <v>4392000</v>
      </c>
      <c r="BX3" s="6">
        <v>4392000</v>
      </c>
      <c r="BY3" s="6">
        <v>0</v>
      </c>
      <c r="BZ3" s="3">
        <v>0</v>
      </c>
      <c r="CA3" s="3">
        <v>4392000</v>
      </c>
      <c r="CB3" s="3">
        <v>4392000</v>
      </c>
      <c r="CC3" s="3">
        <v>0</v>
      </c>
      <c r="CD3" s="3">
        <v>0</v>
      </c>
      <c r="CE3" s="3">
        <v>4392000</v>
      </c>
      <c r="CF3" s="3">
        <v>4392000</v>
      </c>
      <c r="CG3" s="3">
        <v>0</v>
      </c>
      <c r="CH3" s="3">
        <v>0</v>
      </c>
      <c r="CI3" s="3">
        <v>4392000</v>
      </c>
      <c r="CJ3" s="3">
        <v>4392000</v>
      </c>
      <c r="CK3" s="3">
        <v>0</v>
      </c>
      <c r="CL3" s="3">
        <v>0</v>
      </c>
      <c r="CM3" s="3">
        <v>4392000</v>
      </c>
      <c r="CN3" s="3">
        <v>3991000</v>
      </c>
      <c r="CO3" s="3">
        <v>0</v>
      </c>
      <c r="CP3" s="3">
        <v>0</v>
      </c>
      <c r="CQ3" s="3">
        <v>3991000</v>
      </c>
      <c r="CR3" s="3">
        <v>3991000</v>
      </c>
      <c r="CS3" s="3">
        <v>0</v>
      </c>
      <c r="CT3" s="3">
        <v>0</v>
      </c>
      <c r="CU3" s="3">
        <v>3991000</v>
      </c>
      <c r="CV3" s="3"/>
      <c r="CW3" s="3"/>
      <c r="CX3" s="3"/>
      <c r="CY3" s="3"/>
      <c r="CZ3" s="3"/>
      <c r="DA3" s="3"/>
      <c r="DB3" s="3"/>
      <c r="DC3" s="3"/>
      <c r="DD3" s="3"/>
      <c r="DE3" s="3"/>
      <c r="DF3" s="3"/>
      <c r="DG3" s="3"/>
      <c r="DH3" s="3"/>
      <c r="DI3" s="3"/>
      <c r="DJ3" s="3"/>
      <c r="DK3" s="3"/>
      <c r="DL3" s="3"/>
      <c r="DM3" s="3"/>
      <c r="DN3" s="3"/>
      <c r="DO3" s="3"/>
      <c r="DP3" s="3">
        <v>3596000</v>
      </c>
      <c r="DQ3" s="3">
        <v>0</v>
      </c>
      <c r="DR3" s="3">
        <v>0</v>
      </c>
      <c r="DS3" s="3">
        <v>3596000</v>
      </c>
      <c r="DT3" s="3">
        <v>3596000</v>
      </c>
      <c r="DU3" s="3">
        <v>0</v>
      </c>
      <c r="DV3" s="3">
        <v>0</v>
      </c>
      <c r="DW3" s="3">
        <v>3596000</v>
      </c>
      <c r="DX3" s="3"/>
      <c r="DY3" s="3"/>
      <c r="DZ3" s="3"/>
      <c r="EA3" s="3"/>
      <c r="EB3" s="3"/>
      <c r="EC3" s="3"/>
      <c r="ED3" s="3"/>
      <c r="EE3" s="3"/>
      <c r="EF3" s="3"/>
      <c r="EG3" s="3"/>
      <c r="EH3" s="3"/>
      <c r="EI3" s="3"/>
      <c r="EJ3" s="3"/>
      <c r="EK3" s="3"/>
      <c r="EL3" s="3"/>
      <c r="EM3" s="3"/>
      <c r="EN3" s="3"/>
      <c r="EO3" s="3"/>
      <c r="EP3" s="3"/>
      <c r="EQ3" s="3"/>
      <c r="ER3" s="3">
        <v>4853000</v>
      </c>
      <c r="ES3" s="3">
        <v>0</v>
      </c>
      <c r="ET3" s="3">
        <v>0</v>
      </c>
      <c r="EU3" s="3">
        <v>4853000</v>
      </c>
      <c r="EV3" s="3">
        <v>4853000</v>
      </c>
      <c r="EW3" s="3">
        <v>0</v>
      </c>
      <c r="EX3" s="3">
        <v>0</v>
      </c>
      <c r="EY3" s="3">
        <v>4853000</v>
      </c>
      <c r="EZ3" s="3"/>
      <c r="FA3" s="3"/>
      <c r="FB3" s="3"/>
      <c r="FC3" s="3"/>
      <c r="FD3" s="3"/>
      <c r="FE3" s="3"/>
      <c r="FF3" s="3"/>
      <c r="FG3" s="3"/>
      <c r="FH3" s="3"/>
      <c r="FI3" s="3"/>
      <c r="FJ3" s="3"/>
      <c r="FK3" s="3"/>
      <c r="FL3" s="3"/>
      <c r="FM3" s="3"/>
      <c r="FN3" s="3"/>
      <c r="FO3" s="3"/>
      <c r="FP3" s="3"/>
      <c r="FQ3" s="3"/>
      <c r="FR3" s="3"/>
      <c r="FS3" s="3"/>
      <c r="FT3" s="3">
        <v>2537000</v>
      </c>
      <c r="FU3" s="3">
        <v>0</v>
      </c>
      <c r="FV3" s="3">
        <v>0</v>
      </c>
      <c r="FW3" s="3">
        <v>2537000</v>
      </c>
      <c r="FX3" s="3">
        <v>2537000</v>
      </c>
      <c r="FY3" s="3">
        <v>0</v>
      </c>
      <c r="FZ3" s="3">
        <v>0</v>
      </c>
      <c r="GA3" s="3">
        <v>2537000</v>
      </c>
      <c r="GB3" s="3">
        <v>2537000</v>
      </c>
      <c r="GC3" s="3">
        <v>0</v>
      </c>
      <c r="GD3" s="3">
        <v>0</v>
      </c>
      <c r="GE3" s="3">
        <v>2537000</v>
      </c>
      <c r="GF3" s="3">
        <v>2537000</v>
      </c>
      <c r="GG3" s="3">
        <v>0</v>
      </c>
      <c r="GH3" s="3">
        <v>0</v>
      </c>
      <c r="GI3" s="3">
        <v>2537000</v>
      </c>
      <c r="GJ3" s="3">
        <v>2537000</v>
      </c>
      <c r="GK3" s="3">
        <v>0</v>
      </c>
      <c r="GL3" s="3">
        <v>0</v>
      </c>
      <c r="GM3" s="3">
        <v>2537000</v>
      </c>
      <c r="GN3" s="3">
        <v>2445433.0499999998</v>
      </c>
      <c r="GO3" s="3">
        <v>0</v>
      </c>
      <c r="GP3" s="3">
        <v>0</v>
      </c>
      <c r="GQ3" s="3">
        <v>2445433.0499999998</v>
      </c>
      <c r="GR3" s="3">
        <v>2112583.85</v>
      </c>
      <c r="GS3" s="3">
        <v>0</v>
      </c>
      <c r="GT3" s="3">
        <v>0</v>
      </c>
      <c r="GU3" s="3">
        <v>2112583.85</v>
      </c>
      <c r="GV3" s="3">
        <v>4105000</v>
      </c>
      <c r="GW3" s="3">
        <v>0</v>
      </c>
      <c r="GX3" s="3">
        <v>0</v>
      </c>
      <c r="GY3" s="3">
        <v>4105000</v>
      </c>
      <c r="GZ3" s="3">
        <v>4105000</v>
      </c>
      <c r="HA3" s="3">
        <v>0</v>
      </c>
      <c r="HB3" s="3">
        <v>0</v>
      </c>
      <c r="HC3" s="3">
        <v>4105000</v>
      </c>
      <c r="HD3" s="3">
        <v>4105000</v>
      </c>
      <c r="HE3" s="3">
        <v>0</v>
      </c>
      <c r="HF3" s="3">
        <v>0</v>
      </c>
      <c r="HG3" s="3">
        <v>4105000</v>
      </c>
      <c r="HH3" s="3">
        <v>4105000</v>
      </c>
      <c r="HI3" s="3">
        <v>0</v>
      </c>
      <c r="HJ3" s="3">
        <v>0</v>
      </c>
      <c r="HK3" s="3">
        <v>4105000</v>
      </c>
      <c r="HL3" s="10">
        <f t="shared" ref="HL3:HL21" si="0">HK3-SUM(HH3:HJ3)</f>
        <v>0</v>
      </c>
      <c r="HM3" s="3">
        <v>4105000</v>
      </c>
      <c r="HN3" s="3">
        <v>0</v>
      </c>
      <c r="HO3" s="3">
        <v>0</v>
      </c>
      <c r="HP3" s="3">
        <v>4105000</v>
      </c>
      <c r="HQ3" s="3">
        <v>4105000</v>
      </c>
      <c r="HR3" s="3">
        <v>0</v>
      </c>
      <c r="HS3" s="3">
        <v>0</v>
      </c>
      <c r="HT3" s="3">
        <v>4105000</v>
      </c>
      <c r="HU3" s="10">
        <f t="shared" ref="HU3:HU21" si="1">HT3-SUM(HQ3:HS3)</f>
        <v>0</v>
      </c>
      <c r="HV3" s="3">
        <v>3638071.68</v>
      </c>
      <c r="HW3" s="3">
        <v>0</v>
      </c>
      <c r="HX3" s="3">
        <v>0</v>
      </c>
      <c r="HY3" s="3">
        <v>3638071.68</v>
      </c>
      <c r="HZ3" s="10">
        <f t="shared" ref="HZ3:HZ21" si="2">HY3-SUM(HV3:HX3)</f>
        <v>0</v>
      </c>
      <c r="IA3" s="3">
        <v>14066000</v>
      </c>
      <c r="IB3" s="3">
        <v>0</v>
      </c>
      <c r="IC3" s="3">
        <v>0</v>
      </c>
      <c r="ID3" s="3">
        <v>14066000</v>
      </c>
      <c r="IE3" s="3">
        <v>14066000</v>
      </c>
      <c r="IF3" s="3">
        <v>0</v>
      </c>
      <c r="IG3" s="3">
        <v>0</v>
      </c>
      <c r="IH3" s="3">
        <v>14066000</v>
      </c>
    </row>
    <row r="4" spans="1:242" x14ac:dyDescent="0.25">
      <c r="A4" t="s">
        <v>1170</v>
      </c>
      <c r="B4" t="s">
        <v>1171</v>
      </c>
      <c r="C4" t="s">
        <v>199</v>
      </c>
      <c r="D4" t="s">
        <v>200</v>
      </c>
      <c r="E4" t="s">
        <v>208</v>
      </c>
      <c r="F4" t="s">
        <v>209</v>
      </c>
      <c r="G4" t="s">
        <v>1174</v>
      </c>
      <c r="H4" s="3">
        <v>14077000</v>
      </c>
      <c r="I4" s="3">
        <v>6403000</v>
      </c>
      <c r="J4" s="3">
        <v>265000</v>
      </c>
      <c r="K4" s="3">
        <v>20745000</v>
      </c>
      <c r="L4" s="3">
        <v>14077000</v>
      </c>
      <c r="M4" s="3">
        <v>6403000</v>
      </c>
      <c r="N4" s="3">
        <v>265000</v>
      </c>
      <c r="O4" s="3">
        <v>20745000</v>
      </c>
      <c r="P4" s="3">
        <v>14077000</v>
      </c>
      <c r="Q4" s="3">
        <v>6403000</v>
      </c>
      <c r="R4" s="3">
        <v>265000</v>
      </c>
      <c r="S4" s="3">
        <v>20745000</v>
      </c>
      <c r="T4" s="3">
        <v>14077000</v>
      </c>
      <c r="U4" s="3">
        <v>6403000</v>
      </c>
      <c r="V4" s="3">
        <v>265000</v>
      </c>
      <c r="W4" s="3">
        <v>20745000</v>
      </c>
      <c r="X4" s="3">
        <v>14077000</v>
      </c>
      <c r="Y4" s="3">
        <v>6403000</v>
      </c>
      <c r="Z4" s="3">
        <v>265000</v>
      </c>
      <c r="AA4" s="3">
        <v>20745000</v>
      </c>
      <c r="AB4" s="3">
        <v>14072000</v>
      </c>
      <c r="AC4" s="3">
        <v>5467818.21</v>
      </c>
      <c r="AD4" s="3">
        <v>134685</v>
      </c>
      <c r="AE4" s="3">
        <v>19674503.210000001</v>
      </c>
      <c r="AF4" s="3">
        <v>13817793.130000001</v>
      </c>
      <c r="AG4" s="3">
        <v>4875773.6399999997</v>
      </c>
      <c r="AH4" s="3">
        <v>0</v>
      </c>
      <c r="AI4" s="3">
        <v>18693566.77</v>
      </c>
      <c r="AJ4" s="3">
        <v>23249000</v>
      </c>
      <c r="AK4" s="3">
        <v>5182000</v>
      </c>
      <c r="AL4" s="3">
        <v>0</v>
      </c>
      <c r="AM4" s="3">
        <v>28431000</v>
      </c>
      <c r="AN4" s="3">
        <v>23249000</v>
      </c>
      <c r="AO4" s="3">
        <v>5182000</v>
      </c>
      <c r="AP4" s="3">
        <v>0</v>
      </c>
      <c r="AQ4" s="3">
        <v>28431000</v>
      </c>
      <c r="AR4" s="3">
        <v>23249000</v>
      </c>
      <c r="AS4" s="3">
        <v>5182000</v>
      </c>
      <c r="AT4" s="3">
        <v>0</v>
      </c>
      <c r="AU4" s="3">
        <v>28431000</v>
      </c>
      <c r="AV4" s="3">
        <v>23249000</v>
      </c>
      <c r="AW4" s="3">
        <v>5182000</v>
      </c>
      <c r="AX4" s="3">
        <v>0</v>
      </c>
      <c r="AY4" s="3">
        <v>28431000</v>
      </c>
      <c r="AZ4" s="3">
        <v>23249000</v>
      </c>
      <c r="BA4" s="3">
        <v>5182000</v>
      </c>
      <c r="BB4" s="3">
        <v>0</v>
      </c>
      <c r="BC4" s="3">
        <v>28431000</v>
      </c>
      <c r="BD4" s="3">
        <v>23249000</v>
      </c>
      <c r="BE4" s="3">
        <v>3841401.32</v>
      </c>
      <c r="BF4" s="3">
        <v>0</v>
      </c>
      <c r="BG4" s="3">
        <v>27090401.32</v>
      </c>
      <c r="BH4" s="3">
        <v>20595460.899999999</v>
      </c>
      <c r="BI4" s="3">
        <v>2998090.79</v>
      </c>
      <c r="BJ4" s="3">
        <v>0</v>
      </c>
      <c r="BK4" s="3">
        <v>23593551.690000001</v>
      </c>
      <c r="BL4" s="3">
        <v>24330000</v>
      </c>
      <c r="BM4" s="3">
        <v>4417000</v>
      </c>
      <c r="BN4" s="3">
        <v>0</v>
      </c>
      <c r="BO4" s="3">
        <v>28747000</v>
      </c>
      <c r="BP4" s="3">
        <v>24330000</v>
      </c>
      <c r="BQ4" s="3">
        <v>4417000</v>
      </c>
      <c r="BR4" s="3">
        <v>0</v>
      </c>
      <c r="BS4" s="3">
        <v>28747000</v>
      </c>
      <c r="BT4" s="3">
        <v>24330000</v>
      </c>
      <c r="BU4" s="3">
        <v>4417000</v>
      </c>
      <c r="BV4" s="3">
        <v>0</v>
      </c>
      <c r="BW4" s="3">
        <v>28747000</v>
      </c>
      <c r="BX4" s="6">
        <v>24330000</v>
      </c>
      <c r="BY4" s="6">
        <v>3617000</v>
      </c>
      <c r="BZ4" s="3">
        <v>0</v>
      </c>
      <c r="CA4" s="3">
        <v>27947000</v>
      </c>
      <c r="CB4" s="3">
        <v>24330000</v>
      </c>
      <c r="CC4" s="3">
        <v>3617000</v>
      </c>
      <c r="CD4" s="3">
        <v>0</v>
      </c>
      <c r="CE4" s="3">
        <v>27947000</v>
      </c>
      <c r="CF4" s="3">
        <v>24330000</v>
      </c>
      <c r="CG4" s="3">
        <v>2749869.97</v>
      </c>
      <c r="CH4" s="3">
        <v>0</v>
      </c>
      <c r="CI4" s="3">
        <v>27079869.969999999</v>
      </c>
      <c r="CJ4" s="3">
        <v>22295666.739999998</v>
      </c>
      <c r="CK4" s="3">
        <v>1624009.33</v>
      </c>
      <c r="CL4" s="3">
        <v>0</v>
      </c>
      <c r="CM4" s="3">
        <v>23919676.07</v>
      </c>
      <c r="CN4" s="3">
        <v>24570000</v>
      </c>
      <c r="CO4" s="3">
        <v>5008000</v>
      </c>
      <c r="CP4" s="3">
        <v>0</v>
      </c>
      <c r="CQ4" s="3">
        <v>29578000</v>
      </c>
      <c r="CR4" s="3">
        <v>24570000</v>
      </c>
      <c r="CS4" s="3">
        <v>5008000</v>
      </c>
      <c r="CT4" s="3">
        <v>0</v>
      </c>
      <c r="CU4" s="3">
        <v>29578000</v>
      </c>
      <c r="CV4" s="3"/>
      <c r="CW4" s="3"/>
      <c r="CX4" s="3"/>
      <c r="CY4" s="3"/>
      <c r="CZ4" s="3"/>
      <c r="DA4" s="3"/>
      <c r="DB4" s="3"/>
      <c r="DC4" s="3"/>
      <c r="DD4" s="3"/>
      <c r="DE4" s="3"/>
      <c r="DF4" s="3"/>
      <c r="DG4" s="3"/>
      <c r="DH4" s="3"/>
      <c r="DI4" s="3"/>
      <c r="DJ4" s="3"/>
      <c r="DK4" s="3"/>
      <c r="DL4" s="3"/>
      <c r="DM4" s="3"/>
      <c r="DN4" s="3"/>
      <c r="DO4" s="3"/>
      <c r="DP4" s="3">
        <v>30407000</v>
      </c>
      <c r="DQ4" s="3">
        <v>5008000</v>
      </c>
      <c r="DR4" s="3">
        <v>0</v>
      </c>
      <c r="DS4" s="3">
        <v>35415000</v>
      </c>
      <c r="DT4" s="3">
        <v>30407000</v>
      </c>
      <c r="DU4" s="3">
        <v>5008000</v>
      </c>
      <c r="DV4" s="3">
        <v>0</v>
      </c>
      <c r="DW4" s="3">
        <v>35415000</v>
      </c>
      <c r="DX4" s="3"/>
      <c r="DY4" s="3"/>
      <c r="DZ4" s="3"/>
      <c r="EA4" s="3"/>
      <c r="EB4" s="3"/>
      <c r="EC4" s="3"/>
      <c r="ED4" s="3"/>
      <c r="EE4" s="3"/>
      <c r="EF4" s="3"/>
      <c r="EG4" s="3"/>
      <c r="EH4" s="3"/>
      <c r="EI4" s="3"/>
      <c r="EJ4" s="3"/>
      <c r="EK4" s="3"/>
      <c r="EL4" s="3"/>
      <c r="EM4" s="3"/>
      <c r="EN4" s="3"/>
      <c r="EO4" s="3"/>
      <c r="EP4" s="3"/>
      <c r="EQ4" s="3"/>
      <c r="ER4" s="3">
        <v>30375000</v>
      </c>
      <c r="ES4" s="3">
        <v>3945000</v>
      </c>
      <c r="ET4" s="3">
        <v>0</v>
      </c>
      <c r="EU4" s="3">
        <v>34320000</v>
      </c>
      <c r="EV4" s="3">
        <v>30375000</v>
      </c>
      <c r="EW4" s="3">
        <v>3945000</v>
      </c>
      <c r="EX4" s="3">
        <v>0</v>
      </c>
      <c r="EY4" s="3">
        <v>34320000</v>
      </c>
      <c r="EZ4" s="3"/>
      <c r="FA4" s="3"/>
      <c r="FB4" s="3"/>
      <c r="FC4" s="3"/>
      <c r="FD4" s="3"/>
      <c r="FE4" s="3"/>
      <c r="FF4" s="3"/>
      <c r="FG4" s="3"/>
      <c r="FH4" s="3"/>
      <c r="FI4" s="3"/>
      <c r="FJ4" s="3"/>
      <c r="FK4" s="3"/>
      <c r="FL4" s="3"/>
      <c r="FM4" s="3"/>
      <c r="FN4" s="3"/>
      <c r="FO4" s="3"/>
      <c r="FP4" s="3"/>
      <c r="FQ4" s="3"/>
      <c r="FR4" s="3"/>
      <c r="FS4" s="3"/>
      <c r="FT4" s="3">
        <v>28858000</v>
      </c>
      <c r="FU4" s="3">
        <v>4016000</v>
      </c>
      <c r="FV4" s="3">
        <v>2180000</v>
      </c>
      <c r="FW4" s="3">
        <v>35054000</v>
      </c>
      <c r="FX4" s="3">
        <v>28858000</v>
      </c>
      <c r="FY4" s="3">
        <v>4016000</v>
      </c>
      <c r="FZ4" s="3">
        <v>2180000</v>
      </c>
      <c r="GA4" s="3">
        <v>35054000</v>
      </c>
      <c r="GB4" s="3">
        <v>28858000</v>
      </c>
      <c r="GC4" s="3">
        <v>4016000</v>
      </c>
      <c r="GD4" s="3">
        <v>2180000</v>
      </c>
      <c r="GE4" s="3">
        <v>35054000</v>
      </c>
      <c r="GF4" s="3">
        <v>29167800</v>
      </c>
      <c r="GG4" s="3">
        <v>4016000</v>
      </c>
      <c r="GH4" s="3">
        <v>1870200</v>
      </c>
      <c r="GI4" s="3">
        <v>35054000</v>
      </c>
      <c r="GJ4" s="3">
        <v>29167800</v>
      </c>
      <c r="GK4" s="3">
        <v>4016000</v>
      </c>
      <c r="GL4" s="3">
        <v>1870200</v>
      </c>
      <c r="GM4" s="3">
        <v>35054000</v>
      </c>
      <c r="GN4" s="3">
        <v>29111800</v>
      </c>
      <c r="GO4" s="3">
        <v>3964044.79</v>
      </c>
      <c r="GP4" s="3">
        <v>1870200</v>
      </c>
      <c r="GQ4" s="3">
        <v>34946044.789999999</v>
      </c>
      <c r="GR4" s="3">
        <v>29111800</v>
      </c>
      <c r="GS4" s="3">
        <v>3177539.7</v>
      </c>
      <c r="GT4" s="3">
        <v>1870200</v>
      </c>
      <c r="GU4" s="3">
        <v>34159539.700000003</v>
      </c>
      <c r="GV4" s="3">
        <v>32491000</v>
      </c>
      <c r="GW4" s="3">
        <v>7252000</v>
      </c>
      <c r="GX4" s="3">
        <v>1780000</v>
      </c>
      <c r="GY4" s="3">
        <v>41523000</v>
      </c>
      <c r="GZ4" s="3">
        <v>32491000</v>
      </c>
      <c r="HA4" s="3">
        <v>7252000</v>
      </c>
      <c r="HB4" s="3">
        <v>1780000</v>
      </c>
      <c r="HC4" s="3">
        <v>41523000</v>
      </c>
      <c r="HD4" s="3">
        <v>32491000</v>
      </c>
      <c r="HE4" s="3">
        <v>7252000</v>
      </c>
      <c r="HF4" s="3">
        <v>1780000</v>
      </c>
      <c r="HG4" s="3">
        <v>41523000</v>
      </c>
      <c r="HH4" s="3">
        <v>33266669</v>
      </c>
      <c r="HI4" s="3">
        <v>6592000</v>
      </c>
      <c r="HJ4" s="3">
        <v>1664331</v>
      </c>
      <c r="HK4" s="3">
        <v>41523000</v>
      </c>
      <c r="HL4" s="10">
        <f t="shared" si="0"/>
        <v>0</v>
      </c>
      <c r="HM4" s="3">
        <v>33266669</v>
      </c>
      <c r="HN4" s="3">
        <v>6592000</v>
      </c>
      <c r="HO4" s="3">
        <v>1664331</v>
      </c>
      <c r="HP4" s="3">
        <v>41523000</v>
      </c>
      <c r="HQ4" s="3">
        <v>33266669</v>
      </c>
      <c r="HR4" s="3">
        <v>6268387.3200000003</v>
      </c>
      <c r="HS4" s="3">
        <v>1664331</v>
      </c>
      <c r="HT4" s="3">
        <v>41199387.32</v>
      </c>
      <c r="HU4" s="10">
        <f t="shared" si="1"/>
        <v>0</v>
      </c>
      <c r="HV4" s="3">
        <v>32940634</v>
      </c>
      <c r="HW4" s="3">
        <v>3700821.13</v>
      </c>
      <c r="HX4" s="3">
        <v>1664331</v>
      </c>
      <c r="HY4" s="3">
        <v>38305786.130000003</v>
      </c>
      <c r="HZ4" s="10">
        <f t="shared" si="2"/>
        <v>0</v>
      </c>
      <c r="IA4" s="3">
        <v>37944000</v>
      </c>
      <c r="IB4" s="3">
        <v>7312000</v>
      </c>
      <c r="IC4" s="3">
        <v>2000000</v>
      </c>
      <c r="ID4" s="3">
        <v>47256000</v>
      </c>
      <c r="IE4" s="3">
        <v>37944000</v>
      </c>
      <c r="IF4" s="3">
        <v>7312000</v>
      </c>
      <c r="IG4" s="3">
        <v>1514000</v>
      </c>
      <c r="IH4" s="3">
        <v>46770000</v>
      </c>
    </row>
    <row r="5" spans="1:242" x14ac:dyDescent="0.25">
      <c r="A5" t="s">
        <v>1170</v>
      </c>
      <c r="B5" t="s">
        <v>1171</v>
      </c>
      <c r="C5" t="s">
        <v>199</v>
      </c>
      <c r="D5" t="s">
        <v>200</v>
      </c>
      <c r="E5" t="s">
        <v>208</v>
      </c>
      <c r="F5" t="s">
        <v>211</v>
      </c>
      <c r="G5" t="s">
        <v>1175</v>
      </c>
      <c r="H5" s="3">
        <v>25594000</v>
      </c>
      <c r="I5" s="3">
        <v>89196000</v>
      </c>
      <c r="J5" s="3">
        <v>154778000</v>
      </c>
      <c r="K5" s="3">
        <v>269568000</v>
      </c>
      <c r="L5" s="3">
        <v>25594000</v>
      </c>
      <c r="M5" s="3">
        <v>89196000</v>
      </c>
      <c r="N5" s="3">
        <v>154778000</v>
      </c>
      <c r="O5" s="3">
        <v>269568000</v>
      </c>
      <c r="P5" s="3">
        <v>25594000</v>
      </c>
      <c r="Q5" s="3">
        <v>89196000</v>
      </c>
      <c r="R5" s="3">
        <v>154778000</v>
      </c>
      <c r="S5" s="3">
        <v>269568000</v>
      </c>
      <c r="T5" s="3">
        <v>28194000</v>
      </c>
      <c r="U5" s="3">
        <v>86596000</v>
      </c>
      <c r="V5" s="3">
        <v>154778000</v>
      </c>
      <c r="W5" s="3">
        <v>269568000</v>
      </c>
      <c r="X5" s="3">
        <v>28194000</v>
      </c>
      <c r="Y5" s="3">
        <v>86596000</v>
      </c>
      <c r="Z5" s="3">
        <v>154778000</v>
      </c>
      <c r="AA5" s="3">
        <v>269568000</v>
      </c>
      <c r="AB5" s="3">
        <v>28174000</v>
      </c>
      <c r="AC5" s="3">
        <v>29565648.359999999</v>
      </c>
      <c r="AD5" s="3">
        <v>101223944.95999999</v>
      </c>
      <c r="AE5" s="3">
        <v>158963593.31999999</v>
      </c>
      <c r="AF5" s="3">
        <v>25160166.66</v>
      </c>
      <c r="AG5" s="3">
        <v>17131452.82</v>
      </c>
      <c r="AH5" s="3">
        <v>2780601.32</v>
      </c>
      <c r="AI5" s="3">
        <v>45072220.799999997</v>
      </c>
      <c r="AJ5" s="3">
        <v>27102000</v>
      </c>
      <c r="AK5" s="3">
        <v>65342000</v>
      </c>
      <c r="AL5" s="3">
        <v>99965000</v>
      </c>
      <c r="AM5" s="3">
        <v>192409000</v>
      </c>
      <c r="AN5" s="3">
        <v>27102000</v>
      </c>
      <c r="AO5" s="3">
        <v>65342000</v>
      </c>
      <c r="AP5" s="3">
        <v>99965000</v>
      </c>
      <c r="AQ5" s="3">
        <v>192409000</v>
      </c>
      <c r="AR5" s="3">
        <v>27102000</v>
      </c>
      <c r="AS5" s="3">
        <v>65342000</v>
      </c>
      <c r="AT5" s="3">
        <v>99965000</v>
      </c>
      <c r="AU5" s="3">
        <v>192409000</v>
      </c>
      <c r="AV5" s="3">
        <v>27602000</v>
      </c>
      <c r="AW5" s="3">
        <v>64842000</v>
      </c>
      <c r="AX5" s="3">
        <v>99965000</v>
      </c>
      <c r="AY5" s="3">
        <v>192409000</v>
      </c>
      <c r="AZ5" s="3">
        <v>27602000</v>
      </c>
      <c r="BA5" s="3">
        <v>64842000</v>
      </c>
      <c r="BB5" s="3">
        <v>99965000</v>
      </c>
      <c r="BC5" s="3">
        <v>192409000</v>
      </c>
      <c r="BD5" s="3">
        <v>27602000</v>
      </c>
      <c r="BE5" s="3">
        <v>27827243.27</v>
      </c>
      <c r="BF5" s="3">
        <v>74076426.659999996</v>
      </c>
      <c r="BG5" s="3">
        <v>129505669.93000001</v>
      </c>
      <c r="BH5" s="3">
        <v>27212477.140000001</v>
      </c>
      <c r="BI5" s="3">
        <v>13145998.720000001</v>
      </c>
      <c r="BJ5" s="3">
        <v>17500000</v>
      </c>
      <c r="BK5" s="3">
        <v>57858475.859999999</v>
      </c>
      <c r="BL5" s="3">
        <v>27509000</v>
      </c>
      <c r="BM5" s="3">
        <v>67590000</v>
      </c>
      <c r="BN5" s="3">
        <v>115389000</v>
      </c>
      <c r="BO5" s="3">
        <v>210488000</v>
      </c>
      <c r="BP5" s="3">
        <v>27509000</v>
      </c>
      <c r="BQ5" s="3">
        <v>67590000</v>
      </c>
      <c r="BR5" s="3">
        <v>115389000</v>
      </c>
      <c r="BS5" s="3">
        <v>210488000</v>
      </c>
      <c r="BT5" s="3">
        <v>27509000</v>
      </c>
      <c r="BU5" s="3">
        <v>67590000</v>
      </c>
      <c r="BV5" s="3">
        <v>115389000</v>
      </c>
      <c r="BW5" s="3">
        <v>210488000</v>
      </c>
      <c r="BX5" s="6">
        <v>27509000</v>
      </c>
      <c r="BY5" s="6">
        <v>53156000</v>
      </c>
      <c r="BZ5" s="3">
        <v>105389000</v>
      </c>
      <c r="CA5" s="3">
        <v>186054000</v>
      </c>
      <c r="CB5" s="3">
        <v>27509000</v>
      </c>
      <c r="CC5" s="3">
        <v>53156000</v>
      </c>
      <c r="CD5" s="3">
        <v>105389000</v>
      </c>
      <c r="CE5" s="3">
        <v>186054000</v>
      </c>
      <c r="CF5" s="3">
        <v>27509000</v>
      </c>
      <c r="CG5" s="3">
        <v>27558741.170000002</v>
      </c>
      <c r="CH5" s="3">
        <v>34279728.920000002</v>
      </c>
      <c r="CI5" s="3">
        <v>89347470.090000004</v>
      </c>
      <c r="CJ5" s="3">
        <v>25269287.219999999</v>
      </c>
      <c r="CK5" s="3">
        <v>18038508.760000002</v>
      </c>
      <c r="CL5" s="3">
        <v>385109</v>
      </c>
      <c r="CM5" s="3">
        <v>43692904.979999997</v>
      </c>
      <c r="CN5" s="3">
        <v>28238000</v>
      </c>
      <c r="CO5" s="3">
        <v>99713000</v>
      </c>
      <c r="CP5" s="3">
        <v>101282000</v>
      </c>
      <c r="CQ5" s="3">
        <v>229233000</v>
      </c>
      <c r="CR5" s="3">
        <v>28238000</v>
      </c>
      <c r="CS5" s="3">
        <v>99713000</v>
      </c>
      <c r="CT5" s="3">
        <v>101282000</v>
      </c>
      <c r="CU5" s="3">
        <v>229233000</v>
      </c>
      <c r="CV5" s="3"/>
      <c r="CW5" s="3"/>
      <c r="CX5" s="3"/>
      <c r="CY5" s="3"/>
      <c r="CZ5" s="3"/>
      <c r="DA5" s="3"/>
      <c r="DB5" s="3"/>
      <c r="DC5" s="3"/>
      <c r="DD5" s="3"/>
      <c r="DE5" s="3"/>
      <c r="DF5" s="3"/>
      <c r="DG5" s="3"/>
      <c r="DH5" s="3"/>
      <c r="DI5" s="3"/>
      <c r="DJ5" s="3"/>
      <c r="DK5" s="3"/>
      <c r="DL5" s="3"/>
      <c r="DM5" s="3"/>
      <c r="DN5" s="3"/>
      <c r="DO5" s="3"/>
      <c r="DP5" s="3">
        <v>28953000</v>
      </c>
      <c r="DQ5" s="3">
        <v>49363000</v>
      </c>
      <c r="DR5" s="3">
        <v>0</v>
      </c>
      <c r="DS5" s="3">
        <v>78316000</v>
      </c>
      <c r="DT5" s="3">
        <v>28953000</v>
      </c>
      <c r="DU5" s="3">
        <v>49363000</v>
      </c>
      <c r="DV5" s="3">
        <v>0</v>
      </c>
      <c r="DW5" s="3">
        <v>78316000</v>
      </c>
      <c r="DX5" s="3"/>
      <c r="DY5" s="3"/>
      <c r="DZ5" s="3"/>
      <c r="EA5" s="3"/>
      <c r="EB5" s="3"/>
      <c r="EC5" s="3"/>
      <c r="ED5" s="3"/>
      <c r="EE5" s="3"/>
      <c r="EF5" s="3"/>
      <c r="EG5" s="3"/>
      <c r="EH5" s="3"/>
      <c r="EI5" s="3"/>
      <c r="EJ5" s="3"/>
      <c r="EK5" s="3"/>
      <c r="EL5" s="3"/>
      <c r="EM5" s="3"/>
      <c r="EN5" s="3"/>
      <c r="EO5" s="3"/>
      <c r="EP5" s="3"/>
      <c r="EQ5" s="3"/>
      <c r="ER5" s="3">
        <v>29812000</v>
      </c>
      <c r="ES5" s="3">
        <v>92514000</v>
      </c>
      <c r="ET5" s="3">
        <v>0</v>
      </c>
      <c r="EU5" s="3">
        <v>122326000</v>
      </c>
      <c r="EV5" s="3">
        <v>29812000</v>
      </c>
      <c r="EW5" s="3">
        <v>92514000</v>
      </c>
      <c r="EX5" s="3">
        <v>0</v>
      </c>
      <c r="EY5" s="3">
        <v>122326000</v>
      </c>
      <c r="EZ5" s="3"/>
      <c r="FA5" s="3"/>
      <c r="FB5" s="3"/>
      <c r="FC5" s="3"/>
      <c r="FD5" s="3"/>
      <c r="FE5" s="3"/>
      <c r="FF5" s="3"/>
      <c r="FG5" s="3"/>
      <c r="FH5" s="3"/>
      <c r="FI5" s="3"/>
      <c r="FJ5" s="3"/>
      <c r="FK5" s="3"/>
      <c r="FL5" s="3"/>
      <c r="FM5" s="3"/>
      <c r="FN5" s="3"/>
      <c r="FO5" s="3"/>
      <c r="FP5" s="3"/>
      <c r="FQ5" s="3"/>
      <c r="FR5" s="3"/>
      <c r="FS5" s="3"/>
      <c r="FT5" s="3">
        <v>27524000</v>
      </c>
      <c r="FU5" s="3">
        <v>117692000</v>
      </c>
      <c r="FV5" s="3">
        <v>60703000</v>
      </c>
      <c r="FW5" s="3">
        <v>205919000</v>
      </c>
      <c r="FX5" s="3">
        <v>27524000</v>
      </c>
      <c r="FY5" s="3">
        <v>117692000</v>
      </c>
      <c r="FZ5" s="3">
        <v>60703000</v>
      </c>
      <c r="GA5" s="3">
        <v>205919000</v>
      </c>
      <c r="GB5" s="3">
        <v>27524000</v>
      </c>
      <c r="GC5" s="3">
        <v>117692000</v>
      </c>
      <c r="GD5" s="3">
        <v>60703000</v>
      </c>
      <c r="GE5" s="3">
        <v>205919000</v>
      </c>
      <c r="GF5" s="3">
        <v>56527851</v>
      </c>
      <c r="GG5" s="3">
        <v>91185000</v>
      </c>
      <c r="GH5" s="3">
        <v>58206149</v>
      </c>
      <c r="GI5" s="3">
        <v>205919000</v>
      </c>
      <c r="GJ5" s="3">
        <v>56527851</v>
      </c>
      <c r="GK5" s="3">
        <v>91185000</v>
      </c>
      <c r="GL5" s="3">
        <v>58206149</v>
      </c>
      <c r="GM5" s="3">
        <v>205919000</v>
      </c>
      <c r="GN5" s="3">
        <v>56527851</v>
      </c>
      <c r="GO5" s="3">
        <v>83136936.420000002</v>
      </c>
      <c r="GP5" s="3">
        <v>47120753.68</v>
      </c>
      <c r="GQ5" s="3">
        <v>186785541.09999999</v>
      </c>
      <c r="GR5" s="3">
        <v>56527851</v>
      </c>
      <c r="GS5" s="3">
        <v>57984100.43</v>
      </c>
      <c r="GT5" s="3">
        <v>4947755.28</v>
      </c>
      <c r="GU5" s="3">
        <v>119459706.70999999</v>
      </c>
      <c r="GV5" s="3">
        <v>26207000</v>
      </c>
      <c r="GW5" s="3">
        <v>285091000</v>
      </c>
      <c r="GX5" s="3">
        <v>53800000</v>
      </c>
      <c r="GY5" s="3">
        <v>365098000</v>
      </c>
      <c r="GZ5" s="3">
        <v>26207000</v>
      </c>
      <c r="HA5" s="3">
        <v>285091000</v>
      </c>
      <c r="HB5" s="3">
        <v>53800000</v>
      </c>
      <c r="HC5" s="3">
        <v>365098000</v>
      </c>
      <c r="HD5" s="3">
        <v>26207000</v>
      </c>
      <c r="HE5" s="3">
        <v>285091000</v>
      </c>
      <c r="HF5" s="3">
        <v>53800000</v>
      </c>
      <c r="HG5" s="3">
        <v>365098000</v>
      </c>
      <c r="HH5" s="3">
        <v>55845190.689999998</v>
      </c>
      <c r="HI5" s="3">
        <v>260298460.31</v>
      </c>
      <c r="HJ5" s="3">
        <v>48954349</v>
      </c>
      <c r="HK5" s="3">
        <v>365098000</v>
      </c>
      <c r="HL5" s="10">
        <f t="shared" si="0"/>
        <v>0</v>
      </c>
      <c r="HM5" s="3">
        <v>55845190.689999998</v>
      </c>
      <c r="HN5" s="3">
        <v>260298460.31</v>
      </c>
      <c r="HO5" s="3">
        <v>48954349</v>
      </c>
      <c r="HP5" s="3">
        <v>365098000</v>
      </c>
      <c r="HQ5" s="3">
        <v>55845190.689999998</v>
      </c>
      <c r="HR5" s="3">
        <v>144906538.25999999</v>
      </c>
      <c r="HS5" s="3">
        <v>22331074.719999999</v>
      </c>
      <c r="HT5" s="3">
        <v>223082803.66999999</v>
      </c>
      <c r="HU5" s="10">
        <f t="shared" si="1"/>
        <v>0</v>
      </c>
      <c r="HV5" s="3">
        <v>55642202.689999998</v>
      </c>
      <c r="HW5" s="3">
        <v>63772053.590000004</v>
      </c>
      <c r="HX5" s="3">
        <v>1581949.8</v>
      </c>
      <c r="HY5" s="3">
        <v>120996206.08</v>
      </c>
      <c r="HZ5" s="10">
        <f t="shared" si="2"/>
        <v>0</v>
      </c>
      <c r="IA5" s="3">
        <v>29923000</v>
      </c>
      <c r="IB5" s="3">
        <v>316286000</v>
      </c>
      <c r="IC5" s="3">
        <v>41775000</v>
      </c>
      <c r="ID5" s="3">
        <v>387984000</v>
      </c>
      <c r="IE5" s="3">
        <v>29923000</v>
      </c>
      <c r="IF5" s="3">
        <v>316286000</v>
      </c>
      <c r="IG5" s="3">
        <v>40110000</v>
      </c>
      <c r="IH5" s="3">
        <v>386319000</v>
      </c>
    </row>
    <row r="6" spans="1:242" x14ac:dyDescent="0.25">
      <c r="A6" t="s">
        <v>1170</v>
      </c>
      <c r="B6" t="s">
        <v>1171</v>
      </c>
      <c r="C6" t="s">
        <v>199</v>
      </c>
      <c r="D6" t="s">
        <v>200</v>
      </c>
      <c r="E6" t="s">
        <v>208</v>
      </c>
      <c r="F6" t="s">
        <v>213</v>
      </c>
      <c r="G6" t="s">
        <v>1176</v>
      </c>
      <c r="H6" s="3">
        <v>23377000</v>
      </c>
      <c r="I6" s="3">
        <v>14013000</v>
      </c>
      <c r="J6" s="3">
        <v>0</v>
      </c>
      <c r="K6" s="3">
        <v>37390000</v>
      </c>
      <c r="L6" s="3">
        <v>23377000</v>
      </c>
      <c r="M6" s="3">
        <v>14013000</v>
      </c>
      <c r="N6" s="3">
        <v>0</v>
      </c>
      <c r="O6" s="3">
        <v>37390000</v>
      </c>
      <c r="P6" s="3">
        <v>23377000</v>
      </c>
      <c r="Q6" s="3">
        <v>14013000</v>
      </c>
      <c r="R6" s="3">
        <v>0</v>
      </c>
      <c r="S6" s="3">
        <v>37390000</v>
      </c>
      <c r="T6" s="3">
        <v>23377000</v>
      </c>
      <c r="U6" s="3">
        <v>14013000</v>
      </c>
      <c r="V6" s="3">
        <v>0</v>
      </c>
      <c r="W6" s="3">
        <v>37390000</v>
      </c>
      <c r="X6" s="3">
        <v>23377000</v>
      </c>
      <c r="Y6" s="3">
        <v>14013000</v>
      </c>
      <c r="Z6" s="3">
        <v>0</v>
      </c>
      <c r="AA6" s="3">
        <v>37390000</v>
      </c>
      <c r="AB6" s="3">
        <v>23377000</v>
      </c>
      <c r="AC6" s="3">
        <v>10098637.300000001</v>
      </c>
      <c r="AD6" s="3">
        <v>0</v>
      </c>
      <c r="AE6" s="3">
        <v>33475637.300000001</v>
      </c>
      <c r="AF6" s="3">
        <v>23107166.66</v>
      </c>
      <c r="AG6" s="3">
        <v>7227509.6100000003</v>
      </c>
      <c r="AH6" s="3">
        <v>0</v>
      </c>
      <c r="AI6" s="3">
        <v>30334676.27</v>
      </c>
      <c r="AJ6" s="3">
        <v>28152000</v>
      </c>
      <c r="AK6" s="3">
        <v>10764000</v>
      </c>
      <c r="AL6" s="3">
        <v>19050000</v>
      </c>
      <c r="AM6" s="3">
        <v>57966000</v>
      </c>
      <c r="AN6" s="3">
        <v>28152000</v>
      </c>
      <c r="AO6" s="3">
        <v>10764000</v>
      </c>
      <c r="AP6" s="3">
        <v>19050000</v>
      </c>
      <c r="AQ6" s="3">
        <v>57966000</v>
      </c>
      <c r="AR6" s="3">
        <v>28152000</v>
      </c>
      <c r="AS6" s="3">
        <v>10764000</v>
      </c>
      <c r="AT6" s="3">
        <v>19050000</v>
      </c>
      <c r="AU6" s="3">
        <v>57966000</v>
      </c>
      <c r="AV6" s="3">
        <v>28152000</v>
      </c>
      <c r="AW6" s="3">
        <v>10764000</v>
      </c>
      <c r="AX6" s="3">
        <v>19050000</v>
      </c>
      <c r="AY6" s="3">
        <v>57966000</v>
      </c>
      <c r="AZ6" s="3">
        <v>28152000</v>
      </c>
      <c r="BA6" s="3">
        <v>10764000</v>
      </c>
      <c r="BB6" s="3">
        <v>19050000</v>
      </c>
      <c r="BC6" s="3">
        <v>57966000</v>
      </c>
      <c r="BD6" s="3">
        <v>28152000</v>
      </c>
      <c r="BE6" s="3">
        <v>10669809.880000001</v>
      </c>
      <c r="BF6" s="3">
        <v>18800291</v>
      </c>
      <c r="BG6" s="3">
        <v>57622100.880000003</v>
      </c>
      <c r="BH6" s="3">
        <v>28152000</v>
      </c>
      <c r="BI6" s="3">
        <v>6609227.3799999999</v>
      </c>
      <c r="BJ6" s="3">
        <v>6144706</v>
      </c>
      <c r="BK6" s="3">
        <v>40905933.380000003</v>
      </c>
      <c r="BL6" s="3">
        <v>28911000</v>
      </c>
      <c r="BM6" s="3">
        <v>12439000</v>
      </c>
      <c r="BN6" s="3">
        <v>0</v>
      </c>
      <c r="BO6" s="3">
        <v>41350000</v>
      </c>
      <c r="BP6" s="3">
        <v>28911000</v>
      </c>
      <c r="BQ6" s="3">
        <v>12439000</v>
      </c>
      <c r="BR6" s="3">
        <v>0</v>
      </c>
      <c r="BS6" s="3">
        <v>41350000</v>
      </c>
      <c r="BT6" s="3">
        <v>28911000</v>
      </c>
      <c r="BU6" s="3">
        <v>12439000</v>
      </c>
      <c r="BV6" s="3">
        <v>0</v>
      </c>
      <c r="BW6" s="3">
        <v>41350000</v>
      </c>
      <c r="BX6" s="6">
        <v>30511000</v>
      </c>
      <c r="BY6" s="6">
        <v>9183000</v>
      </c>
      <c r="BZ6" s="3">
        <v>0</v>
      </c>
      <c r="CA6" s="3">
        <v>39694000</v>
      </c>
      <c r="CB6" s="3">
        <v>30511000</v>
      </c>
      <c r="CC6" s="3">
        <v>9183000</v>
      </c>
      <c r="CD6" s="3">
        <v>0</v>
      </c>
      <c r="CE6" s="3">
        <v>39694000</v>
      </c>
      <c r="CF6" s="3">
        <v>30511000</v>
      </c>
      <c r="CG6" s="3">
        <v>8148923.21</v>
      </c>
      <c r="CH6" s="3">
        <v>0</v>
      </c>
      <c r="CI6" s="3">
        <v>38659923.210000001</v>
      </c>
      <c r="CJ6" s="3">
        <v>28900833.260000002</v>
      </c>
      <c r="CK6" s="3">
        <v>1640637.85</v>
      </c>
      <c r="CL6" s="3">
        <v>0</v>
      </c>
      <c r="CM6" s="3">
        <v>30541471.109999999</v>
      </c>
      <c r="CN6" s="3">
        <v>29779000</v>
      </c>
      <c r="CO6" s="3">
        <v>15441000</v>
      </c>
      <c r="CP6" s="3">
        <v>0</v>
      </c>
      <c r="CQ6" s="3">
        <v>45220000</v>
      </c>
      <c r="CR6" s="3">
        <v>29779000</v>
      </c>
      <c r="CS6" s="3">
        <v>15441000</v>
      </c>
      <c r="CT6" s="3">
        <v>0</v>
      </c>
      <c r="CU6" s="3">
        <v>45220000</v>
      </c>
      <c r="CV6" s="3"/>
      <c r="CW6" s="3"/>
      <c r="CX6" s="3"/>
      <c r="CY6" s="3"/>
      <c r="CZ6" s="3"/>
      <c r="DA6" s="3"/>
      <c r="DB6" s="3"/>
      <c r="DC6" s="3"/>
      <c r="DD6" s="3"/>
      <c r="DE6" s="3"/>
      <c r="DF6" s="3"/>
      <c r="DG6" s="3"/>
      <c r="DH6" s="3"/>
      <c r="DI6" s="3"/>
      <c r="DJ6" s="3"/>
      <c r="DK6" s="3"/>
      <c r="DL6" s="3"/>
      <c r="DM6" s="3"/>
      <c r="DN6" s="3"/>
      <c r="DO6" s="3"/>
      <c r="DP6" s="3">
        <v>31461000</v>
      </c>
      <c r="DQ6" s="3">
        <v>15441000</v>
      </c>
      <c r="DR6" s="3">
        <v>0</v>
      </c>
      <c r="DS6" s="3">
        <v>46902000</v>
      </c>
      <c r="DT6" s="3">
        <v>31461000</v>
      </c>
      <c r="DU6" s="3">
        <v>15441000</v>
      </c>
      <c r="DV6" s="3">
        <v>0</v>
      </c>
      <c r="DW6" s="3">
        <v>46902000</v>
      </c>
      <c r="DX6" s="3"/>
      <c r="DY6" s="3"/>
      <c r="DZ6" s="3"/>
      <c r="EA6" s="3"/>
      <c r="EB6" s="3"/>
      <c r="EC6" s="3"/>
      <c r="ED6" s="3"/>
      <c r="EE6" s="3"/>
      <c r="EF6" s="3"/>
      <c r="EG6" s="3"/>
      <c r="EH6" s="3"/>
      <c r="EI6" s="3"/>
      <c r="EJ6" s="3"/>
      <c r="EK6" s="3"/>
      <c r="EL6" s="3"/>
      <c r="EM6" s="3"/>
      <c r="EN6" s="3"/>
      <c r="EO6" s="3"/>
      <c r="EP6" s="3"/>
      <c r="EQ6" s="3"/>
      <c r="ER6" s="3">
        <v>32615000</v>
      </c>
      <c r="ES6" s="3">
        <v>14200000</v>
      </c>
      <c r="ET6" s="3">
        <v>0</v>
      </c>
      <c r="EU6" s="3">
        <v>46815000</v>
      </c>
      <c r="EV6" s="3">
        <v>32615000</v>
      </c>
      <c r="EW6" s="3">
        <v>14200000</v>
      </c>
      <c r="EX6" s="3">
        <v>0</v>
      </c>
      <c r="EY6" s="3">
        <v>46815000</v>
      </c>
      <c r="EZ6" s="3"/>
      <c r="FA6" s="3"/>
      <c r="FB6" s="3"/>
      <c r="FC6" s="3"/>
      <c r="FD6" s="3"/>
      <c r="FE6" s="3"/>
      <c r="FF6" s="3"/>
      <c r="FG6" s="3"/>
      <c r="FH6" s="3"/>
      <c r="FI6" s="3"/>
      <c r="FJ6" s="3"/>
      <c r="FK6" s="3"/>
      <c r="FL6" s="3"/>
      <c r="FM6" s="3"/>
      <c r="FN6" s="3"/>
      <c r="FO6" s="3"/>
      <c r="FP6" s="3"/>
      <c r="FQ6" s="3"/>
      <c r="FR6" s="3"/>
      <c r="FS6" s="3"/>
      <c r="FT6" s="3">
        <v>32980000</v>
      </c>
      <c r="FU6" s="3">
        <v>14456000</v>
      </c>
      <c r="FV6" s="3">
        <v>52570000</v>
      </c>
      <c r="FW6" s="3">
        <v>100006000</v>
      </c>
      <c r="FX6" s="3">
        <v>32980000</v>
      </c>
      <c r="FY6" s="3">
        <v>14456000</v>
      </c>
      <c r="FZ6" s="3">
        <v>52570000</v>
      </c>
      <c r="GA6" s="3">
        <v>100006000</v>
      </c>
      <c r="GB6" s="3">
        <v>32980000</v>
      </c>
      <c r="GC6" s="3">
        <v>14456000</v>
      </c>
      <c r="GD6" s="3">
        <v>52570000</v>
      </c>
      <c r="GE6" s="3">
        <v>100006000</v>
      </c>
      <c r="GF6" s="3">
        <v>33364000</v>
      </c>
      <c r="GG6" s="3">
        <v>14456000</v>
      </c>
      <c r="GH6" s="3">
        <v>52186000</v>
      </c>
      <c r="GI6" s="3">
        <v>100006000</v>
      </c>
      <c r="GJ6" s="3">
        <v>33364000</v>
      </c>
      <c r="GK6" s="3">
        <v>14456000</v>
      </c>
      <c r="GL6" s="3">
        <v>52186000</v>
      </c>
      <c r="GM6" s="3">
        <v>100006000</v>
      </c>
      <c r="GN6" s="3">
        <v>33364000</v>
      </c>
      <c r="GO6" s="3">
        <v>14262161.15</v>
      </c>
      <c r="GP6" s="3">
        <v>50608755</v>
      </c>
      <c r="GQ6" s="3">
        <v>98234916.150000006</v>
      </c>
      <c r="GR6" s="3">
        <v>33364000</v>
      </c>
      <c r="GS6" s="3">
        <v>11866155.51</v>
      </c>
      <c r="GT6" s="3">
        <v>49620640</v>
      </c>
      <c r="GU6" s="3">
        <v>94850795.510000005</v>
      </c>
      <c r="GV6" s="3">
        <v>34213000</v>
      </c>
      <c r="GW6" s="3">
        <v>15816000</v>
      </c>
      <c r="GX6" s="3">
        <v>66660000</v>
      </c>
      <c r="GY6" s="3">
        <v>116689000</v>
      </c>
      <c r="GZ6" s="3">
        <v>34213000</v>
      </c>
      <c r="HA6" s="3">
        <v>15816000</v>
      </c>
      <c r="HB6" s="3">
        <v>66660000</v>
      </c>
      <c r="HC6" s="3">
        <v>116689000</v>
      </c>
      <c r="HD6" s="3">
        <v>34213000</v>
      </c>
      <c r="HE6" s="3">
        <v>15816000</v>
      </c>
      <c r="HF6" s="3">
        <v>66660000</v>
      </c>
      <c r="HG6" s="3">
        <v>116689000</v>
      </c>
      <c r="HH6" s="3">
        <v>34795384</v>
      </c>
      <c r="HI6" s="3">
        <v>15233616</v>
      </c>
      <c r="HJ6" s="3">
        <v>66660000</v>
      </c>
      <c r="HK6" s="3">
        <v>116689000</v>
      </c>
      <c r="HL6" s="10">
        <f t="shared" si="0"/>
        <v>0</v>
      </c>
      <c r="HM6" s="3">
        <v>34795384</v>
      </c>
      <c r="HN6" s="3">
        <v>15233616</v>
      </c>
      <c r="HO6" s="3">
        <v>66660000</v>
      </c>
      <c r="HP6" s="3">
        <v>116689000</v>
      </c>
      <c r="HQ6" s="3">
        <v>34795384</v>
      </c>
      <c r="HR6" s="3">
        <v>14189898.939999999</v>
      </c>
      <c r="HS6" s="3">
        <v>64707930.600000001</v>
      </c>
      <c r="HT6" s="3">
        <v>113693213.54000001</v>
      </c>
      <c r="HU6" s="10">
        <f t="shared" si="1"/>
        <v>0</v>
      </c>
      <c r="HV6" s="3">
        <v>34511390</v>
      </c>
      <c r="HW6" s="3">
        <v>8547484.9399999995</v>
      </c>
      <c r="HX6" s="3">
        <v>48566299.200000003</v>
      </c>
      <c r="HY6" s="3">
        <v>91625174.140000001</v>
      </c>
      <c r="HZ6" s="10">
        <f t="shared" si="2"/>
        <v>0</v>
      </c>
      <c r="IA6" s="3">
        <v>39482000</v>
      </c>
      <c r="IB6" s="3">
        <v>18931000</v>
      </c>
      <c r="IC6" s="3">
        <v>94510000</v>
      </c>
      <c r="ID6" s="3">
        <v>152923000</v>
      </c>
      <c r="IE6" s="3">
        <v>39482000</v>
      </c>
      <c r="IF6" s="3">
        <v>18931000</v>
      </c>
      <c r="IG6" s="3">
        <v>91501000</v>
      </c>
      <c r="IH6" s="3">
        <v>149914000</v>
      </c>
    </row>
    <row r="7" spans="1:242" x14ac:dyDescent="0.25">
      <c r="A7" t="s">
        <v>1170</v>
      </c>
      <c r="B7" t="s">
        <v>1171</v>
      </c>
      <c r="C7" t="s">
        <v>199</v>
      </c>
      <c r="D7" t="s">
        <v>200</v>
      </c>
      <c r="E7" t="s">
        <v>208</v>
      </c>
      <c r="F7" t="s">
        <v>506</v>
      </c>
      <c r="G7" t="s">
        <v>1177</v>
      </c>
      <c r="H7" s="3">
        <v>47015000</v>
      </c>
      <c r="I7" s="3">
        <v>48677000</v>
      </c>
      <c r="J7" s="3">
        <v>15407000</v>
      </c>
      <c r="K7" s="3">
        <v>111099000</v>
      </c>
      <c r="L7" s="3">
        <v>47015000</v>
      </c>
      <c r="M7" s="3">
        <v>48677000</v>
      </c>
      <c r="N7" s="3">
        <v>15407000</v>
      </c>
      <c r="O7" s="3">
        <v>111099000</v>
      </c>
      <c r="P7" s="3">
        <v>47015000</v>
      </c>
      <c r="Q7" s="3">
        <v>48677000</v>
      </c>
      <c r="R7" s="3">
        <v>15407000</v>
      </c>
      <c r="S7" s="3">
        <v>111099000</v>
      </c>
      <c r="T7" s="3">
        <v>47015000</v>
      </c>
      <c r="U7" s="3">
        <v>48677000</v>
      </c>
      <c r="V7" s="3">
        <v>15407000</v>
      </c>
      <c r="W7" s="3">
        <v>111099000</v>
      </c>
      <c r="X7" s="3">
        <v>47015000</v>
      </c>
      <c r="Y7" s="3">
        <v>48677000</v>
      </c>
      <c r="Z7" s="3">
        <v>15407000</v>
      </c>
      <c r="AA7" s="3">
        <v>111099000</v>
      </c>
      <c r="AB7" s="3">
        <v>46975000</v>
      </c>
      <c r="AC7" s="3">
        <v>40056906.100000001</v>
      </c>
      <c r="AD7" s="3">
        <v>12480300</v>
      </c>
      <c r="AE7" s="3">
        <v>99512206.099999994</v>
      </c>
      <c r="AF7" s="3">
        <v>45856092.670000002</v>
      </c>
      <c r="AG7" s="3">
        <v>37766393.329999998</v>
      </c>
      <c r="AH7" s="3">
        <v>9917000</v>
      </c>
      <c r="AI7" s="3">
        <v>93539486</v>
      </c>
      <c r="AJ7" s="3">
        <v>45058000</v>
      </c>
      <c r="AK7" s="3">
        <v>43320000</v>
      </c>
      <c r="AL7" s="3">
        <v>1668000</v>
      </c>
      <c r="AM7" s="3">
        <v>90046000</v>
      </c>
      <c r="AN7" s="3">
        <v>45058000</v>
      </c>
      <c r="AO7" s="3">
        <v>43320000</v>
      </c>
      <c r="AP7" s="3">
        <v>1668000</v>
      </c>
      <c r="AQ7" s="3">
        <v>90046000</v>
      </c>
      <c r="AR7" s="3">
        <v>45058000</v>
      </c>
      <c r="AS7" s="3">
        <v>43320000</v>
      </c>
      <c r="AT7" s="3">
        <v>1668000</v>
      </c>
      <c r="AU7" s="3">
        <v>90046000</v>
      </c>
      <c r="AV7" s="3">
        <v>45058000</v>
      </c>
      <c r="AW7" s="3">
        <v>43320000</v>
      </c>
      <c r="AX7" s="3">
        <v>1668000</v>
      </c>
      <c r="AY7" s="3">
        <v>90046000</v>
      </c>
      <c r="AZ7" s="3">
        <v>45058000</v>
      </c>
      <c r="BA7" s="3">
        <v>43320000</v>
      </c>
      <c r="BB7" s="3">
        <v>1668000</v>
      </c>
      <c r="BC7" s="3">
        <v>90046000</v>
      </c>
      <c r="BD7" s="3">
        <v>45058000</v>
      </c>
      <c r="BE7" s="3">
        <v>42032001.990000002</v>
      </c>
      <c r="BF7" s="3">
        <v>1660000</v>
      </c>
      <c r="BG7" s="3">
        <v>88750001.989999995</v>
      </c>
      <c r="BH7" s="3">
        <v>42932764.299999997</v>
      </c>
      <c r="BI7" s="3">
        <v>39054057.950000003</v>
      </c>
      <c r="BJ7" s="3">
        <v>0</v>
      </c>
      <c r="BK7" s="3">
        <v>81986822.25</v>
      </c>
      <c r="BL7" s="3">
        <v>43744000</v>
      </c>
      <c r="BM7" s="3">
        <v>43312000</v>
      </c>
      <c r="BN7" s="3">
        <v>0</v>
      </c>
      <c r="BO7" s="3">
        <v>87056000</v>
      </c>
      <c r="BP7" s="3">
        <v>43744000</v>
      </c>
      <c r="BQ7" s="3">
        <v>43312000</v>
      </c>
      <c r="BR7" s="3">
        <v>0</v>
      </c>
      <c r="BS7" s="3">
        <v>87056000</v>
      </c>
      <c r="BT7" s="3">
        <v>43744000</v>
      </c>
      <c r="BU7" s="3">
        <v>43312000</v>
      </c>
      <c r="BV7" s="3">
        <v>0</v>
      </c>
      <c r="BW7" s="3">
        <v>87056000</v>
      </c>
      <c r="BX7" s="6">
        <v>45744000</v>
      </c>
      <c r="BY7" s="6">
        <v>36979000</v>
      </c>
      <c r="BZ7" s="3">
        <v>0</v>
      </c>
      <c r="CA7" s="3">
        <v>82723000</v>
      </c>
      <c r="CB7" s="3">
        <v>45744000</v>
      </c>
      <c r="CC7" s="3">
        <v>36979000</v>
      </c>
      <c r="CD7" s="3">
        <v>0</v>
      </c>
      <c r="CE7" s="3">
        <v>82723000</v>
      </c>
      <c r="CF7" s="3">
        <v>45744000</v>
      </c>
      <c r="CG7" s="3">
        <v>30158243.66</v>
      </c>
      <c r="CH7" s="3">
        <v>0</v>
      </c>
      <c r="CI7" s="3">
        <v>75902243.659999996</v>
      </c>
      <c r="CJ7" s="3">
        <v>45712775</v>
      </c>
      <c r="CK7" s="3">
        <v>19446393.609999999</v>
      </c>
      <c r="CL7" s="3">
        <v>0</v>
      </c>
      <c r="CM7" s="3">
        <v>65159168.609999999</v>
      </c>
      <c r="CN7" s="3">
        <v>51325000</v>
      </c>
      <c r="CO7" s="3">
        <v>54712000</v>
      </c>
      <c r="CP7" s="3">
        <v>0</v>
      </c>
      <c r="CQ7" s="3">
        <v>106037000</v>
      </c>
      <c r="CR7" s="3">
        <v>51325000</v>
      </c>
      <c r="CS7" s="3">
        <v>54712000</v>
      </c>
      <c r="CT7" s="3">
        <v>0</v>
      </c>
      <c r="CU7" s="3">
        <v>106037000</v>
      </c>
      <c r="CV7" s="3"/>
      <c r="CW7" s="3"/>
      <c r="CX7" s="3"/>
      <c r="CY7" s="3"/>
      <c r="CZ7" s="3"/>
      <c r="DA7" s="3"/>
      <c r="DB7" s="3"/>
      <c r="DC7" s="3"/>
      <c r="DD7" s="3"/>
      <c r="DE7" s="3"/>
      <c r="DF7" s="3"/>
      <c r="DG7" s="3"/>
      <c r="DH7" s="3"/>
      <c r="DI7" s="3"/>
      <c r="DJ7" s="3"/>
      <c r="DK7" s="3"/>
      <c r="DL7" s="3"/>
      <c r="DM7" s="3"/>
      <c r="DN7" s="3"/>
      <c r="DO7" s="3"/>
      <c r="DP7" s="3">
        <v>56809000</v>
      </c>
      <c r="DQ7" s="3">
        <v>54712000</v>
      </c>
      <c r="DR7" s="3">
        <v>0</v>
      </c>
      <c r="DS7" s="3">
        <v>111521000</v>
      </c>
      <c r="DT7" s="3">
        <v>56809000</v>
      </c>
      <c r="DU7" s="3">
        <v>54712000</v>
      </c>
      <c r="DV7" s="3">
        <v>0</v>
      </c>
      <c r="DW7" s="3">
        <v>111521000</v>
      </c>
      <c r="DX7" s="3"/>
      <c r="DY7" s="3"/>
      <c r="DZ7" s="3"/>
      <c r="EA7" s="3"/>
      <c r="EB7" s="3"/>
      <c r="EC7" s="3"/>
      <c r="ED7" s="3"/>
      <c r="EE7" s="3"/>
      <c r="EF7" s="3"/>
      <c r="EG7" s="3"/>
      <c r="EH7" s="3"/>
      <c r="EI7" s="3"/>
      <c r="EJ7" s="3"/>
      <c r="EK7" s="3"/>
      <c r="EL7" s="3"/>
      <c r="EM7" s="3"/>
      <c r="EN7" s="3"/>
      <c r="EO7" s="3"/>
      <c r="EP7" s="3"/>
      <c r="EQ7" s="3"/>
      <c r="ER7" s="3">
        <v>61534000</v>
      </c>
      <c r="ES7" s="3">
        <v>54134000</v>
      </c>
      <c r="ET7" s="3">
        <v>0</v>
      </c>
      <c r="EU7" s="3">
        <v>115668000</v>
      </c>
      <c r="EV7" s="3">
        <v>61534000</v>
      </c>
      <c r="EW7" s="3">
        <v>54134000</v>
      </c>
      <c r="EX7" s="3">
        <v>0</v>
      </c>
      <c r="EY7" s="3">
        <v>115668000</v>
      </c>
      <c r="EZ7" s="3"/>
      <c r="FA7" s="3"/>
      <c r="FB7" s="3"/>
      <c r="FC7" s="3"/>
      <c r="FD7" s="3"/>
      <c r="FE7" s="3"/>
      <c r="FF7" s="3"/>
      <c r="FG7" s="3"/>
      <c r="FH7" s="3"/>
      <c r="FI7" s="3"/>
      <c r="FJ7" s="3"/>
      <c r="FK7" s="3"/>
      <c r="FL7" s="3"/>
      <c r="FM7" s="3"/>
      <c r="FN7" s="3"/>
      <c r="FO7" s="3"/>
      <c r="FP7" s="3"/>
      <c r="FQ7" s="3"/>
      <c r="FR7" s="3"/>
      <c r="FS7" s="3"/>
      <c r="FT7" s="3">
        <v>55949000</v>
      </c>
      <c r="FU7" s="3">
        <v>62492000</v>
      </c>
      <c r="FV7" s="3">
        <v>36090000</v>
      </c>
      <c r="FW7" s="3">
        <v>154531000</v>
      </c>
      <c r="FX7" s="3">
        <v>55949000</v>
      </c>
      <c r="FY7" s="3">
        <v>62492000</v>
      </c>
      <c r="FZ7" s="3">
        <v>36090000</v>
      </c>
      <c r="GA7" s="3">
        <v>154531000</v>
      </c>
      <c r="GB7" s="3">
        <v>55949000</v>
      </c>
      <c r="GC7" s="3">
        <v>62492000</v>
      </c>
      <c r="GD7" s="3">
        <v>36090000</v>
      </c>
      <c r="GE7" s="3">
        <v>154531000</v>
      </c>
      <c r="GF7" s="3">
        <v>56099125</v>
      </c>
      <c r="GG7" s="3">
        <v>62492000</v>
      </c>
      <c r="GH7" s="3">
        <v>35939875</v>
      </c>
      <c r="GI7" s="3">
        <v>154531000</v>
      </c>
      <c r="GJ7" s="3">
        <v>56099125</v>
      </c>
      <c r="GK7" s="3">
        <v>62492000</v>
      </c>
      <c r="GL7" s="3">
        <v>35939875</v>
      </c>
      <c r="GM7" s="3">
        <v>154531000</v>
      </c>
      <c r="GN7" s="3">
        <v>56099125</v>
      </c>
      <c r="GO7" s="3">
        <v>62398820.530000001</v>
      </c>
      <c r="GP7" s="3">
        <v>33234880.920000002</v>
      </c>
      <c r="GQ7" s="3">
        <v>151732826.44999999</v>
      </c>
      <c r="GR7" s="3">
        <v>56099125</v>
      </c>
      <c r="GS7" s="3">
        <v>53043081.780000001</v>
      </c>
      <c r="GT7" s="3">
        <v>1895000</v>
      </c>
      <c r="GU7" s="3">
        <v>111037206.78</v>
      </c>
      <c r="GV7" s="3">
        <v>64791000</v>
      </c>
      <c r="GW7" s="3">
        <v>61941000</v>
      </c>
      <c r="GX7" s="3">
        <v>5771000</v>
      </c>
      <c r="GY7" s="3">
        <v>132503000</v>
      </c>
      <c r="GZ7" s="3">
        <v>64791000</v>
      </c>
      <c r="HA7" s="3">
        <v>61941000</v>
      </c>
      <c r="HB7" s="3">
        <v>5771000</v>
      </c>
      <c r="HC7" s="3">
        <v>132503000</v>
      </c>
      <c r="HD7" s="3">
        <v>64791000</v>
      </c>
      <c r="HE7" s="3">
        <v>61941000</v>
      </c>
      <c r="HF7" s="3">
        <v>5771000</v>
      </c>
      <c r="HG7" s="3">
        <v>132503000</v>
      </c>
      <c r="HH7" s="3">
        <v>67438596.189999998</v>
      </c>
      <c r="HI7" s="3">
        <v>59640051.810000002</v>
      </c>
      <c r="HJ7" s="3">
        <v>5424352</v>
      </c>
      <c r="HK7" s="3">
        <v>132503000</v>
      </c>
      <c r="HL7" s="10">
        <f t="shared" si="0"/>
        <v>0</v>
      </c>
      <c r="HM7" s="3">
        <v>67438596.189999998</v>
      </c>
      <c r="HN7" s="3">
        <v>59640051.810000002</v>
      </c>
      <c r="HO7" s="3">
        <v>5424352</v>
      </c>
      <c r="HP7" s="3">
        <v>132503000</v>
      </c>
      <c r="HQ7" s="3">
        <v>67438596.189999998</v>
      </c>
      <c r="HR7" s="3">
        <v>57502038.119999997</v>
      </c>
      <c r="HS7" s="3">
        <v>5227439.1100000003</v>
      </c>
      <c r="HT7" s="3">
        <v>130168073.42</v>
      </c>
      <c r="HU7" s="10">
        <f t="shared" si="1"/>
        <v>0</v>
      </c>
      <c r="HV7" s="3">
        <v>67139361.209999993</v>
      </c>
      <c r="HW7" s="3">
        <v>47427737.200000003</v>
      </c>
      <c r="HX7" s="3">
        <v>4877579.1100000003</v>
      </c>
      <c r="HY7" s="3">
        <v>119444677.52</v>
      </c>
      <c r="HZ7" s="10">
        <f t="shared" si="2"/>
        <v>0</v>
      </c>
      <c r="IA7" s="3">
        <v>80237000</v>
      </c>
      <c r="IB7" s="3">
        <v>65284000</v>
      </c>
      <c r="IC7" s="3">
        <v>26200000</v>
      </c>
      <c r="ID7" s="3">
        <v>171721000</v>
      </c>
      <c r="IE7" s="3">
        <v>80237000</v>
      </c>
      <c r="IF7" s="3">
        <v>65284000</v>
      </c>
      <c r="IG7" s="3">
        <v>20566000</v>
      </c>
      <c r="IH7" s="3">
        <v>166087000</v>
      </c>
    </row>
    <row r="8" spans="1:242" x14ac:dyDescent="0.25">
      <c r="A8" t="s">
        <v>1170</v>
      </c>
      <c r="B8" t="s">
        <v>1171</v>
      </c>
      <c r="C8" t="s">
        <v>199</v>
      </c>
      <c r="D8" t="s">
        <v>200</v>
      </c>
      <c r="E8" t="s">
        <v>217</v>
      </c>
      <c r="F8" t="s">
        <v>218</v>
      </c>
      <c r="G8" t="s">
        <v>1178</v>
      </c>
      <c r="H8" s="3">
        <v>31670000</v>
      </c>
      <c r="I8" s="3">
        <v>33836000</v>
      </c>
      <c r="J8" s="3">
        <v>0</v>
      </c>
      <c r="K8" s="3">
        <v>65506000</v>
      </c>
      <c r="L8" s="3">
        <v>31670000</v>
      </c>
      <c r="M8" s="3">
        <v>33836000</v>
      </c>
      <c r="N8" s="3">
        <v>0</v>
      </c>
      <c r="O8" s="3">
        <v>65506000</v>
      </c>
      <c r="P8" s="3">
        <v>31670000</v>
      </c>
      <c r="Q8" s="3">
        <v>33836000</v>
      </c>
      <c r="R8" s="3">
        <v>0</v>
      </c>
      <c r="S8" s="3">
        <v>65506000</v>
      </c>
      <c r="T8" s="3">
        <v>31670000</v>
      </c>
      <c r="U8" s="3">
        <v>33836000</v>
      </c>
      <c r="V8" s="3">
        <v>0</v>
      </c>
      <c r="W8" s="3">
        <v>65506000</v>
      </c>
      <c r="X8" s="3">
        <v>31670000</v>
      </c>
      <c r="Y8" s="3">
        <v>33836000</v>
      </c>
      <c r="Z8" s="3">
        <v>0</v>
      </c>
      <c r="AA8" s="3">
        <v>65506000</v>
      </c>
      <c r="AB8" s="3">
        <v>31670000</v>
      </c>
      <c r="AC8" s="3">
        <v>33836000</v>
      </c>
      <c r="AD8" s="3">
        <v>0</v>
      </c>
      <c r="AE8" s="3">
        <v>65506000</v>
      </c>
      <c r="AF8" s="3">
        <v>30327866.66</v>
      </c>
      <c r="AG8" s="3">
        <v>29115369.199999999</v>
      </c>
      <c r="AH8" s="3">
        <v>0</v>
      </c>
      <c r="AI8" s="3">
        <v>59443235.859999999</v>
      </c>
      <c r="AJ8" s="3">
        <v>36087000</v>
      </c>
      <c r="AK8" s="3">
        <v>44635000</v>
      </c>
      <c r="AL8" s="3">
        <v>0</v>
      </c>
      <c r="AM8" s="3">
        <v>80722000</v>
      </c>
      <c r="AN8" s="3">
        <v>36087000</v>
      </c>
      <c r="AO8" s="3">
        <v>44635000</v>
      </c>
      <c r="AP8" s="3">
        <v>0</v>
      </c>
      <c r="AQ8" s="3">
        <v>80722000</v>
      </c>
      <c r="AR8" s="3">
        <v>36087000</v>
      </c>
      <c r="AS8" s="3">
        <v>44635000</v>
      </c>
      <c r="AT8" s="3">
        <v>0</v>
      </c>
      <c r="AU8" s="3">
        <v>80722000</v>
      </c>
      <c r="AV8" s="3">
        <v>37587000</v>
      </c>
      <c r="AW8" s="3">
        <v>43135000</v>
      </c>
      <c r="AX8" s="3">
        <v>0</v>
      </c>
      <c r="AY8" s="3">
        <v>80722000</v>
      </c>
      <c r="AZ8" s="3">
        <v>37587000</v>
      </c>
      <c r="BA8" s="3">
        <v>43135000</v>
      </c>
      <c r="BB8" s="3">
        <v>0</v>
      </c>
      <c r="BC8" s="3">
        <v>80722000</v>
      </c>
      <c r="BD8" s="3">
        <v>37587000</v>
      </c>
      <c r="BE8" s="3">
        <v>43135000</v>
      </c>
      <c r="BF8" s="3">
        <v>0</v>
      </c>
      <c r="BG8" s="3">
        <v>80722000</v>
      </c>
      <c r="BH8" s="3">
        <v>34185370.240000002</v>
      </c>
      <c r="BI8" s="3">
        <v>25325770.399999999</v>
      </c>
      <c r="BJ8" s="3">
        <v>0</v>
      </c>
      <c r="BK8" s="3">
        <v>59511140.640000001</v>
      </c>
      <c r="BL8" s="3">
        <v>36466000</v>
      </c>
      <c r="BM8" s="3">
        <v>45979000</v>
      </c>
      <c r="BN8" s="3">
        <v>0</v>
      </c>
      <c r="BO8" s="3">
        <v>82445000</v>
      </c>
      <c r="BP8" s="3">
        <v>36466000</v>
      </c>
      <c r="BQ8" s="3">
        <v>45979000</v>
      </c>
      <c r="BR8" s="3">
        <v>0</v>
      </c>
      <c r="BS8" s="3">
        <v>82445000</v>
      </c>
      <c r="BT8" s="3">
        <v>36466000</v>
      </c>
      <c r="BU8" s="3">
        <v>45979000</v>
      </c>
      <c r="BV8" s="3">
        <v>0</v>
      </c>
      <c r="BW8" s="3">
        <v>82445000</v>
      </c>
      <c r="BX8" s="6">
        <v>40466000</v>
      </c>
      <c r="BY8" s="6">
        <v>28602000</v>
      </c>
      <c r="BZ8" s="3">
        <v>0</v>
      </c>
      <c r="CA8" s="3">
        <v>69068000</v>
      </c>
      <c r="CB8" s="3">
        <v>40466000</v>
      </c>
      <c r="CC8" s="3">
        <v>28602000</v>
      </c>
      <c r="CD8" s="3">
        <v>0</v>
      </c>
      <c r="CE8" s="3">
        <v>69068000</v>
      </c>
      <c r="CF8" s="3">
        <v>40412635.159999996</v>
      </c>
      <c r="CG8" s="3">
        <v>20588653.940000001</v>
      </c>
      <c r="CH8" s="3">
        <v>0</v>
      </c>
      <c r="CI8" s="3">
        <v>61001289.100000001</v>
      </c>
      <c r="CJ8" s="3">
        <v>40384333.259999998</v>
      </c>
      <c r="CK8" s="3">
        <v>14229567.390000001</v>
      </c>
      <c r="CL8" s="3">
        <v>0</v>
      </c>
      <c r="CM8" s="3">
        <v>54613900.649999999</v>
      </c>
      <c r="CN8" s="3">
        <v>40463000</v>
      </c>
      <c r="CO8" s="3">
        <v>36853000</v>
      </c>
      <c r="CP8" s="3">
        <v>99000</v>
      </c>
      <c r="CQ8" s="3">
        <v>77415000</v>
      </c>
      <c r="CR8" s="3">
        <v>40463000</v>
      </c>
      <c r="CS8" s="3">
        <v>56853000</v>
      </c>
      <c r="CT8" s="3">
        <v>99000</v>
      </c>
      <c r="CU8" s="3">
        <v>97415000</v>
      </c>
      <c r="CV8" s="3"/>
      <c r="CW8" s="3"/>
      <c r="CX8" s="3"/>
      <c r="CY8" s="3"/>
      <c r="CZ8" s="3"/>
      <c r="DA8" s="3"/>
      <c r="DB8" s="3"/>
      <c r="DC8" s="3"/>
      <c r="DD8" s="3"/>
      <c r="DE8" s="3"/>
      <c r="DF8" s="3"/>
      <c r="DG8" s="3"/>
      <c r="DH8" s="3"/>
      <c r="DI8" s="3"/>
      <c r="DJ8" s="3"/>
      <c r="DK8" s="3"/>
      <c r="DL8" s="3"/>
      <c r="DM8" s="3"/>
      <c r="DN8" s="3"/>
      <c r="DO8" s="3"/>
      <c r="DP8" s="3">
        <v>40327000</v>
      </c>
      <c r="DQ8" s="3">
        <v>36853000</v>
      </c>
      <c r="DR8" s="3">
        <v>0</v>
      </c>
      <c r="DS8" s="3">
        <v>77180000</v>
      </c>
      <c r="DT8" s="3">
        <v>40327000</v>
      </c>
      <c r="DU8" s="3">
        <v>56853000</v>
      </c>
      <c r="DV8" s="3">
        <v>0</v>
      </c>
      <c r="DW8" s="3">
        <v>97180000</v>
      </c>
      <c r="DX8" s="3"/>
      <c r="DY8" s="3"/>
      <c r="DZ8" s="3"/>
      <c r="EA8" s="3"/>
      <c r="EB8" s="3"/>
      <c r="EC8" s="3"/>
      <c r="ED8" s="3"/>
      <c r="EE8" s="3"/>
      <c r="EF8" s="3"/>
      <c r="EG8" s="3"/>
      <c r="EH8" s="3"/>
      <c r="EI8" s="3"/>
      <c r="EJ8" s="3"/>
      <c r="EK8" s="3"/>
      <c r="EL8" s="3"/>
      <c r="EM8" s="3"/>
      <c r="EN8" s="3"/>
      <c r="EO8" s="3"/>
      <c r="EP8" s="3"/>
      <c r="EQ8" s="3"/>
      <c r="ER8" s="3">
        <v>37684000</v>
      </c>
      <c r="ES8" s="3">
        <v>36853000</v>
      </c>
      <c r="ET8" s="3">
        <v>0</v>
      </c>
      <c r="EU8" s="3">
        <v>74537000</v>
      </c>
      <c r="EV8" s="3">
        <v>37684000</v>
      </c>
      <c r="EW8" s="3">
        <v>36853000</v>
      </c>
      <c r="EX8" s="3">
        <v>0</v>
      </c>
      <c r="EY8" s="3">
        <v>74537000</v>
      </c>
      <c r="EZ8" s="3"/>
      <c r="FA8" s="3"/>
      <c r="FB8" s="3"/>
      <c r="FC8" s="3"/>
      <c r="FD8" s="3"/>
      <c r="FE8" s="3"/>
      <c r="FF8" s="3"/>
      <c r="FG8" s="3"/>
      <c r="FH8" s="3"/>
      <c r="FI8" s="3"/>
      <c r="FJ8" s="3"/>
      <c r="FK8" s="3"/>
      <c r="FL8" s="3"/>
      <c r="FM8" s="3"/>
      <c r="FN8" s="3"/>
      <c r="FO8" s="3"/>
      <c r="FP8" s="3"/>
      <c r="FQ8" s="3"/>
      <c r="FR8" s="3"/>
      <c r="FS8" s="3"/>
      <c r="FT8" s="3">
        <v>35600000</v>
      </c>
      <c r="FU8" s="3">
        <v>27743000</v>
      </c>
      <c r="FV8" s="3">
        <v>36605000</v>
      </c>
      <c r="FW8" s="3">
        <v>99948000</v>
      </c>
      <c r="FX8" s="3">
        <v>35600000</v>
      </c>
      <c r="FY8" s="3">
        <v>47743000</v>
      </c>
      <c r="FZ8" s="3">
        <v>36605000</v>
      </c>
      <c r="GA8" s="3">
        <v>119948000</v>
      </c>
      <c r="GB8" s="3">
        <v>35600000</v>
      </c>
      <c r="GC8" s="3">
        <v>47743000</v>
      </c>
      <c r="GD8" s="3">
        <v>36605000</v>
      </c>
      <c r="GE8" s="3">
        <v>119948000</v>
      </c>
      <c r="GF8" s="3">
        <v>35600000</v>
      </c>
      <c r="GG8" s="3">
        <v>47743000</v>
      </c>
      <c r="GH8" s="3">
        <v>36605000</v>
      </c>
      <c r="GI8" s="3">
        <v>119948000</v>
      </c>
      <c r="GJ8" s="3">
        <v>35600000</v>
      </c>
      <c r="GK8" s="3">
        <v>47743000</v>
      </c>
      <c r="GL8" s="3">
        <v>36605000</v>
      </c>
      <c r="GM8" s="3">
        <v>119948000</v>
      </c>
      <c r="GN8" s="3">
        <v>35600000</v>
      </c>
      <c r="GO8" s="3">
        <v>44076087.469999999</v>
      </c>
      <c r="GP8" s="3">
        <v>31505772.640000001</v>
      </c>
      <c r="GQ8" s="3">
        <v>111181860.11</v>
      </c>
      <c r="GR8" s="3">
        <v>35600000</v>
      </c>
      <c r="GS8" s="3">
        <v>28077820.41</v>
      </c>
      <c r="GT8" s="3">
        <v>0</v>
      </c>
      <c r="GU8" s="3">
        <v>63677820.409999996</v>
      </c>
      <c r="GV8" s="3">
        <v>36300000</v>
      </c>
      <c r="GW8" s="3">
        <v>101471000</v>
      </c>
      <c r="GX8" s="3">
        <v>32610000</v>
      </c>
      <c r="GY8" s="3">
        <v>170381000</v>
      </c>
      <c r="GZ8" s="3">
        <v>36300000</v>
      </c>
      <c r="HA8" s="3">
        <v>91831000</v>
      </c>
      <c r="HB8" s="3">
        <v>32610000</v>
      </c>
      <c r="HC8" s="3">
        <v>160741000</v>
      </c>
      <c r="HD8" s="3">
        <v>36300000</v>
      </c>
      <c r="HE8" s="3">
        <v>91831000</v>
      </c>
      <c r="HF8" s="3">
        <v>32610000</v>
      </c>
      <c r="HG8" s="3">
        <v>160741000</v>
      </c>
      <c r="HH8" s="3">
        <v>40792744.799999997</v>
      </c>
      <c r="HI8" s="3">
        <v>87483507.200000003</v>
      </c>
      <c r="HJ8" s="3">
        <v>32464748</v>
      </c>
      <c r="HK8" s="3">
        <v>160741000</v>
      </c>
      <c r="HL8" s="10">
        <f t="shared" si="0"/>
        <v>0</v>
      </c>
      <c r="HM8" s="3">
        <v>40792744.799999997</v>
      </c>
      <c r="HN8" s="3">
        <v>87483507.200000003</v>
      </c>
      <c r="HO8" s="3">
        <v>32464748</v>
      </c>
      <c r="HP8" s="3">
        <v>160741000</v>
      </c>
      <c r="HQ8" s="3">
        <v>40792744.799999997</v>
      </c>
      <c r="HR8" s="3">
        <v>63662662.329999998</v>
      </c>
      <c r="HS8" s="3">
        <v>15642524.619999999</v>
      </c>
      <c r="HT8" s="3">
        <v>120097931.75</v>
      </c>
      <c r="HU8" s="10">
        <f t="shared" si="1"/>
        <v>0</v>
      </c>
      <c r="HV8" s="3">
        <v>40792744.799999997</v>
      </c>
      <c r="HW8" s="3">
        <v>42040638.710000001</v>
      </c>
      <c r="HX8" s="3">
        <v>1234747.6200000001</v>
      </c>
      <c r="HY8" s="3">
        <v>84068131.129999995</v>
      </c>
      <c r="HZ8" s="10">
        <f t="shared" si="2"/>
        <v>0</v>
      </c>
      <c r="IA8" s="3">
        <v>42895000</v>
      </c>
      <c r="IB8" s="3">
        <v>43826000</v>
      </c>
      <c r="IC8" s="3">
        <v>8490000</v>
      </c>
      <c r="ID8" s="3">
        <v>95211000</v>
      </c>
      <c r="IE8" s="3">
        <v>42895000</v>
      </c>
      <c r="IF8" s="3">
        <v>43826000</v>
      </c>
      <c r="IG8" s="3">
        <v>8118000</v>
      </c>
      <c r="IH8" s="3">
        <v>94839000</v>
      </c>
    </row>
    <row r="9" spans="1:242" x14ac:dyDescent="0.25">
      <c r="A9" t="s">
        <v>1170</v>
      </c>
      <c r="B9" t="s">
        <v>1171</v>
      </c>
      <c r="C9" t="s">
        <v>199</v>
      </c>
      <c r="D9" t="s">
        <v>200</v>
      </c>
      <c r="E9" t="s">
        <v>224</v>
      </c>
      <c r="F9" t="s">
        <v>520</v>
      </c>
      <c r="G9" t="s">
        <v>1179</v>
      </c>
      <c r="H9" s="3">
        <v>14832000</v>
      </c>
      <c r="I9" s="3">
        <v>9083000</v>
      </c>
      <c r="J9" s="3">
        <v>0</v>
      </c>
      <c r="K9" s="3">
        <v>23915000</v>
      </c>
      <c r="L9" s="3">
        <v>14832000</v>
      </c>
      <c r="M9" s="3">
        <v>9083000</v>
      </c>
      <c r="N9" s="3">
        <v>0</v>
      </c>
      <c r="O9" s="3">
        <v>23915000</v>
      </c>
      <c r="P9" s="3">
        <v>14832000</v>
      </c>
      <c r="Q9" s="3">
        <v>9083000</v>
      </c>
      <c r="R9" s="3">
        <v>0</v>
      </c>
      <c r="S9" s="3">
        <v>23915000</v>
      </c>
      <c r="T9" s="3">
        <v>14832000</v>
      </c>
      <c r="U9" s="3">
        <v>9083000</v>
      </c>
      <c r="V9" s="3">
        <v>0</v>
      </c>
      <c r="W9" s="3">
        <v>23915000</v>
      </c>
      <c r="X9" s="3">
        <v>14832000</v>
      </c>
      <c r="Y9" s="3">
        <v>9083000</v>
      </c>
      <c r="Z9" s="3">
        <v>0</v>
      </c>
      <c r="AA9" s="3">
        <v>23915000</v>
      </c>
      <c r="AB9" s="3">
        <v>14832000</v>
      </c>
      <c r="AC9" s="3">
        <v>8832502.3100000005</v>
      </c>
      <c r="AD9" s="3">
        <v>0</v>
      </c>
      <c r="AE9" s="3">
        <v>23664502.309999999</v>
      </c>
      <c r="AF9" s="3">
        <v>14784033.59</v>
      </c>
      <c r="AG9" s="3">
        <v>7974551.5999999996</v>
      </c>
      <c r="AH9" s="3">
        <v>0</v>
      </c>
      <c r="AI9" s="3">
        <v>22758585.190000001</v>
      </c>
      <c r="AJ9" s="3">
        <v>16858000</v>
      </c>
      <c r="AK9" s="3">
        <v>3920000</v>
      </c>
      <c r="AL9" s="3">
        <v>0</v>
      </c>
      <c r="AM9" s="3">
        <v>20778000</v>
      </c>
      <c r="AN9" s="3">
        <v>16858000</v>
      </c>
      <c r="AO9" s="3">
        <v>3920000</v>
      </c>
      <c r="AP9" s="3">
        <v>0</v>
      </c>
      <c r="AQ9" s="3">
        <v>20778000</v>
      </c>
      <c r="AR9" s="3">
        <v>16858000</v>
      </c>
      <c r="AS9" s="3">
        <v>3920000</v>
      </c>
      <c r="AT9" s="3">
        <v>0</v>
      </c>
      <c r="AU9" s="3">
        <v>20778000</v>
      </c>
      <c r="AV9" s="3">
        <v>17358000</v>
      </c>
      <c r="AW9" s="3">
        <v>3420000</v>
      </c>
      <c r="AX9" s="3">
        <v>0</v>
      </c>
      <c r="AY9" s="3">
        <v>20778000</v>
      </c>
      <c r="AZ9" s="3">
        <v>17358000</v>
      </c>
      <c r="BA9" s="3">
        <v>3420000</v>
      </c>
      <c r="BB9" s="3">
        <v>0</v>
      </c>
      <c r="BC9" s="3">
        <v>20778000</v>
      </c>
      <c r="BD9" s="3">
        <v>17358000</v>
      </c>
      <c r="BE9" s="3">
        <v>2662767.5</v>
      </c>
      <c r="BF9" s="3">
        <v>0</v>
      </c>
      <c r="BG9" s="3">
        <v>20020767.5</v>
      </c>
      <c r="BH9" s="3">
        <v>16391166.699999999</v>
      </c>
      <c r="BI9" s="3">
        <v>1056775.76</v>
      </c>
      <c r="BJ9" s="3">
        <v>0</v>
      </c>
      <c r="BK9" s="3">
        <v>17447942.460000001</v>
      </c>
      <c r="BL9" s="3">
        <v>16890000</v>
      </c>
      <c r="BM9" s="3">
        <v>3073000</v>
      </c>
      <c r="BN9" s="3">
        <v>0</v>
      </c>
      <c r="BO9" s="3">
        <v>19963000</v>
      </c>
      <c r="BP9" s="3">
        <v>16890000</v>
      </c>
      <c r="BQ9" s="3">
        <v>3073000</v>
      </c>
      <c r="BR9" s="3">
        <v>0</v>
      </c>
      <c r="BS9" s="3">
        <v>19963000</v>
      </c>
      <c r="BT9" s="3">
        <v>16890000</v>
      </c>
      <c r="BU9" s="3">
        <v>3073000</v>
      </c>
      <c r="BV9" s="3">
        <v>0</v>
      </c>
      <c r="BW9" s="3">
        <v>19963000</v>
      </c>
      <c r="BX9" s="6">
        <v>16890000</v>
      </c>
      <c r="BY9" s="6">
        <v>1373000</v>
      </c>
      <c r="BZ9" s="3">
        <v>0</v>
      </c>
      <c r="CA9" s="3">
        <v>18263000</v>
      </c>
      <c r="CB9" s="3">
        <v>16890000</v>
      </c>
      <c r="CC9" s="3">
        <v>1373000</v>
      </c>
      <c r="CD9" s="3">
        <v>0</v>
      </c>
      <c r="CE9" s="3">
        <v>18263000</v>
      </c>
      <c r="CF9" s="3">
        <v>16890000</v>
      </c>
      <c r="CG9" s="3">
        <v>800000</v>
      </c>
      <c r="CH9" s="3">
        <v>0</v>
      </c>
      <c r="CI9" s="3">
        <v>17690000</v>
      </c>
      <c r="CJ9" s="3">
        <v>16852855.73</v>
      </c>
      <c r="CK9" s="3">
        <v>800000</v>
      </c>
      <c r="CL9" s="3">
        <v>0</v>
      </c>
      <c r="CM9" s="3">
        <v>17652855.73</v>
      </c>
      <c r="CN9" s="3">
        <v>17922000</v>
      </c>
      <c r="CO9" s="3">
        <v>5380000</v>
      </c>
      <c r="CP9" s="3">
        <v>0</v>
      </c>
      <c r="CQ9" s="3">
        <v>23302000</v>
      </c>
      <c r="CR9" s="3">
        <v>17922000</v>
      </c>
      <c r="CS9" s="3">
        <v>5380000</v>
      </c>
      <c r="CT9" s="3">
        <v>0</v>
      </c>
      <c r="CU9" s="3">
        <v>23302000</v>
      </c>
      <c r="CV9" s="3"/>
      <c r="CW9" s="3"/>
      <c r="CX9" s="3"/>
      <c r="CY9" s="3"/>
      <c r="CZ9" s="3"/>
      <c r="DA9" s="3"/>
      <c r="DB9" s="3"/>
      <c r="DC9" s="3"/>
      <c r="DD9" s="3"/>
      <c r="DE9" s="3"/>
      <c r="DF9" s="3"/>
      <c r="DG9" s="3"/>
      <c r="DH9" s="3"/>
      <c r="DI9" s="3"/>
      <c r="DJ9" s="3"/>
      <c r="DK9" s="3"/>
      <c r="DL9" s="3"/>
      <c r="DM9" s="3"/>
      <c r="DN9" s="3"/>
      <c r="DO9" s="3"/>
      <c r="DP9" s="3">
        <v>17677000</v>
      </c>
      <c r="DQ9" s="3">
        <v>5380000</v>
      </c>
      <c r="DR9" s="3">
        <v>0</v>
      </c>
      <c r="DS9" s="3">
        <v>23057000</v>
      </c>
      <c r="DT9" s="3">
        <v>17677000</v>
      </c>
      <c r="DU9" s="3">
        <v>5380000</v>
      </c>
      <c r="DV9" s="3">
        <v>0</v>
      </c>
      <c r="DW9" s="3">
        <v>23057000</v>
      </c>
      <c r="DX9" s="3"/>
      <c r="DY9" s="3"/>
      <c r="DZ9" s="3"/>
      <c r="EA9" s="3"/>
      <c r="EB9" s="3"/>
      <c r="EC9" s="3"/>
      <c r="ED9" s="3"/>
      <c r="EE9" s="3"/>
      <c r="EF9" s="3"/>
      <c r="EG9" s="3"/>
      <c r="EH9" s="3"/>
      <c r="EI9" s="3"/>
      <c r="EJ9" s="3"/>
      <c r="EK9" s="3"/>
      <c r="EL9" s="3"/>
      <c r="EM9" s="3"/>
      <c r="EN9" s="3"/>
      <c r="EO9" s="3"/>
      <c r="EP9" s="3"/>
      <c r="EQ9" s="3"/>
      <c r="ER9" s="3">
        <v>17130000</v>
      </c>
      <c r="ES9" s="3">
        <v>3248000</v>
      </c>
      <c r="ET9" s="3">
        <v>0</v>
      </c>
      <c r="EU9" s="3">
        <v>20378000</v>
      </c>
      <c r="EV9" s="3">
        <v>17130000</v>
      </c>
      <c r="EW9" s="3">
        <v>3248000</v>
      </c>
      <c r="EX9" s="3">
        <v>0</v>
      </c>
      <c r="EY9" s="3">
        <v>20378000</v>
      </c>
      <c r="EZ9" s="3"/>
      <c r="FA9" s="3"/>
      <c r="FB9" s="3"/>
      <c r="FC9" s="3"/>
      <c r="FD9" s="3"/>
      <c r="FE9" s="3"/>
      <c r="FF9" s="3"/>
      <c r="FG9" s="3"/>
      <c r="FH9" s="3"/>
      <c r="FI9" s="3"/>
      <c r="FJ9" s="3"/>
      <c r="FK9" s="3"/>
      <c r="FL9" s="3"/>
      <c r="FM9" s="3"/>
      <c r="FN9" s="3"/>
      <c r="FO9" s="3"/>
      <c r="FP9" s="3"/>
      <c r="FQ9" s="3"/>
      <c r="FR9" s="3"/>
      <c r="FS9" s="3"/>
      <c r="FT9" s="3">
        <v>16980000</v>
      </c>
      <c r="FU9" s="3">
        <v>3306000</v>
      </c>
      <c r="FV9" s="3">
        <v>27285000</v>
      </c>
      <c r="FW9" s="3">
        <v>47571000</v>
      </c>
      <c r="FX9" s="3">
        <v>16980000</v>
      </c>
      <c r="FY9" s="3">
        <v>3306000</v>
      </c>
      <c r="FZ9" s="3">
        <v>27285000</v>
      </c>
      <c r="GA9" s="3">
        <v>47571000</v>
      </c>
      <c r="GB9" s="3">
        <v>16980000</v>
      </c>
      <c r="GC9" s="3">
        <v>3306000</v>
      </c>
      <c r="GD9" s="3">
        <v>27285000</v>
      </c>
      <c r="GE9" s="3">
        <v>47571000</v>
      </c>
      <c r="GF9" s="3">
        <v>17552425</v>
      </c>
      <c r="GG9" s="3">
        <v>3306000</v>
      </c>
      <c r="GH9" s="3">
        <v>26712575</v>
      </c>
      <c r="GI9" s="3">
        <v>47571000</v>
      </c>
      <c r="GJ9" s="3">
        <v>17552425</v>
      </c>
      <c r="GK9" s="3">
        <v>3306000</v>
      </c>
      <c r="GL9" s="3">
        <v>26712575</v>
      </c>
      <c r="GM9" s="3">
        <v>47571000</v>
      </c>
      <c r="GN9" s="3">
        <v>17552425</v>
      </c>
      <c r="GO9" s="3">
        <v>3294376</v>
      </c>
      <c r="GP9" s="3">
        <v>13913418.42</v>
      </c>
      <c r="GQ9" s="3">
        <v>34760219.420000002</v>
      </c>
      <c r="GR9" s="3">
        <v>17487925</v>
      </c>
      <c r="GS9" s="3">
        <v>3010912.24</v>
      </c>
      <c r="GT9" s="3">
        <v>0</v>
      </c>
      <c r="GU9" s="3">
        <v>20498837.239999998</v>
      </c>
      <c r="GV9" s="3">
        <v>16581000</v>
      </c>
      <c r="GW9" s="3">
        <v>3366000</v>
      </c>
      <c r="GX9" s="3">
        <v>0</v>
      </c>
      <c r="GY9" s="3">
        <v>19947000</v>
      </c>
      <c r="GZ9" s="3">
        <v>16581000</v>
      </c>
      <c r="HA9" s="3">
        <v>3366000</v>
      </c>
      <c r="HB9" s="3">
        <v>0</v>
      </c>
      <c r="HC9" s="3">
        <v>19947000</v>
      </c>
      <c r="HD9" s="3">
        <v>16581000</v>
      </c>
      <c r="HE9" s="3">
        <v>3366000</v>
      </c>
      <c r="HF9" s="3">
        <v>0</v>
      </c>
      <c r="HG9" s="3">
        <v>19947000</v>
      </c>
      <c r="HH9" s="3">
        <v>16581000</v>
      </c>
      <c r="HI9" s="3">
        <v>3366000</v>
      </c>
      <c r="HJ9" s="3">
        <v>0</v>
      </c>
      <c r="HK9" s="3">
        <v>19947000</v>
      </c>
      <c r="HL9" s="10">
        <f t="shared" si="0"/>
        <v>0</v>
      </c>
      <c r="HM9" s="3">
        <v>16581000</v>
      </c>
      <c r="HN9" s="3">
        <v>3366000</v>
      </c>
      <c r="HO9" s="3">
        <v>0</v>
      </c>
      <c r="HP9" s="3">
        <v>19947000</v>
      </c>
      <c r="HQ9" s="3">
        <v>16581000</v>
      </c>
      <c r="HR9" s="3">
        <v>3308801.48</v>
      </c>
      <c r="HS9" s="3">
        <v>0</v>
      </c>
      <c r="HT9" s="3">
        <v>19889801.48</v>
      </c>
      <c r="HU9" s="10">
        <f t="shared" si="1"/>
        <v>0</v>
      </c>
      <c r="HV9" s="3">
        <v>16581000</v>
      </c>
      <c r="HW9" s="3">
        <v>3161733.73</v>
      </c>
      <c r="HX9" s="3">
        <v>0</v>
      </c>
      <c r="HY9" s="3">
        <v>19742733.73</v>
      </c>
      <c r="HZ9" s="10">
        <f t="shared" si="2"/>
        <v>0</v>
      </c>
      <c r="IA9" s="3">
        <v>20743000</v>
      </c>
      <c r="IB9" s="3">
        <v>3427000</v>
      </c>
      <c r="IC9" s="3">
        <v>0</v>
      </c>
      <c r="ID9" s="3">
        <v>24170000</v>
      </c>
      <c r="IE9" s="3">
        <v>20743000</v>
      </c>
      <c r="IF9" s="3">
        <v>629168000</v>
      </c>
      <c r="IG9" s="3">
        <v>1755000</v>
      </c>
      <c r="IH9" s="3">
        <v>651666000</v>
      </c>
    </row>
    <row r="10" spans="1:242" x14ac:dyDescent="0.25">
      <c r="A10" t="s">
        <v>1170</v>
      </c>
      <c r="B10" t="s">
        <v>1171</v>
      </c>
      <c r="C10" t="s">
        <v>199</v>
      </c>
      <c r="D10" t="s">
        <v>200</v>
      </c>
      <c r="E10" t="s">
        <v>224</v>
      </c>
      <c r="F10" t="s">
        <v>521</v>
      </c>
      <c r="G10" t="s">
        <v>1180</v>
      </c>
      <c r="H10" s="3">
        <v>14009000</v>
      </c>
      <c r="I10" s="3">
        <v>12211000</v>
      </c>
      <c r="J10" s="3">
        <v>0</v>
      </c>
      <c r="K10" s="3">
        <v>26220000</v>
      </c>
      <c r="L10" s="3">
        <v>14009000</v>
      </c>
      <c r="M10" s="3">
        <v>12211000</v>
      </c>
      <c r="N10" s="3">
        <v>0</v>
      </c>
      <c r="O10" s="3">
        <v>26220000</v>
      </c>
      <c r="P10" s="3">
        <v>14009000</v>
      </c>
      <c r="Q10" s="3">
        <v>12211000</v>
      </c>
      <c r="R10" s="3">
        <v>0</v>
      </c>
      <c r="S10" s="3">
        <v>26220000</v>
      </c>
      <c r="T10" s="3">
        <v>14009000</v>
      </c>
      <c r="U10" s="3">
        <v>12211000</v>
      </c>
      <c r="V10" s="3">
        <v>0</v>
      </c>
      <c r="W10" s="3">
        <v>26220000</v>
      </c>
      <c r="X10" s="3">
        <v>14009000</v>
      </c>
      <c r="Y10" s="3">
        <v>12211000</v>
      </c>
      <c r="Z10" s="3">
        <v>0</v>
      </c>
      <c r="AA10" s="3">
        <v>26220000</v>
      </c>
      <c r="AB10" s="3">
        <v>14009000</v>
      </c>
      <c r="AC10" s="3">
        <v>9390925.5800000001</v>
      </c>
      <c r="AD10" s="3">
        <v>0</v>
      </c>
      <c r="AE10" s="3">
        <v>23399925.579999998</v>
      </c>
      <c r="AF10" s="3">
        <v>13873000</v>
      </c>
      <c r="AG10" s="3">
        <v>5016802.8899999997</v>
      </c>
      <c r="AH10" s="3">
        <v>0</v>
      </c>
      <c r="AI10" s="3">
        <v>18889802.890000001</v>
      </c>
      <c r="AJ10" s="3">
        <v>16404000</v>
      </c>
      <c r="AK10" s="3">
        <v>14587000</v>
      </c>
      <c r="AL10" s="3">
        <v>0</v>
      </c>
      <c r="AM10" s="3">
        <v>30991000</v>
      </c>
      <c r="AN10" s="3">
        <v>16404000</v>
      </c>
      <c r="AO10" s="3">
        <v>14587000</v>
      </c>
      <c r="AP10" s="3">
        <v>0</v>
      </c>
      <c r="AQ10" s="3">
        <v>30991000</v>
      </c>
      <c r="AR10" s="3">
        <v>16404000</v>
      </c>
      <c r="AS10" s="3">
        <v>14587000</v>
      </c>
      <c r="AT10" s="3">
        <v>0</v>
      </c>
      <c r="AU10" s="3">
        <v>30991000</v>
      </c>
      <c r="AV10" s="3">
        <v>16404000</v>
      </c>
      <c r="AW10" s="3">
        <v>14587000</v>
      </c>
      <c r="AX10" s="3">
        <v>0</v>
      </c>
      <c r="AY10" s="3">
        <v>30991000</v>
      </c>
      <c r="AZ10" s="3">
        <v>16404000</v>
      </c>
      <c r="BA10" s="3">
        <v>14587000</v>
      </c>
      <c r="BB10" s="3">
        <v>0</v>
      </c>
      <c r="BC10" s="3">
        <v>30991000</v>
      </c>
      <c r="BD10" s="3">
        <v>16404000</v>
      </c>
      <c r="BE10" s="3">
        <v>14587000</v>
      </c>
      <c r="BF10" s="3">
        <v>0</v>
      </c>
      <c r="BG10" s="3">
        <v>30991000</v>
      </c>
      <c r="BH10" s="3">
        <v>16269041.699999999</v>
      </c>
      <c r="BI10" s="3">
        <v>8408693.4199999999</v>
      </c>
      <c r="BJ10" s="3">
        <v>0</v>
      </c>
      <c r="BK10" s="3">
        <v>24677735.120000001</v>
      </c>
      <c r="BL10" s="3">
        <v>17130000</v>
      </c>
      <c r="BM10" s="3">
        <v>14437000</v>
      </c>
      <c r="BN10" s="3">
        <v>0</v>
      </c>
      <c r="BO10" s="3">
        <v>31567000</v>
      </c>
      <c r="BP10" s="3">
        <v>17130000</v>
      </c>
      <c r="BQ10" s="3">
        <v>14437000</v>
      </c>
      <c r="BR10" s="3">
        <v>0</v>
      </c>
      <c r="BS10" s="3">
        <v>31567000</v>
      </c>
      <c r="BT10" s="3">
        <v>17130000</v>
      </c>
      <c r="BU10" s="3">
        <v>14437000</v>
      </c>
      <c r="BV10" s="3">
        <v>0</v>
      </c>
      <c r="BW10" s="3">
        <v>31567000</v>
      </c>
      <c r="BX10" s="6">
        <v>17130000</v>
      </c>
      <c r="BY10" s="6">
        <v>9432000</v>
      </c>
      <c r="BZ10" s="3">
        <v>0</v>
      </c>
      <c r="CA10" s="3">
        <v>26562000</v>
      </c>
      <c r="CB10" s="3">
        <v>17130000</v>
      </c>
      <c r="CC10" s="3">
        <v>9432000</v>
      </c>
      <c r="CD10" s="3">
        <v>0</v>
      </c>
      <c r="CE10" s="3">
        <v>26562000</v>
      </c>
      <c r="CF10" s="3">
        <v>17130000</v>
      </c>
      <c r="CG10" s="3">
        <v>4000686.17</v>
      </c>
      <c r="CH10" s="3">
        <v>0</v>
      </c>
      <c r="CI10" s="3">
        <v>21130686.170000002</v>
      </c>
      <c r="CJ10" s="3">
        <v>17125000</v>
      </c>
      <c r="CK10" s="3">
        <v>2960878.05</v>
      </c>
      <c r="CL10" s="3">
        <v>0</v>
      </c>
      <c r="CM10" s="3">
        <v>20085878.050000001</v>
      </c>
      <c r="CN10" s="3">
        <v>18898000</v>
      </c>
      <c r="CO10" s="3">
        <v>16871000</v>
      </c>
      <c r="CP10" s="3">
        <v>0</v>
      </c>
      <c r="CQ10" s="3">
        <v>35769000</v>
      </c>
      <c r="CR10" s="3">
        <v>18898000</v>
      </c>
      <c r="CS10" s="3">
        <v>16871000</v>
      </c>
      <c r="CT10" s="3">
        <v>0</v>
      </c>
      <c r="CU10" s="3">
        <v>35769000</v>
      </c>
      <c r="CV10" s="3"/>
      <c r="CW10" s="3"/>
      <c r="CX10" s="3"/>
      <c r="CY10" s="3"/>
      <c r="CZ10" s="3"/>
      <c r="DA10" s="3"/>
      <c r="DB10" s="3"/>
      <c r="DC10" s="3"/>
      <c r="DD10" s="3"/>
      <c r="DE10" s="3"/>
      <c r="DF10" s="3"/>
      <c r="DG10" s="3"/>
      <c r="DH10" s="3"/>
      <c r="DI10" s="3"/>
      <c r="DJ10" s="3"/>
      <c r="DK10" s="3"/>
      <c r="DL10" s="3"/>
      <c r="DM10" s="3"/>
      <c r="DN10" s="3"/>
      <c r="DO10" s="3"/>
      <c r="DP10" s="3">
        <v>17657000</v>
      </c>
      <c r="DQ10" s="3">
        <v>16871000</v>
      </c>
      <c r="DR10" s="3">
        <v>0</v>
      </c>
      <c r="DS10" s="3">
        <v>34528000</v>
      </c>
      <c r="DT10" s="3">
        <v>17657000</v>
      </c>
      <c r="DU10" s="3">
        <v>16871000</v>
      </c>
      <c r="DV10" s="3">
        <v>0</v>
      </c>
      <c r="DW10" s="3">
        <v>34528000</v>
      </c>
      <c r="DX10" s="3"/>
      <c r="DY10" s="3"/>
      <c r="DZ10" s="3"/>
      <c r="EA10" s="3"/>
      <c r="EB10" s="3"/>
      <c r="EC10" s="3"/>
      <c r="ED10" s="3"/>
      <c r="EE10" s="3"/>
      <c r="EF10" s="3"/>
      <c r="EG10" s="3"/>
      <c r="EH10" s="3"/>
      <c r="EI10" s="3"/>
      <c r="EJ10" s="3"/>
      <c r="EK10" s="3"/>
      <c r="EL10" s="3"/>
      <c r="EM10" s="3"/>
      <c r="EN10" s="3"/>
      <c r="EO10" s="3"/>
      <c r="EP10" s="3"/>
      <c r="EQ10" s="3"/>
      <c r="ER10" s="3">
        <v>17767000</v>
      </c>
      <c r="ES10" s="3">
        <v>16871000</v>
      </c>
      <c r="ET10" s="3">
        <v>0</v>
      </c>
      <c r="EU10" s="3">
        <v>34638000</v>
      </c>
      <c r="EV10" s="3">
        <v>17767000</v>
      </c>
      <c r="EW10" s="3">
        <v>16871000</v>
      </c>
      <c r="EX10" s="3">
        <v>0</v>
      </c>
      <c r="EY10" s="3">
        <v>34638000</v>
      </c>
      <c r="EZ10" s="3"/>
      <c r="FA10" s="3"/>
      <c r="FB10" s="3"/>
      <c r="FC10" s="3"/>
      <c r="FD10" s="3"/>
      <c r="FE10" s="3"/>
      <c r="FF10" s="3"/>
      <c r="FG10" s="3"/>
      <c r="FH10" s="3"/>
      <c r="FI10" s="3"/>
      <c r="FJ10" s="3"/>
      <c r="FK10" s="3"/>
      <c r="FL10" s="3"/>
      <c r="FM10" s="3"/>
      <c r="FN10" s="3"/>
      <c r="FO10" s="3"/>
      <c r="FP10" s="3"/>
      <c r="FQ10" s="3"/>
      <c r="FR10" s="3"/>
      <c r="FS10" s="3"/>
      <c r="FT10" s="3">
        <v>15932000</v>
      </c>
      <c r="FU10" s="3">
        <v>13317000</v>
      </c>
      <c r="FV10" s="3">
        <v>4000000</v>
      </c>
      <c r="FW10" s="3">
        <v>33249000</v>
      </c>
      <c r="FX10" s="3">
        <v>15932000</v>
      </c>
      <c r="FY10" s="3">
        <v>13317000</v>
      </c>
      <c r="FZ10" s="3">
        <v>4000000</v>
      </c>
      <c r="GA10" s="3">
        <v>33249000</v>
      </c>
      <c r="GB10" s="3">
        <v>15932000</v>
      </c>
      <c r="GC10" s="3">
        <v>13317000</v>
      </c>
      <c r="GD10" s="3">
        <v>4000000</v>
      </c>
      <c r="GE10" s="3">
        <v>33249000</v>
      </c>
      <c r="GF10" s="3">
        <v>15932000</v>
      </c>
      <c r="GG10" s="3">
        <v>13317000</v>
      </c>
      <c r="GH10" s="3">
        <v>4000000</v>
      </c>
      <c r="GI10" s="3">
        <v>33249000</v>
      </c>
      <c r="GJ10" s="3">
        <v>15932000</v>
      </c>
      <c r="GK10" s="3">
        <v>13317000</v>
      </c>
      <c r="GL10" s="3">
        <v>4000000</v>
      </c>
      <c r="GM10" s="3">
        <v>33249000</v>
      </c>
      <c r="GN10" s="3">
        <v>15932000</v>
      </c>
      <c r="GO10" s="3">
        <v>12964722.23</v>
      </c>
      <c r="GP10" s="3">
        <v>0</v>
      </c>
      <c r="GQ10" s="3">
        <v>28896722.23</v>
      </c>
      <c r="GR10" s="3">
        <v>15932000</v>
      </c>
      <c r="GS10" s="3">
        <v>10938039.91</v>
      </c>
      <c r="GT10" s="3">
        <v>0</v>
      </c>
      <c r="GU10" s="3">
        <v>26870039.91</v>
      </c>
      <c r="GV10" s="3">
        <v>18680000</v>
      </c>
      <c r="GW10" s="3">
        <v>30620000</v>
      </c>
      <c r="GX10" s="3">
        <v>13965000</v>
      </c>
      <c r="GY10" s="3">
        <v>63265000</v>
      </c>
      <c r="GZ10" s="3">
        <v>18680000</v>
      </c>
      <c r="HA10" s="3">
        <v>30620000</v>
      </c>
      <c r="HB10" s="3">
        <v>13965000</v>
      </c>
      <c r="HC10" s="3">
        <v>63265000</v>
      </c>
      <c r="HD10" s="3">
        <v>18680000</v>
      </c>
      <c r="HE10" s="3">
        <v>30620000</v>
      </c>
      <c r="HF10" s="3">
        <v>13965000</v>
      </c>
      <c r="HG10" s="3">
        <v>63265000</v>
      </c>
      <c r="HH10" s="3">
        <v>21115951.489999998</v>
      </c>
      <c r="HI10" s="3">
        <v>28254964.510000002</v>
      </c>
      <c r="HJ10" s="3">
        <v>13894084</v>
      </c>
      <c r="HK10" s="3">
        <v>63265000</v>
      </c>
      <c r="HL10" s="10">
        <f t="shared" si="0"/>
        <v>0</v>
      </c>
      <c r="HM10" s="3">
        <v>21115951.489999998</v>
      </c>
      <c r="HN10" s="3">
        <v>28254964.510000002</v>
      </c>
      <c r="HO10" s="3">
        <v>13894084</v>
      </c>
      <c r="HP10" s="3">
        <v>63265000</v>
      </c>
      <c r="HQ10" s="3">
        <v>21115951.489999998</v>
      </c>
      <c r="HR10" s="3">
        <v>27413005.199999999</v>
      </c>
      <c r="HS10" s="3">
        <v>10693891.050000001</v>
      </c>
      <c r="HT10" s="3">
        <v>59222847.740000002</v>
      </c>
      <c r="HU10" s="10">
        <f t="shared" si="1"/>
        <v>0</v>
      </c>
      <c r="HV10" s="3">
        <v>21115951.489999998</v>
      </c>
      <c r="HW10" s="3">
        <v>15367640.48</v>
      </c>
      <c r="HX10" s="3">
        <v>1494083.05</v>
      </c>
      <c r="HY10" s="3">
        <v>37977675.020000003</v>
      </c>
      <c r="HZ10" s="10">
        <f t="shared" si="2"/>
        <v>0</v>
      </c>
      <c r="IA10" s="3">
        <v>18258000</v>
      </c>
      <c r="IB10" s="3">
        <v>37121000</v>
      </c>
      <c r="IC10" s="3">
        <v>31340000</v>
      </c>
      <c r="ID10" s="3">
        <v>86719000</v>
      </c>
      <c r="IE10" s="3">
        <v>18258000</v>
      </c>
      <c r="IF10" s="3">
        <v>37121000</v>
      </c>
      <c r="IG10" s="3">
        <v>29324000</v>
      </c>
      <c r="IH10" s="3">
        <v>84703000</v>
      </c>
    </row>
    <row r="11" spans="1:242" x14ac:dyDescent="0.25">
      <c r="A11" t="s">
        <v>1170</v>
      </c>
      <c r="B11" t="s">
        <v>1171</v>
      </c>
      <c r="C11" t="s">
        <v>199</v>
      </c>
      <c r="D11" t="s">
        <v>200</v>
      </c>
      <c r="E11" t="s">
        <v>241</v>
      </c>
      <c r="F11" t="s">
        <v>532</v>
      </c>
      <c r="G11" t="s">
        <v>1181</v>
      </c>
      <c r="H11" s="3">
        <v>9402000</v>
      </c>
      <c r="I11" s="3">
        <v>21473000</v>
      </c>
      <c r="J11" s="3">
        <v>0</v>
      </c>
      <c r="K11" s="3">
        <v>30875000</v>
      </c>
      <c r="L11" s="3">
        <v>9402000</v>
      </c>
      <c r="M11" s="3">
        <v>21473000</v>
      </c>
      <c r="N11" s="3">
        <v>0</v>
      </c>
      <c r="O11" s="3">
        <v>30875000</v>
      </c>
      <c r="P11" s="3">
        <v>9402000</v>
      </c>
      <c r="Q11" s="3">
        <v>21473000</v>
      </c>
      <c r="R11" s="3">
        <v>0</v>
      </c>
      <c r="S11" s="3">
        <v>30875000</v>
      </c>
      <c r="T11" s="3">
        <v>9652000</v>
      </c>
      <c r="U11" s="3">
        <v>21223000</v>
      </c>
      <c r="V11" s="3">
        <v>0</v>
      </c>
      <c r="W11" s="3">
        <v>30875000</v>
      </c>
      <c r="X11" s="3">
        <v>9652000</v>
      </c>
      <c r="Y11" s="3">
        <v>21223000</v>
      </c>
      <c r="Z11" s="3">
        <v>0</v>
      </c>
      <c r="AA11" s="3">
        <v>30875000</v>
      </c>
      <c r="AB11" s="3">
        <v>9652000</v>
      </c>
      <c r="AC11" s="3">
        <v>11946149.58</v>
      </c>
      <c r="AD11" s="3">
        <v>0</v>
      </c>
      <c r="AE11" s="3">
        <v>21598149.579999998</v>
      </c>
      <c r="AF11" s="3">
        <v>9558000</v>
      </c>
      <c r="AG11" s="3">
        <v>10308995.689999999</v>
      </c>
      <c r="AH11" s="3">
        <v>0</v>
      </c>
      <c r="AI11" s="3">
        <v>19866995.690000001</v>
      </c>
      <c r="AJ11" s="3">
        <v>13219000</v>
      </c>
      <c r="AK11" s="3">
        <v>8506000</v>
      </c>
      <c r="AL11" s="3">
        <v>0</v>
      </c>
      <c r="AM11" s="3">
        <v>21725000</v>
      </c>
      <c r="AN11" s="3">
        <v>13219000</v>
      </c>
      <c r="AO11" s="3">
        <v>18782000</v>
      </c>
      <c r="AP11" s="3">
        <v>0</v>
      </c>
      <c r="AQ11" s="3">
        <v>32001000</v>
      </c>
      <c r="AR11" s="3">
        <v>13219000</v>
      </c>
      <c r="AS11" s="3">
        <v>18782000</v>
      </c>
      <c r="AT11" s="3">
        <v>0</v>
      </c>
      <c r="AU11" s="3">
        <v>32001000</v>
      </c>
      <c r="AV11" s="3">
        <v>13219000</v>
      </c>
      <c r="AW11" s="3">
        <v>18782000</v>
      </c>
      <c r="AX11" s="3">
        <v>0</v>
      </c>
      <c r="AY11" s="3">
        <v>32001000</v>
      </c>
      <c r="AZ11" s="3">
        <v>13219000</v>
      </c>
      <c r="BA11" s="3">
        <v>18782000</v>
      </c>
      <c r="BB11" s="3">
        <v>0</v>
      </c>
      <c r="BC11" s="3">
        <v>32001000</v>
      </c>
      <c r="BD11" s="3">
        <v>13219000</v>
      </c>
      <c r="BE11" s="3">
        <v>18782000</v>
      </c>
      <c r="BF11" s="3">
        <v>0</v>
      </c>
      <c r="BG11" s="3">
        <v>32001000</v>
      </c>
      <c r="BH11" s="3">
        <v>13163500.1</v>
      </c>
      <c r="BI11" s="3">
        <v>7329376.5999999996</v>
      </c>
      <c r="BJ11" s="3">
        <v>0</v>
      </c>
      <c r="BK11" s="3">
        <v>20492876.699999999</v>
      </c>
      <c r="BL11" s="3">
        <v>12697000</v>
      </c>
      <c r="BM11" s="3">
        <v>6669000</v>
      </c>
      <c r="BN11" s="3">
        <v>0</v>
      </c>
      <c r="BO11" s="3">
        <v>19366000</v>
      </c>
      <c r="BP11" s="3">
        <v>12697000</v>
      </c>
      <c r="BQ11" s="3">
        <v>6669000</v>
      </c>
      <c r="BR11" s="3">
        <v>0</v>
      </c>
      <c r="BS11" s="3">
        <v>19366000</v>
      </c>
      <c r="BT11" s="3">
        <v>12697000</v>
      </c>
      <c r="BU11" s="3">
        <v>6669000</v>
      </c>
      <c r="BV11" s="3">
        <v>0</v>
      </c>
      <c r="BW11" s="3">
        <v>19366000</v>
      </c>
      <c r="BX11" s="6">
        <v>12697000</v>
      </c>
      <c r="BY11" s="6">
        <v>5649000</v>
      </c>
      <c r="BZ11" s="3">
        <v>0</v>
      </c>
      <c r="CA11" s="3">
        <v>18346000</v>
      </c>
      <c r="CB11" s="3">
        <v>12697000</v>
      </c>
      <c r="CC11" s="3">
        <v>5649000</v>
      </c>
      <c r="CD11" s="3">
        <v>0</v>
      </c>
      <c r="CE11" s="3">
        <v>18346000</v>
      </c>
      <c r="CF11" s="3">
        <v>12697000</v>
      </c>
      <c r="CG11" s="3">
        <v>4549456.5599999996</v>
      </c>
      <c r="CH11" s="3">
        <v>0</v>
      </c>
      <c r="CI11" s="3">
        <v>17246456.559999999</v>
      </c>
      <c r="CJ11" s="3">
        <v>12692833.26</v>
      </c>
      <c r="CK11" s="3">
        <v>4472789.5599999996</v>
      </c>
      <c r="CL11" s="3">
        <v>0</v>
      </c>
      <c r="CM11" s="3">
        <v>17165622.82</v>
      </c>
      <c r="CN11" s="3">
        <v>13094000</v>
      </c>
      <c r="CO11" s="3">
        <v>6789000</v>
      </c>
      <c r="CP11" s="3">
        <v>0</v>
      </c>
      <c r="CQ11" s="3">
        <v>19883000</v>
      </c>
      <c r="CR11" s="3">
        <v>13094000</v>
      </c>
      <c r="CS11" s="3">
        <v>6789000</v>
      </c>
      <c r="CT11" s="3">
        <v>0</v>
      </c>
      <c r="CU11" s="3">
        <v>19883000</v>
      </c>
      <c r="CV11" s="3"/>
      <c r="CW11" s="3"/>
      <c r="CX11" s="3"/>
      <c r="CY11" s="3"/>
      <c r="CZ11" s="3"/>
      <c r="DA11" s="3"/>
      <c r="DB11" s="3"/>
      <c r="DC11" s="3"/>
      <c r="DD11" s="3"/>
      <c r="DE11" s="3"/>
      <c r="DF11" s="3"/>
      <c r="DG11" s="3"/>
      <c r="DH11" s="3"/>
      <c r="DI11" s="3"/>
      <c r="DJ11" s="3"/>
      <c r="DK11" s="3"/>
      <c r="DL11" s="3"/>
      <c r="DM11" s="3"/>
      <c r="DN11" s="3"/>
      <c r="DO11" s="3"/>
      <c r="DP11" s="3">
        <v>15239000</v>
      </c>
      <c r="DQ11" s="3">
        <v>6789000</v>
      </c>
      <c r="DR11" s="3">
        <v>0</v>
      </c>
      <c r="DS11" s="3">
        <v>22028000</v>
      </c>
      <c r="DT11" s="3">
        <v>15239000</v>
      </c>
      <c r="DU11" s="3">
        <v>6789000</v>
      </c>
      <c r="DV11" s="3">
        <v>0</v>
      </c>
      <c r="DW11" s="3">
        <v>22028000</v>
      </c>
      <c r="DX11" s="3"/>
      <c r="DY11" s="3"/>
      <c r="DZ11" s="3"/>
      <c r="EA11" s="3"/>
      <c r="EB11" s="3"/>
      <c r="EC11" s="3"/>
      <c r="ED11" s="3"/>
      <c r="EE11" s="3"/>
      <c r="EF11" s="3"/>
      <c r="EG11" s="3"/>
      <c r="EH11" s="3"/>
      <c r="EI11" s="3"/>
      <c r="EJ11" s="3"/>
      <c r="EK11" s="3"/>
      <c r="EL11" s="3"/>
      <c r="EM11" s="3"/>
      <c r="EN11" s="3"/>
      <c r="EO11" s="3"/>
      <c r="EP11" s="3"/>
      <c r="EQ11" s="3"/>
      <c r="ER11" s="3">
        <v>13905000</v>
      </c>
      <c r="ES11" s="3">
        <v>6912000</v>
      </c>
      <c r="ET11" s="3">
        <v>0</v>
      </c>
      <c r="EU11" s="3">
        <v>20817000</v>
      </c>
      <c r="EV11" s="3">
        <v>13905000</v>
      </c>
      <c r="EW11" s="3">
        <v>6912000</v>
      </c>
      <c r="EX11" s="3">
        <v>0</v>
      </c>
      <c r="EY11" s="3">
        <v>20817000</v>
      </c>
      <c r="EZ11" s="3"/>
      <c r="FA11" s="3"/>
      <c r="FB11" s="3"/>
      <c r="FC11" s="3"/>
      <c r="FD11" s="3"/>
      <c r="FE11" s="3"/>
      <c r="FF11" s="3"/>
      <c r="FG11" s="3"/>
      <c r="FH11" s="3"/>
      <c r="FI11" s="3"/>
      <c r="FJ11" s="3"/>
      <c r="FK11" s="3"/>
      <c r="FL11" s="3"/>
      <c r="FM11" s="3"/>
      <c r="FN11" s="3"/>
      <c r="FO11" s="3"/>
      <c r="FP11" s="3"/>
      <c r="FQ11" s="3"/>
      <c r="FR11" s="3"/>
      <c r="FS11" s="3"/>
      <c r="FT11" s="3">
        <v>17372000</v>
      </c>
      <c r="FU11" s="3">
        <v>6409000</v>
      </c>
      <c r="FV11" s="3">
        <v>9315000</v>
      </c>
      <c r="FW11" s="3">
        <v>33096000</v>
      </c>
      <c r="FX11" s="3">
        <v>17372000</v>
      </c>
      <c r="FY11" s="3">
        <v>6409000</v>
      </c>
      <c r="FZ11" s="3">
        <v>9315000</v>
      </c>
      <c r="GA11" s="3">
        <v>33096000</v>
      </c>
      <c r="GB11" s="3">
        <v>17372000</v>
      </c>
      <c r="GC11" s="3">
        <v>6409000</v>
      </c>
      <c r="GD11" s="3">
        <v>9315000</v>
      </c>
      <c r="GE11" s="3">
        <v>33096000</v>
      </c>
      <c r="GF11" s="3">
        <v>17531000</v>
      </c>
      <c r="GG11" s="3">
        <v>6409000</v>
      </c>
      <c r="GH11" s="3">
        <v>9156000</v>
      </c>
      <c r="GI11" s="3">
        <v>33096000</v>
      </c>
      <c r="GJ11" s="3">
        <v>17531000</v>
      </c>
      <c r="GK11" s="3">
        <v>6409000</v>
      </c>
      <c r="GL11" s="3">
        <v>9156000</v>
      </c>
      <c r="GM11" s="3">
        <v>33096000</v>
      </c>
      <c r="GN11" s="3">
        <v>17531000</v>
      </c>
      <c r="GO11" s="3">
        <v>6130923.4199999999</v>
      </c>
      <c r="GP11" s="3">
        <v>8516000</v>
      </c>
      <c r="GQ11" s="3">
        <v>32177923.420000002</v>
      </c>
      <c r="GR11" s="3">
        <v>17466300</v>
      </c>
      <c r="GS11" s="3">
        <v>5804815.21</v>
      </c>
      <c r="GT11" s="3">
        <v>0</v>
      </c>
      <c r="GU11" s="3">
        <v>23271115.210000001</v>
      </c>
      <c r="GV11" s="3">
        <v>15955000</v>
      </c>
      <c r="GW11" s="3">
        <v>8995000</v>
      </c>
      <c r="GX11" s="3">
        <v>0</v>
      </c>
      <c r="GY11" s="3">
        <v>24950000</v>
      </c>
      <c r="GZ11" s="3">
        <v>15955000</v>
      </c>
      <c r="HA11" s="3">
        <v>8995000</v>
      </c>
      <c r="HB11" s="3">
        <v>0</v>
      </c>
      <c r="HC11" s="3">
        <v>24950000</v>
      </c>
      <c r="HD11" s="3">
        <v>15955000</v>
      </c>
      <c r="HE11" s="3">
        <v>8995000</v>
      </c>
      <c r="HF11" s="3">
        <v>0</v>
      </c>
      <c r="HG11" s="3">
        <v>24950000</v>
      </c>
      <c r="HH11" s="3">
        <v>16984950</v>
      </c>
      <c r="HI11" s="3">
        <v>7965050</v>
      </c>
      <c r="HJ11" s="3">
        <v>0</v>
      </c>
      <c r="HK11" s="3">
        <v>24950000</v>
      </c>
      <c r="HL11" s="10">
        <f t="shared" si="0"/>
        <v>0</v>
      </c>
      <c r="HM11" s="3">
        <v>16984950</v>
      </c>
      <c r="HN11" s="3">
        <v>7965050</v>
      </c>
      <c r="HO11" s="3">
        <v>0</v>
      </c>
      <c r="HP11" s="3">
        <v>24950000</v>
      </c>
      <c r="HQ11" s="3">
        <v>16984950</v>
      </c>
      <c r="HR11" s="3">
        <v>7561094.7000000002</v>
      </c>
      <c r="HS11" s="3">
        <v>0</v>
      </c>
      <c r="HT11" s="3">
        <v>24546044.699999999</v>
      </c>
      <c r="HU11" s="10">
        <f t="shared" si="1"/>
        <v>0</v>
      </c>
      <c r="HV11" s="3">
        <v>16984950</v>
      </c>
      <c r="HW11" s="3">
        <v>6454142.9800000004</v>
      </c>
      <c r="HX11" s="3">
        <v>0</v>
      </c>
      <c r="HY11" s="3">
        <v>23439092.98</v>
      </c>
      <c r="HZ11" s="10">
        <f t="shared" si="2"/>
        <v>0</v>
      </c>
      <c r="IA11" s="3">
        <v>17538000</v>
      </c>
      <c r="IB11" s="3">
        <v>6642000</v>
      </c>
      <c r="IC11" s="3">
        <v>0</v>
      </c>
      <c r="ID11" s="3">
        <v>24180000</v>
      </c>
      <c r="IE11" s="3">
        <v>17538000</v>
      </c>
      <c r="IF11" s="3">
        <v>6642000</v>
      </c>
      <c r="IG11" s="3">
        <v>0</v>
      </c>
      <c r="IH11" s="3">
        <v>24180000</v>
      </c>
    </row>
    <row r="12" spans="1:242" x14ac:dyDescent="0.25">
      <c r="A12" t="s">
        <v>1170</v>
      </c>
      <c r="B12" t="s">
        <v>1171</v>
      </c>
      <c r="C12" t="s">
        <v>199</v>
      </c>
      <c r="D12" t="s">
        <v>200</v>
      </c>
      <c r="E12" t="s">
        <v>241</v>
      </c>
      <c r="F12" t="s">
        <v>533</v>
      </c>
      <c r="G12" t="s">
        <v>1182</v>
      </c>
      <c r="H12" s="3">
        <v>38388000</v>
      </c>
      <c r="I12" s="3">
        <v>24468000</v>
      </c>
      <c r="J12" s="3">
        <v>0</v>
      </c>
      <c r="K12" s="3">
        <v>62856000</v>
      </c>
      <c r="L12" s="3">
        <v>38388000</v>
      </c>
      <c r="M12" s="3">
        <v>24468000</v>
      </c>
      <c r="N12" s="3">
        <v>0</v>
      </c>
      <c r="O12" s="3">
        <v>62856000</v>
      </c>
      <c r="P12" s="3">
        <v>38388000</v>
      </c>
      <c r="Q12" s="3">
        <v>24468000</v>
      </c>
      <c r="R12" s="3">
        <v>0</v>
      </c>
      <c r="S12" s="3">
        <v>62856000</v>
      </c>
      <c r="T12" s="3">
        <v>38638000</v>
      </c>
      <c r="U12" s="3">
        <v>24218000</v>
      </c>
      <c r="V12" s="3">
        <v>0</v>
      </c>
      <c r="W12" s="3">
        <v>62856000</v>
      </c>
      <c r="X12" s="3">
        <v>38638000</v>
      </c>
      <c r="Y12" s="3">
        <v>24218000</v>
      </c>
      <c r="Z12" s="3">
        <v>0</v>
      </c>
      <c r="AA12" s="3">
        <v>62856000</v>
      </c>
      <c r="AB12" s="3">
        <v>38638000</v>
      </c>
      <c r="AC12" s="3">
        <v>19179755.280000001</v>
      </c>
      <c r="AD12" s="3">
        <v>0</v>
      </c>
      <c r="AE12" s="3">
        <v>57817755.280000001</v>
      </c>
      <c r="AF12" s="3">
        <v>38273374.390000001</v>
      </c>
      <c r="AG12" s="3">
        <v>16929809.649999999</v>
      </c>
      <c r="AH12" s="3">
        <v>0</v>
      </c>
      <c r="AI12" s="3">
        <v>55203184.039999999</v>
      </c>
      <c r="AJ12" s="3">
        <v>48112000</v>
      </c>
      <c r="AK12" s="3">
        <v>26047000</v>
      </c>
      <c r="AL12" s="3">
        <v>0</v>
      </c>
      <c r="AM12" s="3">
        <v>74159000</v>
      </c>
      <c r="AN12" s="3">
        <v>48112000</v>
      </c>
      <c r="AO12" s="3">
        <v>26047000</v>
      </c>
      <c r="AP12" s="3">
        <v>0</v>
      </c>
      <c r="AQ12" s="3">
        <v>74159000</v>
      </c>
      <c r="AR12" s="3">
        <v>48112000</v>
      </c>
      <c r="AS12" s="3">
        <v>26047000</v>
      </c>
      <c r="AT12" s="3">
        <v>0</v>
      </c>
      <c r="AU12" s="3">
        <v>74159000</v>
      </c>
      <c r="AV12" s="3">
        <v>48112000</v>
      </c>
      <c r="AW12" s="3">
        <v>26047000</v>
      </c>
      <c r="AX12" s="3">
        <v>0</v>
      </c>
      <c r="AY12" s="3">
        <v>74159000</v>
      </c>
      <c r="AZ12" s="3">
        <v>48112000</v>
      </c>
      <c r="BA12" s="3">
        <v>26047000</v>
      </c>
      <c r="BB12" s="3">
        <v>0</v>
      </c>
      <c r="BC12" s="3">
        <v>74159000</v>
      </c>
      <c r="BD12" s="3">
        <v>48112000</v>
      </c>
      <c r="BE12" s="3">
        <v>26047000</v>
      </c>
      <c r="BF12" s="3">
        <v>0</v>
      </c>
      <c r="BG12" s="3">
        <v>74159000</v>
      </c>
      <c r="BH12" s="3">
        <v>47923666.600000001</v>
      </c>
      <c r="BI12" s="3">
        <v>20379588.309999999</v>
      </c>
      <c r="BJ12" s="3">
        <v>0</v>
      </c>
      <c r="BK12" s="3">
        <v>68303254.909999996</v>
      </c>
      <c r="BL12" s="3">
        <v>53843000</v>
      </c>
      <c r="BM12" s="3">
        <v>39248000</v>
      </c>
      <c r="BN12" s="3">
        <v>0</v>
      </c>
      <c r="BO12" s="3">
        <v>93091000</v>
      </c>
      <c r="BP12" s="3">
        <v>53843000</v>
      </c>
      <c r="BQ12" s="3">
        <v>39248000</v>
      </c>
      <c r="BR12" s="3">
        <v>0</v>
      </c>
      <c r="BS12" s="3">
        <v>93091000</v>
      </c>
      <c r="BT12" s="3">
        <v>53843000</v>
      </c>
      <c r="BU12" s="3">
        <v>39248000</v>
      </c>
      <c r="BV12" s="3">
        <v>0</v>
      </c>
      <c r="BW12" s="3">
        <v>93091000</v>
      </c>
      <c r="BX12" s="6">
        <v>54843000</v>
      </c>
      <c r="BY12" s="6">
        <v>15876000</v>
      </c>
      <c r="BZ12" s="3">
        <v>0</v>
      </c>
      <c r="CA12" s="3">
        <v>70719000</v>
      </c>
      <c r="CB12" s="3">
        <v>54843000</v>
      </c>
      <c r="CC12" s="3">
        <v>15876000</v>
      </c>
      <c r="CD12" s="3">
        <v>0</v>
      </c>
      <c r="CE12" s="3">
        <v>70719000</v>
      </c>
      <c r="CF12" s="3">
        <v>54843000</v>
      </c>
      <c r="CG12" s="3">
        <v>12450960.83</v>
      </c>
      <c r="CH12" s="3">
        <v>0</v>
      </c>
      <c r="CI12" s="3">
        <v>67293960.829999998</v>
      </c>
      <c r="CJ12" s="3">
        <v>54827000</v>
      </c>
      <c r="CK12" s="3">
        <v>6934936</v>
      </c>
      <c r="CL12" s="3">
        <v>0</v>
      </c>
      <c r="CM12" s="3">
        <v>61761936</v>
      </c>
      <c r="CN12" s="3">
        <v>59701000</v>
      </c>
      <c r="CO12" s="3">
        <v>38308000</v>
      </c>
      <c r="CP12" s="3">
        <v>0</v>
      </c>
      <c r="CQ12" s="3">
        <v>98009000</v>
      </c>
      <c r="CR12" s="3">
        <v>59701000</v>
      </c>
      <c r="CS12" s="3">
        <v>44308000</v>
      </c>
      <c r="CT12" s="3">
        <v>0</v>
      </c>
      <c r="CU12" s="3">
        <v>104009000</v>
      </c>
      <c r="CV12" s="3"/>
      <c r="CW12" s="3"/>
      <c r="CX12" s="3"/>
      <c r="CY12" s="3"/>
      <c r="CZ12" s="3"/>
      <c r="DA12" s="3"/>
      <c r="DB12" s="3"/>
      <c r="DC12" s="3"/>
      <c r="DD12" s="3"/>
      <c r="DE12" s="3"/>
      <c r="DF12" s="3"/>
      <c r="DG12" s="3"/>
      <c r="DH12" s="3"/>
      <c r="DI12" s="3"/>
      <c r="DJ12" s="3"/>
      <c r="DK12" s="3"/>
      <c r="DL12" s="3"/>
      <c r="DM12" s="3"/>
      <c r="DN12" s="3"/>
      <c r="DO12" s="3"/>
      <c r="DP12" s="3">
        <v>64777000</v>
      </c>
      <c r="DQ12" s="3">
        <v>38308000</v>
      </c>
      <c r="DR12" s="3">
        <v>0</v>
      </c>
      <c r="DS12" s="3">
        <v>103085000</v>
      </c>
      <c r="DT12" s="3">
        <v>64777000</v>
      </c>
      <c r="DU12" s="3">
        <v>42308000</v>
      </c>
      <c r="DV12" s="3">
        <v>0</v>
      </c>
      <c r="DW12" s="3">
        <v>107085000</v>
      </c>
      <c r="DX12" s="3"/>
      <c r="DY12" s="3"/>
      <c r="DZ12" s="3"/>
      <c r="EA12" s="3"/>
      <c r="EB12" s="3"/>
      <c r="EC12" s="3"/>
      <c r="ED12" s="3"/>
      <c r="EE12" s="3"/>
      <c r="EF12" s="3"/>
      <c r="EG12" s="3"/>
      <c r="EH12" s="3"/>
      <c r="EI12" s="3"/>
      <c r="EJ12" s="3"/>
      <c r="EK12" s="3"/>
      <c r="EL12" s="3"/>
      <c r="EM12" s="3"/>
      <c r="EN12" s="3"/>
      <c r="EO12" s="3"/>
      <c r="EP12" s="3"/>
      <c r="EQ12" s="3"/>
      <c r="ER12" s="3">
        <v>70622000</v>
      </c>
      <c r="ES12" s="3">
        <v>38308000</v>
      </c>
      <c r="ET12" s="3">
        <v>0</v>
      </c>
      <c r="EU12" s="3">
        <v>108930000</v>
      </c>
      <c r="EV12" s="3">
        <v>70622000</v>
      </c>
      <c r="EW12" s="3">
        <v>38308000</v>
      </c>
      <c r="EX12" s="3">
        <v>0</v>
      </c>
      <c r="EY12" s="3">
        <v>108930000</v>
      </c>
      <c r="EZ12" s="3"/>
      <c r="FA12" s="3"/>
      <c r="FB12" s="3"/>
      <c r="FC12" s="3"/>
      <c r="FD12" s="3"/>
      <c r="FE12" s="3"/>
      <c r="FF12" s="3"/>
      <c r="FG12" s="3"/>
      <c r="FH12" s="3"/>
      <c r="FI12" s="3"/>
      <c r="FJ12" s="3"/>
      <c r="FK12" s="3"/>
      <c r="FL12" s="3"/>
      <c r="FM12" s="3"/>
      <c r="FN12" s="3"/>
      <c r="FO12" s="3"/>
      <c r="FP12" s="3"/>
      <c r="FQ12" s="3"/>
      <c r="FR12" s="3"/>
      <c r="FS12" s="3"/>
      <c r="FT12" s="3">
        <v>65575000</v>
      </c>
      <c r="FU12" s="3">
        <v>41976000</v>
      </c>
      <c r="FV12" s="3">
        <v>0</v>
      </c>
      <c r="FW12" s="3">
        <v>107551000</v>
      </c>
      <c r="FX12" s="3">
        <v>65575000</v>
      </c>
      <c r="FY12" s="3">
        <v>44976000</v>
      </c>
      <c r="FZ12" s="3">
        <v>0</v>
      </c>
      <c r="GA12" s="3">
        <v>110551000</v>
      </c>
      <c r="GB12" s="3">
        <v>65575000</v>
      </c>
      <c r="GC12" s="3">
        <v>44976000</v>
      </c>
      <c r="GD12" s="3">
        <v>0</v>
      </c>
      <c r="GE12" s="3">
        <v>110551000</v>
      </c>
      <c r="GF12" s="3">
        <v>65575000</v>
      </c>
      <c r="GG12" s="3">
        <v>44976000</v>
      </c>
      <c r="GH12" s="3">
        <v>0</v>
      </c>
      <c r="GI12" s="3">
        <v>110551000</v>
      </c>
      <c r="GJ12" s="3">
        <v>65575000</v>
      </c>
      <c r="GK12" s="3">
        <v>44976000</v>
      </c>
      <c r="GL12" s="3">
        <v>0</v>
      </c>
      <c r="GM12" s="3">
        <v>110551000</v>
      </c>
      <c r="GN12" s="3">
        <v>65575000</v>
      </c>
      <c r="GO12" s="3">
        <v>43260047.75</v>
      </c>
      <c r="GP12" s="3">
        <v>0</v>
      </c>
      <c r="GQ12" s="3">
        <v>108835047.75</v>
      </c>
      <c r="GR12" s="3">
        <v>65575000</v>
      </c>
      <c r="GS12" s="3">
        <v>40931022.729999997</v>
      </c>
      <c r="GT12" s="3">
        <v>0</v>
      </c>
      <c r="GU12" s="3">
        <v>106506022.73</v>
      </c>
      <c r="GV12" s="3">
        <v>67884000</v>
      </c>
      <c r="GW12" s="3">
        <v>58306000</v>
      </c>
      <c r="GX12" s="3">
        <v>4525000</v>
      </c>
      <c r="GY12" s="3">
        <v>130715000</v>
      </c>
      <c r="GZ12" s="3">
        <v>67884000</v>
      </c>
      <c r="HA12" s="3">
        <v>58306000</v>
      </c>
      <c r="HB12" s="3">
        <v>4525000</v>
      </c>
      <c r="HC12" s="3">
        <v>130715000</v>
      </c>
      <c r="HD12" s="3">
        <v>67884000</v>
      </c>
      <c r="HE12" s="3">
        <v>58306000</v>
      </c>
      <c r="HF12" s="3">
        <v>4525000</v>
      </c>
      <c r="HG12" s="3">
        <v>130715000</v>
      </c>
      <c r="HH12" s="3">
        <v>69790119</v>
      </c>
      <c r="HI12" s="3">
        <v>56587950</v>
      </c>
      <c r="HJ12" s="3">
        <v>4336931</v>
      </c>
      <c r="HK12" s="3">
        <v>130715000</v>
      </c>
      <c r="HL12" s="10">
        <f t="shared" si="0"/>
        <v>0</v>
      </c>
      <c r="HM12" s="3">
        <v>69790119</v>
      </c>
      <c r="HN12" s="3">
        <v>56587950</v>
      </c>
      <c r="HO12" s="3">
        <v>4336931</v>
      </c>
      <c r="HP12" s="3">
        <v>130715000</v>
      </c>
      <c r="HQ12" s="3">
        <v>69790119</v>
      </c>
      <c r="HR12" s="3">
        <v>51587006.159999996</v>
      </c>
      <c r="HS12" s="3">
        <v>3616890.6</v>
      </c>
      <c r="HT12" s="3">
        <v>124994015.76000001</v>
      </c>
      <c r="HU12" s="10">
        <f t="shared" si="1"/>
        <v>0</v>
      </c>
      <c r="HV12" s="3">
        <v>69784119</v>
      </c>
      <c r="HW12" s="3">
        <v>33976751.100000001</v>
      </c>
      <c r="HX12" s="3">
        <v>1016930.6</v>
      </c>
      <c r="HY12" s="3">
        <v>104777800.7</v>
      </c>
      <c r="HZ12" s="10">
        <f t="shared" si="2"/>
        <v>0</v>
      </c>
      <c r="IA12" s="3">
        <v>77252000</v>
      </c>
      <c r="IB12" s="3">
        <v>60764000</v>
      </c>
      <c r="IC12" s="3">
        <v>17035000</v>
      </c>
      <c r="ID12" s="3">
        <v>155051000</v>
      </c>
      <c r="IE12" s="3">
        <v>77252000</v>
      </c>
      <c r="IF12" s="3">
        <v>60764000</v>
      </c>
      <c r="IG12" s="3">
        <v>12278000</v>
      </c>
      <c r="IH12" s="3">
        <v>150294000</v>
      </c>
    </row>
    <row r="13" spans="1:242" x14ac:dyDescent="0.25">
      <c r="A13" t="s">
        <v>1170</v>
      </c>
      <c r="B13" t="s">
        <v>1171</v>
      </c>
      <c r="C13" t="s">
        <v>199</v>
      </c>
      <c r="D13" t="s">
        <v>200</v>
      </c>
      <c r="E13" t="s">
        <v>292</v>
      </c>
      <c r="F13" t="s">
        <v>293</v>
      </c>
      <c r="G13" t="s">
        <v>1183</v>
      </c>
      <c r="H13" s="3">
        <v>6759000</v>
      </c>
      <c r="I13" s="3">
        <v>11954000</v>
      </c>
      <c r="J13" s="3">
        <v>0</v>
      </c>
      <c r="K13" s="3">
        <v>18713000</v>
      </c>
      <c r="L13" s="3">
        <v>6759000</v>
      </c>
      <c r="M13" s="3">
        <v>11954000</v>
      </c>
      <c r="N13" s="3">
        <v>0</v>
      </c>
      <c r="O13" s="3">
        <v>18713000</v>
      </c>
      <c r="P13" s="3">
        <v>6759000</v>
      </c>
      <c r="Q13" s="3">
        <v>11954000</v>
      </c>
      <c r="R13" s="3">
        <v>0</v>
      </c>
      <c r="S13" s="3">
        <v>18713000</v>
      </c>
      <c r="T13" s="3">
        <v>6959000</v>
      </c>
      <c r="U13" s="3">
        <v>11754000</v>
      </c>
      <c r="V13" s="3">
        <v>0</v>
      </c>
      <c r="W13" s="3">
        <v>18713000</v>
      </c>
      <c r="X13" s="3">
        <v>6959000</v>
      </c>
      <c r="Y13" s="3">
        <v>11754000</v>
      </c>
      <c r="Z13" s="3">
        <v>0</v>
      </c>
      <c r="AA13" s="3">
        <v>18713000</v>
      </c>
      <c r="AB13" s="3">
        <v>6959000</v>
      </c>
      <c r="AC13" s="3">
        <v>11747030.17</v>
      </c>
      <c r="AD13" s="3">
        <v>0</v>
      </c>
      <c r="AE13" s="3">
        <v>18706030.170000002</v>
      </c>
      <c r="AF13" s="3">
        <v>6891000</v>
      </c>
      <c r="AG13" s="3">
        <v>10898764.98</v>
      </c>
      <c r="AH13" s="3">
        <v>0</v>
      </c>
      <c r="AI13" s="3">
        <v>17789764.98</v>
      </c>
      <c r="AJ13" s="3">
        <v>9361000</v>
      </c>
      <c r="AK13" s="3">
        <v>2610000</v>
      </c>
      <c r="AL13" s="3">
        <v>0</v>
      </c>
      <c r="AM13" s="3">
        <v>11971000</v>
      </c>
      <c r="AN13" s="3">
        <v>9361000</v>
      </c>
      <c r="AO13" s="3">
        <v>2610000</v>
      </c>
      <c r="AP13" s="3">
        <v>0</v>
      </c>
      <c r="AQ13" s="3">
        <v>11971000</v>
      </c>
      <c r="AR13" s="3">
        <v>9361000</v>
      </c>
      <c r="AS13" s="3">
        <v>2610000</v>
      </c>
      <c r="AT13" s="3">
        <v>0</v>
      </c>
      <c r="AU13" s="3">
        <v>11971000</v>
      </c>
      <c r="AV13" s="3">
        <v>9361000</v>
      </c>
      <c r="AW13" s="3">
        <v>2610000</v>
      </c>
      <c r="AX13" s="3">
        <v>0</v>
      </c>
      <c r="AY13" s="3">
        <v>11971000</v>
      </c>
      <c r="AZ13" s="3">
        <v>9361000</v>
      </c>
      <c r="BA13" s="3">
        <v>2610000</v>
      </c>
      <c r="BB13" s="3">
        <v>0</v>
      </c>
      <c r="BC13" s="3">
        <v>11971000</v>
      </c>
      <c r="BD13" s="3">
        <v>9361000</v>
      </c>
      <c r="BE13" s="3">
        <v>2610000</v>
      </c>
      <c r="BF13" s="3">
        <v>0</v>
      </c>
      <c r="BG13" s="3">
        <v>11971000</v>
      </c>
      <c r="BH13" s="3">
        <v>9321666.6999999993</v>
      </c>
      <c r="BI13" s="3">
        <v>1564217.03</v>
      </c>
      <c r="BJ13" s="3">
        <v>0</v>
      </c>
      <c r="BK13" s="3">
        <v>10885883.73</v>
      </c>
      <c r="BL13" s="3">
        <v>9436000</v>
      </c>
      <c r="BM13" s="3">
        <v>21285000</v>
      </c>
      <c r="BN13" s="3">
        <v>0</v>
      </c>
      <c r="BO13" s="3">
        <v>30721000</v>
      </c>
      <c r="BP13" s="3">
        <v>9436000</v>
      </c>
      <c r="BQ13" s="3">
        <v>21285000</v>
      </c>
      <c r="BR13" s="3">
        <v>0</v>
      </c>
      <c r="BS13" s="3">
        <v>30721000</v>
      </c>
      <c r="BT13" s="3">
        <v>9436000</v>
      </c>
      <c r="BU13" s="3">
        <v>21285000</v>
      </c>
      <c r="BV13" s="3">
        <v>0</v>
      </c>
      <c r="BW13" s="3">
        <v>30721000</v>
      </c>
      <c r="BX13" s="6">
        <v>9436000</v>
      </c>
      <c r="BY13" s="6">
        <v>5612000</v>
      </c>
      <c r="BZ13" s="3">
        <v>0</v>
      </c>
      <c r="CA13" s="3">
        <v>15048000</v>
      </c>
      <c r="CB13" s="3">
        <v>9436000</v>
      </c>
      <c r="CC13" s="3">
        <v>5612000</v>
      </c>
      <c r="CD13" s="3">
        <v>0</v>
      </c>
      <c r="CE13" s="3">
        <v>15048000</v>
      </c>
      <c r="CF13" s="3">
        <v>9436000</v>
      </c>
      <c r="CG13" s="3">
        <v>5034165.8</v>
      </c>
      <c r="CH13" s="3">
        <v>0</v>
      </c>
      <c r="CI13" s="3">
        <v>14470165.800000001</v>
      </c>
      <c r="CJ13" s="3">
        <v>9434583.3699999992</v>
      </c>
      <c r="CK13" s="3">
        <v>3355219.76</v>
      </c>
      <c r="CL13" s="3">
        <v>0</v>
      </c>
      <c r="CM13" s="3">
        <v>12789803.130000001</v>
      </c>
      <c r="CN13" s="3">
        <v>11242000</v>
      </c>
      <c r="CO13" s="3">
        <v>2083000</v>
      </c>
      <c r="CP13" s="3">
        <v>0</v>
      </c>
      <c r="CQ13" s="3">
        <v>13325000</v>
      </c>
      <c r="CR13" s="3">
        <v>11242000</v>
      </c>
      <c r="CS13" s="3">
        <v>2083000</v>
      </c>
      <c r="CT13" s="3">
        <v>0</v>
      </c>
      <c r="CU13" s="3">
        <v>13325000</v>
      </c>
      <c r="CV13" s="3"/>
      <c r="CW13" s="3"/>
      <c r="CX13" s="3"/>
      <c r="CY13" s="3"/>
      <c r="CZ13" s="3"/>
      <c r="DA13" s="3"/>
      <c r="DB13" s="3"/>
      <c r="DC13" s="3"/>
      <c r="DD13" s="3"/>
      <c r="DE13" s="3"/>
      <c r="DF13" s="3"/>
      <c r="DG13" s="3"/>
      <c r="DH13" s="3"/>
      <c r="DI13" s="3"/>
      <c r="DJ13" s="3"/>
      <c r="DK13" s="3"/>
      <c r="DL13" s="3"/>
      <c r="DM13" s="3"/>
      <c r="DN13" s="3"/>
      <c r="DO13" s="3"/>
      <c r="DP13" s="3">
        <v>12393000</v>
      </c>
      <c r="DQ13" s="3">
        <v>2083000</v>
      </c>
      <c r="DR13" s="3">
        <v>0</v>
      </c>
      <c r="DS13" s="3">
        <v>14476000</v>
      </c>
      <c r="DT13" s="3">
        <v>12393000</v>
      </c>
      <c r="DU13" s="3">
        <v>2083000</v>
      </c>
      <c r="DV13" s="3">
        <v>0</v>
      </c>
      <c r="DW13" s="3">
        <v>14476000</v>
      </c>
      <c r="DX13" s="3"/>
      <c r="DY13" s="3"/>
      <c r="DZ13" s="3"/>
      <c r="EA13" s="3"/>
      <c r="EB13" s="3"/>
      <c r="EC13" s="3"/>
      <c r="ED13" s="3"/>
      <c r="EE13" s="3"/>
      <c r="EF13" s="3"/>
      <c r="EG13" s="3"/>
      <c r="EH13" s="3"/>
      <c r="EI13" s="3"/>
      <c r="EJ13" s="3"/>
      <c r="EK13" s="3"/>
      <c r="EL13" s="3"/>
      <c r="EM13" s="3"/>
      <c r="EN13" s="3"/>
      <c r="EO13" s="3"/>
      <c r="EP13" s="3"/>
      <c r="EQ13" s="3"/>
      <c r="ER13" s="3">
        <v>9642000</v>
      </c>
      <c r="ES13" s="3">
        <v>2035000</v>
      </c>
      <c r="ET13" s="3">
        <v>0</v>
      </c>
      <c r="EU13" s="3">
        <v>11677000</v>
      </c>
      <c r="EV13" s="3">
        <v>9642000</v>
      </c>
      <c r="EW13" s="3">
        <v>2035000</v>
      </c>
      <c r="EX13" s="3">
        <v>0</v>
      </c>
      <c r="EY13" s="3">
        <v>11677000</v>
      </c>
      <c r="EZ13" s="3"/>
      <c r="FA13" s="3"/>
      <c r="FB13" s="3"/>
      <c r="FC13" s="3"/>
      <c r="FD13" s="3"/>
      <c r="FE13" s="3"/>
      <c r="FF13" s="3"/>
      <c r="FG13" s="3"/>
      <c r="FH13" s="3"/>
      <c r="FI13" s="3"/>
      <c r="FJ13" s="3"/>
      <c r="FK13" s="3"/>
      <c r="FL13" s="3"/>
      <c r="FM13" s="3"/>
      <c r="FN13" s="3"/>
      <c r="FO13" s="3"/>
      <c r="FP13" s="3"/>
      <c r="FQ13" s="3"/>
      <c r="FR13" s="3"/>
      <c r="FS13" s="3"/>
      <c r="FT13" s="3">
        <v>10385000</v>
      </c>
      <c r="FU13" s="3">
        <v>1568000</v>
      </c>
      <c r="FV13" s="3">
        <v>5010000</v>
      </c>
      <c r="FW13" s="3">
        <v>16963000</v>
      </c>
      <c r="FX13" s="3">
        <v>10385000</v>
      </c>
      <c r="FY13" s="3">
        <v>1568000</v>
      </c>
      <c r="FZ13" s="3">
        <v>5010000</v>
      </c>
      <c r="GA13" s="3">
        <v>16963000</v>
      </c>
      <c r="GB13" s="3">
        <v>10385000</v>
      </c>
      <c r="GC13" s="3">
        <v>1568000</v>
      </c>
      <c r="GD13" s="3">
        <v>5010000</v>
      </c>
      <c r="GE13" s="3">
        <v>16963000</v>
      </c>
      <c r="GF13" s="3">
        <v>11641323</v>
      </c>
      <c r="GG13" s="3">
        <v>1568000</v>
      </c>
      <c r="GH13" s="3">
        <v>3753677</v>
      </c>
      <c r="GI13" s="3">
        <v>16963000</v>
      </c>
      <c r="GJ13" s="3">
        <v>11641323</v>
      </c>
      <c r="GK13" s="3">
        <v>1568000</v>
      </c>
      <c r="GL13" s="3">
        <v>3753677</v>
      </c>
      <c r="GM13" s="3">
        <v>16963000</v>
      </c>
      <c r="GN13" s="3">
        <v>11641323</v>
      </c>
      <c r="GO13" s="3">
        <v>1527366</v>
      </c>
      <c r="GP13" s="3">
        <v>3503677</v>
      </c>
      <c r="GQ13" s="3">
        <v>16672366</v>
      </c>
      <c r="GR13" s="3">
        <v>11641323</v>
      </c>
      <c r="GS13" s="3">
        <v>1461376</v>
      </c>
      <c r="GT13" s="3">
        <v>0</v>
      </c>
      <c r="GU13" s="3">
        <v>13102699</v>
      </c>
      <c r="GV13" s="3">
        <v>12766000</v>
      </c>
      <c r="GW13" s="3">
        <v>1596000</v>
      </c>
      <c r="GX13" s="3">
        <v>0</v>
      </c>
      <c r="GY13" s="3">
        <v>14362000</v>
      </c>
      <c r="GZ13" s="3">
        <v>12766000</v>
      </c>
      <c r="HA13" s="3">
        <v>1596000</v>
      </c>
      <c r="HB13" s="3">
        <v>0</v>
      </c>
      <c r="HC13" s="3">
        <v>14362000</v>
      </c>
      <c r="HD13" s="3">
        <v>12766000</v>
      </c>
      <c r="HE13" s="3">
        <v>1596000</v>
      </c>
      <c r="HF13" s="3">
        <v>0</v>
      </c>
      <c r="HG13" s="3">
        <v>14362000</v>
      </c>
      <c r="HH13" s="3">
        <v>12766000</v>
      </c>
      <c r="HI13" s="3">
        <v>1596000</v>
      </c>
      <c r="HJ13" s="3">
        <v>0</v>
      </c>
      <c r="HK13" s="3">
        <v>14362000</v>
      </c>
      <c r="HL13" s="10">
        <f t="shared" si="0"/>
        <v>0</v>
      </c>
      <c r="HM13" s="3">
        <v>12766000</v>
      </c>
      <c r="HN13" s="3">
        <v>1596000</v>
      </c>
      <c r="HO13" s="3">
        <v>0</v>
      </c>
      <c r="HP13" s="3">
        <v>14362000</v>
      </c>
      <c r="HQ13" s="3">
        <v>12766000</v>
      </c>
      <c r="HR13" s="3">
        <v>1534659.06</v>
      </c>
      <c r="HS13" s="3">
        <v>0</v>
      </c>
      <c r="HT13" s="3">
        <v>14300659.060000001</v>
      </c>
      <c r="HU13" s="10">
        <f t="shared" si="1"/>
        <v>0</v>
      </c>
      <c r="HV13" s="3">
        <v>12766000</v>
      </c>
      <c r="HW13" s="3">
        <v>1488759.06</v>
      </c>
      <c r="HX13" s="3">
        <v>0</v>
      </c>
      <c r="HY13" s="3">
        <v>14254759.060000001</v>
      </c>
      <c r="HZ13" s="10">
        <f t="shared" si="2"/>
        <v>0</v>
      </c>
      <c r="IA13" s="3">
        <v>14587000</v>
      </c>
      <c r="IB13" s="3">
        <v>1625000</v>
      </c>
      <c r="IC13" s="3">
        <v>0</v>
      </c>
      <c r="ID13" s="3">
        <v>16212000</v>
      </c>
      <c r="IE13" s="3">
        <v>14587000</v>
      </c>
      <c r="IF13" s="3">
        <v>1625000</v>
      </c>
      <c r="IG13" s="3">
        <v>0</v>
      </c>
      <c r="IH13" s="3">
        <v>16212000</v>
      </c>
    </row>
    <row r="14" spans="1:242" x14ac:dyDescent="0.25">
      <c r="A14" t="s">
        <v>1170</v>
      </c>
      <c r="B14" t="s">
        <v>1171</v>
      </c>
      <c r="C14" t="s">
        <v>199</v>
      </c>
      <c r="D14" t="s">
        <v>200</v>
      </c>
      <c r="E14" t="s">
        <v>292</v>
      </c>
      <c r="F14" t="s">
        <v>537</v>
      </c>
      <c r="G14" t="s">
        <v>1184</v>
      </c>
      <c r="H14" s="3">
        <v>36600000</v>
      </c>
      <c r="I14" s="3">
        <v>21607000</v>
      </c>
      <c r="J14" s="3">
        <v>0</v>
      </c>
      <c r="K14" s="3">
        <v>58207000</v>
      </c>
      <c r="L14" s="3">
        <v>36600000</v>
      </c>
      <c r="M14" s="3">
        <v>21607000</v>
      </c>
      <c r="N14" s="3">
        <v>0</v>
      </c>
      <c r="O14" s="3">
        <v>58207000</v>
      </c>
      <c r="P14" s="3">
        <v>36600000</v>
      </c>
      <c r="Q14" s="3">
        <v>21607000</v>
      </c>
      <c r="R14" s="3">
        <v>0</v>
      </c>
      <c r="S14" s="3">
        <v>58207000</v>
      </c>
      <c r="T14" s="3">
        <v>36900000</v>
      </c>
      <c r="U14" s="3">
        <v>21307000</v>
      </c>
      <c r="V14" s="3">
        <v>0</v>
      </c>
      <c r="W14" s="3">
        <v>58207000</v>
      </c>
      <c r="X14" s="3">
        <v>36900000</v>
      </c>
      <c r="Y14" s="3">
        <v>21307000</v>
      </c>
      <c r="Z14" s="3">
        <v>0</v>
      </c>
      <c r="AA14" s="3">
        <v>58207000</v>
      </c>
      <c r="AB14" s="3">
        <v>36900000</v>
      </c>
      <c r="AC14" s="3">
        <v>21306374.280000001</v>
      </c>
      <c r="AD14" s="3">
        <v>0</v>
      </c>
      <c r="AE14" s="3">
        <v>58206374.280000001</v>
      </c>
      <c r="AF14" s="3">
        <v>36537547.159999996</v>
      </c>
      <c r="AG14" s="3">
        <v>19216495.800000001</v>
      </c>
      <c r="AH14" s="3">
        <v>0</v>
      </c>
      <c r="AI14" s="3">
        <v>55754042.960000001</v>
      </c>
      <c r="AJ14" s="3">
        <v>42018000</v>
      </c>
      <c r="AK14" s="3">
        <v>32100000</v>
      </c>
      <c r="AL14" s="3">
        <v>0</v>
      </c>
      <c r="AM14" s="3">
        <v>74118000</v>
      </c>
      <c r="AN14" s="3">
        <v>42018000</v>
      </c>
      <c r="AO14" s="3">
        <v>32100000</v>
      </c>
      <c r="AP14" s="3">
        <v>0</v>
      </c>
      <c r="AQ14" s="3">
        <v>74118000</v>
      </c>
      <c r="AR14" s="3">
        <v>42018000</v>
      </c>
      <c r="AS14" s="3">
        <v>32100000</v>
      </c>
      <c r="AT14" s="3">
        <v>0</v>
      </c>
      <c r="AU14" s="3">
        <v>74118000</v>
      </c>
      <c r="AV14" s="3">
        <v>42018000</v>
      </c>
      <c r="AW14" s="3">
        <v>32100000</v>
      </c>
      <c r="AX14" s="3">
        <v>0</v>
      </c>
      <c r="AY14" s="3">
        <v>74118000</v>
      </c>
      <c r="AZ14" s="3">
        <v>42018000</v>
      </c>
      <c r="BA14" s="3">
        <v>32100000</v>
      </c>
      <c r="BB14" s="3">
        <v>0</v>
      </c>
      <c r="BC14" s="3">
        <v>74118000</v>
      </c>
      <c r="BD14" s="3">
        <v>42018000</v>
      </c>
      <c r="BE14" s="3">
        <v>31803450.859999999</v>
      </c>
      <c r="BF14" s="3">
        <v>0</v>
      </c>
      <c r="BG14" s="3">
        <v>73821450.859999999</v>
      </c>
      <c r="BH14" s="3">
        <v>41850333.299999997</v>
      </c>
      <c r="BI14" s="3">
        <v>24204267.41</v>
      </c>
      <c r="BJ14" s="3">
        <v>0</v>
      </c>
      <c r="BK14" s="3">
        <v>66054600.710000001</v>
      </c>
      <c r="BL14" s="3">
        <v>45679000</v>
      </c>
      <c r="BM14" s="3">
        <v>30120000</v>
      </c>
      <c r="BN14" s="3">
        <v>0</v>
      </c>
      <c r="BO14" s="3">
        <v>75799000</v>
      </c>
      <c r="BP14" s="3">
        <v>45679000</v>
      </c>
      <c r="BQ14" s="3">
        <v>30120000</v>
      </c>
      <c r="BR14" s="3">
        <v>0</v>
      </c>
      <c r="BS14" s="3">
        <v>75799000</v>
      </c>
      <c r="BT14" s="3">
        <v>45679000</v>
      </c>
      <c r="BU14" s="3">
        <v>30120000</v>
      </c>
      <c r="BV14" s="3">
        <v>0</v>
      </c>
      <c r="BW14" s="3">
        <v>75799000</v>
      </c>
      <c r="BX14" s="6">
        <v>45679000</v>
      </c>
      <c r="BY14" s="6">
        <v>27252000</v>
      </c>
      <c r="BZ14" s="3">
        <v>0</v>
      </c>
      <c r="CA14" s="3">
        <v>72931000</v>
      </c>
      <c r="CB14" s="3">
        <v>45679000</v>
      </c>
      <c r="CC14" s="3">
        <v>27252000</v>
      </c>
      <c r="CD14" s="3">
        <v>0</v>
      </c>
      <c r="CE14" s="3">
        <v>72931000</v>
      </c>
      <c r="CF14" s="3">
        <v>45679000</v>
      </c>
      <c r="CG14" s="3">
        <v>21084517.32</v>
      </c>
      <c r="CH14" s="3">
        <v>0</v>
      </c>
      <c r="CI14" s="3">
        <v>66763517.32</v>
      </c>
      <c r="CJ14" s="3">
        <v>45672083.369999997</v>
      </c>
      <c r="CK14" s="3">
        <v>10854947.17</v>
      </c>
      <c r="CL14" s="3">
        <v>0</v>
      </c>
      <c r="CM14" s="3">
        <v>56527030.539999999</v>
      </c>
      <c r="CN14" s="3">
        <v>48990000</v>
      </c>
      <c r="CO14" s="3">
        <v>36455000</v>
      </c>
      <c r="CP14" s="3">
        <v>0</v>
      </c>
      <c r="CQ14" s="3">
        <v>85445000</v>
      </c>
      <c r="CR14" s="3">
        <v>48990000</v>
      </c>
      <c r="CS14" s="3">
        <v>36455000</v>
      </c>
      <c r="CT14" s="3">
        <v>0</v>
      </c>
      <c r="CU14" s="3">
        <v>85445000</v>
      </c>
      <c r="CV14" s="3"/>
      <c r="CW14" s="3"/>
      <c r="CX14" s="3"/>
      <c r="CY14" s="3"/>
      <c r="CZ14" s="3"/>
      <c r="DA14" s="3"/>
      <c r="DB14" s="3"/>
      <c r="DC14" s="3"/>
      <c r="DD14" s="3"/>
      <c r="DE14" s="3"/>
      <c r="DF14" s="3"/>
      <c r="DG14" s="3"/>
      <c r="DH14" s="3"/>
      <c r="DI14" s="3"/>
      <c r="DJ14" s="3"/>
      <c r="DK14" s="3"/>
      <c r="DL14" s="3"/>
      <c r="DM14" s="3"/>
      <c r="DN14" s="3"/>
      <c r="DO14" s="3"/>
      <c r="DP14" s="3">
        <v>51858000</v>
      </c>
      <c r="DQ14" s="3">
        <v>36455000</v>
      </c>
      <c r="DR14" s="3">
        <v>0</v>
      </c>
      <c r="DS14" s="3">
        <v>88313000</v>
      </c>
      <c r="DT14" s="3">
        <v>51858000</v>
      </c>
      <c r="DU14" s="3">
        <v>41455000</v>
      </c>
      <c r="DV14" s="3">
        <v>0</v>
      </c>
      <c r="DW14" s="3">
        <v>93313000</v>
      </c>
      <c r="DX14" s="3"/>
      <c r="DY14" s="3"/>
      <c r="DZ14" s="3"/>
      <c r="EA14" s="3"/>
      <c r="EB14" s="3"/>
      <c r="EC14" s="3"/>
      <c r="ED14" s="3"/>
      <c r="EE14" s="3"/>
      <c r="EF14" s="3"/>
      <c r="EG14" s="3"/>
      <c r="EH14" s="3"/>
      <c r="EI14" s="3"/>
      <c r="EJ14" s="3"/>
      <c r="EK14" s="3"/>
      <c r="EL14" s="3"/>
      <c r="EM14" s="3"/>
      <c r="EN14" s="3"/>
      <c r="EO14" s="3"/>
      <c r="EP14" s="3"/>
      <c r="EQ14" s="3"/>
      <c r="ER14" s="3">
        <v>53079000</v>
      </c>
      <c r="ES14" s="3">
        <v>36443000</v>
      </c>
      <c r="ET14" s="3">
        <v>0</v>
      </c>
      <c r="EU14" s="3">
        <v>89522000</v>
      </c>
      <c r="EV14" s="3">
        <v>53079000</v>
      </c>
      <c r="EW14" s="3">
        <v>36443000</v>
      </c>
      <c r="EX14" s="3">
        <v>0</v>
      </c>
      <c r="EY14" s="3">
        <v>89522000</v>
      </c>
      <c r="EZ14" s="3"/>
      <c r="FA14" s="3"/>
      <c r="FB14" s="3"/>
      <c r="FC14" s="3"/>
      <c r="FD14" s="3"/>
      <c r="FE14" s="3"/>
      <c r="FF14" s="3"/>
      <c r="FG14" s="3"/>
      <c r="FH14" s="3"/>
      <c r="FI14" s="3"/>
      <c r="FJ14" s="3"/>
      <c r="FK14" s="3"/>
      <c r="FL14" s="3"/>
      <c r="FM14" s="3"/>
      <c r="FN14" s="3"/>
      <c r="FO14" s="3"/>
      <c r="FP14" s="3"/>
      <c r="FQ14" s="3"/>
      <c r="FR14" s="3"/>
      <c r="FS14" s="3"/>
      <c r="FT14" s="3">
        <v>48577000</v>
      </c>
      <c r="FU14" s="3">
        <v>61804000</v>
      </c>
      <c r="FV14" s="3">
        <v>0</v>
      </c>
      <c r="FW14" s="3">
        <v>110381000</v>
      </c>
      <c r="FX14" s="3">
        <v>48577000</v>
      </c>
      <c r="FY14" s="3">
        <v>61804000</v>
      </c>
      <c r="FZ14" s="3">
        <v>0</v>
      </c>
      <c r="GA14" s="3">
        <v>110381000</v>
      </c>
      <c r="GB14" s="3">
        <v>48577000</v>
      </c>
      <c r="GC14" s="3">
        <v>61804000</v>
      </c>
      <c r="GD14" s="3">
        <v>0</v>
      </c>
      <c r="GE14" s="3">
        <v>110381000</v>
      </c>
      <c r="GF14" s="3">
        <v>48577000</v>
      </c>
      <c r="GG14" s="3">
        <v>61804000</v>
      </c>
      <c r="GH14" s="3">
        <v>0</v>
      </c>
      <c r="GI14" s="3">
        <v>110381000</v>
      </c>
      <c r="GJ14" s="3">
        <v>48577000</v>
      </c>
      <c r="GK14" s="3">
        <v>61804000</v>
      </c>
      <c r="GL14" s="3">
        <v>0</v>
      </c>
      <c r="GM14" s="3">
        <v>110381000</v>
      </c>
      <c r="GN14" s="3">
        <v>48577000</v>
      </c>
      <c r="GO14" s="3">
        <v>61738278.030000001</v>
      </c>
      <c r="GP14" s="3">
        <v>0</v>
      </c>
      <c r="GQ14" s="3">
        <v>110315278.03</v>
      </c>
      <c r="GR14" s="3">
        <v>48510675</v>
      </c>
      <c r="GS14" s="3">
        <v>60420728.100000001</v>
      </c>
      <c r="GT14" s="3">
        <v>0</v>
      </c>
      <c r="GU14" s="3">
        <v>108931403.09999999</v>
      </c>
      <c r="GV14" s="3">
        <v>49683000</v>
      </c>
      <c r="GW14" s="3">
        <v>65212000</v>
      </c>
      <c r="GX14" s="3">
        <v>6160000</v>
      </c>
      <c r="GY14" s="3">
        <v>121055000</v>
      </c>
      <c r="GZ14" s="3">
        <v>49683000</v>
      </c>
      <c r="HA14" s="3">
        <v>65212000</v>
      </c>
      <c r="HB14" s="3">
        <v>6160000</v>
      </c>
      <c r="HC14" s="3">
        <v>121055000</v>
      </c>
      <c r="HD14" s="3">
        <v>49683000</v>
      </c>
      <c r="HE14" s="3">
        <v>65212000</v>
      </c>
      <c r="HF14" s="3">
        <v>6160000</v>
      </c>
      <c r="HG14" s="3">
        <v>121055000</v>
      </c>
      <c r="HH14" s="3">
        <v>50517087.640000001</v>
      </c>
      <c r="HI14" s="3">
        <v>64943706.359999999</v>
      </c>
      <c r="HJ14" s="3">
        <v>5594206</v>
      </c>
      <c r="HK14" s="3">
        <v>121055000</v>
      </c>
      <c r="HL14" s="10">
        <f t="shared" si="0"/>
        <v>0</v>
      </c>
      <c r="HM14" s="3">
        <v>50517087.640000001</v>
      </c>
      <c r="HN14" s="3">
        <v>64943706.359999999</v>
      </c>
      <c r="HO14" s="3">
        <v>5594206</v>
      </c>
      <c r="HP14" s="3">
        <v>121055000</v>
      </c>
      <c r="HQ14" s="3">
        <v>50517087.640000001</v>
      </c>
      <c r="HR14" s="3">
        <v>64295946.039999999</v>
      </c>
      <c r="HS14" s="3">
        <v>5294045.24</v>
      </c>
      <c r="HT14" s="3">
        <v>120107078.92</v>
      </c>
      <c r="HU14" s="10">
        <f t="shared" si="1"/>
        <v>0</v>
      </c>
      <c r="HV14" s="3">
        <v>50517087.640000001</v>
      </c>
      <c r="HW14" s="3">
        <v>61853579.039999999</v>
      </c>
      <c r="HX14" s="3">
        <v>4894205.24</v>
      </c>
      <c r="HY14" s="3">
        <v>117264871.92</v>
      </c>
      <c r="HZ14" s="10">
        <f t="shared" si="2"/>
        <v>0</v>
      </c>
      <c r="IA14" s="3">
        <v>69009000</v>
      </c>
      <c r="IB14" s="3">
        <v>109802000</v>
      </c>
      <c r="IC14" s="3">
        <v>2400000</v>
      </c>
      <c r="ID14" s="3">
        <v>181211000</v>
      </c>
      <c r="IE14" s="3">
        <v>69009000</v>
      </c>
      <c r="IF14" s="3">
        <v>109802000</v>
      </c>
      <c r="IG14" s="3">
        <v>1680000</v>
      </c>
      <c r="IH14" s="3">
        <v>180491000</v>
      </c>
    </row>
    <row r="15" spans="1:242" x14ac:dyDescent="0.25">
      <c r="A15" t="s">
        <v>1170</v>
      </c>
      <c r="B15" t="s">
        <v>1171</v>
      </c>
      <c r="C15" t="s">
        <v>199</v>
      </c>
      <c r="D15" t="s">
        <v>200</v>
      </c>
      <c r="E15" t="s">
        <v>295</v>
      </c>
      <c r="F15" t="s">
        <v>296</v>
      </c>
      <c r="G15" t="s">
        <v>1185</v>
      </c>
      <c r="H15" s="3">
        <v>28665000</v>
      </c>
      <c r="I15" s="3">
        <v>23384000</v>
      </c>
      <c r="J15" s="3">
        <v>0</v>
      </c>
      <c r="K15" s="3">
        <v>52049000</v>
      </c>
      <c r="L15" s="3">
        <v>28665000</v>
      </c>
      <c r="M15" s="3">
        <v>23384000</v>
      </c>
      <c r="N15" s="3">
        <v>0</v>
      </c>
      <c r="O15" s="3">
        <v>52049000</v>
      </c>
      <c r="P15" s="3">
        <v>28665000</v>
      </c>
      <c r="Q15" s="3">
        <v>23384000</v>
      </c>
      <c r="R15" s="3">
        <v>0</v>
      </c>
      <c r="S15" s="3">
        <v>52049000</v>
      </c>
      <c r="T15" s="3">
        <v>28665000</v>
      </c>
      <c r="U15" s="3">
        <v>23384000</v>
      </c>
      <c r="V15" s="3">
        <v>0</v>
      </c>
      <c r="W15" s="3">
        <v>52049000</v>
      </c>
      <c r="X15" s="3">
        <v>28665000</v>
      </c>
      <c r="Y15" s="3">
        <v>23384000</v>
      </c>
      <c r="Z15" s="3">
        <v>0</v>
      </c>
      <c r="AA15" s="3">
        <v>52049000</v>
      </c>
      <c r="AB15" s="3">
        <v>28645000</v>
      </c>
      <c r="AC15" s="3">
        <v>23384000</v>
      </c>
      <c r="AD15" s="3">
        <v>0</v>
      </c>
      <c r="AE15" s="3">
        <v>52029000</v>
      </c>
      <c r="AF15" s="3">
        <v>28363188.579999998</v>
      </c>
      <c r="AG15" s="3">
        <v>22154200.420000002</v>
      </c>
      <c r="AH15" s="3">
        <v>0</v>
      </c>
      <c r="AI15" s="3">
        <v>50517389</v>
      </c>
      <c r="AJ15" s="3">
        <v>47222000</v>
      </c>
      <c r="AK15" s="3">
        <v>21123000</v>
      </c>
      <c r="AL15" s="3">
        <v>0</v>
      </c>
      <c r="AM15" s="3">
        <v>68345000</v>
      </c>
      <c r="AN15" s="3">
        <v>47222000</v>
      </c>
      <c r="AO15" s="3">
        <v>21123000</v>
      </c>
      <c r="AP15" s="3">
        <v>0</v>
      </c>
      <c r="AQ15" s="3">
        <v>68345000</v>
      </c>
      <c r="AR15" s="3">
        <v>47222000</v>
      </c>
      <c r="AS15" s="3">
        <v>21123000</v>
      </c>
      <c r="AT15" s="3">
        <v>0</v>
      </c>
      <c r="AU15" s="3">
        <v>68345000</v>
      </c>
      <c r="AV15" s="3">
        <v>47222000</v>
      </c>
      <c r="AW15" s="3">
        <v>21123000</v>
      </c>
      <c r="AX15" s="3">
        <v>0</v>
      </c>
      <c r="AY15" s="3">
        <v>68345000</v>
      </c>
      <c r="AZ15" s="3">
        <v>47222000</v>
      </c>
      <c r="BA15" s="3">
        <v>21123000</v>
      </c>
      <c r="BB15" s="3">
        <v>0</v>
      </c>
      <c r="BC15" s="3">
        <v>68345000</v>
      </c>
      <c r="BD15" s="3">
        <v>47222000</v>
      </c>
      <c r="BE15" s="3">
        <v>21009118.25</v>
      </c>
      <c r="BF15" s="3">
        <v>0</v>
      </c>
      <c r="BG15" s="3">
        <v>68231118.25</v>
      </c>
      <c r="BH15" s="3">
        <v>46541380.640000001</v>
      </c>
      <c r="BI15" s="3">
        <v>14927382.4</v>
      </c>
      <c r="BJ15" s="3">
        <v>0</v>
      </c>
      <c r="BK15" s="3">
        <v>61468763.039999999</v>
      </c>
      <c r="BL15" s="3">
        <v>47751000</v>
      </c>
      <c r="BM15" s="3">
        <v>43919000</v>
      </c>
      <c r="BN15" s="3">
        <v>0</v>
      </c>
      <c r="BO15" s="3">
        <v>91670000</v>
      </c>
      <c r="BP15" s="3">
        <v>47751000</v>
      </c>
      <c r="BQ15" s="3">
        <v>43919000</v>
      </c>
      <c r="BR15" s="3">
        <v>0</v>
      </c>
      <c r="BS15" s="3">
        <v>91670000</v>
      </c>
      <c r="BT15" s="3">
        <v>47751000</v>
      </c>
      <c r="BU15" s="3">
        <v>43919000</v>
      </c>
      <c r="BV15" s="3">
        <v>0</v>
      </c>
      <c r="BW15" s="3">
        <v>91670000</v>
      </c>
      <c r="BX15" s="6">
        <v>48751000</v>
      </c>
      <c r="BY15" s="6">
        <v>31897000</v>
      </c>
      <c r="BZ15" s="3">
        <v>0</v>
      </c>
      <c r="CA15" s="3">
        <v>80648000</v>
      </c>
      <c r="CB15" s="3">
        <v>48751000</v>
      </c>
      <c r="CC15" s="3">
        <v>31897000</v>
      </c>
      <c r="CD15" s="3">
        <v>0</v>
      </c>
      <c r="CE15" s="3">
        <v>80648000</v>
      </c>
      <c r="CF15" s="3">
        <v>48751000</v>
      </c>
      <c r="CG15" s="3">
        <v>26290439</v>
      </c>
      <c r="CH15" s="3">
        <v>0</v>
      </c>
      <c r="CI15" s="3">
        <v>75041439</v>
      </c>
      <c r="CJ15" s="3">
        <v>48743583.369999997</v>
      </c>
      <c r="CK15" s="3">
        <v>4971827.32</v>
      </c>
      <c r="CL15" s="3">
        <v>0</v>
      </c>
      <c r="CM15" s="3">
        <v>53715410.689999998</v>
      </c>
      <c r="CN15" s="3">
        <v>55151000</v>
      </c>
      <c r="CO15" s="3">
        <v>33581000</v>
      </c>
      <c r="CP15" s="3">
        <v>0</v>
      </c>
      <c r="CQ15" s="3">
        <v>88732000</v>
      </c>
      <c r="CR15" s="3">
        <v>55151000</v>
      </c>
      <c r="CS15" s="3">
        <v>33581000</v>
      </c>
      <c r="CT15" s="3">
        <v>0</v>
      </c>
      <c r="CU15" s="3">
        <v>88732000</v>
      </c>
      <c r="CV15" s="3"/>
      <c r="CW15" s="3"/>
      <c r="CX15" s="3"/>
      <c r="CY15" s="3"/>
      <c r="CZ15" s="3"/>
      <c r="DA15" s="3"/>
      <c r="DB15" s="3"/>
      <c r="DC15" s="3"/>
      <c r="DD15" s="3"/>
      <c r="DE15" s="3"/>
      <c r="DF15" s="3"/>
      <c r="DG15" s="3"/>
      <c r="DH15" s="3"/>
      <c r="DI15" s="3"/>
      <c r="DJ15" s="3"/>
      <c r="DK15" s="3"/>
      <c r="DL15" s="3"/>
      <c r="DM15" s="3"/>
      <c r="DN15" s="3"/>
      <c r="DO15" s="3"/>
      <c r="DP15" s="3">
        <v>53162000</v>
      </c>
      <c r="DQ15" s="3">
        <v>33581000</v>
      </c>
      <c r="DR15" s="3">
        <v>0</v>
      </c>
      <c r="DS15" s="3">
        <v>86743000</v>
      </c>
      <c r="DT15" s="3">
        <v>53162000</v>
      </c>
      <c r="DU15" s="3">
        <v>33581000</v>
      </c>
      <c r="DV15" s="3">
        <v>0</v>
      </c>
      <c r="DW15" s="3">
        <v>86743000</v>
      </c>
      <c r="DX15" s="3"/>
      <c r="DY15" s="3"/>
      <c r="DZ15" s="3"/>
      <c r="EA15" s="3"/>
      <c r="EB15" s="3"/>
      <c r="EC15" s="3"/>
      <c r="ED15" s="3"/>
      <c r="EE15" s="3"/>
      <c r="EF15" s="3"/>
      <c r="EG15" s="3"/>
      <c r="EH15" s="3"/>
      <c r="EI15" s="3"/>
      <c r="EJ15" s="3"/>
      <c r="EK15" s="3"/>
      <c r="EL15" s="3"/>
      <c r="EM15" s="3"/>
      <c r="EN15" s="3"/>
      <c r="EO15" s="3"/>
      <c r="EP15" s="3"/>
      <c r="EQ15" s="3"/>
      <c r="ER15" s="3">
        <v>53976000</v>
      </c>
      <c r="ES15" s="3">
        <v>33308000</v>
      </c>
      <c r="ET15" s="3">
        <v>0</v>
      </c>
      <c r="EU15" s="3">
        <v>87284000</v>
      </c>
      <c r="EV15" s="3">
        <v>53976000</v>
      </c>
      <c r="EW15" s="3">
        <v>33308000</v>
      </c>
      <c r="EX15" s="3">
        <v>0</v>
      </c>
      <c r="EY15" s="3">
        <v>87284000</v>
      </c>
      <c r="EZ15" s="3"/>
      <c r="FA15" s="3"/>
      <c r="FB15" s="3"/>
      <c r="FC15" s="3"/>
      <c r="FD15" s="3"/>
      <c r="FE15" s="3"/>
      <c r="FF15" s="3"/>
      <c r="FG15" s="3"/>
      <c r="FH15" s="3"/>
      <c r="FI15" s="3"/>
      <c r="FJ15" s="3"/>
      <c r="FK15" s="3"/>
      <c r="FL15" s="3"/>
      <c r="FM15" s="3"/>
      <c r="FN15" s="3"/>
      <c r="FO15" s="3"/>
      <c r="FP15" s="3"/>
      <c r="FQ15" s="3"/>
      <c r="FR15" s="3"/>
      <c r="FS15" s="3"/>
      <c r="FT15" s="3">
        <v>48570000</v>
      </c>
      <c r="FU15" s="3">
        <v>33908000</v>
      </c>
      <c r="FV15" s="3">
        <v>9440000</v>
      </c>
      <c r="FW15" s="3">
        <v>91918000</v>
      </c>
      <c r="FX15" s="3">
        <v>48570000</v>
      </c>
      <c r="FY15" s="3">
        <v>33908000</v>
      </c>
      <c r="FZ15" s="3">
        <v>9440000</v>
      </c>
      <c r="GA15" s="3">
        <v>91918000</v>
      </c>
      <c r="GB15" s="3">
        <v>48570000</v>
      </c>
      <c r="GC15" s="3">
        <v>33908000</v>
      </c>
      <c r="GD15" s="3">
        <v>9440000</v>
      </c>
      <c r="GE15" s="3">
        <v>91918000</v>
      </c>
      <c r="GF15" s="3">
        <v>48735000</v>
      </c>
      <c r="GG15" s="3">
        <v>33908000</v>
      </c>
      <c r="GH15" s="3">
        <v>9275000</v>
      </c>
      <c r="GI15" s="3">
        <v>91918000</v>
      </c>
      <c r="GJ15" s="3">
        <v>48735000</v>
      </c>
      <c r="GK15" s="3">
        <v>33908000</v>
      </c>
      <c r="GL15" s="3">
        <v>9275000</v>
      </c>
      <c r="GM15" s="3">
        <v>91918000</v>
      </c>
      <c r="GN15" s="3">
        <v>48735000</v>
      </c>
      <c r="GO15" s="3">
        <v>33034248.239999998</v>
      </c>
      <c r="GP15" s="3">
        <v>5250000</v>
      </c>
      <c r="GQ15" s="3">
        <v>87019248.239999995</v>
      </c>
      <c r="GR15" s="3">
        <v>48610806.539999999</v>
      </c>
      <c r="GS15" s="3">
        <v>32215022.050000001</v>
      </c>
      <c r="GT15" s="3">
        <v>0</v>
      </c>
      <c r="GU15" s="3">
        <v>80825828.590000004</v>
      </c>
      <c r="GV15" s="3">
        <v>54492000</v>
      </c>
      <c r="GW15" s="3">
        <v>72723000</v>
      </c>
      <c r="GX15" s="3">
        <v>0</v>
      </c>
      <c r="GY15" s="3">
        <v>127215000</v>
      </c>
      <c r="GZ15" s="3">
        <v>54492000</v>
      </c>
      <c r="HA15" s="3">
        <v>72723000</v>
      </c>
      <c r="HB15" s="3">
        <v>0</v>
      </c>
      <c r="HC15" s="3">
        <v>127215000</v>
      </c>
      <c r="HD15" s="3">
        <v>54492000</v>
      </c>
      <c r="HE15" s="3">
        <v>72723000</v>
      </c>
      <c r="HF15" s="3">
        <v>0</v>
      </c>
      <c r="HG15" s="3">
        <v>127215000</v>
      </c>
      <c r="HH15" s="3">
        <v>57297964.130000003</v>
      </c>
      <c r="HI15" s="3">
        <v>69917035.870000005</v>
      </c>
      <c r="HJ15" s="3">
        <v>0</v>
      </c>
      <c r="HK15" s="3">
        <v>127215000</v>
      </c>
      <c r="HL15" s="10">
        <f t="shared" si="0"/>
        <v>0</v>
      </c>
      <c r="HM15" s="3">
        <v>57297964.130000003</v>
      </c>
      <c r="HN15" s="3">
        <v>69917035.870000005</v>
      </c>
      <c r="HO15" s="3">
        <v>0</v>
      </c>
      <c r="HP15" s="3">
        <v>127215000</v>
      </c>
      <c r="HQ15" s="3">
        <v>57297964.130000003</v>
      </c>
      <c r="HR15" s="3">
        <v>64353675.600000001</v>
      </c>
      <c r="HS15" s="3">
        <v>0</v>
      </c>
      <c r="HT15" s="3">
        <v>121651639.73</v>
      </c>
      <c r="HU15" s="10">
        <f t="shared" si="1"/>
        <v>0</v>
      </c>
      <c r="HV15" s="3">
        <v>57297964.130000003</v>
      </c>
      <c r="HW15" s="3">
        <v>42297344.969999999</v>
      </c>
      <c r="HX15" s="3">
        <v>0</v>
      </c>
      <c r="HY15" s="3">
        <v>99595309.099999994</v>
      </c>
      <c r="HZ15" s="10">
        <f t="shared" si="2"/>
        <v>0</v>
      </c>
      <c r="IA15" s="3">
        <v>67881000</v>
      </c>
      <c r="IB15" s="3">
        <v>72839000</v>
      </c>
      <c r="IC15" s="3">
        <v>29480000</v>
      </c>
      <c r="ID15" s="3">
        <v>170200000</v>
      </c>
      <c r="IE15" s="3">
        <v>67881000</v>
      </c>
      <c r="IF15" s="3">
        <v>72839000</v>
      </c>
      <c r="IG15" s="3">
        <v>24029000</v>
      </c>
      <c r="IH15" s="3">
        <v>164749000</v>
      </c>
    </row>
    <row r="16" spans="1:242" x14ac:dyDescent="0.25">
      <c r="A16" t="s">
        <v>1170</v>
      </c>
      <c r="B16" t="s">
        <v>1171</v>
      </c>
      <c r="C16" t="s">
        <v>199</v>
      </c>
      <c r="D16" t="s">
        <v>200</v>
      </c>
      <c r="E16" s="4" t="s">
        <v>1172</v>
      </c>
      <c r="F16" s="4" t="s">
        <v>1173</v>
      </c>
      <c r="G16" t="s">
        <v>1190</v>
      </c>
      <c r="H16" s="3">
        <v>10206000</v>
      </c>
      <c r="I16" s="3">
        <v>4649000</v>
      </c>
      <c r="J16" s="3">
        <v>0</v>
      </c>
      <c r="K16" s="3">
        <v>14855000</v>
      </c>
      <c r="L16" s="3">
        <v>10206000</v>
      </c>
      <c r="M16" s="3">
        <v>4649000</v>
      </c>
      <c r="N16" s="3">
        <v>0</v>
      </c>
      <c r="O16" s="3">
        <v>14855000</v>
      </c>
      <c r="P16" s="3">
        <v>10206000</v>
      </c>
      <c r="Q16" s="3">
        <v>4649000</v>
      </c>
      <c r="R16" s="3">
        <v>0</v>
      </c>
      <c r="S16" s="3">
        <v>14855000</v>
      </c>
      <c r="T16" s="3">
        <v>10206000</v>
      </c>
      <c r="U16" s="3">
        <v>4649000</v>
      </c>
      <c r="V16" s="3">
        <v>0</v>
      </c>
      <c r="W16" s="3">
        <v>14855000</v>
      </c>
      <c r="X16" s="3">
        <v>10206000</v>
      </c>
      <c r="Y16" s="3">
        <v>4649000</v>
      </c>
      <c r="Z16" s="3">
        <v>0</v>
      </c>
      <c r="AA16" s="3">
        <v>14855000</v>
      </c>
      <c r="AB16" s="3">
        <v>10206000</v>
      </c>
      <c r="AC16" s="3">
        <v>4649000</v>
      </c>
      <c r="AD16" s="3">
        <v>0</v>
      </c>
      <c r="AE16" s="3">
        <v>14855000</v>
      </c>
      <c r="AF16" s="3">
        <v>10101000</v>
      </c>
      <c r="AG16" s="3">
        <v>4067428.71</v>
      </c>
      <c r="AH16" s="3">
        <v>0</v>
      </c>
      <c r="AI16" s="3">
        <v>14168428.710000001</v>
      </c>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6"/>
      <c r="BY16" s="6"/>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10">
        <f t="shared" si="0"/>
        <v>0</v>
      </c>
      <c r="HM16" s="3"/>
      <c r="HN16" s="3"/>
      <c r="HO16" s="3"/>
      <c r="HP16" s="3"/>
      <c r="HQ16" s="3"/>
      <c r="HR16" s="3"/>
      <c r="HS16" s="3"/>
      <c r="HT16" s="3"/>
      <c r="HU16" s="10">
        <f t="shared" si="1"/>
        <v>0</v>
      </c>
      <c r="HV16" s="3"/>
      <c r="HW16" s="3"/>
      <c r="HX16" s="3"/>
      <c r="HY16" s="3"/>
      <c r="HZ16" s="10">
        <f t="shared" si="2"/>
        <v>0</v>
      </c>
      <c r="IA16" s="3"/>
      <c r="IB16" s="3"/>
      <c r="IC16" s="3"/>
      <c r="ID16" s="3"/>
      <c r="IE16" s="3"/>
      <c r="IF16" s="3"/>
      <c r="IG16" s="3"/>
      <c r="IH16" s="3"/>
    </row>
    <row r="17" spans="1:242" x14ac:dyDescent="0.25">
      <c r="A17" t="s">
        <v>1170</v>
      </c>
      <c r="B17" t="s">
        <v>1171</v>
      </c>
      <c r="C17" t="s">
        <v>199</v>
      </c>
      <c r="D17" t="s">
        <v>200</v>
      </c>
      <c r="E17" t="s">
        <v>300</v>
      </c>
      <c r="F17" t="s">
        <v>620</v>
      </c>
      <c r="G17" t="s">
        <v>1186</v>
      </c>
      <c r="H17" s="3">
        <v>5968000</v>
      </c>
      <c r="I17" s="3">
        <v>12666000</v>
      </c>
      <c r="J17" s="3">
        <v>0</v>
      </c>
      <c r="K17" s="3">
        <v>18634000</v>
      </c>
      <c r="L17" s="3">
        <v>5968000</v>
      </c>
      <c r="M17" s="3">
        <v>12666000</v>
      </c>
      <c r="N17" s="3">
        <v>0</v>
      </c>
      <c r="O17" s="3">
        <v>18634000</v>
      </c>
      <c r="P17" s="3">
        <v>5968000</v>
      </c>
      <c r="Q17" s="3">
        <v>12666000</v>
      </c>
      <c r="R17" s="3">
        <v>0</v>
      </c>
      <c r="S17" s="3">
        <v>18634000</v>
      </c>
      <c r="T17" s="3">
        <v>6668000</v>
      </c>
      <c r="U17" s="3">
        <v>11966000</v>
      </c>
      <c r="V17" s="3">
        <v>0</v>
      </c>
      <c r="W17" s="3">
        <v>18634000</v>
      </c>
      <c r="X17" s="3">
        <v>6668000</v>
      </c>
      <c r="Y17" s="3">
        <v>11966000</v>
      </c>
      <c r="Z17" s="3">
        <v>0</v>
      </c>
      <c r="AA17" s="3">
        <v>18634000</v>
      </c>
      <c r="AB17" s="3">
        <v>6668000</v>
      </c>
      <c r="AC17" s="3">
        <v>11228898.09</v>
      </c>
      <c r="AD17" s="3">
        <v>0</v>
      </c>
      <c r="AE17" s="3">
        <v>17896898.09</v>
      </c>
      <c r="AF17" s="3">
        <v>6617000</v>
      </c>
      <c r="AG17" s="3">
        <v>8833445.2899999991</v>
      </c>
      <c r="AH17" s="3">
        <v>0</v>
      </c>
      <c r="AI17" s="3">
        <v>15450445.289999999</v>
      </c>
      <c r="AJ17" s="3">
        <v>7177000</v>
      </c>
      <c r="AK17" s="3">
        <v>11072000</v>
      </c>
      <c r="AL17" s="3">
        <v>0</v>
      </c>
      <c r="AM17" s="3">
        <v>18249000</v>
      </c>
      <c r="AN17" s="3">
        <v>7177000</v>
      </c>
      <c r="AO17" s="3">
        <v>11072000</v>
      </c>
      <c r="AP17" s="3">
        <v>0</v>
      </c>
      <c r="AQ17" s="3">
        <v>18249000</v>
      </c>
      <c r="AR17" s="3">
        <v>7177000</v>
      </c>
      <c r="AS17" s="3">
        <v>11072000</v>
      </c>
      <c r="AT17" s="3">
        <v>0</v>
      </c>
      <c r="AU17" s="3">
        <v>18249000</v>
      </c>
      <c r="AV17" s="3">
        <v>10672000</v>
      </c>
      <c r="AW17" s="3">
        <v>7577000</v>
      </c>
      <c r="AX17" s="3">
        <v>0</v>
      </c>
      <c r="AY17" s="3">
        <v>18249000</v>
      </c>
      <c r="AZ17" s="3">
        <v>10672000</v>
      </c>
      <c r="BA17" s="3">
        <v>7577000</v>
      </c>
      <c r="BB17" s="3">
        <v>0</v>
      </c>
      <c r="BC17" s="3">
        <v>18249000</v>
      </c>
      <c r="BD17" s="3">
        <v>10672000</v>
      </c>
      <c r="BE17" s="3">
        <v>7577000</v>
      </c>
      <c r="BF17" s="3">
        <v>0</v>
      </c>
      <c r="BG17" s="3">
        <v>18249000</v>
      </c>
      <c r="BH17" s="3">
        <v>9869209.8200000003</v>
      </c>
      <c r="BI17" s="3">
        <v>5719054.6600000001</v>
      </c>
      <c r="BJ17" s="3">
        <v>0</v>
      </c>
      <c r="BK17" s="3">
        <v>15588264.48</v>
      </c>
      <c r="BL17" s="3">
        <v>6905000</v>
      </c>
      <c r="BM17" s="3">
        <v>3902000</v>
      </c>
      <c r="BN17" s="3">
        <v>0</v>
      </c>
      <c r="BO17" s="3">
        <v>10807000</v>
      </c>
      <c r="BP17" s="3">
        <v>6905000</v>
      </c>
      <c r="BQ17" s="3">
        <v>3902000</v>
      </c>
      <c r="BR17" s="3">
        <v>0</v>
      </c>
      <c r="BS17" s="3">
        <v>10807000</v>
      </c>
      <c r="BT17" s="3">
        <v>6905000</v>
      </c>
      <c r="BU17" s="3">
        <v>3902000</v>
      </c>
      <c r="BV17" s="3">
        <v>0</v>
      </c>
      <c r="BW17" s="3">
        <v>10807000</v>
      </c>
      <c r="BX17" s="6">
        <v>6905000</v>
      </c>
      <c r="BY17" s="6">
        <v>1536000</v>
      </c>
      <c r="BZ17" s="3">
        <v>0</v>
      </c>
      <c r="CA17" s="3">
        <v>8441000</v>
      </c>
      <c r="CB17" s="3">
        <v>6905000</v>
      </c>
      <c r="CC17" s="3">
        <v>1536000</v>
      </c>
      <c r="CD17" s="3">
        <v>0</v>
      </c>
      <c r="CE17" s="3">
        <v>8441000</v>
      </c>
      <c r="CF17" s="3">
        <v>6905000</v>
      </c>
      <c r="CG17" s="3">
        <v>678629.97</v>
      </c>
      <c r="CH17" s="3">
        <v>0</v>
      </c>
      <c r="CI17" s="3">
        <v>7583629.9699999997</v>
      </c>
      <c r="CJ17" s="3">
        <v>6904083.3700000001</v>
      </c>
      <c r="CK17" s="3">
        <v>386100.53</v>
      </c>
      <c r="CL17" s="3">
        <v>0</v>
      </c>
      <c r="CM17" s="3">
        <v>7290183.9000000004</v>
      </c>
      <c r="CN17" s="3">
        <v>8381000</v>
      </c>
      <c r="CO17" s="3">
        <v>8838000</v>
      </c>
      <c r="CP17" s="3">
        <v>0</v>
      </c>
      <c r="CQ17" s="3">
        <v>17219000</v>
      </c>
      <c r="CR17" s="3">
        <v>8381000</v>
      </c>
      <c r="CS17" s="3">
        <v>8838000</v>
      </c>
      <c r="CT17" s="3">
        <v>0</v>
      </c>
      <c r="CU17" s="3">
        <v>17219000</v>
      </c>
      <c r="CV17" s="3"/>
      <c r="CW17" s="3"/>
      <c r="CX17" s="3"/>
      <c r="CY17" s="3"/>
      <c r="CZ17" s="3"/>
      <c r="DA17" s="3"/>
      <c r="DB17" s="3"/>
      <c r="DC17" s="3"/>
      <c r="DD17" s="3"/>
      <c r="DE17" s="3"/>
      <c r="DF17" s="3"/>
      <c r="DG17" s="3"/>
      <c r="DH17" s="3"/>
      <c r="DI17" s="3"/>
      <c r="DJ17" s="3"/>
      <c r="DK17" s="3"/>
      <c r="DL17" s="3"/>
      <c r="DM17" s="3"/>
      <c r="DN17" s="3"/>
      <c r="DO17" s="3"/>
      <c r="DP17" s="3">
        <v>11871000</v>
      </c>
      <c r="DQ17" s="3">
        <v>8838000</v>
      </c>
      <c r="DR17" s="3">
        <v>0</v>
      </c>
      <c r="DS17" s="3">
        <v>20709000</v>
      </c>
      <c r="DT17" s="3">
        <v>11871000</v>
      </c>
      <c r="DU17" s="3">
        <v>8838000</v>
      </c>
      <c r="DV17" s="3">
        <v>0</v>
      </c>
      <c r="DW17" s="3">
        <v>20709000</v>
      </c>
      <c r="DX17" s="3"/>
      <c r="DY17" s="3"/>
      <c r="DZ17" s="3"/>
      <c r="EA17" s="3"/>
      <c r="EB17" s="3"/>
      <c r="EC17" s="3"/>
      <c r="ED17" s="3"/>
      <c r="EE17" s="3"/>
      <c r="EF17" s="3"/>
      <c r="EG17" s="3"/>
      <c r="EH17" s="3"/>
      <c r="EI17" s="3"/>
      <c r="EJ17" s="3"/>
      <c r="EK17" s="3"/>
      <c r="EL17" s="3"/>
      <c r="EM17" s="3"/>
      <c r="EN17" s="3"/>
      <c r="EO17" s="3"/>
      <c r="EP17" s="3"/>
      <c r="EQ17" s="3"/>
      <c r="ER17" s="3">
        <v>22196000</v>
      </c>
      <c r="ES17" s="3">
        <v>15769000</v>
      </c>
      <c r="ET17" s="3">
        <v>0</v>
      </c>
      <c r="EU17" s="3">
        <v>37965000</v>
      </c>
      <c r="EV17" s="3">
        <v>22196000</v>
      </c>
      <c r="EW17" s="3">
        <v>15769000</v>
      </c>
      <c r="EX17" s="3">
        <v>0</v>
      </c>
      <c r="EY17" s="3">
        <v>37965000</v>
      </c>
      <c r="EZ17" s="3"/>
      <c r="FA17" s="3"/>
      <c r="FB17" s="3"/>
      <c r="FC17" s="3"/>
      <c r="FD17" s="3"/>
      <c r="FE17" s="3"/>
      <c r="FF17" s="3"/>
      <c r="FG17" s="3"/>
      <c r="FH17" s="3"/>
      <c r="FI17" s="3"/>
      <c r="FJ17" s="3"/>
      <c r="FK17" s="3"/>
      <c r="FL17" s="3"/>
      <c r="FM17" s="3"/>
      <c r="FN17" s="3"/>
      <c r="FO17" s="3"/>
      <c r="FP17" s="3"/>
      <c r="FQ17" s="3"/>
      <c r="FR17" s="3"/>
      <c r="FS17" s="3"/>
      <c r="FT17" s="3">
        <v>26027000</v>
      </c>
      <c r="FU17" s="3">
        <v>16053000</v>
      </c>
      <c r="FV17" s="3">
        <v>3866000</v>
      </c>
      <c r="FW17" s="3">
        <v>45946000</v>
      </c>
      <c r="FX17" s="3">
        <v>26027000</v>
      </c>
      <c r="FY17" s="3">
        <v>16053000</v>
      </c>
      <c r="FZ17" s="3">
        <v>3866000</v>
      </c>
      <c r="GA17" s="3">
        <v>45946000</v>
      </c>
      <c r="GB17" s="3">
        <v>26027000</v>
      </c>
      <c r="GC17" s="3">
        <v>16053000</v>
      </c>
      <c r="GD17" s="3">
        <v>3866000</v>
      </c>
      <c r="GE17" s="3">
        <v>45946000</v>
      </c>
      <c r="GF17" s="3">
        <v>26209285</v>
      </c>
      <c r="GG17" s="3">
        <v>16053000</v>
      </c>
      <c r="GH17" s="3">
        <v>3683715</v>
      </c>
      <c r="GI17" s="3">
        <v>45946000</v>
      </c>
      <c r="GJ17" s="3">
        <v>26209285</v>
      </c>
      <c r="GK17" s="3">
        <v>16053000</v>
      </c>
      <c r="GL17" s="3">
        <v>3683715</v>
      </c>
      <c r="GM17" s="3">
        <v>45946000</v>
      </c>
      <c r="GN17" s="3">
        <v>26209285</v>
      </c>
      <c r="GO17" s="3">
        <v>15801184.99</v>
      </c>
      <c r="GP17" s="3">
        <v>3683714.93</v>
      </c>
      <c r="GQ17" s="3">
        <v>45694184.920000002</v>
      </c>
      <c r="GR17" s="3">
        <v>26165585</v>
      </c>
      <c r="GS17" s="3">
        <v>14488475.390000001</v>
      </c>
      <c r="GT17" s="3">
        <v>847719.6</v>
      </c>
      <c r="GU17" s="3">
        <v>41501779.990000002</v>
      </c>
      <c r="GV17" s="3">
        <v>31218000</v>
      </c>
      <c r="GW17" s="3">
        <v>17342000</v>
      </c>
      <c r="GX17" s="3">
        <v>840000</v>
      </c>
      <c r="GY17" s="3">
        <v>49400000</v>
      </c>
      <c r="GZ17" s="3">
        <v>31218000</v>
      </c>
      <c r="HA17" s="3">
        <v>17342000</v>
      </c>
      <c r="HB17" s="3">
        <v>840000</v>
      </c>
      <c r="HC17" s="3">
        <v>49400000</v>
      </c>
      <c r="HD17" s="3">
        <v>31218000</v>
      </c>
      <c r="HE17" s="3">
        <v>17342000</v>
      </c>
      <c r="HF17" s="3">
        <v>840000</v>
      </c>
      <c r="HG17" s="3">
        <v>49400000</v>
      </c>
      <c r="HH17" s="3">
        <v>31557744</v>
      </c>
      <c r="HI17" s="3">
        <v>17108000</v>
      </c>
      <c r="HJ17" s="3">
        <v>734256</v>
      </c>
      <c r="HK17" s="3">
        <v>49400000</v>
      </c>
      <c r="HL17" s="10">
        <f t="shared" si="0"/>
        <v>0</v>
      </c>
      <c r="HM17" s="3">
        <v>31557744</v>
      </c>
      <c r="HN17" s="3">
        <v>17108000</v>
      </c>
      <c r="HO17" s="3">
        <v>734256</v>
      </c>
      <c r="HP17" s="3">
        <v>49400000</v>
      </c>
      <c r="HQ17" s="3">
        <v>31557744</v>
      </c>
      <c r="HR17" s="3">
        <v>15011800.84</v>
      </c>
      <c r="HS17" s="3">
        <v>734255.65</v>
      </c>
      <c r="HT17" s="3">
        <v>47303800.490000002</v>
      </c>
      <c r="HU17" s="10">
        <f t="shared" si="1"/>
        <v>0</v>
      </c>
      <c r="HV17" s="3">
        <v>31557744</v>
      </c>
      <c r="HW17" s="3">
        <v>12962881.68</v>
      </c>
      <c r="HX17" s="3">
        <v>0</v>
      </c>
      <c r="HY17" s="3">
        <v>44520625.68</v>
      </c>
      <c r="HZ17" s="10">
        <f t="shared" si="2"/>
        <v>0</v>
      </c>
      <c r="IA17" s="3">
        <v>34899000</v>
      </c>
      <c r="IB17" s="3">
        <v>17136000</v>
      </c>
      <c r="IC17" s="3">
        <v>865000</v>
      </c>
      <c r="ID17" s="3">
        <v>52900000</v>
      </c>
      <c r="IE17" s="3">
        <v>34899000</v>
      </c>
      <c r="IF17" s="3">
        <v>17136000</v>
      </c>
      <c r="IG17" s="3">
        <v>606000</v>
      </c>
      <c r="IH17" s="3">
        <v>52641000</v>
      </c>
    </row>
    <row r="18" spans="1:242" x14ac:dyDescent="0.25">
      <c r="A18" t="s">
        <v>1170</v>
      </c>
      <c r="B18" t="s">
        <v>1171</v>
      </c>
      <c r="C18" t="s">
        <v>199</v>
      </c>
      <c r="D18" t="s">
        <v>200</v>
      </c>
      <c r="E18" t="s">
        <v>300</v>
      </c>
      <c r="F18" t="s">
        <v>849</v>
      </c>
      <c r="G18" t="s">
        <v>1187</v>
      </c>
      <c r="H18" s="3">
        <v>5192000</v>
      </c>
      <c r="I18" s="3">
        <v>26401000</v>
      </c>
      <c r="J18" s="3">
        <v>0</v>
      </c>
      <c r="K18" s="3">
        <v>31593000</v>
      </c>
      <c r="L18" s="3">
        <v>5192000</v>
      </c>
      <c r="M18" s="3">
        <v>26401000</v>
      </c>
      <c r="N18" s="3">
        <v>0</v>
      </c>
      <c r="O18" s="3">
        <v>31593000</v>
      </c>
      <c r="P18" s="3">
        <v>5192000</v>
      </c>
      <c r="Q18" s="3">
        <v>26401000</v>
      </c>
      <c r="R18" s="3">
        <v>0</v>
      </c>
      <c r="S18" s="3">
        <v>31593000</v>
      </c>
      <c r="T18" s="3">
        <v>7516597</v>
      </c>
      <c r="U18" s="3">
        <v>24076403</v>
      </c>
      <c r="V18" s="3">
        <v>0</v>
      </c>
      <c r="W18" s="3">
        <v>31593000</v>
      </c>
      <c r="X18" s="3">
        <v>7516597</v>
      </c>
      <c r="Y18" s="3">
        <v>24076403</v>
      </c>
      <c r="Z18" s="3">
        <v>0</v>
      </c>
      <c r="AA18" s="3">
        <v>31593000</v>
      </c>
      <c r="AB18" s="3">
        <v>7516597</v>
      </c>
      <c r="AC18" s="3">
        <v>18571566.129999999</v>
      </c>
      <c r="AD18" s="3">
        <v>0</v>
      </c>
      <c r="AE18" s="3">
        <v>26088163.129999999</v>
      </c>
      <c r="AF18" s="3">
        <v>7471597</v>
      </c>
      <c r="AG18" s="3">
        <v>13597044.050000001</v>
      </c>
      <c r="AH18" s="3">
        <v>0</v>
      </c>
      <c r="AI18" s="3">
        <v>21068641.050000001</v>
      </c>
      <c r="AJ18" s="3">
        <v>5956000</v>
      </c>
      <c r="AK18" s="3">
        <v>14720000</v>
      </c>
      <c r="AL18" s="3">
        <v>0</v>
      </c>
      <c r="AM18" s="3">
        <v>20676000</v>
      </c>
      <c r="AN18" s="3">
        <v>5956000</v>
      </c>
      <c r="AO18" s="3">
        <v>14720000</v>
      </c>
      <c r="AP18" s="3">
        <v>0</v>
      </c>
      <c r="AQ18" s="3">
        <v>20676000</v>
      </c>
      <c r="AR18" s="3">
        <v>5956000</v>
      </c>
      <c r="AS18" s="3">
        <v>14720000</v>
      </c>
      <c r="AT18" s="3">
        <v>0</v>
      </c>
      <c r="AU18" s="3">
        <v>20676000</v>
      </c>
      <c r="AV18" s="3">
        <v>8506000</v>
      </c>
      <c r="AW18" s="3">
        <v>12170000</v>
      </c>
      <c r="AX18" s="3">
        <v>0</v>
      </c>
      <c r="AY18" s="3">
        <v>20676000</v>
      </c>
      <c r="AZ18" s="3">
        <v>8506000</v>
      </c>
      <c r="BA18" s="3">
        <v>12170000</v>
      </c>
      <c r="BB18" s="3">
        <v>0</v>
      </c>
      <c r="BC18" s="3">
        <v>20676000</v>
      </c>
      <c r="BD18" s="3">
        <v>8506000</v>
      </c>
      <c r="BE18" s="3">
        <v>12170000</v>
      </c>
      <c r="BF18" s="3">
        <v>0</v>
      </c>
      <c r="BG18" s="3">
        <v>20676000</v>
      </c>
      <c r="BH18" s="3">
        <v>7990666.5999999996</v>
      </c>
      <c r="BI18" s="3">
        <v>7178322.2800000003</v>
      </c>
      <c r="BJ18" s="3">
        <v>0</v>
      </c>
      <c r="BK18" s="3">
        <v>15168988.880000001</v>
      </c>
      <c r="BL18" s="3">
        <v>6656000</v>
      </c>
      <c r="BM18" s="3">
        <v>11541000</v>
      </c>
      <c r="BN18" s="3">
        <v>0</v>
      </c>
      <c r="BO18" s="3">
        <v>18197000</v>
      </c>
      <c r="BP18" s="3">
        <v>6656000</v>
      </c>
      <c r="BQ18" s="3">
        <v>11541000</v>
      </c>
      <c r="BR18" s="3">
        <v>0</v>
      </c>
      <c r="BS18" s="3">
        <v>18197000</v>
      </c>
      <c r="BT18" s="3">
        <v>6656000</v>
      </c>
      <c r="BU18" s="3">
        <v>11541000</v>
      </c>
      <c r="BV18" s="3">
        <v>0</v>
      </c>
      <c r="BW18" s="3">
        <v>18197000</v>
      </c>
      <c r="BX18" s="6">
        <v>6656000</v>
      </c>
      <c r="BY18" s="6">
        <v>8072000</v>
      </c>
      <c r="BZ18" s="3">
        <v>0</v>
      </c>
      <c r="CA18" s="3">
        <v>14728000</v>
      </c>
      <c r="CB18" s="3">
        <v>6656000</v>
      </c>
      <c r="CC18" s="3">
        <v>8072000</v>
      </c>
      <c r="CD18" s="3">
        <v>0</v>
      </c>
      <c r="CE18" s="3">
        <v>14728000</v>
      </c>
      <c r="CF18" s="3">
        <v>6656000</v>
      </c>
      <c r="CG18" s="3">
        <v>2237133.98</v>
      </c>
      <c r="CH18" s="3">
        <v>0</v>
      </c>
      <c r="CI18" s="3">
        <v>8893133.9800000004</v>
      </c>
      <c r="CJ18" s="3">
        <v>6655083.3700000001</v>
      </c>
      <c r="CK18" s="3">
        <v>1785137</v>
      </c>
      <c r="CL18" s="3">
        <v>0</v>
      </c>
      <c r="CM18" s="3">
        <v>8440220.3699999992</v>
      </c>
      <c r="CN18" s="3">
        <v>7020000</v>
      </c>
      <c r="CO18" s="3">
        <v>11749000</v>
      </c>
      <c r="CP18" s="3">
        <v>0</v>
      </c>
      <c r="CQ18" s="3">
        <v>18769000</v>
      </c>
      <c r="CR18" s="3">
        <v>7020000</v>
      </c>
      <c r="CS18" s="3">
        <v>11749000</v>
      </c>
      <c r="CT18" s="3">
        <v>0</v>
      </c>
      <c r="CU18" s="3">
        <v>18769000</v>
      </c>
      <c r="CV18" s="3"/>
      <c r="CW18" s="3"/>
      <c r="CX18" s="3"/>
      <c r="CY18" s="3"/>
      <c r="CZ18" s="3"/>
      <c r="DA18" s="3"/>
      <c r="DB18" s="3"/>
      <c r="DC18" s="3"/>
      <c r="DD18" s="3"/>
      <c r="DE18" s="3"/>
      <c r="DF18" s="3"/>
      <c r="DG18" s="3"/>
      <c r="DH18" s="3"/>
      <c r="DI18" s="3"/>
      <c r="DJ18" s="3"/>
      <c r="DK18" s="3"/>
      <c r="DL18" s="3"/>
      <c r="DM18" s="3"/>
      <c r="DN18" s="3"/>
      <c r="DO18" s="3"/>
      <c r="DP18" s="3">
        <v>1705000</v>
      </c>
      <c r="DQ18" s="3">
        <v>11749000</v>
      </c>
      <c r="DR18" s="3">
        <v>0</v>
      </c>
      <c r="DS18" s="3">
        <v>13454000</v>
      </c>
      <c r="DT18" s="3">
        <v>1705000</v>
      </c>
      <c r="DU18" s="3">
        <v>11749000</v>
      </c>
      <c r="DV18" s="3">
        <v>0</v>
      </c>
      <c r="DW18" s="3">
        <v>13454000</v>
      </c>
      <c r="DX18" s="3"/>
      <c r="DY18" s="3"/>
      <c r="DZ18" s="3"/>
      <c r="EA18" s="3"/>
      <c r="EB18" s="3"/>
      <c r="EC18" s="3"/>
      <c r="ED18" s="3"/>
      <c r="EE18" s="3"/>
      <c r="EF18" s="3"/>
      <c r="EG18" s="3"/>
      <c r="EH18" s="3"/>
      <c r="EI18" s="3"/>
      <c r="EJ18" s="3"/>
      <c r="EK18" s="3"/>
      <c r="EL18" s="3"/>
      <c r="EM18" s="3"/>
      <c r="EN18" s="3"/>
      <c r="EO18" s="3"/>
      <c r="EP18" s="3"/>
      <c r="EQ18" s="3"/>
      <c r="ER18" s="3">
        <v>4726000</v>
      </c>
      <c r="ES18" s="3">
        <v>10484000</v>
      </c>
      <c r="ET18" s="3">
        <v>0</v>
      </c>
      <c r="EU18" s="3">
        <v>15210000</v>
      </c>
      <c r="EV18" s="3">
        <v>4726000</v>
      </c>
      <c r="EW18" s="3">
        <v>10484000</v>
      </c>
      <c r="EX18" s="3">
        <v>0</v>
      </c>
      <c r="EY18" s="3">
        <v>15210000</v>
      </c>
      <c r="EZ18" s="3"/>
      <c r="FA18" s="3"/>
      <c r="FB18" s="3"/>
      <c r="FC18" s="3"/>
      <c r="FD18" s="3"/>
      <c r="FE18" s="3"/>
      <c r="FF18" s="3"/>
      <c r="FG18" s="3"/>
      <c r="FH18" s="3"/>
      <c r="FI18" s="3"/>
      <c r="FJ18" s="3"/>
      <c r="FK18" s="3"/>
      <c r="FL18" s="3"/>
      <c r="FM18" s="3"/>
      <c r="FN18" s="3"/>
      <c r="FO18" s="3"/>
      <c r="FP18" s="3"/>
      <c r="FQ18" s="3"/>
      <c r="FR18" s="3"/>
      <c r="FS18" s="3"/>
      <c r="FT18" s="3">
        <v>4726000</v>
      </c>
      <c r="FU18" s="3">
        <v>10673000</v>
      </c>
      <c r="FV18" s="3">
        <v>0</v>
      </c>
      <c r="FW18" s="3">
        <v>15399000</v>
      </c>
      <c r="FX18" s="3">
        <v>4726000</v>
      </c>
      <c r="FY18" s="3">
        <v>10673000</v>
      </c>
      <c r="FZ18" s="3">
        <v>0</v>
      </c>
      <c r="GA18" s="3">
        <v>15399000</v>
      </c>
      <c r="GB18" s="3">
        <v>4726000</v>
      </c>
      <c r="GC18" s="3">
        <v>10673000</v>
      </c>
      <c r="GD18" s="3">
        <v>0</v>
      </c>
      <c r="GE18" s="3">
        <v>15399000</v>
      </c>
      <c r="GF18" s="3">
        <v>4726000</v>
      </c>
      <c r="GG18" s="3">
        <v>10673000</v>
      </c>
      <c r="GH18" s="3">
        <v>0</v>
      </c>
      <c r="GI18" s="3">
        <v>15399000</v>
      </c>
      <c r="GJ18" s="3">
        <v>4726000</v>
      </c>
      <c r="GK18" s="3">
        <v>10673000</v>
      </c>
      <c r="GL18" s="3">
        <v>0</v>
      </c>
      <c r="GM18" s="3">
        <v>15399000</v>
      </c>
      <c r="GN18" s="3">
        <v>4726000</v>
      </c>
      <c r="GO18" s="3">
        <v>10670389.52</v>
      </c>
      <c r="GP18" s="3">
        <v>0</v>
      </c>
      <c r="GQ18" s="3">
        <v>15396389.52</v>
      </c>
      <c r="GR18" s="3">
        <v>4717600</v>
      </c>
      <c r="GS18" s="3">
        <v>9122351.5199999996</v>
      </c>
      <c r="GT18" s="3">
        <v>0</v>
      </c>
      <c r="GU18" s="3">
        <v>13839951.52</v>
      </c>
      <c r="GV18" s="3">
        <v>3978000</v>
      </c>
      <c r="GW18" s="3">
        <v>10365000</v>
      </c>
      <c r="GX18" s="3">
        <v>0</v>
      </c>
      <c r="GY18" s="3">
        <v>14343000</v>
      </c>
      <c r="GZ18" s="3">
        <v>3978000</v>
      </c>
      <c r="HA18" s="3">
        <v>10365000</v>
      </c>
      <c r="HB18" s="3">
        <v>0</v>
      </c>
      <c r="HC18" s="3">
        <v>14343000</v>
      </c>
      <c r="HD18" s="3">
        <v>3978000</v>
      </c>
      <c r="HE18" s="3">
        <v>10365000</v>
      </c>
      <c r="HF18" s="3">
        <v>0</v>
      </c>
      <c r="HG18" s="3">
        <v>14343000</v>
      </c>
      <c r="HH18" s="3">
        <v>4306598.3</v>
      </c>
      <c r="HI18" s="3">
        <v>10036401.699999999</v>
      </c>
      <c r="HJ18" s="3">
        <v>0</v>
      </c>
      <c r="HK18" s="3">
        <v>14343000</v>
      </c>
      <c r="HL18" s="10">
        <f t="shared" si="0"/>
        <v>0</v>
      </c>
      <c r="HM18" s="3">
        <v>4306598.3</v>
      </c>
      <c r="HN18" s="3">
        <v>10036401.699999999</v>
      </c>
      <c r="HO18" s="3">
        <v>0</v>
      </c>
      <c r="HP18" s="3">
        <v>14343000</v>
      </c>
      <c r="HQ18" s="3">
        <v>4306598.3</v>
      </c>
      <c r="HR18" s="3">
        <v>8392903.8100000005</v>
      </c>
      <c r="HS18" s="3">
        <v>0</v>
      </c>
      <c r="HT18" s="3">
        <v>12699502.109999999</v>
      </c>
      <c r="HU18" s="10">
        <f t="shared" si="1"/>
        <v>0</v>
      </c>
      <c r="HV18" s="3">
        <v>4306598.3</v>
      </c>
      <c r="HW18" s="3">
        <v>4950753.72</v>
      </c>
      <c r="HX18" s="3">
        <v>0</v>
      </c>
      <c r="HY18" s="3">
        <v>9257352.0199999996</v>
      </c>
      <c r="HZ18" s="10">
        <f t="shared" si="2"/>
        <v>0</v>
      </c>
      <c r="IA18" s="3">
        <v>4476000</v>
      </c>
      <c r="IB18" s="3">
        <v>11710000</v>
      </c>
      <c r="IC18" s="3">
        <v>0</v>
      </c>
      <c r="ID18" s="3">
        <v>16186000</v>
      </c>
      <c r="IE18" s="3">
        <v>4476000</v>
      </c>
      <c r="IF18" s="3">
        <v>11710000</v>
      </c>
      <c r="IG18" s="3">
        <v>0</v>
      </c>
      <c r="IH18" s="3">
        <v>16186000</v>
      </c>
    </row>
    <row r="19" spans="1:242" x14ac:dyDescent="0.25">
      <c r="A19" t="s">
        <v>1170</v>
      </c>
      <c r="B19" t="s">
        <v>1171</v>
      </c>
      <c r="C19" t="s">
        <v>199</v>
      </c>
      <c r="D19" t="s">
        <v>200</v>
      </c>
      <c r="E19" t="s">
        <v>300</v>
      </c>
      <c r="F19" t="s">
        <v>850</v>
      </c>
      <c r="G19" t="s">
        <v>1188</v>
      </c>
      <c r="H19" s="3">
        <v>2540000</v>
      </c>
      <c r="I19" s="3">
        <v>940000</v>
      </c>
      <c r="J19" s="3">
        <v>0</v>
      </c>
      <c r="K19" s="3">
        <v>3480000</v>
      </c>
      <c r="L19" s="3">
        <v>2540000</v>
      </c>
      <c r="M19" s="3">
        <v>940000</v>
      </c>
      <c r="N19" s="3">
        <v>0</v>
      </c>
      <c r="O19" s="3">
        <v>3480000</v>
      </c>
      <c r="P19" s="3">
        <v>2540000</v>
      </c>
      <c r="Q19" s="3">
        <v>940000</v>
      </c>
      <c r="R19" s="3">
        <v>0</v>
      </c>
      <c r="S19" s="3">
        <v>3480000</v>
      </c>
      <c r="T19" s="3">
        <v>2540000</v>
      </c>
      <c r="U19" s="3">
        <v>940000</v>
      </c>
      <c r="V19" s="3">
        <v>0</v>
      </c>
      <c r="W19" s="3">
        <v>3480000</v>
      </c>
      <c r="X19" s="3">
        <v>2540000</v>
      </c>
      <c r="Y19" s="3">
        <v>940000</v>
      </c>
      <c r="Z19" s="3">
        <v>0</v>
      </c>
      <c r="AA19" s="3">
        <v>3480000</v>
      </c>
      <c r="AB19" s="3">
        <v>2513000</v>
      </c>
      <c r="AC19" s="3">
        <v>541413</v>
      </c>
      <c r="AD19" s="3">
        <v>0</v>
      </c>
      <c r="AE19" s="3">
        <v>3054413</v>
      </c>
      <c r="AF19" s="3">
        <v>2483000</v>
      </c>
      <c r="AG19" s="3">
        <v>495176</v>
      </c>
      <c r="AH19" s="3">
        <v>0</v>
      </c>
      <c r="AI19" s="3">
        <v>2978176</v>
      </c>
      <c r="AJ19" s="3">
        <v>2735000</v>
      </c>
      <c r="AK19" s="3">
        <v>865000</v>
      </c>
      <c r="AL19" s="3">
        <v>2252000</v>
      </c>
      <c r="AM19" s="3">
        <v>5852000</v>
      </c>
      <c r="AN19" s="3">
        <v>2735000</v>
      </c>
      <c r="AO19" s="3">
        <v>865000</v>
      </c>
      <c r="AP19" s="3">
        <v>2252000</v>
      </c>
      <c r="AQ19" s="3">
        <v>5852000</v>
      </c>
      <c r="AR19" s="3">
        <v>2735000</v>
      </c>
      <c r="AS19" s="3">
        <v>865000</v>
      </c>
      <c r="AT19" s="3">
        <v>2252000</v>
      </c>
      <c r="AU19" s="3">
        <v>5852000</v>
      </c>
      <c r="AV19" s="3">
        <v>2935000</v>
      </c>
      <c r="AW19" s="3">
        <v>665000</v>
      </c>
      <c r="AX19" s="3">
        <v>2252000</v>
      </c>
      <c r="AY19" s="3">
        <v>5852000</v>
      </c>
      <c r="AZ19" s="3">
        <v>2935000</v>
      </c>
      <c r="BA19" s="3">
        <v>665000</v>
      </c>
      <c r="BB19" s="3">
        <v>2252000</v>
      </c>
      <c r="BC19" s="3">
        <v>5852000</v>
      </c>
      <c r="BD19" s="3">
        <v>1053000</v>
      </c>
      <c r="BE19" s="3">
        <v>138078.9</v>
      </c>
      <c r="BF19" s="3">
        <v>0</v>
      </c>
      <c r="BG19" s="3">
        <v>1191078.8999999999</v>
      </c>
      <c r="BH19" s="3">
        <v>2616000</v>
      </c>
      <c r="BI19" s="3">
        <v>533645.4</v>
      </c>
      <c r="BJ19" s="3">
        <v>0</v>
      </c>
      <c r="BK19" s="3">
        <v>3149645.4</v>
      </c>
      <c r="BL19" s="3">
        <v>2661000</v>
      </c>
      <c r="BM19" s="3">
        <v>678000</v>
      </c>
      <c r="BN19" s="3">
        <v>0</v>
      </c>
      <c r="BO19" s="3">
        <v>3339000</v>
      </c>
      <c r="BP19" s="3">
        <v>2661000</v>
      </c>
      <c r="BQ19" s="3">
        <v>678000</v>
      </c>
      <c r="BR19" s="3">
        <v>0</v>
      </c>
      <c r="BS19" s="3">
        <v>3339000</v>
      </c>
      <c r="BT19" s="3">
        <v>2661000</v>
      </c>
      <c r="BU19" s="3">
        <v>678000</v>
      </c>
      <c r="BV19" s="3">
        <v>0</v>
      </c>
      <c r="BW19" s="3">
        <v>3339000</v>
      </c>
      <c r="BX19" s="6">
        <v>2661000</v>
      </c>
      <c r="BY19" s="6">
        <v>547000</v>
      </c>
      <c r="BZ19" s="3">
        <v>0</v>
      </c>
      <c r="CA19" s="3">
        <v>3208000</v>
      </c>
      <c r="CB19" s="3">
        <v>2661000</v>
      </c>
      <c r="CC19" s="3">
        <v>547000</v>
      </c>
      <c r="CD19" s="3">
        <v>0</v>
      </c>
      <c r="CE19" s="3">
        <v>3208000</v>
      </c>
      <c r="CF19" s="3">
        <v>2661000</v>
      </c>
      <c r="CG19" s="3">
        <v>370000</v>
      </c>
      <c r="CH19" s="3">
        <v>0</v>
      </c>
      <c r="CI19" s="3">
        <v>3031000</v>
      </c>
      <c r="CJ19" s="3">
        <v>2660500</v>
      </c>
      <c r="CK19" s="3">
        <v>370000</v>
      </c>
      <c r="CL19" s="3">
        <v>0</v>
      </c>
      <c r="CM19" s="3">
        <v>3030500</v>
      </c>
      <c r="CN19" s="3">
        <v>2821000</v>
      </c>
      <c r="CO19" s="3">
        <v>690000</v>
      </c>
      <c r="CP19" s="3">
        <v>0</v>
      </c>
      <c r="CQ19" s="3">
        <v>3511000</v>
      </c>
      <c r="CR19" s="3">
        <v>2821000</v>
      </c>
      <c r="CS19" s="3">
        <v>690000</v>
      </c>
      <c r="CT19" s="3">
        <v>0</v>
      </c>
      <c r="CU19" s="3">
        <v>3511000</v>
      </c>
      <c r="CV19" s="3"/>
      <c r="CW19" s="3"/>
      <c r="CX19" s="3"/>
      <c r="CY19" s="3"/>
      <c r="CZ19" s="3"/>
      <c r="DA19" s="3"/>
      <c r="DB19" s="3"/>
      <c r="DC19" s="3"/>
      <c r="DD19" s="3"/>
      <c r="DE19" s="3"/>
      <c r="DF19" s="3"/>
      <c r="DG19" s="3"/>
      <c r="DH19" s="3"/>
      <c r="DI19" s="3"/>
      <c r="DJ19" s="3"/>
      <c r="DK19" s="3"/>
      <c r="DL19" s="3"/>
      <c r="DM19" s="3"/>
      <c r="DN19" s="3"/>
      <c r="DO19" s="3"/>
      <c r="DP19" s="3">
        <v>2080000</v>
      </c>
      <c r="DQ19" s="3">
        <v>690000</v>
      </c>
      <c r="DR19" s="3">
        <v>0</v>
      </c>
      <c r="DS19" s="3">
        <v>2770000</v>
      </c>
      <c r="DT19" s="3">
        <v>2080000</v>
      </c>
      <c r="DU19" s="3">
        <v>690000</v>
      </c>
      <c r="DV19" s="3">
        <v>0</v>
      </c>
      <c r="DW19" s="3">
        <v>2770000</v>
      </c>
      <c r="DX19" s="3"/>
      <c r="DY19" s="3"/>
      <c r="DZ19" s="3"/>
      <c r="EA19" s="3"/>
      <c r="EB19" s="3"/>
      <c r="EC19" s="3"/>
      <c r="ED19" s="3"/>
      <c r="EE19" s="3"/>
      <c r="EF19" s="3"/>
      <c r="EG19" s="3"/>
      <c r="EH19" s="3"/>
      <c r="EI19" s="3"/>
      <c r="EJ19" s="3"/>
      <c r="EK19" s="3"/>
      <c r="EL19" s="3"/>
      <c r="EM19" s="3"/>
      <c r="EN19" s="3"/>
      <c r="EO19" s="3"/>
      <c r="EP19" s="3"/>
      <c r="EQ19" s="3"/>
      <c r="ER19" s="3">
        <v>2934000</v>
      </c>
      <c r="ES19" s="3">
        <v>15155000</v>
      </c>
      <c r="ET19" s="3">
        <v>0</v>
      </c>
      <c r="EU19" s="3">
        <v>18089000</v>
      </c>
      <c r="EV19" s="3">
        <v>2934000</v>
      </c>
      <c r="EW19" s="3">
        <v>15155000</v>
      </c>
      <c r="EX19" s="3">
        <v>0</v>
      </c>
      <c r="EY19" s="3">
        <v>18089000</v>
      </c>
      <c r="EZ19" s="3"/>
      <c r="FA19" s="3"/>
      <c r="FB19" s="3"/>
      <c r="FC19" s="3"/>
      <c r="FD19" s="3"/>
      <c r="FE19" s="3"/>
      <c r="FF19" s="3"/>
      <c r="FG19" s="3"/>
      <c r="FH19" s="3"/>
      <c r="FI19" s="3"/>
      <c r="FJ19" s="3"/>
      <c r="FK19" s="3"/>
      <c r="FL19" s="3"/>
      <c r="FM19" s="3"/>
      <c r="FN19" s="3"/>
      <c r="FO19" s="3"/>
      <c r="FP19" s="3"/>
      <c r="FQ19" s="3"/>
      <c r="FR19" s="3"/>
      <c r="FS19" s="3"/>
      <c r="FT19" s="3">
        <v>2081000</v>
      </c>
      <c r="FU19" s="3">
        <v>15428000</v>
      </c>
      <c r="FV19" s="3">
        <v>0</v>
      </c>
      <c r="FW19" s="3">
        <v>17509000</v>
      </c>
      <c r="FX19" s="3">
        <v>2081000</v>
      </c>
      <c r="FY19" s="3">
        <v>15428000</v>
      </c>
      <c r="FZ19" s="3">
        <v>0</v>
      </c>
      <c r="GA19" s="3">
        <v>17509000</v>
      </c>
      <c r="GB19" s="3">
        <v>2081000</v>
      </c>
      <c r="GC19" s="3">
        <v>15428000</v>
      </c>
      <c r="GD19" s="3">
        <v>0</v>
      </c>
      <c r="GE19" s="3">
        <v>17509000</v>
      </c>
      <c r="GF19" s="3">
        <v>2081000</v>
      </c>
      <c r="GG19" s="3">
        <v>15428000</v>
      </c>
      <c r="GH19" s="3">
        <v>0</v>
      </c>
      <c r="GI19" s="3">
        <v>17509000</v>
      </c>
      <c r="GJ19" s="3">
        <v>2081000</v>
      </c>
      <c r="GK19" s="3">
        <v>15428000</v>
      </c>
      <c r="GL19" s="3">
        <v>0</v>
      </c>
      <c r="GM19" s="3">
        <v>17509000</v>
      </c>
      <c r="GN19" s="3">
        <v>2081000</v>
      </c>
      <c r="GO19" s="3">
        <v>15428000</v>
      </c>
      <c r="GP19" s="3">
        <v>0</v>
      </c>
      <c r="GQ19" s="3">
        <v>17509000</v>
      </c>
      <c r="GR19" s="3">
        <v>2077400</v>
      </c>
      <c r="GS19" s="3">
        <v>15382500</v>
      </c>
      <c r="GT19" s="3">
        <v>0</v>
      </c>
      <c r="GU19" s="3">
        <v>17459900</v>
      </c>
      <c r="GV19" s="3">
        <v>2876000</v>
      </c>
      <c r="GW19" s="3">
        <v>32205000</v>
      </c>
      <c r="GX19" s="3">
        <v>0</v>
      </c>
      <c r="GY19" s="3">
        <v>35081000</v>
      </c>
      <c r="GZ19" s="3">
        <v>2876000</v>
      </c>
      <c r="HA19" s="3">
        <v>32205000</v>
      </c>
      <c r="HB19" s="3">
        <v>0</v>
      </c>
      <c r="HC19" s="3">
        <v>35081000</v>
      </c>
      <c r="HD19" s="3">
        <v>2876000</v>
      </c>
      <c r="HE19" s="3">
        <v>32205000</v>
      </c>
      <c r="HF19" s="3">
        <v>0</v>
      </c>
      <c r="HG19" s="3">
        <v>35081000</v>
      </c>
      <c r="HH19" s="3">
        <v>3575709.63</v>
      </c>
      <c r="HI19" s="3">
        <v>31505290.370000001</v>
      </c>
      <c r="HJ19" s="3">
        <v>0</v>
      </c>
      <c r="HK19" s="3">
        <v>35081000</v>
      </c>
      <c r="HL19" s="10">
        <f t="shared" si="0"/>
        <v>0</v>
      </c>
      <c r="HM19" s="3">
        <v>3575709.63</v>
      </c>
      <c r="HN19" s="3">
        <v>31505290.370000001</v>
      </c>
      <c r="HO19" s="3">
        <v>0</v>
      </c>
      <c r="HP19" s="3">
        <v>35081000</v>
      </c>
      <c r="HQ19" s="3">
        <v>3575709.63</v>
      </c>
      <c r="HR19" s="3">
        <v>12634477.550000001</v>
      </c>
      <c r="HS19" s="3">
        <v>0</v>
      </c>
      <c r="HT19" s="3">
        <v>16210187.18</v>
      </c>
      <c r="HU19" s="10">
        <f t="shared" si="1"/>
        <v>0</v>
      </c>
      <c r="HV19" s="3">
        <v>3575709.63</v>
      </c>
      <c r="HW19" s="3">
        <v>11578635.550000001</v>
      </c>
      <c r="HX19" s="3">
        <v>0</v>
      </c>
      <c r="HY19" s="3">
        <v>15154345.18</v>
      </c>
      <c r="HZ19" s="10">
        <f t="shared" si="2"/>
        <v>0</v>
      </c>
      <c r="IA19" s="3">
        <v>3300000</v>
      </c>
      <c r="IB19" s="3">
        <v>16488000</v>
      </c>
      <c r="IC19" s="3">
        <v>0</v>
      </c>
      <c r="ID19" s="3">
        <v>19788000</v>
      </c>
      <c r="IE19" s="3">
        <v>3300000</v>
      </c>
      <c r="IF19" s="3">
        <v>16488000</v>
      </c>
      <c r="IG19" s="3">
        <v>0</v>
      </c>
      <c r="IH19" s="3">
        <v>19788000</v>
      </c>
    </row>
    <row r="20" spans="1:242" x14ac:dyDescent="0.25">
      <c r="A20" t="s">
        <v>1170</v>
      </c>
      <c r="B20" t="s">
        <v>1171</v>
      </c>
      <c r="C20" t="s">
        <v>199</v>
      </c>
      <c r="D20" t="s">
        <v>200</v>
      </c>
      <c r="E20" t="s">
        <v>727</v>
      </c>
      <c r="F20" t="s">
        <v>728</v>
      </c>
      <c r="G20" t="s">
        <v>1189</v>
      </c>
      <c r="H20" s="3">
        <v>7360000</v>
      </c>
      <c r="I20" s="3">
        <v>29993000</v>
      </c>
      <c r="J20" s="3">
        <v>0</v>
      </c>
      <c r="K20" s="3">
        <v>37353000</v>
      </c>
      <c r="L20" s="3">
        <v>7360000</v>
      </c>
      <c r="M20" s="3">
        <v>29993000</v>
      </c>
      <c r="N20" s="3">
        <v>0</v>
      </c>
      <c r="O20" s="3">
        <v>37353000</v>
      </c>
      <c r="P20" s="3">
        <v>7360000</v>
      </c>
      <c r="Q20" s="3">
        <v>29993000</v>
      </c>
      <c r="R20" s="3">
        <v>0</v>
      </c>
      <c r="S20" s="3">
        <v>37353000</v>
      </c>
      <c r="T20" s="3">
        <v>10860000</v>
      </c>
      <c r="U20" s="3">
        <v>26493000</v>
      </c>
      <c r="V20" s="3">
        <v>0</v>
      </c>
      <c r="W20" s="3">
        <v>37353000</v>
      </c>
      <c r="X20" s="3">
        <v>10860000</v>
      </c>
      <c r="Y20" s="3">
        <v>26493000</v>
      </c>
      <c r="Z20" s="3">
        <v>0</v>
      </c>
      <c r="AA20" s="3">
        <v>37353000</v>
      </c>
      <c r="AB20" s="3">
        <v>10860000</v>
      </c>
      <c r="AC20" s="3">
        <v>19957932.25</v>
      </c>
      <c r="AD20" s="3">
        <v>0</v>
      </c>
      <c r="AE20" s="3">
        <v>30817932.25</v>
      </c>
      <c r="AF20" s="3">
        <v>10792858.33</v>
      </c>
      <c r="AG20" s="3">
        <v>15328237.199999999</v>
      </c>
      <c r="AH20" s="3">
        <v>0</v>
      </c>
      <c r="AI20" s="3">
        <v>26121095.530000001</v>
      </c>
      <c r="AJ20" s="3">
        <v>8664000</v>
      </c>
      <c r="AK20" s="3">
        <v>16721000</v>
      </c>
      <c r="AL20" s="3">
        <v>0</v>
      </c>
      <c r="AM20" s="3">
        <v>25385000</v>
      </c>
      <c r="AN20" s="3">
        <v>8664000</v>
      </c>
      <c r="AO20" s="3">
        <v>16721000</v>
      </c>
      <c r="AP20" s="3">
        <v>0</v>
      </c>
      <c r="AQ20" s="3">
        <v>25385000</v>
      </c>
      <c r="AR20" s="3">
        <v>8664000</v>
      </c>
      <c r="AS20" s="3">
        <v>16721000</v>
      </c>
      <c r="AT20" s="3">
        <v>0</v>
      </c>
      <c r="AU20" s="3">
        <v>25385000</v>
      </c>
      <c r="AV20" s="3">
        <v>10224000</v>
      </c>
      <c r="AW20" s="3">
        <v>15161000</v>
      </c>
      <c r="AX20" s="3">
        <v>0</v>
      </c>
      <c r="AY20" s="3">
        <v>25385000</v>
      </c>
      <c r="AZ20" s="3">
        <v>10224000</v>
      </c>
      <c r="BA20" s="3">
        <v>15161000</v>
      </c>
      <c r="BB20" s="3">
        <v>0</v>
      </c>
      <c r="BC20" s="3">
        <v>25385000</v>
      </c>
      <c r="BD20" s="3">
        <v>10224000</v>
      </c>
      <c r="BE20" s="3">
        <v>15161000</v>
      </c>
      <c r="BF20" s="3">
        <v>0</v>
      </c>
      <c r="BG20" s="3">
        <v>25385000</v>
      </c>
      <c r="BH20" s="3">
        <v>8135407.04</v>
      </c>
      <c r="BI20" s="3">
        <v>8546642.9100000001</v>
      </c>
      <c r="BJ20" s="3">
        <v>0</v>
      </c>
      <c r="BK20" s="3">
        <v>16682049.949999999</v>
      </c>
      <c r="BL20" s="3">
        <v>8864000</v>
      </c>
      <c r="BM20" s="3">
        <v>12234000</v>
      </c>
      <c r="BN20" s="3">
        <v>0</v>
      </c>
      <c r="BO20" s="3">
        <v>21098000</v>
      </c>
      <c r="BP20" s="3">
        <v>8864000</v>
      </c>
      <c r="BQ20" s="3">
        <v>12234000</v>
      </c>
      <c r="BR20" s="3">
        <v>0</v>
      </c>
      <c r="BS20" s="3">
        <v>21098000</v>
      </c>
      <c r="BT20" s="3">
        <v>8864000</v>
      </c>
      <c r="BU20" s="3">
        <v>12234000</v>
      </c>
      <c r="BV20" s="3">
        <v>0</v>
      </c>
      <c r="BW20" s="3">
        <v>21098000</v>
      </c>
      <c r="BX20" s="6">
        <v>8864000</v>
      </c>
      <c r="BY20" s="6">
        <v>7196000</v>
      </c>
      <c r="BZ20" s="3">
        <v>0</v>
      </c>
      <c r="CA20" s="3">
        <v>16060000</v>
      </c>
      <c r="CB20" s="3">
        <v>8864000</v>
      </c>
      <c r="CC20" s="3">
        <v>7196000</v>
      </c>
      <c r="CD20" s="3">
        <v>0</v>
      </c>
      <c r="CE20" s="3">
        <v>16060000</v>
      </c>
      <c r="CF20" s="3">
        <v>8864000</v>
      </c>
      <c r="CG20" s="3">
        <v>4376349.3899999997</v>
      </c>
      <c r="CH20" s="3">
        <v>0</v>
      </c>
      <c r="CI20" s="3">
        <v>13240349.390000001</v>
      </c>
      <c r="CJ20" s="3">
        <v>8852833.3699999992</v>
      </c>
      <c r="CK20" s="3">
        <v>2729315.64</v>
      </c>
      <c r="CL20" s="3">
        <v>0</v>
      </c>
      <c r="CM20" s="3">
        <v>11582149.01</v>
      </c>
      <c r="CN20" s="3">
        <v>8196000</v>
      </c>
      <c r="CO20" s="3">
        <v>13347000</v>
      </c>
      <c r="CP20" s="3">
        <v>0</v>
      </c>
      <c r="CQ20" s="3">
        <v>21543000</v>
      </c>
      <c r="CR20" s="3">
        <v>8196000</v>
      </c>
      <c r="CS20" s="3">
        <v>33347000</v>
      </c>
      <c r="CT20" s="3">
        <v>0</v>
      </c>
      <c r="CU20" s="3">
        <v>41543000</v>
      </c>
      <c r="CV20" s="3"/>
      <c r="CW20" s="3"/>
      <c r="CX20" s="3"/>
      <c r="CY20" s="3"/>
      <c r="CZ20" s="3"/>
      <c r="DA20" s="3"/>
      <c r="DB20" s="3"/>
      <c r="DC20" s="3"/>
      <c r="DD20" s="3"/>
      <c r="DE20" s="3"/>
      <c r="DF20" s="3"/>
      <c r="DG20" s="3"/>
      <c r="DH20" s="3"/>
      <c r="DI20" s="3"/>
      <c r="DJ20" s="3"/>
      <c r="DK20" s="3"/>
      <c r="DL20" s="3"/>
      <c r="DM20" s="3"/>
      <c r="DN20" s="3"/>
      <c r="DO20" s="3"/>
      <c r="DP20" s="3">
        <v>6920000</v>
      </c>
      <c r="DQ20" s="3">
        <v>13347000</v>
      </c>
      <c r="DR20" s="3">
        <v>0</v>
      </c>
      <c r="DS20" s="3">
        <v>20267000</v>
      </c>
      <c r="DT20" s="3">
        <v>6920000</v>
      </c>
      <c r="DU20" s="3">
        <v>13347000</v>
      </c>
      <c r="DV20" s="3">
        <v>0</v>
      </c>
      <c r="DW20" s="3">
        <v>20267000</v>
      </c>
      <c r="DX20" s="3"/>
      <c r="DY20" s="3"/>
      <c r="DZ20" s="3"/>
      <c r="EA20" s="3"/>
      <c r="EB20" s="3"/>
      <c r="EC20" s="3"/>
      <c r="ED20" s="3"/>
      <c r="EE20" s="3"/>
      <c r="EF20" s="3"/>
      <c r="EG20" s="3"/>
      <c r="EH20" s="3"/>
      <c r="EI20" s="3"/>
      <c r="EJ20" s="3"/>
      <c r="EK20" s="3"/>
      <c r="EL20" s="3"/>
      <c r="EM20" s="3"/>
      <c r="EN20" s="3"/>
      <c r="EO20" s="3"/>
      <c r="EP20" s="3"/>
      <c r="EQ20" s="3"/>
      <c r="ER20" s="3">
        <v>5440000</v>
      </c>
      <c r="ES20" s="3">
        <v>8412000</v>
      </c>
      <c r="ET20" s="3">
        <v>0</v>
      </c>
      <c r="EU20" s="3">
        <v>13852000</v>
      </c>
      <c r="EV20" s="3">
        <v>5440000</v>
      </c>
      <c r="EW20" s="3">
        <v>8412000</v>
      </c>
      <c r="EX20" s="3">
        <v>0</v>
      </c>
      <c r="EY20" s="3">
        <v>13852000</v>
      </c>
      <c r="EZ20" s="3"/>
      <c r="FA20" s="3"/>
      <c r="FB20" s="3"/>
      <c r="FC20" s="3"/>
      <c r="FD20" s="3"/>
      <c r="FE20" s="3"/>
      <c r="FF20" s="3"/>
      <c r="FG20" s="3"/>
      <c r="FH20" s="3"/>
      <c r="FI20" s="3"/>
      <c r="FJ20" s="3"/>
      <c r="FK20" s="3"/>
      <c r="FL20" s="3"/>
      <c r="FM20" s="3"/>
      <c r="FN20" s="3"/>
      <c r="FO20" s="3"/>
      <c r="FP20" s="3"/>
      <c r="FQ20" s="3"/>
      <c r="FR20" s="3"/>
      <c r="FS20" s="3"/>
      <c r="FT20" s="3">
        <v>8179000</v>
      </c>
      <c r="FU20" s="3">
        <v>11047000</v>
      </c>
      <c r="FV20" s="3">
        <v>400000</v>
      </c>
      <c r="FW20" s="3">
        <v>19626000</v>
      </c>
      <c r="FX20" s="3">
        <v>8179000</v>
      </c>
      <c r="FY20" s="3">
        <v>11047000</v>
      </c>
      <c r="FZ20" s="3">
        <v>400000</v>
      </c>
      <c r="GA20" s="3">
        <v>19626000</v>
      </c>
      <c r="GB20" s="3">
        <v>8179000</v>
      </c>
      <c r="GC20" s="3">
        <v>11047000</v>
      </c>
      <c r="GD20" s="3">
        <v>400000</v>
      </c>
      <c r="GE20" s="3">
        <v>19626000</v>
      </c>
      <c r="GF20" s="3">
        <v>8212389</v>
      </c>
      <c r="GG20" s="3">
        <v>11047000</v>
      </c>
      <c r="GH20" s="3">
        <v>366611</v>
      </c>
      <c r="GI20" s="3">
        <v>19626000</v>
      </c>
      <c r="GJ20" s="3">
        <v>8212389</v>
      </c>
      <c r="GK20" s="3">
        <v>11047000</v>
      </c>
      <c r="GL20" s="3">
        <v>366611</v>
      </c>
      <c r="GM20" s="3">
        <v>19626000</v>
      </c>
      <c r="GN20" s="3">
        <v>8212389</v>
      </c>
      <c r="GO20" s="3">
        <v>11027193.210000001</v>
      </c>
      <c r="GP20" s="3">
        <v>366610.87</v>
      </c>
      <c r="GQ20" s="3">
        <v>19606193.079999998</v>
      </c>
      <c r="GR20" s="3">
        <v>8197989</v>
      </c>
      <c r="GS20" s="3">
        <v>8274806.6799999997</v>
      </c>
      <c r="GT20" s="3">
        <v>166611.20000000001</v>
      </c>
      <c r="GU20" s="3">
        <v>16639406.880000001</v>
      </c>
      <c r="GV20" s="3">
        <v>10148000</v>
      </c>
      <c r="GW20" s="3">
        <v>8718000</v>
      </c>
      <c r="GX20" s="3">
        <v>0</v>
      </c>
      <c r="GY20" s="3">
        <v>18866000</v>
      </c>
      <c r="GZ20" s="3">
        <v>10148000</v>
      </c>
      <c r="HA20" s="3">
        <v>8718000</v>
      </c>
      <c r="HB20" s="3">
        <v>0</v>
      </c>
      <c r="HC20" s="3">
        <v>18866000</v>
      </c>
      <c r="HD20" s="3">
        <v>10148000</v>
      </c>
      <c r="HE20" s="3">
        <v>8718000</v>
      </c>
      <c r="HF20" s="3">
        <v>0</v>
      </c>
      <c r="HG20" s="3">
        <v>18866000</v>
      </c>
      <c r="HH20" s="3">
        <v>10790200</v>
      </c>
      <c r="HI20" s="3">
        <v>8075800</v>
      </c>
      <c r="HJ20" s="3">
        <v>0</v>
      </c>
      <c r="HK20" s="3">
        <v>18866000</v>
      </c>
      <c r="HL20" s="10">
        <f t="shared" si="0"/>
        <v>0</v>
      </c>
      <c r="HM20" s="3">
        <v>10790200</v>
      </c>
      <c r="HN20" s="3">
        <v>8075800</v>
      </c>
      <c r="HO20" s="3">
        <v>0</v>
      </c>
      <c r="HP20" s="3">
        <v>18866000</v>
      </c>
      <c r="HQ20" s="3">
        <v>10790200</v>
      </c>
      <c r="HR20" s="3">
        <v>7350239.46</v>
      </c>
      <c r="HS20" s="3">
        <v>0</v>
      </c>
      <c r="HT20" s="3">
        <v>18140439.460000001</v>
      </c>
      <c r="HU20" s="10">
        <f t="shared" si="1"/>
        <v>0</v>
      </c>
      <c r="HV20" s="3">
        <v>10790200</v>
      </c>
      <c r="HW20" s="3">
        <v>5682544.6900000004</v>
      </c>
      <c r="HX20" s="3">
        <v>0</v>
      </c>
      <c r="HY20" s="3">
        <v>16472744.689999999</v>
      </c>
      <c r="HZ20" s="10">
        <f t="shared" si="2"/>
        <v>0</v>
      </c>
      <c r="IA20" s="3">
        <v>21198000</v>
      </c>
      <c r="IB20" s="3">
        <v>33148000</v>
      </c>
      <c r="IC20" s="3">
        <v>17540000</v>
      </c>
      <c r="ID20" s="3">
        <v>71886000</v>
      </c>
      <c r="IE20" s="3">
        <v>21198000</v>
      </c>
      <c r="IF20" s="3">
        <v>33148000</v>
      </c>
      <c r="IG20" s="3">
        <v>14975000</v>
      </c>
      <c r="IH20" s="3">
        <v>69321000</v>
      </c>
    </row>
    <row r="21" spans="1:242" x14ac:dyDescent="0.25">
      <c r="A21" t="s">
        <v>1170</v>
      </c>
      <c r="B21" t="s">
        <v>1171</v>
      </c>
      <c r="C21" t="s">
        <v>199</v>
      </c>
      <c r="D21" t="s">
        <v>200</v>
      </c>
      <c r="E21" t="s">
        <v>729</v>
      </c>
      <c r="F21" t="s">
        <v>730</v>
      </c>
      <c r="G21" t="s">
        <v>1191</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v>0</v>
      </c>
      <c r="GW21" s="3">
        <v>24313000</v>
      </c>
      <c r="GX21" s="3">
        <v>0</v>
      </c>
      <c r="GY21" s="3">
        <v>24313000</v>
      </c>
      <c r="GZ21" s="3">
        <v>0</v>
      </c>
      <c r="HA21" s="3">
        <v>24313000</v>
      </c>
      <c r="HB21" s="3">
        <v>0</v>
      </c>
      <c r="HC21" s="3">
        <v>24313000</v>
      </c>
      <c r="HD21" s="3">
        <v>0</v>
      </c>
      <c r="HE21" s="3">
        <v>24313000</v>
      </c>
      <c r="HF21" s="3">
        <v>0</v>
      </c>
      <c r="HG21" s="3">
        <v>24313000</v>
      </c>
      <c r="HH21" s="3">
        <v>502403.8</v>
      </c>
      <c r="HI21" s="3">
        <v>23810596.199999999</v>
      </c>
      <c r="HJ21" s="3">
        <v>0</v>
      </c>
      <c r="HK21" s="3">
        <v>24313000</v>
      </c>
      <c r="HL21" s="10">
        <f t="shared" si="0"/>
        <v>0</v>
      </c>
      <c r="HM21" s="3">
        <v>502403.8</v>
      </c>
      <c r="HN21" s="3">
        <v>23810596.199999999</v>
      </c>
      <c r="HO21" s="3">
        <v>0</v>
      </c>
      <c r="HP21" s="3">
        <v>24313000</v>
      </c>
      <c r="HQ21" s="3">
        <v>502403.8</v>
      </c>
      <c r="HR21" s="3">
        <v>21123861.379999999</v>
      </c>
      <c r="HS21" s="3">
        <v>0</v>
      </c>
      <c r="HT21" s="3">
        <v>21626265.18</v>
      </c>
      <c r="HU21" s="10">
        <f t="shared" si="1"/>
        <v>0</v>
      </c>
      <c r="HV21" s="3">
        <v>502403</v>
      </c>
      <c r="HW21" s="3">
        <v>11969919.609999999</v>
      </c>
      <c r="HX21" s="3">
        <v>0</v>
      </c>
      <c r="HY21" s="3">
        <v>12472323.41</v>
      </c>
      <c r="HZ21" s="10">
        <f t="shared" si="2"/>
        <v>0.80000000074505806</v>
      </c>
      <c r="IA21" s="3">
        <v>5564000</v>
      </c>
      <c r="IB21" s="3">
        <v>25553000</v>
      </c>
      <c r="IC21" s="3">
        <v>1150000</v>
      </c>
      <c r="ID21" s="3">
        <v>32267000</v>
      </c>
      <c r="IE21" s="3">
        <v>5564000</v>
      </c>
      <c r="IF21" s="3">
        <v>25553000</v>
      </c>
      <c r="IG21" s="3">
        <v>823000</v>
      </c>
      <c r="IH21" s="3">
        <v>31940000</v>
      </c>
    </row>
    <row r="22" spans="1:242" x14ac:dyDescent="0.25">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row>
    <row r="23" spans="1:242" x14ac:dyDescent="0.25">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row>
    <row r="24" spans="1:242" x14ac:dyDescent="0.25">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row>
    <row r="25" spans="1:242" x14ac:dyDescent="0.25">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row>
    <row r="26" spans="1:242" x14ac:dyDescent="0.25">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row>
    <row r="27" spans="1:242" x14ac:dyDescent="0.25">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row>
    <row r="28" spans="1:242" x14ac:dyDescent="0.25">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row>
    <row r="29" spans="1:242" x14ac:dyDescent="0.25">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row>
    <row r="30" spans="1:242" x14ac:dyDescent="0.25">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row>
    <row r="31" spans="1:242" x14ac:dyDescent="0.25">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row>
    <row r="32" spans="1:242" x14ac:dyDescent="0.25">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row>
    <row r="33" spans="8:242" x14ac:dyDescent="0.25">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row>
    <row r="34" spans="8:242" x14ac:dyDescent="0.25">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row>
    <row r="35" spans="8:242" x14ac:dyDescent="0.25">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row>
    <row r="36" spans="8:242" x14ac:dyDescent="0.25">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row>
    <row r="37" spans="8:242" x14ac:dyDescent="0.25">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row>
    <row r="38" spans="8:242" x14ac:dyDescent="0.25">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row>
    <row r="39" spans="8:242" x14ac:dyDescent="0.25">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row>
    <row r="40" spans="8:242" x14ac:dyDescent="0.25">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row>
    <row r="41" spans="8:242" x14ac:dyDescent="0.25">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row>
    <row r="42" spans="8:242" x14ac:dyDescent="0.25">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row>
    <row r="43" spans="8:242" x14ac:dyDescent="0.25">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row>
    <row r="44" spans="8:242" x14ac:dyDescent="0.25">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row>
    <row r="45" spans="8:242" x14ac:dyDescent="0.25">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row>
    <row r="46" spans="8:242" x14ac:dyDescent="0.25">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row>
    <row r="47" spans="8:242" x14ac:dyDescent="0.25">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row>
    <row r="48" spans="8:242" x14ac:dyDescent="0.25">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row>
    <row r="49" spans="8:242" x14ac:dyDescent="0.25">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row>
    <row r="50" spans="8:242" x14ac:dyDescent="0.25">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row>
    <row r="51" spans="8:242" x14ac:dyDescent="0.25">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row>
    <row r="52" spans="8:242" x14ac:dyDescent="0.25">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row>
    <row r="53" spans="8:242" x14ac:dyDescent="0.25">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row>
    <row r="54" spans="8:242" x14ac:dyDescent="0.25">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row>
    <row r="55" spans="8:242" x14ac:dyDescent="0.25">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row>
    <row r="56" spans="8:242" x14ac:dyDescent="0.25">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row>
    <row r="57" spans="8:242" x14ac:dyDescent="0.25">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row>
    <row r="58" spans="8:242" x14ac:dyDescent="0.25">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row>
    <row r="59" spans="8:242" x14ac:dyDescent="0.25">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row>
    <row r="60" spans="8:242" x14ac:dyDescent="0.25">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row>
    <row r="61" spans="8:242" x14ac:dyDescent="0.25">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row>
    <row r="62" spans="8:242" x14ac:dyDescent="0.25">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row>
    <row r="63" spans="8:242" x14ac:dyDescent="0.25">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row>
    <row r="64" spans="8:242" x14ac:dyDescent="0.25">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row>
    <row r="65" spans="8:242" x14ac:dyDescent="0.25">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row>
    <row r="66" spans="8:242" x14ac:dyDescent="0.25">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row>
    <row r="67" spans="8:242" x14ac:dyDescent="0.25">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row>
    <row r="68" spans="8:242" x14ac:dyDescent="0.25">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row>
    <row r="69" spans="8:242" x14ac:dyDescent="0.25">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row>
    <row r="70" spans="8:242" x14ac:dyDescent="0.25">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row>
    <row r="71" spans="8:242" x14ac:dyDescent="0.25">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row>
    <row r="72" spans="8:242" x14ac:dyDescent="0.25">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row>
    <row r="73" spans="8:242" x14ac:dyDescent="0.25">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row>
    <row r="74" spans="8:242" x14ac:dyDescent="0.25">
      <c r="AR74" s="3"/>
      <c r="AS74" s="3"/>
      <c r="AT74" s="3"/>
      <c r="AU74" s="3"/>
      <c r="AV74" s="3"/>
      <c r="AW74" s="3"/>
      <c r="AX74" s="3"/>
      <c r="AY74" s="3"/>
      <c r="AZ74" s="3"/>
      <c r="BA74" s="3"/>
      <c r="BB74" s="3"/>
      <c r="BC74" s="3"/>
      <c r="BD74" s="3"/>
      <c r="BE74" s="3"/>
      <c r="BF74" s="3"/>
      <c r="BG74" s="3"/>
      <c r="BH74" s="3"/>
      <c r="BI74" s="3"/>
      <c r="BJ74" s="3"/>
      <c r="BK74" s="3"/>
    </row>
    <row r="75" spans="8:242" x14ac:dyDescent="0.25">
      <c r="AR75" s="3"/>
      <c r="AS75" s="3"/>
      <c r="AT75" s="3"/>
      <c r="AU75" s="3"/>
      <c r="AV75" s="3"/>
      <c r="AW75" s="3"/>
      <c r="AX75" s="3"/>
      <c r="AY75" s="3"/>
      <c r="AZ75" s="3"/>
      <c r="BA75" s="3"/>
      <c r="BB75" s="3"/>
      <c r="BC75" s="3"/>
      <c r="BD75" s="3"/>
      <c r="BE75" s="3"/>
      <c r="BF75" s="3"/>
      <c r="BG75" s="3"/>
      <c r="BH75" s="3"/>
      <c r="BI75" s="3"/>
      <c r="BJ75" s="3"/>
      <c r="BK75" s="3"/>
    </row>
    <row r="76" spans="8:242" x14ac:dyDescent="0.25">
      <c r="AR76" s="3"/>
      <c r="AS76" s="3"/>
      <c r="AT76" s="3"/>
      <c r="AU76" s="3"/>
      <c r="AV76" s="3"/>
      <c r="AW76" s="3"/>
      <c r="AX76" s="3"/>
      <c r="AY76" s="3"/>
      <c r="AZ76" s="3"/>
      <c r="BA76" s="3"/>
      <c r="BB76" s="3"/>
      <c r="BC76" s="3"/>
      <c r="BD76" s="3"/>
      <c r="BE76" s="3"/>
      <c r="BF76" s="3"/>
      <c r="BG76" s="3"/>
      <c r="BH76" s="3"/>
      <c r="BI76" s="3"/>
      <c r="BJ76" s="3"/>
      <c r="BK76" s="3"/>
    </row>
    <row r="77" spans="8:242" x14ac:dyDescent="0.25">
      <c r="AR77" s="3"/>
      <c r="AS77" s="3"/>
      <c r="AT77" s="3"/>
      <c r="AU77" s="3"/>
      <c r="AV77" s="3"/>
      <c r="AW77" s="3"/>
      <c r="AX77" s="3"/>
      <c r="AY77" s="3"/>
      <c r="AZ77" s="3"/>
      <c r="BA77" s="3"/>
      <c r="BB77" s="3"/>
      <c r="BC77" s="3"/>
      <c r="BD77" s="3"/>
      <c r="BE77" s="3"/>
      <c r="BF77" s="3"/>
      <c r="BG77" s="3"/>
      <c r="BH77" s="3"/>
      <c r="BI77" s="3"/>
      <c r="BJ77" s="3"/>
      <c r="BK77" s="3"/>
    </row>
    <row r="78" spans="8:242" x14ac:dyDescent="0.25">
      <c r="AR78" s="3"/>
      <c r="AS78" s="3"/>
      <c r="AT78" s="3"/>
      <c r="AU78" s="3"/>
      <c r="AV78" s="3"/>
      <c r="AW78" s="3"/>
      <c r="AX78" s="3"/>
      <c r="AY78" s="3"/>
      <c r="AZ78" s="3"/>
      <c r="BA78" s="3"/>
      <c r="BB78" s="3"/>
      <c r="BC78" s="3"/>
      <c r="BD78" s="3"/>
      <c r="BE78" s="3"/>
      <c r="BF78" s="3"/>
      <c r="BG78" s="3"/>
      <c r="BH78" s="3"/>
      <c r="BI78" s="3"/>
      <c r="BJ78" s="3"/>
      <c r="BK78" s="3"/>
    </row>
    <row r="79" spans="8:242" x14ac:dyDescent="0.25">
      <c r="AR79" s="3"/>
      <c r="AS79" s="3"/>
      <c r="AT79" s="3"/>
      <c r="AU79" s="3"/>
      <c r="AV79" s="3"/>
      <c r="AW79" s="3"/>
      <c r="AX79" s="3"/>
      <c r="AY79" s="3"/>
      <c r="AZ79" s="3"/>
      <c r="BA79" s="3"/>
      <c r="BB79" s="3"/>
      <c r="BC79" s="3"/>
      <c r="BD79" s="3"/>
      <c r="BE79" s="3"/>
      <c r="BF79" s="3"/>
      <c r="BG79" s="3"/>
      <c r="BH79" s="3"/>
      <c r="BI79" s="3"/>
      <c r="BJ79" s="3"/>
      <c r="BK79" s="3"/>
    </row>
    <row r="80" spans="8:242" x14ac:dyDescent="0.25">
      <c r="AR80" s="3"/>
      <c r="AS80" s="3"/>
      <c r="AT80" s="3"/>
      <c r="AU80" s="3"/>
      <c r="AV80" s="3"/>
      <c r="AW80" s="3"/>
      <c r="AX80" s="3"/>
      <c r="AY80" s="3"/>
      <c r="AZ80" s="3"/>
      <c r="BA80" s="3"/>
      <c r="BB80" s="3"/>
      <c r="BC80" s="3"/>
      <c r="BD80" s="3"/>
      <c r="BE80" s="3"/>
      <c r="BF80" s="3"/>
      <c r="BG80" s="3"/>
      <c r="BH80" s="3"/>
      <c r="BI80" s="3"/>
      <c r="BJ80" s="3"/>
      <c r="BK80" s="3"/>
    </row>
    <row r="81" spans="44:63" x14ac:dyDescent="0.25">
      <c r="AR81" s="3"/>
      <c r="AS81" s="3"/>
      <c r="AT81" s="3"/>
      <c r="AU81" s="3"/>
      <c r="AV81" s="3"/>
      <c r="AW81" s="3"/>
      <c r="AX81" s="3"/>
      <c r="AY81" s="3"/>
      <c r="AZ81" s="3"/>
      <c r="BA81" s="3"/>
      <c r="BB81" s="3"/>
      <c r="BC81" s="3"/>
      <c r="BD81" s="3"/>
      <c r="BE81" s="3"/>
      <c r="BF81" s="3"/>
      <c r="BG81" s="3"/>
      <c r="BH81" s="3"/>
      <c r="BI81" s="3"/>
      <c r="BJ81" s="3"/>
      <c r="BK81" s="3"/>
    </row>
    <row r="82" spans="44:63" x14ac:dyDescent="0.25">
      <c r="AR82" s="3"/>
      <c r="AS82" s="3"/>
      <c r="AT82" s="3"/>
      <c r="AU82" s="3"/>
      <c r="AV82" s="3"/>
      <c r="AW82" s="3"/>
      <c r="AX82" s="3"/>
      <c r="AY82" s="3"/>
      <c r="AZ82" s="3"/>
      <c r="BA82" s="3"/>
      <c r="BB82" s="3"/>
      <c r="BC82" s="3"/>
      <c r="BD82" s="3"/>
      <c r="BE82" s="3"/>
      <c r="BF82" s="3"/>
      <c r="BG82" s="3"/>
      <c r="BH82" s="3"/>
      <c r="BI82" s="3"/>
      <c r="BJ82" s="3"/>
      <c r="BK82" s="3"/>
    </row>
    <row r="83" spans="44:63" x14ac:dyDescent="0.25">
      <c r="AR83" s="3"/>
      <c r="AS83" s="3"/>
      <c r="AT83" s="3"/>
      <c r="AU83" s="3"/>
      <c r="AV83" s="3"/>
      <c r="AW83" s="3"/>
      <c r="AX83" s="3"/>
      <c r="AY83" s="3"/>
      <c r="AZ83" s="3"/>
      <c r="BA83" s="3"/>
      <c r="BB83" s="3"/>
      <c r="BC83" s="3"/>
      <c r="BD83" s="3"/>
      <c r="BE83" s="3"/>
      <c r="BF83" s="3"/>
      <c r="BG83" s="3"/>
      <c r="BH83" s="3"/>
      <c r="BI83" s="3"/>
      <c r="BJ83" s="3"/>
      <c r="BK83" s="3"/>
    </row>
    <row r="84" spans="44:63" x14ac:dyDescent="0.25">
      <c r="AR84" s="3"/>
      <c r="AS84" s="3"/>
      <c r="AT84" s="3"/>
      <c r="AU84" s="3"/>
      <c r="AV84" s="3"/>
      <c r="AW84" s="3"/>
      <c r="AX84" s="3"/>
      <c r="AY84" s="3"/>
      <c r="AZ84" s="3"/>
      <c r="BA84" s="3"/>
      <c r="BB84" s="3"/>
      <c r="BC84" s="3"/>
      <c r="BD84" s="3"/>
      <c r="BE84" s="3"/>
      <c r="BF84" s="3"/>
      <c r="BG84" s="3"/>
      <c r="BH84" s="3"/>
      <c r="BI84" s="3"/>
      <c r="BJ84" s="3"/>
      <c r="BK84" s="3"/>
    </row>
    <row r="85" spans="44:63" x14ac:dyDescent="0.25">
      <c r="AR85" s="3"/>
      <c r="AS85" s="3"/>
      <c r="AT85" s="3"/>
      <c r="AU85" s="3"/>
      <c r="AV85" s="3"/>
      <c r="AW85" s="3"/>
      <c r="AX85" s="3"/>
      <c r="AY85" s="3"/>
      <c r="AZ85" s="3"/>
      <c r="BA85" s="3"/>
      <c r="BB85" s="3"/>
      <c r="BC85" s="3"/>
      <c r="BD85" s="3"/>
      <c r="BE85" s="3"/>
      <c r="BF85" s="3"/>
      <c r="BG85" s="3"/>
      <c r="BH85" s="3"/>
      <c r="BI85" s="3"/>
      <c r="BJ85" s="3"/>
      <c r="BK85" s="3"/>
    </row>
    <row r="86" spans="44:63" x14ac:dyDescent="0.25">
      <c r="AR86" s="3"/>
      <c r="AS86" s="3"/>
      <c r="AT86" s="3"/>
      <c r="AU86" s="3"/>
      <c r="AV86" s="3"/>
      <c r="AW86" s="3"/>
      <c r="AX86" s="3"/>
      <c r="AY86" s="3"/>
      <c r="AZ86" s="3"/>
      <c r="BA86" s="3"/>
      <c r="BB86" s="3"/>
      <c r="BC86" s="3"/>
      <c r="BD86" s="3"/>
      <c r="BE86" s="3"/>
      <c r="BF86" s="3"/>
      <c r="BG86" s="3"/>
      <c r="BH86" s="3"/>
      <c r="BI86" s="3"/>
      <c r="BJ86" s="3"/>
      <c r="BK86" s="3"/>
    </row>
    <row r="87" spans="44:63" x14ac:dyDescent="0.25">
      <c r="AR87" s="3"/>
      <c r="AS87" s="3"/>
      <c r="AT87" s="3"/>
      <c r="AU87" s="3"/>
      <c r="AV87" s="3"/>
      <c r="AW87" s="3"/>
      <c r="AX87" s="3"/>
      <c r="AY87" s="3"/>
      <c r="AZ87" s="3"/>
      <c r="BA87" s="3"/>
      <c r="BB87" s="3"/>
      <c r="BC87" s="3"/>
      <c r="BD87" s="3"/>
      <c r="BE87" s="3"/>
      <c r="BF87" s="3"/>
      <c r="BG87" s="3"/>
      <c r="BH87" s="3"/>
      <c r="BI87" s="3"/>
      <c r="BJ87" s="3"/>
      <c r="BK87" s="3"/>
    </row>
    <row r="88" spans="44:63" x14ac:dyDescent="0.25">
      <c r="AR88" s="3"/>
      <c r="AS88" s="3"/>
      <c r="AT88" s="3"/>
      <c r="AU88" s="3"/>
      <c r="AV88" s="3"/>
      <c r="AW88" s="3"/>
      <c r="AX88" s="3"/>
      <c r="AY88" s="3"/>
      <c r="AZ88" s="3"/>
      <c r="BA88" s="3"/>
      <c r="BB88" s="3"/>
      <c r="BC88" s="3"/>
      <c r="BD88" s="3"/>
      <c r="BE88" s="3"/>
      <c r="BF88" s="3"/>
      <c r="BG88" s="3"/>
      <c r="BH88" s="3"/>
      <c r="BI88" s="3"/>
      <c r="BJ88" s="3"/>
      <c r="BK88" s="3"/>
    </row>
    <row r="89" spans="44:63" x14ac:dyDescent="0.25">
      <c r="AR89" s="3"/>
      <c r="AS89" s="3"/>
      <c r="AT89" s="3"/>
      <c r="AU89" s="3"/>
      <c r="AV89" s="3"/>
      <c r="AW89" s="3"/>
      <c r="AX89" s="3"/>
      <c r="AY89" s="3"/>
      <c r="AZ89" s="3"/>
      <c r="BA89" s="3"/>
      <c r="BB89" s="3"/>
      <c r="BC89" s="3"/>
      <c r="BD89" s="3"/>
      <c r="BE89" s="3"/>
      <c r="BF89" s="3"/>
      <c r="BG89" s="3"/>
      <c r="BH89" s="3"/>
      <c r="BI89" s="3"/>
      <c r="BJ89" s="3"/>
      <c r="BK89" s="3"/>
    </row>
    <row r="90" spans="44:63" x14ac:dyDescent="0.25">
      <c r="AR90" s="3"/>
      <c r="AS90" s="3"/>
      <c r="AT90" s="3"/>
      <c r="AU90" s="3"/>
      <c r="AV90" s="3"/>
      <c r="AW90" s="3"/>
      <c r="AX90" s="3"/>
      <c r="AY90" s="3"/>
      <c r="AZ90" s="3"/>
      <c r="BA90" s="3"/>
      <c r="BB90" s="3"/>
      <c r="BC90" s="3"/>
      <c r="BD90" s="3"/>
      <c r="BE90" s="3"/>
      <c r="BF90" s="3"/>
      <c r="BG90" s="3"/>
      <c r="BH90" s="3"/>
      <c r="BI90" s="3"/>
      <c r="BJ90" s="3"/>
      <c r="BK90" s="3"/>
    </row>
    <row r="91" spans="44:63" x14ac:dyDescent="0.25">
      <c r="AR91" s="3"/>
      <c r="AS91" s="3"/>
      <c r="AT91" s="3"/>
      <c r="AU91" s="3"/>
      <c r="AV91" s="3"/>
      <c r="AW91" s="3"/>
      <c r="AX91" s="3"/>
      <c r="AY91" s="3"/>
      <c r="AZ91" s="3"/>
      <c r="BA91" s="3"/>
      <c r="BB91" s="3"/>
      <c r="BC91" s="3"/>
      <c r="BD91" s="3"/>
      <c r="BE91" s="3"/>
      <c r="BF91" s="3"/>
      <c r="BG91" s="3"/>
      <c r="BH91" s="3"/>
      <c r="BI91" s="3"/>
      <c r="BJ91" s="3"/>
      <c r="BK91" s="3"/>
    </row>
    <row r="92" spans="44:63" x14ac:dyDescent="0.25">
      <c r="AR92" s="3"/>
      <c r="AS92" s="3"/>
      <c r="AT92" s="3"/>
      <c r="AU92" s="3"/>
      <c r="AV92" s="3"/>
      <c r="AW92" s="3"/>
      <c r="AX92" s="3"/>
      <c r="AY92" s="3"/>
      <c r="AZ92" s="3"/>
      <c r="BA92" s="3"/>
      <c r="BB92" s="3"/>
      <c r="BC92" s="3"/>
      <c r="BD92" s="3"/>
      <c r="BE92" s="3"/>
      <c r="BF92" s="3"/>
      <c r="BG92" s="3"/>
      <c r="BH92" s="3"/>
      <c r="BI92" s="3"/>
      <c r="BJ92" s="3"/>
      <c r="BK92" s="3"/>
    </row>
    <row r="93" spans="44:63" x14ac:dyDescent="0.25">
      <c r="AR93" s="3"/>
      <c r="AS93" s="3"/>
      <c r="AT93" s="3"/>
      <c r="AU93" s="3"/>
      <c r="AV93" s="3"/>
      <c r="AW93" s="3"/>
      <c r="AX93" s="3"/>
      <c r="AY93" s="3"/>
      <c r="AZ93" s="3"/>
      <c r="BA93" s="3"/>
      <c r="BB93" s="3"/>
      <c r="BC93" s="3"/>
      <c r="BD93" s="3"/>
      <c r="BE93" s="3"/>
      <c r="BF93" s="3"/>
      <c r="BG93" s="3"/>
      <c r="BH93" s="3"/>
      <c r="BI93" s="3"/>
      <c r="BJ93" s="3"/>
      <c r="BK93" s="3"/>
    </row>
    <row r="94" spans="44:63" x14ac:dyDescent="0.25">
      <c r="AR94" s="3"/>
      <c r="AS94" s="3"/>
      <c r="AT94" s="3"/>
      <c r="AU94" s="3"/>
      <c r="AV94" s="3"/>
      <c r="AW94" s="3"/>
      <c r="AX94" s="3"/>
      <c r="AY94" s="3"/>
      <c r="AZ94" s="3"/>
      <c r="BA94" s="3"/>
      <c r="BB94" s="3"/>
      <c r="BC94" s="3"/>
      <c r="BD94" s="3"/>
      <c r="BE94" s="3"/>
      <c r="BF94" s="3"/>
      <c r="BG94" s="3"/>
      <c r="BH94" s="3"/>
      <c r="BI94" s="3"/>
      <c r="BJ94" s="3"/>
      <c r="BK94" s="3"/>
    </row>
    <row r="95" spans="44:63" x14ac:dyDescent="0.25">
      <c r="AR95" s="3"/>
      <c r="AS95" s="3"/>
      <c r="AT95" s="3"/>
      <c r="AU95" s="3"/>
      <c r="AV95" s="3"/>
      <c r="AW95" s="3"/>
      <c r="AX95" s="3"/>
      <c r="AY95" s="3"/>
      <c r="AZ95" s="3"/>
      <c r="BA95" s="3"/>
      <c r="BB95" s="3"/>
      <c r="BC95" s="3"/>
      <c r="BD95" s="3"/>
      <c r="BE95" s="3"/>
      <c r="BF95" s="3"/>
      <c r="BG95" s="3"/>
      <c r="BH95" s="3"/>
      <c r="BI95" s="3"/>
      <c r="BJ95" s="3"/>
      <c r="BK95" s="3"/>
    </row>
    <row r="96" spans="44:63" x14ac:dyDescent="0.25">
      <c r="AR96" s="3"/>
      <c r="AS96" s="3"/>
      <c r="AT96" s="3"/>
      <c r="AU96" s="3"/>
      <c r="AV96" s="3"/>
      <c r="AW96" s="3"/>
      <c r="AX96" s="3"/>
      <c r="AY96" s="3"/>
      <c r="AZ96" s="3"/>
      <c r="BA96" s="3"/>
      <c r="BB96" s="3"/>
      <c r="BC96" s="3"/>
      <c r="BD96" s="3"/>
      <c r="BE96" s="3"/>
      <c r="BF96" s="3"/>
      <c r="BG96" s="3"/>
      <c r="BH96" s="3"/>
      <c r="BI96" s="3"/>
      <c r="BJ96" s="3"/>
      <c r="BK96" s="3"/>
    </row>
    <row r="97" spans="44:63" x14ac:dyDescent="0.25">
      <c r="AR97" s="3"/>
      <c r="AS97" s="3"/>
      <c r="AT97" s="3"/>
      <c r="AU97" s="3"/>
      <c r="AV97" s="3"/>
      <c r="AW97" s="3"/>
      <c r="AX97" s="3"/>
      <c r="AY97" s="3"/>
      <c r="AZ97" s="3"/>
      <c r="BA97" s="3"/>
      <c r="BB97" s="3"/>
      <c r="BC97" s="3"/>
      <c r="BD97" s="3"/>
      <c r="BE97" s="3"/>
      <c r="BF97" s="3"/>
      <c r="BG97" s="3"/>
      <c r="BH97" s="3"/>
      <c r="BI97" s="3"/>
      <c r="BJ97" s="3"/>
      <c r="BK97"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8254-32FC-4CBC-9A35-B8C4A83F161E}">
  <dimension ref="A1:JG96"/>
  <sheetViews>
    <sheetView tabSelected="1" zoomScale="85" zoomScaleNormal="85" workbookViewId="0">
      <pane xSplit="7" ySplit="1" topLeftCell="IZ2" activePane="bottomRight" state="frozen"/>
      <selection pane="topRight" activeCell="H1" sqref="H1"/>
      <selection pane="bottomLeft" activeCell="A2" sqref="A2"/>
      <selection pane="bottomRight" activeCell="JD1" sqref="JD1"/>
    </sheetView>
  </sheetViews>
  <sheetFormatPr defaultRowHeight="15" x14ac:dyDescent="0.25"/>
  <cols>
    <col min="1" max="6" width="9.140625" customWidth="1"/>
    <col min="7" max="23" width="15.7109375" customWidth="1"/>
    <col min="24" max="24" width="15.7109375" style="19" customWidth="1"/>
    <col min="25" max="82" width="15.7109375" customWidth="1"/>
    <col min="83" max="83" width="15.7109375" style="19" customWidth="1"/>
    <col min="84" max="163" width="15.7109375" customWidth="1"/>
    <col min="164" max="164" width="15.7109375" style="19" customWidth="1"/>
    <col min="165" max="200" width="15.7109375" customWidth="1"/>
    <col min="201" max="201" width="15.7109375" style="19" customWidth="1"/>
    <col min="202" max="267" width="15.7109375" customWidth="1"/>
  </cols>
  <sheetData>
    <row r="1" spans="1:267" s="1" customFormat="1" x14ac:dyDescent="0.25">
      <c r="A1" s="1" t="s">
        <v>0</v>
      </c>
      <c r="B1" s="1" t="s">
        <v>1</v>
      </c>
      <c r="C1" s="1" t="s">
        <v>2</v>
      </c>
      <c r="D1" s="1" t="s">
        <v>3</v>
      </c>
      <c r="E1" s="1" t="s">
        <v>4</v>
      </c>
      <c r="F1" s="7" t="s">
        <v>5</v>
      </c>
      <c r="G1" s="7" t="s">
        <v>6</v>
      </c>
      <c r="H1" s="7" t="s">
        <v>610</v>
      </c>
      <c r="I1" s="7" t="s">
        <v>611</v>
      </c>
      <c r="J1" s="7" t="s">
        <v>612</v>
      </c>
      <c r="K1" s="7" t="s">
        <v>7</v>
      </c>
      <c r="L1" s="7" t="s">
        <v>613</v>
      </c>
      <c r="M1" s="7" t="s">
        <v>614</v>
      </c>
      <c r="N1" s="7" t="s">
        <v>615</v>
      </c>
      <c r="O1" s="7" t="s">
        <v>8</v>
      </c>
      <c r="P1" s="8" t="s">
        <v>649</v>
      </c>
      <c r="Q1" s="8" t="s">
        <v>650</v>
      </c>
      <c r="R1" s="8" t="s">
        <v>651</v>
      </c>
      <c r="S1" s="8" t="s">
        <v>9</v>
      </c>
      <c r="T1" s="8" t="s">
        <v>652</v>
      </c>
      <c r="U1" s="8" t="s">
        <v>653</v>
      </c>
      <c r="V1" s="8" t="s">
        <v>654</v>
      </c>
      <c r="W1" s="8" t="s">
        <v>10</v>
      </c>
      <c r="X1" s="8" t="s">
        <v>655</v>
      </c>
      <c r="Y1" s="8" t="s">
        <v>656</v>
      </c>
      <c r="Z1" s="8" t="s">
        <v>657</v>
      </c>
      <c r="AA1" s="8" t="s">
        <v>11</v>
      </c>
      <c r="AB1" s="8" t="s">
        <v>658</v>
      </c>
      <c r="AC1" s="8" t="s">
        <v>659</v>
      </c>
      <c r="AD1" s="8" t="s">
        <v>660</v>
      </c>
      <c r="AE1" s="8" t="s">
        <v>12</v>
      </c>
      <c r="AF1" s="8" t="s">
        <v>661</v>
      </c>
      <c r="AG1" s="8" t="s">
        <v>662</v>
      </c>
      <c r="AH1" s="8" t="s">
        <v>663</v>
      </c>
      <c r="AI1" s="8" t="s">
        <v>13</v>
      </c>
      <c r="AJ1" s="1" t="s">
        <v>604</v>
      </c>
      <c r="AK1" s="1" t="s">
        <v>605</v>
      </c>
      <c r="AL1" s="1" t="s">
        <v>606</v>
      </c>
      <c r="AM1" s="1" t="s">
        <v>14</v>
      </c>
      <c r="AN1" s="1" t="s">
        <v>607</v>
      </c>
      <c r="AO1" s="1" t="s">
        <v>608</v>
      </c>
      <c r="AP1" s="1" t="s">
        <v>609</v>
      </c>
      <c r="AQ1" s="1" t="s">
        <v>15</v>
      </c>
      <c r="AR1" s="2" t="s">
        <v>664</v>
      </c>
      <c r="AS1" s="2" t="s">
        <v>665</v>
      </c>
      <c r="AT1" s="2" t="s">
        <v>666</v>
      </c>
      <c r="AU1" s="2" t="s">
        <v>16</v>
      </c>
      <c r="AV1" s="2" t="s">
        <v>667</v>
      </c>
      <c r="AW1" s="2" t="s">
        <v>668</v>
      </c>
      <c r="AX1" s="2" t="s">
        <v>669</v>
      </c>
      <c r="AY1" s="2" t="s">
        <v>17</v>
      </c>
      <c r="AZ1" s="2" t="s">
        <v>670</v>
      </c>
      <c r="BA1" s="2" t="s">
        <v>671</v>
      </c>
      <c r="BB1" s="2" t="s">
        <v>672</v>
      </c>
      <c r="BC1" s="2" t="s">
        <v>18</v>
      </c>
      <c r="BD1" s="2" t="s">
        <v>673</v>
      </c>
      <c r="BE1" s="2" t="s">
        <v>674</v>
      </c>
      <c r="BF1" s="2" t="s">
        <v>675</v>
      </c>
      <c r="BG1" s="2" t="s">
        <v>19</v>
      </c>
      <c r="BH1" s="2" t="s">
        <v>676</v>
      </c>
      <c r="BI1" s="2" t="s">
        <v>677</v>
      </c>
      <c r="BJ1" s="2" t="s">
        <v>678</v>
      </c>
      <c r="BK1" s="2" t="s">
        <v>20</v>
      </c>
      <c r="BL1" s="1" t="s">
        <v>21</v>
      </c>
      <c r="BM1" s="1" t="s">
        <v>22</v>
      </c>
      <c r="BN1" s="1" t="s">
        <v>23</v>
      </c>
      <c r="BO1" s="1" t="s">
        <v>24</v>
      </c>
      <c r="BP1" s="1" t="s">
        <v>25</v>
      </c>
      <c r="BQ1" s="1" t="s">
        <v>26</v>
      </c>
      <c r="BR1" s="1" t="s">
        <v>27</v>
      </c>
      <c r="BS1" s="1" t="s">
        <v>28</v>
      </c>
      <c r="BT1" s="2" t="s">
        <v>29</v>
      </c>
      <c r="BU1" s="2" t="s">
        <v>30</v>
      </c>
      <c r="BV1" s="2" t="s">
        <v>31</v>
      </c>
      <c r="BW1" s="2" t="s">
        <v>32</v>
      </c>
      <c r="BX1" s="2" t="s">
        <v>33</v>
      </c>
      <c r="BY1" s="2" t="s">
        <v>34</v>
      </c>
      <c r="BZ1" s="2" t="s">
        <v>35</v>
      </c>
      <c r="CA1" s="2" t="s">
        <v>36</v>
      </c>
      <c r="CB1" s="2" t="s">
        <v>37</v>
      </c>
      <c r="CC1" s="2" t="s">
        <v>38</v>
      </c>
      <c r="CD1" s="2" t="s">
        <v>39</v>
      </c>
      <c r="CE1" s="8" t="s">
        <v>40</v>
      </c>
      <c r="CF1" s="2" t="s">
        <v>41</v>
      </c>
      <c r="CG1" s="2" t="s">
        <v>42</v>
      </c>
      <c r="CH1" s="2" t="s">
        <v>43</v>
      </c>
      <c r="CI1" s="2" t="s">
        <v>44</v>
      </c>
      <c r="CJ1" s="2" t="s">
        <v>45</v>
      </c>
      <c r="CK1" s="2" t="s">
        <v>46</v>
      </c>
      <c r="CL1" s="2" t="s">
        <v>47</v>
      </c>
      <c r="CM1" s="2" t="s">
        <v>48</v>
      </c>
      <c r="CN1" s="1" t="s">
        <v>49</v>
      </c>
      <c r="CO1" s="1" t="s">
        <v>50</v>
      </c>
      <c r="CP1" s="1" t="s">
        <v>51</v>
      </c>
      <c r="CQ1" s="1" t="s">
        <v>52</v>
      </c>
      <c r="CR1" s="1" t="s">
        <v>53</v>
      </c>
      <c r="CS1" s="1" t="s">
        <v>54</v>
      </c>
      <c r="CT1" s="1" t="s">
        <v>55</v>
      </c>
      <c r="CU1" s="1" t="s">
        <v>56</v>
      </c>
      <c r="CV1" s="2" t="s">
        <v>57</v>
      </c>
      <c r="CW1" s="2" t="s">
        <v>58</v>
      </c>
      <c r="CX1" s="2" t="s">
        <v>59</v>
      </c>
      <c r="CY1" s="2" t="s">
        <v>60</v>
      </c>
      <c r="CZ1" s="2" t="s">
        <v>61</v>
      </c>
      <c r="DA1" s="2" t="s">
        <v>62</v>
      </c>
      <c r="DB1" s="2" t="s">
        <v>63</v>
      </c>
      <c r="DC1" s="2" t="s">
        <v>64</v>
      </c>
      <c r="DD1" s="2" t="s">
        <v>65</v>
      </c>
      <c r="DE1" s="2" t="s">
        <v>66</v>
      </c>
      <c r="DF1" s="2" t="s">
        <v>67</v>
      </c>
      <c r="DG1" s="2" t="s">
        <v>68</v>
      </c>
      <c r="DH1" s="2" t="s">
        <v>69</v>
      </c>
      <c r="DI1" s="2" t="s">
        <v>70</v>
      </c>
      <c r="DJ1" s="2" t="s">
        <v>71</v>
      </c>
      <c r="DK1" s="2" t="s">
        <v>72</v>
      </c>
      <c r="DL1" s="2" t="s">
        <v>73</v>
      </c>
      <c r="DM1" s="2" t="s">
        <v>74</v>
      </c>
      <c r="DN1" s="2" t="s">
        <v>75</v>
      </c>
      <c r="DO1" s="2" t="s">
        <v>76</v>
      </c>
      <c r="DP1" s="1" t="s">
        <v>77</v>
      </c>
      <c r="DQ1" s="1" t="s">
        <v>78</v>
      </c>
      <c r="DR1" s="1" t="s">
        <v>79</v>
      </c>
      <c r="DS1" s="1" t="s">
        <v>80</v>
      </c>
      <c r="DT1" s="1" t="s">
        <v>81</v>
      </c>
      <c r="DU1" s="1" t="s">
        <v>82</v>
      </c>
      <c r="DV1" s="1" t="s">
        <v>83</v>
      </c>
      <c r="DW1" s="1" t="s">
        <v>84</v>
      </c>
      <c r="DX1" s="2" t="s">
        <v>85</v>
      </c>
      <c r="DY1" s="2" t="s">
        <v>86</v>
      </c>
      <c r="DZ1" s="2" t="s">
        <v>87</v>
      </c>
      <c r="EA1" s="2" t="s">
        <v>88</v>
      </c>
      <c r="EB1" s="2" t="s">
        <v>89</v>
      </c>
      <c r="EC1" s="2" t="s">
        <v>90</v>
      </c>
      <c r="ED1" s="2" t="s">
        <v>91</v>
      </c>
      <c r="EE1" s="2" t="s">
        <v>92</v>
      </c>
      <c r="EF1" s="2" t="s">
        <v>93</v>
      </c>
      <c r="EG1" s="2" t="s">
        <v>94</v>
      </c>
      <c r="EH1" s="2" t="s">
        <v>95</v>
      </c>
      <c r="EI1" s="2" t="s">
        <v>96</v>
      </c>
      <c r="EJ1" s="2" t="s">
        <v>97</v>
      </c>
      <c r="EK1" s="2" t="s">
        <v>98</v>
      </c>
      <c r="EL1" s="2" t="s">
        <v>99</v>
      </c>
      <c r="EM1" s="2" t="s">
        <v>100</v>
      </c>
      <c r="EN1" s="2" t="s">
        <v>101</v>
      </c>
      <c r="EO1" s="2" t="s">
        <v>102</v>
      </c>
      <c r="EP1" s="2" t="s">
        <v>103</v>
      </c>
      <c r="EQ1" s="2" t="s">
        <v>104</v>
      </c>
      <c r="ER1" s="1" t="s">
        <v>105</v>
      </c>
      <c r="ES1" s="1" t="s">
        <v>106</v>
      </c>
      <c r="ET1" s="1" t="s">
        <v>107</v>
      </c>
      <c r="EU1" s="1" t="s">
        <v>108</v>
      </c>
      <c r="EV1" s="1" t="s">
        <v>109</v>
      </c>
      <c r="EW1" s="1" t="s">
        <v>110</v>
      </c>
      <c r="EX1" s="1" t="s">
        <v>111</v>
      </c>
      <c r="EY1" s="1" t="s">
        <v>112</v>
      </c>
      <c r="EZ1" s="2" t="s">
        <v>113</v>
      </c>
      <c r="FA1" s="2" t="s">
        <v>114</v>
      </c>
      <c r="FB1" s="2" t="s">
        <v>115</v>
      </c>
      <c r="FC1" s="2" t="s">
        <v>116</v>
      </c>
      <c r="FD1" s="2" t="s">
        <v>117</v>
      </c>
      <c r="FE1" s="2" t="s">
        <v>118</v>
      </c>
      <c r="FF1" s="2" t="s">
        <v>119</v>
      </c>
      <c r="FG1" s="2" t="s">
        <v>120</v>
      </c>
      <c r="FH1" s="8" t="s">
        <v>121</v>
      </c>
      <c r="FI1" s="2" t="s">
        <v>122</v>
      </c>
      <c r="FJ1" s="2" t="s">
        <v>123</v>
      </c>
      <c r="FK1" s="2" t="s">
        <v>124</v>
      </c>
      <c r="FL1" s="2" t="s">
        <v>125</v>
      </c>
      <c r="FM1" s="2" t="s">
        <v>126</v>
      </c>
      <c r="FN1" s="2" t="s">
        <v>127</v>
      </c>
      <c r="FO1" s="2" t="s">
        <v>128</v>
      </c>
      <c r="FP1" s="2" t="s">
        <v>129</v>
      </c>
      <c r="FQ1" s="2" t="s">
        <v>130</v>
      </c>
      <c r="FR1" s="2" t="s">
        <v>131</v>
      </c>
      <c r="FS1" s="2" t="s">
        <v>132</v>
      </c>
      <c r="FT1" s="1" t="s">
        <v>133</v>
      </c>
      <c r="FU1" s="1" t="s">
        <v>134</v>
      </c>
      <c r="FV1" s="1" t="s">
        <v>135</v>
      </c>
      <c r="FW1" s="1" t="s">
        <v>136</v>
      </c>
      <c r="FX1" s="1" t="s">
        <v>137</v>
      </c>
      <c r="FY1" s="1" t="s">
        <v>138</v>
      </c>
      <c r="FZ1" s="1" t="s">
        <v>139</v>
      </c>
      <c r="GA1" s="1" t="s">
        <v>140</v>
      </c>
      <c r="GB1" s="2" t="s">
        <v>141</v>
      </c>
      <c r="GC1" s="2" t="s">
        <v>142</v>
      </c>
      <c r="GD1" s="2" t="s">
        <v>143</v>
      </c>
      <c r="GE1" s="2" t="s">
        <v>144</v>
      </c>
      <c r="GF1" s="2" t="s">
        <v>145</v>
      </c>
      <c r="GG1" s="2" t="s">
        <v>146</v>
      </c>
      <c r="GH1" s="2" t="s">
        <v>147</v>
      </c>
      <c r="GI1" s="2" t="s">
        <v>148</v>
      </c>
      <c r="GJ1" s="2" t="s">
        <v>149</v>
      </c>
      <c r="GK1" s="2" t="s">
        <v>150</v>
      </c>
      <c r="GL1" s="2" t="s">
        <v>151</v>
      </c>
      <c r="GM1" s="2" t="s">
        <v>152</v>
      </c>
      <c r="GN1" s="2" t="s">
        <v>153</v>
      </c>
      <c r="GO1" s="2" t="s">
        <v>154</v>
      </c>
      <c r="GP1" s="2" t="s">
        <v>155</v>
      </c>
      <c r="GQ1" s="2" t="s">
        <v>156</v>
      </c>
      <c r="GR1" s="2" t="s">
        <v>157</v>
      </c>
      <c r="GS1" s="8" t="s">
        <v>158</v>
      </c>
      <c r="GT1" s="2" t="s">
        <v>159</v>
      </c>
      <c r="GU1" s="2" t="s">
        <v>160</v>
      </c>
      <c r="GV1" s="1" t="s">
        <v>161</v>
      </c>
      <c r="GW1" s="1" t="s">
        <v>162</v>
      </c>
      <c r="GX1" s="1" t="s">
        <v>163</v>
      </c>
      <c r="GY1" s="1" t="s">
        <v>164</v>
      </c>
      <c r="GZ1" s="1" t="s">
        <v>165</v>
      </c>
      <c r="HA1" s="1" t="s">
        <v>166</v>
      </c>
      <c r="HB1" s="1" t="s">
        <v>167</v>
      </c>
      <c r="HC1" s="1" t="s">
        <v>168</v>
      </c>
      <c r="HD1" s="2" t="s">
        <v>169</v>
      </c>
      <c r="HE1" s="2" t="s">
        <v>170</v>
      </c>
      <c r="HF1" s="2" t="s">
        <v>171</v>
      </c>
      <c r="HG1" s="2" t="s">
        <v>172</v>
      </c>
      <c r="HH1" s="2" t="s">
        <v>173</v>
      </c>
      <c r="HI1" s="2" t="s">
        <v>174</v>
      </c>
      <c r="HJ1" s="2" t="s">
        <v>175</v>
      </c>
      <c r="HK1" s="2" t="s">
        <v>176</v>
      </c>
      <c r="HL1" s="2" t="s">
        <v>177</v>
      </c>
      <c r="HM1" s="2" t="s">
        <v>178</v>
      </c>
      <c r="HN1" s="2" t="s">
        <v>179</v>
      </c>
      <c r="HO1" s="2" t="s">
        <v>180</v>
      </c>
      <c r="HP1" s="2" t="s">
        <v>181</v>
      </c>
      <c r="HQ1" s="2" t="s">
        <v>182</v>
      </c>
      <c r="HR1" s="2" t="s">
        <v>183</v>
      </c>
      <c r="HS1" s="2" t="s">
        <v>184</v>
      </c>
      <c r="HT1" s="2" t="s">
        <v>185</v>
      </c>
      <c r="HU1" s="2" t="s">
        <v>186</v>
      </c>
      <c r="HV1" s="2" t="s">
        <v>187</v>
      </c>
      <c r="HW1" s="2" t="s">
        <v>188</v>
      </c>
      <c r="HX1" s="1" t="s">
        <v>189</v>
      </c>
      <c r="HY1" s="1" t="s">
        <v>190</v>
      </c>
      <c r="HZ1" s="1" t="s">
        <v>191</v>
      </c>
      <c r="IA1" s="1" t="s">
        <v>192</v>
      </c>
      <c r="IB1" s="1" t="s">
        <v>193</v>
      </c>
      <c r="IC1" s="1" t="s">
        <v>194</v>
      </c>
      <c r="ID1" s="1" t="s">
        <v>195</v>
      </c>
      <c r="IE1" s="1" t="s">
        <v>196</v>
      </c>
      <c r="IF1" s="2" t="s">
        <v>1309</v>
      </c>
      <c r="IG1" s="2" t="s">
        <v>1310</v>
      </c>
      <c r="IH1" s="2" t="s">
        <v>1312</v>
      </c>
      <c r="II1" s="2" t="s">
        <v>1313</v>
      </c>
      <c r="IJ1" s="2" t="s">
        <v>1314</v>
      </c>
      <c r="IK1" s="2" t="s">
        <v>1315</v>
      </c>
      <c r="IL1" s="2" t="s">
        <v>1317</v>
      </c>
      <c r="IM1" s="2" t="s">
        <v>1318</v>
      </c>
      <c r="IN1" s="2" t="s">
        <v>1319</v>
      </c>
      <c r="IO1" s="2" t="s">
        <v>1320</v>
      </c>
      <c r="IP1" s="2" t="s">
        <v>1322</v>
      </c>
      <c r="IQ1" s="2" t="s">
        <v>1323</v>
      </c>
      <c r="IR1" s="2" t="s">
        <v>1324</v>
      </c>
      <c r="IS1" s="2" t="s">
        <v>1325</v>
      </c>
      <c r="IT1" s="2" t="s">
        <v>1327</v>
      </c>
      <c r="IU1" s="2" t="s">
        <v>1328</v>
      </c>
      <c r="IV1" s="2" t="s">
        <v>1329</v>
      </c>
      <c r="IW1" s="2" t="s">
        <v>1330</v>
      </c>
      <c r="IX1" s="2" t="s">
        <v>1332</v>
      </c>
      <c r="IY1" s="2" t="s">
        <v>1333</v>
      </c>
      <c r="IZ1" s="1" t="s">
        <v>1334</v>
      </c>
      <c r="JA1" s="1" t="s">
        <v>1335</v>
      </c>
      <c r="JB1" s="1" t="s">
        <v>1337</v>
      </c>
      <c r="JC1" s="1" t="s">
        <v>1338</v>
      </c>
      <c r="JD1" s="1" t="s">
        <v>1339</v>
      </c>
      <c r="JE1" s="1" t="s">
        <v>1340</v>
      </c>
      <c r="JF1" s="1" t="s">
        <v>1342</v>
      </c>
      <c r="JG1" s="1" t="s">
        <v>1343</v>
      </c>
    </row>
    <row r="2" spans="1:267" x14ac:dyDescent="0.25">
      <c r="A2" t="s">
        <v>1153</v>
      </c>
      <c r="B2" t="s">
        <v>1154</v>
      </c>
      <c r="C2" t="s">
        <v>199</v>
      </c>
      <c r="D2" t="s">
        <v>200</v>
      </c>
      <c r="E2" t="s">
        <v>201</v>
      </c>
      <c r="F2" t="s">
        <v>202</v>
      </c>
      <c r="G2" t="s">
        <v>203</v>
      </c>
      <c r="H2" s="3">
        <v>1309868000</v>
      </c>
      <c r="I2" s="3">
        <v>650012000</v>
      </c>
      <c r="J2" s="3">
        <v>534808000</v>
      </c>
      <c r="K2" s="3">
        <v>2494688000</v>
      </c>
      <c r="L2" s="3">
        <v>1309868000</v>
      </c>
      <c r="M2" s="3">
        <v>650012000</v>
      </c>
      <c r="N2" s="3">
        <v>534808000</v>
      </c>
      <c r="O2" s="3">
        <v>2494688000</v>
      </c>
      <c r="P2" s="3">
        <v>1309868000</v>
      </c>
      <c r="Q2" s="3">
        <v>650012000</v>
      </c>
      <c r="R2" s="3">
        <v>534808000</v>
      </c>
      <c r="S2" s="3">
        <v>2494688000</v>
      </c>
      <c r="T2" s="3">
        <v>1375847509</v>
      </c>
      <c r="U2" s="3">
        <v>584032491</v>
      </c>
      <c r="V2" s="3">
        <v>534808000</v>
      </c>
      <c r="W2" s="3">
        <v>2494688000</v>
      </c>
      <c r="X2" s="6">
        <v>1375847509</v>
      </c>
      <c r="Y2" s="3">
        <v>584032491</v>
      </c>
      <c r="Z2" s="3">
        <v>534808000</v>
      </c>
      <c r="AA2" s="3">
        <v>2494688000</v>
      </c>
      <c r="AB2" s="3">
        <v>1374930555.5599999</v>
      </c>
      <c r="AC2" s="3">
        <v>573642594.34000003</v>
      </c>
      <c r="AD2" s="3">
        <v>521071386.36000001</v>
      </c>
      <c r="AE2" s="3">
        <v>2469644536.2600002</v>
      </c>
      <c r="AF2" s="3">
        <v>1347198058.9300001</v>
      </c>
      <c r="AG2" s="3">
        <v>503796881.94999999</v>
      </c>
      <c r="AH2" s="3">
        <v>170035691.66999999</v>
      </c>
      <c r="AI2" s="3">
        <v>2021030632.5500002</v>
      </c>
      <c r="AJ2" s="3">
        <v>1364737000</v>
      </c>
      <c r="AK2" s="3">
        <v>672972000</v>
      </c>
      <c r="AL2" s="3">
        <v>499898000</v>
      </c>
      <c r="AM2" s="3">
        <v>2537607000</v>
      </c>
      <c r="AN2" s="3">
        <v>1364737000</v>
      </c>
      <c r="AO2" s="3">
        <v>735068000</v>
      </c>
      <c r="AP2" s="3">
        <v>514898000</v>
      </c>
      <c r="AQ2" s="3">
        <v>2614703000</v>
      </c>
      <c r="AR2" s="3">
        <v>1364737000</v>
      </c>
      <c r="AS2" s="3">
        <v>735068000</v>
      </c>
      <c r="AT2" s="3">
        <v>514898000</v>
      </c>
      <c r="AU2" s="3">
        <v>2614703000</v>
      </c>
      <c r="AV2" s="3">
        <v>1422629186</v>
      </c>
      <c r="AW2" s="3">
        <v>677175814</v>
      </c>
      <c r="AX2" s="3">
        <v>514898000</v>
      </c>
      <c r="AY2" s="3">
        <v>2614703000</v>
      </c>
      <c r="AZ2" s="3">
        <v>1422629186</v>
      </c>
      <c r="BA2" s="3">
        <v>677175814</v>
      </c>
      <c r="BB2" s="3">
        <v>514898000</v>
      </c>
      <c r="BC2" s="3">
        <v>2614703000</v>
      </c>
      <c r="BD2" s="3">
        <v>1422454777.04</v>
      </c>
      <c r="BE2" s="3">
        <v>651030640.50999999</v>
      </c>
      <c r="BF2" s="3">
        <v>390291199.16999996</v>
      </c>
      <c r="BG2" s="3">
        <v>2463776616.7199998</v>
      </c>
      <c r="BH2" s="3">
        <v>1402198595.46</v>
      </c>
      <c r="BI2" s="3">
        <v>575845753.07000005</v>
      </c>
      <c r="BJ2" s="3">
        <v>270886005.95999998</v>
      </c>
      <c r="BK2" s="3">
        <v>2248930354.4900002</v>
      </c>
      <c r="BL2" s="3">
        <v>1395373000</v>
      </c>
      <c r="BM2" s="3">
        <v>917010000</v>
      </c>
      <c r="BN2" s="3">
        <v>203678000</v>
      </c>
      <c r="BO2" s="3">
        <v>2516061000</v>
      </c>
      <c r="BP2" s="3">
        <v>1395373000</v>
      </c>
      <c r="BQ2" s="3">
        <v>912010000</v>
      </c>
      <c r="BR2" s="3">
        <v>208678000</v>
      </c>
      <c r="BS2" s="3">
        <v>2516061000</v>
      </c>
      <c r="BT2" s="3">
        <v>1395373000</v>
      </c>
      <c r="BU2" s="3">
        <v>912010000</v>
      </c>
      <c r="BV2" s="3">
        <v>208678000</v>
      </c>
      <c r="BW2" s="3">
        <v>2516061000</v>
      </c>
      <c r="BX2" s="3">
        <v>1495599506</v>
      </c>
      <c r="BY2" s="3">
        <v>777898494</v>
      </c>
      <c r="BZ2" s="3">
        <v>185900000</v>
      </c>
      <c r="CA2" s="3">
        <v>2459398000</v>
      </c>
      <c r="CB2" s="6">
        <v>1495599506</v>
      </c>
      <c r="CC2" s="6">
        <v>777898494</v>
      </c>
      <c r="CD2" s="6">
        <v>155900000</v>
      </c>
      <c r="CE2" s="6">
        <v>2429398000</v>
      </c>
      <c r="CF2" s="6">
        <v>1495473417.27</v>
      </c>
      <c r="CG2" s="3">
        <v>742469341.91999996</v>
      </c>
      <c r="CH2" s="3">
        <v>129493645.06999999</v>
      </c>
      <c r="CI2" s="3">
        <v>2367436404.2600002</v>
      </c>
      <c r="CJ2" s="3">
        <v>1446878779.1800001</v>
      </c>
      <c r="CK2" s="3">
        <v>613809814.21000004</v>
      </c>
      <c r="CL2" s="3">
        <v>79961626.609999999</v>
      </c>
      <c r="CM2" s="3">
        <v>2140650220</v>
      </c>
      <c r="CN2" s="3">
        <v>1513571000</v>
      </c>
      <c r="CO2" s="3">
        <v>982186000</v>
      </c>
      <c r="CP2" s="3">
        <v>47298000</v>
      </c>
      <c r="CQ2" s="3">
        <v>2543055000</v>
      </c>
      <c r="CR2" s="3">
        <v>1513571000</v>
      </c>
      <c r="CS2" s="3">
        <v>985744000</v>
      </c>
      <c r="CT2" s="3">
        <v>52298000</v>
      </c>
      <c r="CU2" s="3">
        <v>2551613000</v>
      </c>
      <c r="CV2" s="3">
        <v>1513571000</v>
      </c>
      <c r="CW2" s="3">
        <v>985744000</v>
      </c>
      <c r="CX2" s="3">
        <v>52298000</v>
      </c>
      <c r="CY2" s="3">
        <v>2551613000</v>
      </c>
      <c r="CZ2" s="3">
        <v>1619382281.6900001</v>
      </c>
      <c r="DA2" s="3">
        <v>897487196</v>
      </c>
      <c r="DB2" s="3">
        <v>53365915</v>
      </c>
      <c r="DC2" s="3">
        <v>2570235392.6900001</v>
      </c>
      <c r="DD2" s="3">
        <v>1619382281.6900001</v>
      </c>
      <c r="DE2" s="3">
        <v>897487196</v>
      </c>
      <c r="DF2" s="3">
        <v>53365915</v>
      </c>
      <c r="DG2" s="3">
        <v>2570235392.6900001</v>
      </c>
      <c r="DH2" s="3">
        <v>1619257726.6300001</v>
      </c>
      <c r="DI2" s="3">
        <v>878775543.83000004</v>
      </c>
      <c r="DJ2" s="3">
        <v>52478142.799999997</v>
      </c>
      <c r="DK2" s="3">
        <v>2550511413.2600002</v>
      </c>
      <c r="DL2" s="3">
        <v>1594081844</v>
      </c>
      <c r="DM2" s="3">
        <v>753890494.79999995</v>
      </c>
      <c r="DN2" s="3">
        <v>27602969.52</v>
      </c>
      <c r="DO2" s="3">
        <v>2375575308.3200002</v>
      </c>
      <c r="DP2" s="3">
        <v>1639701000</v>
      </c>
      <c r="DQ2" s="3">
        <v>1109911000</v>
      </c>
      <c r="DR2" s="3">
        <v>605600000</v>
      </c>
      <c r="DS2" s="3">
        <v>3355212000</v>
      </c>
      <c r="DT2" s="3">
        <v>1639701000</v>
      </c>
      <c r="DU2" s="3">
        <v>976011000</v>
      </c>
      <c r="DV2" s="3">
        <v>539500000</v>
      </c>
      <c r="DW2" s="3">
        <v>3155212000</v>
      </c>
      <c r="DX2" s="3">
        <v>1639701000</v>
      </c>
      <c r="DY2" s="3">
        <v>976011000</v>
      </c>
      <c r="DZ2" s="3">
        <v>539500000</v>
      </c>
      <c r="EA2" s="3">
        <v>3155212000</v>
      </c>
      <c r="EB2" s="6">
        <v>1748270422.99</v>
      </c>
      <c r="EC2" s="6">
        <v>909421363.09000003</v>
      </c>
      <c r="ED2" s="6">
        <v>539500000</v>
      </c>
      <c r="EE2" s="3">
        <v>3197191786.0799999</v>
      </c>
      <c r="EF2" s="3">
        <v>1748270422.99</v>
      </c>
      <c r="EG2" s="3">
        <v>909421363.09000003</v>
      </c>
      <c r="EH2" s="3">
        <v>539500000</v>
      </c>
      <c r="EI2" s="3">
        <v>3197191786.0799999</v>
      </c>
      <c r="EJ2" s="3">
        <v>1748269466.53</v>
      </c>
      <c r="EK2" s="3">
        <v>885696099.11000001</v>
      </c>
      <c r="EL2" s="3">
        <v>530767970.07999998</v>
      </c>
      <c r="EM2" s="3">
        <v>3164733535.7199998</v>
      </c>
      <c r="EN2" s="3">
        <v>1697230882.3299999</v>
      </c>
      <c r="EO2" s="3">
        <v>821758570.01999998</v>
      </c>
      <c r="EP2" s="3">
        <v>462015314.68000001</v>
      </c>
      <c r="EQ2" s="3">
        <v>2981004767.0299997</v>
      </c>
      <c r="ER2" s="3">
        <v>1641168000</v>
      </c>
      <c r="ES2" s="3">
        <v>1229432000</v>
      </c>
      <c r="ET2" s="3">
        <v>280330000</v>
      </c>
      <c r="EU2" s="3">
        <v>3150930000</v>
      </c>
      <c r="EV2" s="3">
        <v>1641168000</v>
      </c>
      <c r="EW2" s="3">
        <v>1203832000</v>
      </c>
      <c r="EX2" s="3">
        <v>344551000</v>
      </c>
      <c r="EY2" s="3">
        <v>3189551000</v>
      </c>
      <c r="EZ2" s="3">
        <v>1641168000</v>
      </c>
      <c r="FA2" s="3">
        <v>1203832000</v>
      </c>
      <c r="FB2" s="3">
        <v>344551000</v>
      </c>
      <c r="FC2" s="3">
        <v>3189551000</v>
      </c>
      <c r="FD2" s="3">
        <v>1796815642.29</v>
      </c>
      <c r="FE2" s="3">
        <v>1104968377.02</v>
      </c>
      <c r="FF2" s="3">
        <v>345534000</v>
      </c>
      <c r="FG2" s="3">
        <v>3247318019.3099999</v>
      </c>
      <c r="FH2" s="6">
        <v>1796815642.29</v>
      </c>
      <c r="FI2" s="3">
        <v>1104968377.02</v>
      </c>
      <c r="FJ2" s="3">
        <v>345534000</v>
      </c>
      <c r="FK2" s="3">
        <v>3247318019.3099999</v>
      </c>
      <c r="FL2" s="3">
        <v>1796801959.1900001</v>
      </c>
      <c r="FM2" s="3">
        <v>1047840322.55</v>
      </c>
      <c r="FN2" s="3">
        <v>278386445.52999997</v>
      </c>
      <c r="FO2" s="3">
        <v>3123028727.2699995</v>
      </c>
      <c r="FP2" s="3">
        <v>1750231344.6700001</v>
      </c>
      <c r="FQ2" s="3">
        <v>944232762.46000004</v>
      </c>
      <c r="FR2" s="3">
        <v>175121948.62</v>
      </c>
      <c r="FS2" s="3">
        <v>2869586055.75</v>
      </c>
      <c r="FT2" s="3">
        <v>1613513000</v>
      </c>
      <c r="FU2" s="3">
        <v>1376162000</v>
      </c>
      <c r="FV2" s="3">
        <v>289486000</v>
      </c>
      <c r="FW2" s="3">
        <v>3279161000</v>
      </c>
      <c r="FX2" s="3">
        <v>1613513000</v>
      </c>
      <c r="FY2" s="3">
        <v>1436162000</v>
      </c>
      <c r="FZ2" s="3">
        <v>329486000</v>
      </c>
      <c r="GA2" s="3">
        <v>3379161000</v>
      </c>
      <c r="GB2" s="3">
        <v>1613513000</v>
      </c>
      <c r="GC2" s="3">
        <v>1436162000</v>
      </c>
      <c r="GD2" s="3">
        <v>329486000</v>
      </c>
      <c r="GE2" s="3">
        <v>3379161000</v>
      </c>
      <c r="GF2" s="3">
        <v>1807023946.4400001</v>
      </c>
      <c r="GG2" s="3">
        <v>1282514494.8699999</v>
      </c>
      <c r="GH2" s="3">
        <v>329486000</v>
      </c>
      <c r="GI2" s="3">
        <v>3419024441.3099999</v>
      </c>
      <c r="GJ2" s="3">
        <v>1807023946.4400001</v>
      </c>
      <c r="GK2" s="3">
        <v>1282514494.8699999</v>
      </c>
      <c r="GL2" s="3">
        <v>329486000</v>
      </c>
      <c r="GM2" s="3">
        <v>3419024441.3099999</v>
      </c>
      <c r="GN2" s="3">
        <v>1807003944.03</v>
      </c>
      <c r="GO2" s="3">
        <v>1157903877.29</v>
      </c>
      <c r="GP2" s="3">
        <v>270069554.48000002</v>
      </c>
      <c r="GQ2" s="3">
        <v>3234977375.7999997</v>
      </c>
      <c r="GR2" s="3">
        <v>1763485018.02</v>
      </c>
      <c r="GS2" s="6">
        <v>1056356123.04</v>
      </c>
      <c r="GT2" s="3">
        <v>186151729.33000001</v>
      </c>
      <c r="GU2" s="3">
        <v>3005992870.3899999</v>
      </c>
      <c r="GV2" s="3">
        <v>1670455000</v>
      </c>
      <c r="GW2" s="3">
        <v>1515391000</v>
      </c>
      <c r="GX2" s="3">
        <v>180773000</v>
      </c>
      <c r="GY2" s="3">
        <v>3366619000</v>
      </c>
      <c r="GZ2" s="3">
        <v>1670455000</v>
      </c>
      <c r="HA2" s="3">
        <v>1515391000</v>
      </c>
      <c r="HB2" s="3">
        <v>180773000</v>
      </c>
      <c r="HC2" s="3">
        <v>3366619000</v>
      </c>
      <c r="HD2" s="3">
        <v>1670455000</v>
      </c>
      <c r="HE2" s="3">
        <v>1515391000</v>
      </c>
      <c r="HF2" s="3">
        <v>180773000</v>
      </c>
      <c r="HG2" s="3">
        <v>3366619000</v>
      </c>
      <c r="HH2" s="3">
        <v>1809710509.28</v>
      </c>
      <c r="HI2" s="3">
        <v>1394021721.1500001</v>
      </c>
      <c r="HJ2" s="3">
        <v>180773000</v>
      </c>
      <c r="HK2" s="3">
        <v>3384505230.4300003</v>
      </c>
      <c r="HL2" s="3">
        <v>1809710509.28</v>
      </c>
      <c r="HM2" s="3">
        <v>1394021721.1500001</v>
      </c>
      <c r="HN2" s="3">
        <v>180773000</v>
      </c>
      <c r="HO2" s="3">
        <v>3384505230.4300003</v>
      </c>
      <c r="HP2" s="3">
        <v>1809710506.5999999</v>
      </c>
      <c r="HQ2" s="3">
        <v>1259062270.51</v>
      </c>
      <c r="HR2" s="3">
        <v>113654837.34999999</v>
      </c>
      <c r="HS2" s="3">
        <v>3182427614.4599996</v>
      </c>
      <c r="HT2" s="3">
        <v>1778427055.4000001</v>
      </c>
      <c r="HU2" s="3">
        <v>1107810392.9100001</v>
      </c>
      <c r="HV2" s="3">
        <v>53717294.990000002</v>
      </c>
      <c r="HW2" s="3">
        <v>2939954743.3000002</v>
      </c>
      <c r="HX2" s="3">
        <v>1882685000</v>
      </c>
      <c r="HY2" s="3">
        <v>1681992000</v>
      </c>
      <c r="HZ2" s="3">
        <v>469063000</v>
      </c>
      <c r="IA2" s="3">
        <v>4033740000</v>
      </c>
      <c r="IB2" s="3">
        <v>1882685000</v>
      </c>
      <c r="IC2" s="3">
        <v>1635992000</v>
      </c>
      <c r="ID2" s="3">
        <v>515063000</v>
      </c>
      <c r="IE2" s="3">
        <v>4033740000</v>
      </c>
      <c r="IF2" s="3"/>
      <c r="IG2" s="3"/>
      <c r="IH2" s="3"/>
      <c r="II2" s="3"/>
      <c r="IJ2" s="3"/>
      <c r="IK2" s="3"/>
      <c r="IL2" s="3"/>
      <c r="IM2" s="3"/>
      <c r="IN2" s="3"/>
      <c r="IO2" s="3"/>
      <c r="IP2" s="3"/>
      <c r="IQ2" s="3"/>
      <c r="IR2" s="3"/>
      <c r="IS2" s="3"/>
      <c r="IT2" s="3"/>
      <c r="IU2" s="3"/>
      <c r="IV2" s="3"/>
      <c r="IW2" s="3"/>
      <c r="IX2" s="3"/>
      <c r="IY2" s="3"/>
      <c r="IZ2" s="3">
        <v>1994092000</v>
      </c>
      <c r="JA2" s="3">
        <v>1642660000</v>
      </c>
      <c r="JB2" s="3">
        <v>364852000</v>
      </c>
      <c r="JC2" s="3">
        <v>4001604000</v>
      </c>
      <c r="JD2" s="3"/>
      <c r="JE2" s="3"/>
      <c r="JF2" s="3"/>
      <c r="JG2" s="3"/>
    </row>
    <row r="3" spans="1:267" x14ac:dyDescent="0.25">
      <c r="A3" t="s">
        <v>1153</v>
      </c>
      <c r="B3" t="s">
        <v>1154</v>
      </c>
      <c r="C3" t="s">
        <v>199</v>
      </c>
      <c r="D3" t="s">
        <v>200</v>
      </c>
      <c r="E3" t="s">
        <v>201</v>
      </c>
      <c r="F3" t="s">
        <v>204</v>
      </c>
      <c r="G3" t="s">
        <v>625</v>
      </c>
      <c r="H3" s="3">
        <v>140656000</v>
      </c>
      <c r="I3" s="3">
        <v>162214000</v>
      </c>
      <c r="J3" s="3">
        <v>0</v>
      </c>
      <c r="K3" s="3">
        <v>302870000</v>
      </c>
      <c r="L3" s="3">
        <v>140656000</v>
      </c>
      <c r="M3" s="3">
        <v>159214000</v>
      </c>
      <c r="N3" s="3">
        <v>0</v>
      </c>
      <c r="O3" s="3">
        <v>299870000</v>
      </c>
      <c r="P3" s="3">
        <v>140656000</v>
      </c>
      <c r="Q3" s="3">
        <v>159214000</v>
      </c>
      <c r="R3" s="3">
        <v>0</v>
      </c>
      <c r="S3" s="3">
        <v>299870000</v>
      </c>
      <c r="T3" s="3">
        <v>147689739</v>
      </c>
      <c r="U3" s="3">
        <v>152180261</v>
      </c>
      <c r="V3" s="3">
        <v>0</v>
      </c>
      <c r="W3" s="3">
        <v>299870000</v>
      </c>
      <c r="X3" s="6">
        <v>147689739</v>
      </c>
      <c r="Y3" s="3">
        <v>152180261</v>
      </c>
      <c r="Z3" s="3">
        <v>0</v>
      </c>
      <c r="AA3" s="3">
        <v>299870000</v>
      </c>
      <c r="AB3" s="3">
        <v>147689293.53</v>
      </c>
      <c r="AC3" s="3">
        <v>144109189.59999999</v>
      </c>
      <c r="AD3" s="3">
        <v>0</v>
      </c>
      <c r="AE3" s="3">
        <v>291798483.13</v>
      </c>
      <c r="AF3" s="3">
        <v>144900379.19999999</v>
      </c>
      <c r="AG3" s="3">
        <v>114258748.95</v>
      </c>
      <c r="AH3" s="3">
        <v>0</v>
      </c>
      <c r="AI3" s="3">
        <v>259159128.14999998</v>
      </c>
      <c r="AJ3" s="3">
        <v>162334000</v>
      </c>
      <c r="AK3" s="3">
        <v>131771000</v>
      </c>
      <c r="AL3" s="3">
        <v>0</v>
      </c>
      <c r="AM3" s="3">
        <v>294105000</v>
      </c>
      <c r="AN3" s="3">
        <v>162334000</v>
      </c>
      <c r="AO3" s="3">
        <v>131771000</v>
      </c>
      <c r="AP3" s="3">
        <v>0</v>
      </c>
      <c r="AQ3" s="3">
        <v>294105000</v>
      </c>
      <c r="AR3" s="3">
        <v>162334000</v>
      </c>
      <c r="AS3" s="3">
        <v>131771000</v>
      </c>
      <c r="AT3" s="3">
        <v>0</v>
      </c>
      <c r="AU3" s="3">
        <v>294105000</v>
      </c>
      <c r="AV3" s="3">
        <v>165870540</v>
      </c>
      <c r="AW3" s="3">
        <v>128234460</v>
      </c>
      <c r="AX3" s="3">
        <v>0</v>
      </c>
      <c r="AY3" s="3">
        <v>294105000</v>
      </c>
      <c r="AZ3" s="3">
        <v>165870540</v>
      </c>
      <c r="BA3" s="3">
        <v>128234460</v>
      </c>
      <c r="BB3" s="3">
        <v>0</v>
      </c>
      <c r="BC3" s="3">
        <v>294105000</v>
      </c>
      <c r="BD3" s="3">
        <v>165869851.56999999</v>
      </c>
      <c r="BE3" s="3">
        <v>126663741.23999999</v>
      </c>
      <c r="BF3" s="3">
        <v>0</v>
      </c>
      <c r="BG3" s="3">
        <v>292533592.81</v>
      </c>
      <c r="BH3" s="3">
        <v>164182492.5</v>
      </c>
      <c r="BI3" s="3">
        <v>107109588.22</v>
      </c>
      <c r="BJ3" s="3">
        <v>0</v>
      </c>
      <c r="BK3" s="3">
        <v>271292080.72000003</v>
      </c>
      <c r="BL3" s="3">
        <v>161084000</v>
      </c>
      <c r="BM3" s="3">
        <v>132342000</v>
      </c>
      <c r="BN3" s="3">
        <v>0</v>
      </c>
      <c r="BO3" s="3">
        <v>293426000</v>
      </c>
      <c r="BP3" s="3">
        <v>161084000</v>
      </c>
      <c r="BQ3" s="3">
        <v>132342000</v>
      </c>
      <c r="BR3" s="3">
        <v>0</v>
      </c>
      <c r="BS3" s="3">
        <v>293426000</v>
      </c>
      <c r="BT3" s="3">
        <v>161084000</v>
      </c>
      <c r="BU3" s="3">
        <v>132342000</v>
      </c>
      <c r="BV3" s="3">
        <v>0</v>
      </c>
      <c r="BW3" s="3">
        <v>293426000</v>
      </c>
      <c r="BX3" s="3">
        <v>168070161</v>
      </c>
      <c r="BY3" s="3">
        <v>114707839</v>
      </c>
      <c r="BZ3" s="3">
        <v>0</v>
      </c>
      <c r="CA3" s="3">
        <v>282778000</v>
      </c>
      <c r="CB3" s="6">
        <v>168070161</v>
      </c>
      <c r="CC3" s="6">
        <v>114707839</v>
      </c>
      <c r="CD3" s="6">
        <v>0</v>
      </c>
      <c r="CE3" s="6">
        <v>282778000</v>
      </c>
      <c r="CF3" s="6">
        <v>168068251.53</v>
      </c>
      <c r="CG3" s="3">
        <v>101125358.84999999</v>
      </c>
      <c r="CH3" s="3">
        <v>0</v>
      </c>
      <c r="CI3" s="3">
        <v>269193610.38</v>
      </c>
      <c r="CJ3" s="3">
        <v>163330148.59</v>
      </c>
      <c r="CK3" s="3">
        <v>65509010.270000003</v>
      </c>
      <c r="CL3" s="3">
        <v>0</v>
      </c>
      <c r="CM3" s="3">
        <v>228839158.86000001</v>
      </c>
      <c r="CN3" s="3">
        <v>171046000</v>
      </c>
      <c r="CO3" s="3">
        <v>134661000</v>
      </c>
      <c r="CP3" s="3">
        <v>0</v>
      </c>
      <c r="CQ3" s="3">
        <v>305707000</v>
      </c>
      <c r="CR3" s="3">
        <v>171046000</v>
      </c>
      <c r="CS3" s="3">
        <v>134661000</v>
      </c>
      <c r="CT3" s="3">
        <v>0</v>
      </c>
      <c r="CU3" s="3">
        <v>305707000</v>
      </c>
      <c r="CV3" s="3">
        <v>171046000</v>
      </c>
      <c r="CW3" s="3">
        <v>134661000</v>
      </c>
      <c r="CX3" s="3">
        <v>0</v>
      </c>
      <c r="CY3" s="3">
        <v>305707000</v>
      </c>
      <c r="CZ3" s="3">
        <v>175723867</v>
      </c>
      <c r="DA3" s="3">
        <v>129828133</v>
      </c>
      <c r="DB3" s="3">
        <v>0</v>
      </c>
      <c r="DC3" s="3">
        <v>305552000</v>
      </c>
      <c r="DD3" s="3">
        <v>175723867</v>
      </c>
      <c r="DE3" s="3">
        <v>129828133</v>
      </c>
      <c r="DF3" s="3">
        <v>0</v>
      </c>
      <c r="DG3" s="3">
        <v>305552000</v>
      </c>
      <c r="DH3" s="3">
        <v>175722341.55000001</v>
      </c>
      <c r="DI3" s="3">
        <v>117028877.02</v>
      </c>
      <c r="DJ3" s="3">
        <v>0</v>
      </c>
      <c r="DK3" s="3">
        <v>292751218.56999999</v>
      </c>
      <c r="DL3" s="3">
        <v>173424415.33000001</v>
      </c>
      <c r="DM3" s="3">
        <v>93149804.239999995</v>
      </c>
      <c r="DN3" s="3">
        <v>0</v>
      </c>
      <c r="DO3" s="3">
        <v>266574219.56999999</v>
      </c>
      <c r="DP3" s="3">
        <v>180739000</v>
      </c>
      <c r="DQ3" s="3">
        <v>273661000</v>
      </c>
      <c r="DR3" s="3">
        <v>0</v>
      </c>
      <c r="DS3" s="3">
        <v>454400000</v>
      </c>
      <c r="DT3" s="3">
        <v>180739000</v>
      </c>
      <c r="DU3" s="3">
        <v>273661000</v>
      </c>
      <c r="DV3" s="3">
        <v>0</v>
      </c>
      <c r="DW3" s="3">
        <v>454400000</v>
      </c>
      <c r="DX3" s="3">
        <v>180739000</v>
      </c>
      <c r="DY3" s="3">
        <v>273661000</v>
      </c>
      <c r="DZ3" s="3">
        <v>0</v>
      </c>
      <c r="EA3" s="3">
        <v>454400000</v>
      </c>
      <c r="EB3" s="6">
        <v>196256358.08000001</v>
      </c>
      <c r="EC3" s="6">
        <v>258905609</v>
      </c>
      <c r="ED3" s="6">
        <v>0</v>
      </c>
      <c r="EE3" s="3">
        <v>455161967.08000004</v>
      </c>
      <c r="EF3" s="3">
        <v>196256358.08000001</v>
      </c>
      <c r="EG3" s="3">
        <v>258905609</v>
      </c>
      <c r="EH3" s="3">
        <v>0</v>
      </c>
      <c r="EI3" s="3">
        <v>455161967.08000004</v>
      </c>
      <c r="EJ3" s="3">
        <v>196254362.44999999</v>
      </c>
      <c r="EK3" s="3">
        <v>255614703.77000001</v>
      </c>
      <c r="EL3" s="3">
        <v>0</v>
      </c>
      <c r="EM3" s="3">
        <v>451869066.22000003</v>
      </c>
      <c r="EN3" s="3">
        <v>190232385.69999999</v>
      </c>
      <c r="EO3" s="3">
        <v>223088745.31999999</v>
      </c>
      <c r="EP3" s="3">
        <v>0</v>
      </c>
      <c r="EQ3" s="3">
        <v>413321131.01999998</v>
      </c>
      <c r="ER3" s="3">
        <v>183435000</v>
      </c>
      <c r="ES3" s="3">
        <v>190630000</v>
      </c>
      <c r="ET3" s="3">
        <v>0</v>
      </c>
      <c r="EU3" s="3">
        <v>374065000</v>
      </c>
      <c r="EV3" s="3">
        <v>183435000</v>
      </c>
      <c r="EW3" s="3">
        <v>190630000</v>
      </c>
      <c r="EX3" s="3">
        <v>0</v>
      </c>
      <c r="EY3" s="3">
        <v>374065000</v>
      </c>
      <c r="EZ3" s="3">
        <v>183435000</v>
      </c>
      <c r="FA3" s="3">
        <v>190630000</v>
      </c>
      <c r="FB3" s="3">
        <v>0</v>
      </c>
      <c r="FC3" s="3">
        <v>374065000</v>
      </c>
      <c r="FD3" s="3">
        <v>212225217.38</v>
      </c>
      <c r="FE3" s="3">
        <v>179052238.00999999</v>
      </c>
      <c r="FF3" s="3">
        <v>0</v>
      </c>
      <c r="FG3" s="3">
        <v>391277455.38999999</v>
      </c>
      <c r="FH3" s="6">
        <v>195477979.09999999</v>
      </c>
      <c r="FI3" s="3">
        <v>179052238.00999999</v>
      </c>
      <c r="FJ3" s="3">
        <v>0</v>
      </c>
      <c r="FK3" s="3">
        <v>374530217.11000001</v>
      </c>
      <c r="FL3" s="3">
        <v>195477607.56</v>
      </c>
      <c r="FM3" s="3">
        <v>161741820.03</v>
      </c>
      <c r="FN3" s="3">
        <v>0</v>
      </c>
      <c r="FO3" s="3">
        <v>357219427.59000003</v>
      </c>
      <c r="FP3" s="3">
        <v>192700346.03999999</v>
      </c>
      <c r="FQ3" s="3">
        <v>128805836.65000001</v>
      </c>
      <c r="FR3" s="3">
        <v>0</v>
      </c>
      <c r="FS3" s="3">
        <v>321506182.69</v>
      </c>
      <c r="FT3" s="3">
        <v>190599000</v>
      </c>
      <c r="FU3" s="3">
        <v>194062000</v>
      </c>
      <c r="FV3" s="3">
        <v>0</v>
      </c>
      <c r="FW3" s="3">
        <v>384661000</v>
      </c>
      <c r="FX3" s="3">
        <v>190599000</v>
      </c>
      <c r="FY3" s="3">
        <v>187062000</v>
      </c>
      <c r="FZ3" s="3">
        <v>0</v>
      </c>
      <c r="GA3" s="3">
        <v>377661000</v>
      </c>
      <c r="GB3" s="3">
        <v>190599000</v>
      </c>
      <c r="GC3" s="3">
        <v>187062000</v>
      </c>
      <c r="GD3" s="3">
        <v>0</v>
      </c>
      <c r="GE3" s="3">
        <v>377661000</v>
      </c>
      <c r="GF3" s="3">
        <v>198273953.13999999</v>
      </c>
      <c r="GG3" s="3">
        <v>173303861</v>
      </c>
      <c r="GH3" s="3">
        <v>0</v>
      </c>
      <c r="GI3" s="3">
        <v>371577814.13999999</v>
      </c>
      <c r="GJ3" s="3">
        <v>198273953.13999999</v>
      </c>
      <c r="GK3" s="3">
        <v>173303861</v>
      </c>
      <c r="GL3" s="3">
        <v>0</v>
      </c>
      <c r="GM3" s="3">
        <v>371577814.13999999</v>
      </c>
      <c r="GN3" s="3">
        <v>198273953.03999999</v>
      </c>
      <c r="GO3" s="3">
        <v>143698308.74000001</v>
      </c>
      <c r="GP3" s="3">
        <v>0</v>
      </c>
      <c r="GQ3" s="3">
        <v>341972261.77999997</v>
      </c>
      <c r="GR3" s="3">
        <v>196233997.15000001</v>
      </c>
      <c r="GS3" s="6">
        <v>121783522.2</v>
      </c>
      <c r="GT3" s="3">
        <v>0</v>
      </c>
      <c r="GU3" s="3">
        <v>318017519.35000002</v>
      </c>
      <c r="GV3" s="3">
        <v>184642000</v>
      </c>
      <c r="GW3" s="3">
        <v>218456000</v>
      </c>
      <c r="GX3" s="3">
        <v>8500000</v>
      </c>
      <c r="GY3" s="3">
        <v>411598000</v>
      </c>
      <c r="GZ3" s="3">
        <v>184642000</v>
      </c>
      <c r="HA3" s="3">
        <v>218456000</v>
      </c>
      <c r="HB3" s="3">
        <v>8500000</v>
      </c>
      <c r="HC3" s="3">
        <v>411598000</v>
      </c>
      <c r="HD3" s="3">
        <v>184642000</v>
      </c>
      <c r="HE3" s="3">
        <v>218456000</v>
      </c>
      <c r="HF3" s="3">
        <v>8500000</v>
      </c>
      <c r="HG3" s="3">
        <v>411598000</v>
      </c>
      <c r="HH3" s="3">
        <v>196872094.11000001</v>
      </c>
      <c r="HI3" s="3">
        <v>191022426</v>
      </c>
      <c r="HJ3" s="3">
        <v>8500000</v>
      </c>
      <c r="HK3" s="3">
        <v>396394520.11000001</v>
      </c>
      <c r="HL3" s="3">
        <v>196872094.11000001</v>
      </c>
      <c r="HM3" s="3">
        <v>191022426</v>
      </c>
      <c r="HN3" s="3">
        <v>8500000</v>
      </c>
      <c r="HO3" s="3">
        <v>396394520.11000001</v>
      </c>
      <c r="HP3" s="3">
        <v>196872093.65000001</v>
      </c>
      <c r="HQ3" s="3">
        <v>142782885.28999999</v>
      </c>
      <c r="HR3" s="3">
        <v>4838195.01</v>
      </c>
      <c r="HS3" s="3">
        <v>344493173.94999999</v>
      </c>
      <c r="HT3" s="3">
        <v>196117316.74000001</v>
      </c>
      <c r="HU3" s="3">
        <v>121964870.68000001</v>
      </c>
      <c r="HV3" s="3">
        <v>0</v>
      </c>
      <c r="HW3" s="3">
        <v>318082187.42000002</v>
      </c>
      <c r="HX3" s="3">
        <v>208636000</v>
      </c>
      <c r="HY3" s="3">
        <v>225554000</v>
      </c>
      <c r="HZ3" s="3">
        <v>0</v>
      </c>
      <c r="IA3" s="3">
        <v>434190000</v>
      </c>
      <c r="IB3" s="3">
        <v>208636000</v>
      </c>
      <c r="IC3" s="3">
        <v>225554000</v>
      </c>
      <c r="ID3" s="3">
        <v>0</v>
      </c>
      <c r="IE3" s="3">
        <v>434190000</v>
      </c>
      <c r="IF3" s="3"/>
      <c r="IG3" s="3"/>
      <c r="IH3" s="3"/>
      <c r="II3" s="3"/>
      <c r="IJ3" s="3"/>
      <c r="IK3" s="3"/>
      <c r="IL3" s="3"/>
      <c r="IM3" s="3"/>
      <c r="IN3" s="3"/>
      <c r="IO3" s="3"/>
      <c r="IP3" s="3"/>
      <c r="IQ3" s="3"/>
      <c r="IR3" s="3"/>
      <c r="IS3" s="3"/>
      <c r="IT3" s="3"/>
      <c r="IU3" s="3"/>
      <c r="IV3" s="3"/>
      <c r="IW3" s="3"/>
      <c r="IX3" s="3"/>
      <c r="IY3" s="3"/>
      <c r="IZ3" s="3">
        <v>226589000</v>
      </c>
      <c r="JA3" s="3">
        <v>212115000</v>
      </c>
      <c r="JB3" s="3">
        <v>0</v>
      </c>
      <c r="JC3" s="3">
        <v>438704000</v>
      </c>
      <c r="JD3" s="3"/>
      <c r="JE3" s="3"/>
      <c r="JF3" s="3"/>
      <c r="JG3" s="3"/>
    </row>
    <row r="4" spans="1:267" x14ac:dyDescent="0.25">
      <c r="A4" t="s">
        <v>1153</v>
      </c>
      <c r="B4" t="s">
        <v>1154</v>
      </c>
      <c r="C4" t="s">
        <v>199</v>
      </c>
      <c r="D4" t="s">
        <v>200</v>
      </c>
      <c r="E4" t="s">
        <v>201</v>
      </c>
      <c r="F4" t="s">
        <v>206</v>
      </c>
      <c r="G4" t="s">
        <v>205</v>
      </c>
      <c r="H4" s="3">
        <v>98587000</v>
      </c>
      <c r="I4" s="3">
        <v>0</v>
      </c>
      <c r="J4" s="3">
        <v>0</v>
      </c>
      <c r="K4" s="3">
        <v>98587000</v>
      </c>
      <c r="L4" s="3">
        <v>98587000</v>
      </c>
      <c r="M4" s="3">
        <v>0</v>
      </c>
      <c r="N4" s="3">
        <v>0</v>
      </c>
      <c r="O4" s="3">
        <v>98587000</v>
      </c>
      <c r="P4" s="3">
        <v>98587000</v>
      </c>
      <c r="Q4" s="3">
        <v>0</v>
      </c>
      <c r="R4" s="3">
        <v>0</v>
      </c>
      <c r="S4" s="3">
        <v>98587000</v>
      </c>
      <c r="T4" s="3">
        <v>98587000</v>
      </c>
      <c r="U4" s="3">
        <v>0</v>
      </c>
      <c r="V4" s="3">
        <v>0</v>
      </c>
      <c r="W4" s="3">
        <v>98587000</v>
      </c>
      <c r="X4" s="6">
        <v>64337541</v>
      </c>
      <c r="Y4" s="3">
        <v>0</v>
      </c>
      <c r="Z4" s="3">
        <v>0</v>
      </c>
      <c r="AA4" s="3">
        <v>64337541</v>
      </c>
      <c r="AB4" s="3">
        <v>62630201.299999997</v>
      </c>
      <c r="AC4" s="3">
        <v>0</v>
      </c>
      <c r="AD4" s="3">
        <v>0</v>
      </c>
      <c r="AE4" s="3">
        <v>62630201.299999997</v>
      </c>
      <c r="AF4" s="3">
        <v>55873166.280000001</v>
      </c>
      <c r="AG4" s="3">
        <v>0</v>
      </c>
      <c r="AH4" s="3">
        <v>0</v>
      </c>
      <c r="AI4" s="3">
        <v>55873166.280000001</v>
      </c>
      <c r="AJ4" s="3">
        <v>98939000</v>
      </c>
      <c r="AK4" s="3">
        <v>0</v>
      </c>
      <c r="AL4" s="3">
        <v>0</v>
      </c>
      <c r="AM4" s="3">
        <v>98939000</v>
      </c>
      <c r="AN4" s="3">
        <v>98939000</v>
      </c>
      <c r="AO4" s="3">
        <v>0</v>
      </c>
      <c r="AP4" s="3">
        <v>0</v>
      </c>
      <c r="AQ4" s="3">
        <v>98939000</v>
      </c>
      <c r="AR4" s="3">
        <v>98939000</v>
      </c>
      <c r="AS4" s="3">
        <v>0</v>
      </c>
      <c r="AT4" s="3">
        <v>0</v>
      </c>
      <c r="AU4" s="3">
        <v>98939000</v>
      </c>
      <c r="AV4" s="3">
        <v>98939000</v>
      </c>
      <c r="AW4" s="3">
        <v>0</v>
      </c>
      <c r="AX4" s="3">
        <v>0</v>
      </c>
      <c r="AY4" s="3">
        <v>98939000</v>
      </c>
      <c r="AZ4" s="3">
        <v>40663974</v>
      </c>
      <c r="BA4" s="3">
        <v>0</v>
      </c>
      <c r="BB4" s="3">
        <v>0</v>
      </c>
      <c r="BC4" s="3">
        <v>40663974</v>
      </c>
      <c r="BD4" s="3">
        <v>40663964.25</v>
      </c>
      <c r="BE4" s="3">
        <v>0</v>
      </c>
      <c r="BF4" s="3">
        <v>0</v>
      </c>
      <c r="BG4" s="3">
        <v>40663964.25</v>
      </c>
      <c r="BH4" s="3">
        <v>30791063.199999996</v>
      </c>
      <c r="BI4" s="3">
        <v>0</v>
      </c>
      <c r="BJ4" s="3">
        <v>0</v>
      </c>
      <c r="BK4" s="3">
        <v>30791063.199999996</v>
      </c>
      <c r="BL4" s="3">
        <v>119744000</v>
      </c>
      <c r="BM4" s="3">
        <v>0</v>
      </c>
      <c r="BN4" s="3">
        <v>0</v>
      </c>
      <c r="BO4" s="3">
        <v>119744000</v>
      </c>
      <c r="BP4" s="3">
        <v>119744000</v>
      </c>
      <c r="BQ4" s="3">
        <v>0</v>
      </c>
      <c r="BR4" s="3">
        <v>0</v>
      </c>
      <c r="BS4" s="3">
        <v>119744000</v>
      </c>
      <c r="BT4" s="3">
        <v>119744000</v>
      </c>
      <c r="BU4" s="3">
        <v>0</v>
      </c>
      <c r="BV4" s="3">
        <v>0</v>
      </c>
      <c r="BW4" s="3">
        <v>119744000</v>
      </c>
      <c r="BX4" s="3">
        <v>119744000</v>
      </c>
      <c r="BY4" s="3">
        <v>0</v>
      </c>
      <c r="BZ4" s="3">
        <v>0</v>
      </c>
      <c r="CA4" s="3">
        <v>119744000</v>
      </c>
      <c r="CB4" s="6">
        <v>119744000</v>
      </c>
      <c r="CC4" s="6">
        <v>0</v>
      </c>
      <c r="CD4" s="6">
        <v>0</v>
      </c>
      <c r="CE4" s="6">
        <v>119744000</v>
      </c>
      <c r="CF4" s="6">
        <v>119613625.58</v>
      </c>
      <c r="CG4" s="3">
        <v>0</v>
      </c>
      <c r="CH4" s="3">
        <v>0</v>
      </c>
      <c r="CI4" s="3">
        <v>119613625.58</v>
      </c>
      <c r="CJ4" s="3">
        <v>111803342.20999999</v>
      </c>
      <c r="CK4" s="3">
        <v>0</v>
      </c>
      <c r="CL4" s="3">
        <v>0</v>
      </c>
      <c r="CM4" s="3">
        <v>111803342.20999999</v>
      </c>
      <c r="CN4" s="3">
        <v>161357000</v>
      </c>
      <c r="CO4" s="3">
        <v>0</v>
      </c>
      <c r="CP4" s="3">
        <v>0</v>
      </c>
      <c r="CQ4" s="3">
        <v>161357000</v>
      </c>
      <c r="CR4" s="3">
        <v>161357000</v>
      </c>
      <c r="CS4" s="3">
        <v>0</v>
      </c>
      <c r="CT4" s="3">
        <v>0</v>
      </c>
      <c r="CU4" s="3">
        <v>161357000</v>
      </c>
      <c r="CV4" s="3">
        <v>161357000</v>
      </c>
      <c r="CW4" s="3">
        <v>0</v>
      </c>
      <c r="CX4" s="3">
        <v>0</v>
      </c>
      <c r="CY4" s="3">
        <v>161357000</v>
      </c>
      <c r="CZ4" s="3">
        <v>161357000</v>
      </c>
      <c r="DA4" s="3">
        <v>0</v>
      </c>
      <c r="DB4" s="3">
        <v>0</v>
      </c>
      <c r="DC4" s="3">
        <v>161357000</v>
      </c>
      <c r="DD4" s="3">
        <v>161357000</v>
      </c>
      <c r="DE4" s="3">
        <v>0</v>
      </c>
      <c r="DF4" s="3">
        <v>0</v>
      </c>
      <c r="DG4" s="3">
        <v>161357000</v>
      </c>
      <c r="DH4" s="3">
        <v>161357000</v>
      </c>
      <c r="DI4" s="3">
        <v>0</v>
      </c>
      <c r="DJ4" s="3">
        <v>0</v>
      </c>
      <c r="DK4" s="3">
        <v>161357000</v>
      </c>
      <c r="DL4" s="3">
        <v>159917691</v>
      </c>
      <c r="DM4" s="3">
        <v>0</v>
      </c>
      <c r="DN4" s="3">
        <v>0</v>
      </c>
      <c r="DO4" s="3">
        <v>159917691</v>
      </c>
      <c r="DP4" s="3">
        <v>166460000</v>
      </c>
      <c r="DQ4" s="3">
        <v>0</v>
      </c>
      <c r="DR4" s="3">
        <v>0</v>
      </c>
      <c r="DS4" s="3">
        <v>166460000</v>
      </c>
      <c r="DT4" s="3">
        <v>166460000</v>
      </c>
      <c r="DU4" s="3">
        <v>0</v>
      </c>
      <c r="DV4" s="3">
        <v>0</v>
      </c>
      <c r="DW4" s="3">
        <v>166460000</v>
      </c>
      <c r="DX4" s="3">
        <v>166460000</v>
      </c>
      <c r="DY4" s="3">
        <v>0</v>
      </c>
      <c r="DZ4" s="3">
        <v>0</v>
      </c>
      <c r="EA4" s="3">
        <v>166460000</v>
      </c>
      <c r="EB4" s="6">
        <v>184036980.36000001</v>
      </c>
      <c r="EC4" s="6">
        <v>0</v>
      </c>
      <c r="ED4" s="6">
        <v>0</v>
      </c>
      <c r="EE4" s="3">
        <v>184036980.36000001</v>
      </c>
      <c r="EF4" s="3">
        <v>184036980.36000001</v>
      </c>
      <c r="EG4" s="3">
        <v>0</v>
      </c>
      <c r="EH4" s="3">
        <v>0</v>
      </c>
      <c r="EI4" s="3">
        <v>184036980.36000001</v>
      </c>
      <c r="EJ4" s="3">
        <v>184036975.15000001</v>
      </c>
      <c r="EK4" s="3">
        <v>0</v>
      </c>
      <c r="EL4" s="3">
        <v>0</v>
      </c>
      <c r="EM4" s="3">
        <v>184036975.15000001</v>
      </c>
      <c r="EN4" s="3">
        <v>172610548.55000001</v>
      </c>
      <c r="EO4" s="3">
        <v>0</v>
      </c>
      <c r="EP4" s="3">
        <v>0</v>
      </c>
      <c r="EQ4" s="3">
        <v>172610548.55000001</v>
      </c>
      <c r="ER4" s="3">
        <v>167757000</v>
      </c>
      <c r="ES4" s="3">
        <v>0</v>
      </c>
      <c r="ET4" s="3">
        <v>0</v>
      </c>
      <c r="EU4" s="3">
        <v>167757000</v>
      </c>
      <c r="EV4" s="3">
        <v>167757000</v>
      </c>
      <c r="EW4" s="3">
        <v>0</v>
      </c>
      <c r="EX4" s="3">
        <v>0</v>
      </c>
      <c r="EY4" s="3">
        <v>167757000</v>
      </c>
      <c r="EZ4" s="3">
        <v>167757000</v>
      </c>
      <c r="FA4" s="3">
        <v>0</v>
      </c>
      <c r="FB4" s="3">
        <v>0</v>
      </c>
      <c r="FC4" s="3">
        <v>167757000</v>
      </c>
      <c r="FD4" s="3">
        <v>163323623.30000001</v>
      </c>
      <c r="FE4" s="3">
        <v>0</v>
      </c>
      <c r="FF4" s="3">
        <v>0</v>
      </c>
      <c r="FG4" s="3">
        <v>163323623.30000001</v>
      </c>
      <c r="FH4" s="6">
        <v>163323623.30000001</v>
      </c>
      <c r="FI4" s="3">
        <v>0</v>
      </c>
      <c r="FJ4" s="3">
        <v>0</v>
      </c>
      <c r="FK4" s="3">
        <v>163323623.30000001</v>
      </c>
      <c r="FL4" s="3">
        <v>163323622.71000001</v>
      </c>
      <c r="FM4" s="3">
        <v>0</v>
      </c>
      <c r="FN4" s="3">
        <v>0</v>
      </c>
      <c r="FO4" s="3">
        <v>163323622.71000001</v>
      </c>
      <c r="FP4" s="3">
        <v>133494532.87</v>
      </c>
      <c r="FQ4" s="3">
        <v>0</v>
      </c>
      <c r="FR4" s="3">
        <v>0</v>
      </c>
      <c r="FS4" s="3">
        <v>133494532.87</v>
      </c>
      <c r="FT4" s="3">
        <v>204485000</v>
      </c>
      <c r="FU4" s="3">
        <v>0</v>
      </c>
      <c r="FV4" s="3">
        <v>0</v>
      </c>
      <c r="FW4" s="3">
        <v>204485000</v>
      </c>
      <c r="FX4" s="3">
        <v>204485000</v>
      </c>
      <c r="FY4" s="3">
        <v>0</v>
      </c>
      <c r="FZ4" s="3">
        <v>0</v>
      </c>
      <c r="GA4" s="3">
        <v>204485000</v>
      </c>
      <c r="GB4" s="3">
        <v>204485000</v>
      </c>
      <c r="GC4" s="3">
        <v>0</v>
      </c>
      <c r="GD4" s="3">
        <v>0</v>
      </c>
      <c r="GE4" s="3">
        <v>204485000</v>
      </c>
      <c r="GF4" s="3">
        <v>197809897.30000001</v>
      </c>
      <c r="GG4" s="3">
        <v>0</v>
      </c>
      <c r="GH4" s="3">
        <v>0</v>
      </c>
      <c r="GI4" s="3">
        <v>197809897.30000001</v>
      </c>
      <c r="GJ4" s="3">
        <v>197809897.30000001</v>
      </c>
      <c r="GK4" s="3">
        <v>0</v>
      </c>
      <c r="GL4" s="3">
        <v>0</v>
      </c>
      <c r="GM4" s="3">
        <v>197809897.30000001</v>
      </c>
      <c r="GN4" s="3">
        <v>197809896.74000001</v>
      </c>
      <c r="GO4" s="3">
        <v>0</v>
      </c>
      <c r="GP4" s="3">
        <v>0</v>
      </c>
      <c r="GQ4" s="3">
        <v>197809896.74000001</v>
      </c>
      <c r="GR4" s="3">
        <v>169460705.40000001</v>
      </c>
      <c r="GS4" s="6">
        <v>0</v>
      </c>
      <c r="GT4" s="3">
        <v>0</v>
      </c>
      <c r="GU4" s="3">
        <v>169460705.40000001</v>
      </c>
      <c r="GV4" s="3">
        <v>213748000</v>
      </c>
      <c r="GW4" s="3">
        <v>0</v>
      </c>
      <c r="GX4" s="3">
        <v>0</v>
      </c>
      <c r="GY4" s="3">
        <v>213748000</v>
      </c>
      <c r="GZ4" s="3">
        <v>213748000</v>
      </c>
      <c r="HA4" s="3">
        <v>0</v>
      </c>
      <c r="HB4" s="3">
        <v>0</v>
      </c>
      <c r="HC4" s="3">
        <v>213748000</v>
      </c>
      <c r="HD4" s="3">
        <v>213748000</v>
      </c>
      <c r="HE4" s="3">
        <v>0</v>
      </c>
      <c r="HF4" s="3">
        <v>0</v>
      </c>
      <c r="HG4" s="3">
        <v>213748000</v>
      </c>
      <c r="HH4" s="3">
        <v>211585931.27000001</v>
      </c>
      <c r="HI4" s="3">
        <v>0</v>
      </c>
      <c r="HJ4" s="3">
        <v>0</v>
      </c>
      <c r="HK4" s="3">
        <v>211585931.27000001</v>
      </c>
      <c r="HL4" s="3">
        <v>211585931.27000001</v>
      </c>
      <c r="HM4" s="3">
        <v>0</v>
      </c>
      <c r="HN4" s="3">
        <v>0</v>
      </c>
      <c r="HO4" s="3">
        <v>211585931.27000001</v>
      </c>
      <c r="HP4" s="3">
        <v>211564999.5</v>
      </c>
      <c r="HQ4" s="3">
        <v>0</v>
      </c>
      <c r="HR4" s="3">
        <v>0</v>
      </c>
      <c r="HS4" s="3">
        <v>211564999.5</v>
      </c>
      <c r="HT4" s="3">
        <v>192480525.22</v>
      </c>
      <c r="HU4" s="3">
        <v>0</v>
      </c>
      <c r="HV4" s="3">
        <v>0</v>
      </c>
      <c r="HW4" s="3">
        <v>192480525.22</v>
      </c>
      <c r="HX4" s="3">
        <v>264605000</v>
      </c>
      <c r="HY4" s="3">
        <v>0</v>
      </c>
      <c r="HZ4" s="3">
        <v>0</v>
      </c>
      <c r="IA4" s="3">
        <v>264605000</v>
      </c>
      <c r="IB4" s="3">
        <v>264605000</v>
      </c>
      <c r="IC4" s="3">
        <v>0</v>
      </c>
      <c r="ID4" s="3">
        <v>0</v>
      </c>
      <c r="IE4" s="3">
        <v>264605000</v>
      </c>
      <c r="IF4" s="3"/>
      <c r="IG4" s="3"/>
      <c r="IH4" s="3"/>
      <c r="II4" s="3"/>
      <c r="IJ4" s="3"/>
      <c r="IK4" s="3"/>
      <c r="IL4" s="3"/>
      <c r="IM4" s="3"/>
      <c r="IN4" s="3"/>
      <c r="IO4" s="3"/>
      <c r="IP4" s="3"/>
      <c r="IQ4" s="3"/>
      <c r="IR4" s="3"/>
      <c r="IS4" s="3"/>
      <c r="IT4" s="3"/>
      <c r="IU4" s="3"/>
      <c r="IV4" s="3"/>
      <c r="IW4" s="3"/>
      <c r="IX4" s="3"/>
      <c r="IY4" s="3"/>
      <c r="IZ4" s="3">
        <v>277501000</v>
      </c>
      <c r="JA4" s="3">
        <v>0</v>
      </c>
      <c r="JB4" s="3">
        <v>0</v>
      </c>
      <c r="JC4" s="3">
        <v>277501000</v>
      </c>
      <c r="JD4" s="3"/>
      <c r="JE4" s="3"/>
      <c r="JF4" s="3"/>
      <c r="JG4" s="3"/>
    </row>
    <row r="5" spans="1:267" x14ac:dyDescent="0.25">
      <c r="A5" t="s">
        <v>1153</v>
      </c>
      <c r="B5" t="s">
        <v>1154</v>
      </c>
      <c r="C5" t="s">
        <v>199</v>
      </c>
      <c r="D5" t="s">
        <v>200</v>
      </c>
      <c r="E5" t="s">
        <v>208</v>
      </c>
      <c r="F5" t="s">
        <v>209</v>
      </c>
      <c r="G5" t="s">
        <v>1192</v>
      </c>
      <c r="H5" s="3">
        <v>90537000</v>
      </c>
      <c r="I5" s="3">
        <v>162287000</v>
      </c>
      <c r="J5" s="3">
        <v>291604000</v>
      </c>
      <c r="K5" s="3">
        <v>544428000</v>
      </c>
      <c r="L5" s="3">
        <v>90537000</v>
      </c>
      <c r="M5" s="3">
        <v>162287000</v>
      </c>
      <c r="N5" s="3">
        <v>291604000</v>
      </c>
      <c r="O5" s="3">
        <v>544428000</v>
      </c>
      <c r="P5" s="3">
        <v>90537000</v>
      </c>
      <c r="Q5" s="3">
        <v>162287000</v>
      </c>
      <c r="R5" s="3">
        <v>291604000</v>
      </c>
      <c r="S5" s="3">
        <v>544428000</v>
      </c>
      <c r="T5" s="3">
        <v>95628952</v>
      </c>
      <c r="U5" s="3">
        <v>157195048</v>
      </c>
      <c r="V5" s="3">
        <v>291604000</v>
      </c>
      <c r="W5" s="3">
        <v>544428000</v>
      </c>
      <c r="X5" s="6">
        <v>95628952</v>
      </c>
      <c r="Y5" s="3">
        <v>157195048</v>
      </c>
      <c r="Z5" s="3">
        <v>291604000</v>
      </c>
      <c r="AA5" s="3">
        <v>544428000</v>
      </c>
      <c r="AB5" s="3">
        <v>95628952</v>
      </c>
      <c r="AC5" s="3">
        <v>154134610.93000001</v>
      </c>
      <c r="AD5" s="3">
        <v>291604000</v>
      </c>
      <c r="AE5" s="3">
        <v>541367562.93000007</v>
      </c>
      <c r="AF5" s="3">
        <v>94075058.260000005</v>
      </c>
      <c r="AG5" s="3">
        <v>73152415.650000006</v>
      </c>
      <c r="AH5" s="3">
        <v>81161111.849999994</v>
      </c>
      <c r="AI5" s="3">
        <v>248388585.76000002</v>
      </c>
      <c r="AJ5" s="3">
        <v>107771000</v>
      </c>
      <c r="AK5" s="3">
        <v>164910000</v>
      </c>
      <c r="AL5" s="3">
        <v>347040000</v>
      </c>
      <c r="AM5" s="3">
        <v>619721000</v>
      </c>
      <c r="AN5" s="3">
        <v>107771000</v>
      </c>
      <c r="AO5" s="3">
        <v>164910000</v>
      </c>
      <c r="AP5" s="3">
        <v>347040000</v>
      </c>
      <c r="AQ5" s="3">
        <v>619721000</v>
      </c>
      <c r="AR5" s="3">
        <v>107771000</v>
      </c>
      <c r="AS5" s="3">
        <v>164910000</v>
      </c>
      <c r="AT5" s="3">
        <v>347040000</v>
      </c>
      <c r="AU5" s="3">
        <v>619721000</v>
      </c>
      <c r="AV5" s="3">
        <v>115589043</v>
      </c>
      <c r="AW5" s="3">
        <v>157091957</v>
      </c>
      <c r="AX5" s="3">
        <v>347040000</v>
      </c>
      <c r="AY5" s="3">
        <v>619721000</v>
      </c>
      <c r="AZ5" s="3">
        <v>115589043</v>
      </c>
      <c r="BA5" s="3">
        <v>157091957</v>
      </c>
      <c r="BB5" s="3">
        <v>347040000</v>
      </c>
      <c r="BC5" s="3">
        <v>619721000</v>
      </c>
      <c r="BD5" s="3">
        <v>115550333.72</v>
      </c>
      <c r="BE5" s="3">
        <v>140617322.65000001</v>
      </c>
      <c r="BF5" s="3">
        <v>304561202.98000002</v>
      </c>
      <c r="BG5" s="3">
        <v>560728859.35000002</v>
      </c>
      <c r="BH5" s="3">
        <v>113398702.54000001</v>
      </c>
      <c r="BI5" s="3">
        <v>93593351.640000001</v>
      </c>
      <c r="BJ5" s="3">
        <v>152977138.16</v>
      </c>
      <c r="BK5" s="3">
        <v>359969192.34000003</v>
      </c>
      <c r="BL5" s="3">
        <v>116970000</v>
      </c>
      <c r="BM5" s="3">
        <v>171456000</v>
      </c>
      <c r="BN5" s="3">
        <v>143740000</v>
      </c>
      <c r="BO5" s="3">
        <v>432166000</v>
      </c>
      <c r="BP5" s="3">
        <v>116970000</v>
      </c>
      <c r="BQ5" s="3">
        <v>171456000</v>
      </c>
      <c r="BR5" s="3">
        <v>143740000</v>
      </c>
      <c r="BS5" s="3">
        <v>432166000</v>
      </c>
      <c r="BT5" s="3">
        <v>116970000</v>
      </c>
      <c r="BU5" s="3">
        <v>171456000</v>
      </c>
      <c r="BV5" s="3">
        <v>143740000</v>
      </c>
      <c r="BW5" s="3">
        <v>432166000</v>
      </c>
      <c r="BX5" s="3">
        <v>125578729</v>
      </c>
      <c r="BY5" s="3">
        <v>159162271</v>
      </c>
      <c r="BZ5" s="3">
        <v>116597000</v>
      </c>
      <c r="CA5" s="3">
        <v>401338000</v>
      </c>
      <c r="CB5" s="6">
        <v>125578729</v>
      </c>
      <c r="CC5" s="6">
        <v>159162271</v>
      </c>
      <c r="CD5" s="6">
        <v>116597000</v>
      </c>
      <c r="CE5" s="6">
        <v>401338000</v>
      </c>
      <c r="CF5" s="6">
        <v>125574424.08</v>
      </c>
      <c r="CG5" s="3">
        <v>153195032.38999999</v>
      </c>
      <c r="CH5" s="3">
        <v>104806851.23</v>
      </c>
      <c r="CI5" s="3">
        <v>383576307.69999999</v>
      </c>
      <c r="CJ5" s="3">
        <v>123854957.92</v>
      </c>
      <c r="CK5" s="3">
        <v>60072369.619999997</v>
      </c>
      <c r="CL5" s="3">
        <v>61032260.520000003</v>
      </c>
      <c r="CM5" s="3">
        <v>244959588.06</v>
      </c>
      <c r="CN5" s="3">
        <v>124475000</v>
      </c>
      <c r="CO5" s="3">
        <v>178167000</v>
      </c>
      <c r="CP5" s="3">
        <v>246427000</v>
      </c>
      <c r="CQ5" s="3">
        <v>549069000</v>
      </c>
      <c r="CR5" s="3">
        <v>124475000</v>
      </c>
      <c r="CS5" s="3">
        <v>178167000</v>
      </c>
      <c r="CT5" s="3">
        <v>246427000</v>
      </c>
      <c r="CU5" s="3">
        <v>549069000</v>
      </c>
      <c r="CV5" s="3">
        <v>124475000</v>
      </c>
      <c r="CW5" s="3">
        <v>178167000</v>
      </c>
      <c r="CX5" s="3">
        <v>246427000</v>
      </c>
      <c r="CY5" s="3">
        <v>549069000</v>
      </c>
      <c r="CZ5" s="3">
        <v>141395144</v>
      </c>
      <c r="DA5" s="3">
        <v>161209856</v>
      </c>
      <c r="DB5" s="3">
        <v>246427000</v>
      </c>
      <c r="DC5" s="3">
        <v>549032000</v>
      </c>
      <c r="DD5" s="3">
        <v>141395144</v>
      </c>
      <c r="DE5" s="3">
        <v>161209856</v>
      </c>
      <c r="DF5" s="3">
        <v>246427000</v>
      </c>
      <c r="DG5" s="3">
        <v>549032000</v>
      </c>
      <c r="DH5" s="3">
        <v>141384459.30000001</v>
      </c>
      <c r="DI5" s="3">
        <v>116438758.20999999</v>
      </c>
      <c r="DJ5" s="3">
        <v>225106294.25999999</v>
      </c>
      <c r="DK5" s="3">
        <v>482929511.76999998</v>
      </c>
      <c r="DL5" s="3">
        <v>125396932.01000001</v>
      </c>
      <c r="DM5" s="3">
        <v>71666906.840000004</v>
      </c>
      <c r="DN5" s="3">
        <v>155815264.94999999</v>
      </c>
      <c r="DO5" s="3">
        <v>352879103.80000001</v>
      </c>
      <c r="DP5" s="3">
        <v>129218000</v>
      </c>
      <c r="DQ5" s="3">
        <v>52487000</v>
      </c>
      <c r="DR5" s="3">
        <v>0</v>
      </c>
      <c r="DS5" s="3">
        <v>181705000</v>
      </c>
      <c r="DT5" s="3">
        <v>129218000</v>
      </c>
      <c r="DU5" s="3">
        <v>187166000</v>
      </c>
      <c r="DV5" s="3">
        <v>115321000</v>
      </c>
      <c r="DW5" s="3">
        <v>431705000</v>
      </c>
      <c r="DX5" s="3">
        <v>129218000</v>
      </c>
      <c r="DY5" s="3">
        <v>187166000</v>
      </c>
      <c r="DZ5" s="3">
        <v>115321000</v>
      </c>
      <c r="EA5" s="3">
        <v>431705000</v>
      </c>
      <c r="EB5" s="6">
        <v>127035641.77</v>
      </c>
      <c r="EC5" s="6">
        <v>184060462.72999999</v>
      </c>
      <c r="ED5" s="6">
        <v>115321000</v>
      </c>
      <c r="EE5" s="3">
        <v>426417104.5</v>
      </c>
      <c r="EF5" s="3">
        <v>127035641.77</v>
      </c>
      <c r="EG5" s="3">
        <v>184060462.72999999</v>
      </c>
      <c r="EH5" s="3">
        <v>115321000</v>
      </c>
      <c r="EI5" s="3">
        <v>426417104.5</v>
      </c>
      <c r="EJ5" s="3">
        <v>127035640.02</v>
      </c>
      <c r="EK5" s="3">
        <v>179677843.94999999</v>
      </c>
      <c r="EL5" s="3">
        <v>83515832.840000004</v>
      </c>
      <c r="EM5" s="3">
        <v>390229316.80999994</v>
      </c>
      <c r="EN5" s="3">
        <v>124021981.84</v>
      </c>
      <c r="EO5" s="3">
        <v>100843444.76000001</v>
      </c>
      <c r="EP5" s="3">
        <v>4251758.5599999996</v>
      </c>
      <c r="EQ5" s="3">
        <v>229117185.16000003</v>
      </c>
      <c r="ER5" s="3">
        <v>131798000</v>
      </c>
      <c r="ES5" s="3">
        <v>337208000</v>
      </c>
      <c r="ET5" s="3">
        <v>258410000</v>
      </c>
      <c r="EU5" s="3">
        <v>727416000</v>
      </c>
      <c r="EV5" s="3">
        <v>131798000</v>
      </c>
      <c r="EW5" s="3">
        <v>337208000</v>
      </c>
      <c r="EX5" s="3">
        <v>258410000</v>
      </c>
      <c r="EY5" s="3">
        <v>727416000</v>
      </c>
      <c r="EZ5" s="3">
        <v>131798000</v>
      </c>
      <c r="FA5" s="3">
        <v>337208000</v>
      </c>
      <c r="FB5" s="3">
        <v>258410000</v>
      </c>
      <c r="FC5" s="3">
        <v>727416000</v>
      </c>
      <c r="FD5" s="3">
        <v>134107365.08</v>
      </c>
      <c r="FE5" s="3">
        <v>331646621.70999998</v>
      </c>
      <c r="FF5" s="3">
        <v>258410000</v>
      </c>
      <c r="FG5" s="3">
        <v>724163986.78999996</v>
      </c>
      <c r="FH5" s="6">
        <v>134107365.08</v>
      </c>
      <c r="FI5" s="3">
        <v>331646621.70999998</v>
      </c>
      <c r="FJ5" s="3">
        <v>258410000</v>
      </c>
      <c r="FK5" s="3">
        <v>724163986.78999996</v>
      </c>
      <c r="FL5" s="3">
        <v>134107360.55</v>
      </c>
      <c r="FM5" s="3">
        <v>244326035.31999999</v>
      </c>
      <c r="FN5" s="3">
        <v>218777699.12</v>
      </c>
      <c r="FO5" s="3">
        <v>597211094.99000001</v>
      </c>
      <c r="FP5" s="3">
        <v>132274272.04000001</v>
      </c>
      <c r="FQ5" s="3">
        <v>181960500.52000001</v>
      </c>
      <c r="FR5" s="3">
        <v>128634604.13</v>
      </c>
      <c r="FS5" s="3">
        <v>442869376.69</v>
      </c>
      <c r="FT5" s="3">
        <v>128265000</v>
      </c>
      <c r="FU5" s="3">
        <v>491806000</v>
      </c>
      <c r="FV5" s="3">
        <v>93762000</v>
      </c>
      <c r="FW5" s="3">
        <v>713833000</v>
      </c>
      <c r="FX5" s="3">
        <v>128265000</v>
      </c>
      <c r="FY5" s="3">
        <v>491806000</v>
      </c>
      <c r="FZ5" s="3">
        <v>93762000</v>
      </c>
      <c r="GA5" s="3">
        <v>713833000</v>
      </c>
      <c r="GB5" s="3">
        <v>128265000</v>
      </c>
      <c r="GC5" s="3">
        <v>491806000</v>
      </c>
      <c r="GD5" s="3">
        <v>93762000</v>
      </c>
      <c r="GE5" s="3">
        <v>713833000</v>
      </c>
      <c r="GF5" s="3">
        <v>136435012.63999999</v>
      </c>
      <c r="GG5" s="3">
        <v>482759295.32999998</v>
      </c>
      <c r="GH5" s="3">
        <v>93762000</v>
      </c>
      <c r="GI5" s="3">
        <v>712956307.97000003</v>
      </c>
      <c r="GJ5" s="3">
        <v>136435012.63999999</v>
      </c>
      <c r="GK5" s="3">
        <v>482759295.32999998</v>
      </c>
      <c r="GL5" s="3">
        <v>93762000</v>
      </c>
      <c r="GM5" s="3">
        <v>712956307.97000003</v>
      </c>
      <c r="GN5" s="3">
        <v>136435011.33000001</v>
      </c>
      <c r="GO5" s="3">
        <v>358372874.54000002</v>
      </c>
      <c r="GP5" s="3">
        <v>91276042.950000003</v>
      </c>
      <c r="GQ5" s="3">
        <v>586083928.82000005</v>
      </c>
      <c r="GR5" s="3">
        <v>136155959.36000001</v>
      </c>
      <c r="GS5" s="6">
        <v>192111561.49000001</v>
      </c>
      <c r="GT5" s="3">
        <v>53875607.740000002</v>
      </c>
      <c r="GU5" s="3">
        <v>382143128.59000003</v>
      </c>
      <c r="GV5" s="3">
        <v>135734000</v>
      </c>
      <c r="GW5" s="3">
        <v>832766000</v>
      </c>
      <c r="GX5" s="3">
        <v>304000000</v>
      </c>
      <c r="GY5" s="3">
        <v>1272500000</v>
      </c>
      <c r="GZ5" s="3">
        <v>135734000</v>
      </c>
      <c r="HA5" s="3">
        <v>832766000</v>
      </c>
      <c r="HB5" s="3">
        <v>304000000</v>
      </c>
      <c r="HC5" s="3">
        <v>1272500000</v>
      </c>
      <c r="HD5" s="3">
        <v>135734000</v>
      </c>
      <c r="HE5" s="3">
        <v>832766000</v>
      </c>
      <c r="HF5" s="3">
        <v>304000000</v>
      </c>
      <c r="HG5" s="3">
        <v>1272500000</v>
      </c>
      <c r="HH5" s="3">
        <v>148682639.91</v>
      </c>
      <c r="HI5" s="3">
        <v>822810362.75999999</v>
      </c>
      <c r="HJ5" s="3">
        <v>304000000</v>
      </c>
      <c r="HK5" s="3">
        <v>1275493002.6700001</v>
      </c>
      <c r="HL5" s="3">
        <v>148682639.91</v>
      </c>
      <c r="HM5" s="3">
        <v>822810362.75999999</v>
      </c>
      <c r="HN5" s="3">
        <v>304000000</v>
      </c>
      <c r="HO5" s="3">
        <v>1275493002.6700001</v>
      </c>
      <c r="HP5" s="3">
        <v>148682639.75</v>
      </c>
      <c r="HQ5" s="3">
        <v>617520977.39999998</v>
      </c>
      <c r="HR5" s="3">
        <v>206160788.37</v>
      </c>
      <c r="HS5" s="3">
        <v>972364405.51999998</v>
      </c>
      <c r="HT5" s="3">
        <v>148233012.28</v>
      </c>
      <c r="HU5" s="3">
        <v>195443992.91999999</v>
      </c>
      <c r="HV5" s="3">
        <v>70757423.530000001</v>
      </c>
      <c r="HW5" s="3">
        <v>414434428.73000002</v>
      </c>
      <c r="HX5" s="3">
        <v>154968000</v>
      </c>
      <c r="HY5" s="3">
        <v>774940000</v>
      </c>
      <c r="HZ5" s="3">
        <v>261328000</v>
      </c>
      <c r="IA5" s="3">
        <v>1191236000</v>
      </c>
      <c r="IB5" s="3">
        <v>154968000</v>
      </c>
      <c r="IC5" s="3">
        <v>434804000</v>
      </c>
      <c r="ID5" s="3">
        <v>182930000</v>
      </c>
      <c r="IE5" s="3">
        <v>772702000</v>
      </c>
      <c r="IF5" s="3"/>
      <c r="IG5" s="3"/>
      <c r="IH5" s="3"/>
      <c r="II5" s="3"/>
      <c r="IJ5" s="3"/>
      <c r="IK5" s="3"/>
      <c r="IL5" s="3"/>
      <c r="IM5" s="3"/>
      <c r="IN5" s="3"/>
      <c r="IO5" s="3"/>
      <c r="IP5" s="3"/>
      <c r="IQ5" s="3"/>
      <c r="IR5" s="3"/>
      <c r="IS5" s="3"/>
      <c r="IT5" s="3"/>
      <c r="IU5" s="3"/>
      <c r="IV5" s="3"/>
      <c r="IW5" s="3"/>
      <c r="IX5" s="3"/>
      <c r="IY5" s="3"/>
      <c r="IZ5" s="3">
        <v>165688000</v>
      </c>
      <c r="JA5" s="3">
        <v>534115000</v>
      </c>
      <c r="JB5" s="3">
        <v>13520000</v>
      </c>
      <c r="JC5" s="3">
        <v>713323000</v>
      </c>
      <c r="JD5" s="3"/>
      <c r="JE5" s="3"/>
      <c r="JF5" s="3"/>
      <c r="JG5" s="3"/>
    </row>
    <row r="6" spans="1:267" x14ac:dyDescent="0.25">
      <c r="A6" t="s">
        <v>1153</v>
      </c>
      <c r="B6" t="s">
        <v>1154</v>
      </c>
      <c r="C6" t="s">
        <v>199</v>
      </c>
      <c r="D6" t="s">
        <v>200</v>
      </c>
      <c r="E6" t="s">
        <v>208</v>
      </c>
      <c r="F6" t="s">
        <v>211</v>
      </c>
      <c r="G6" t="s">
        <v>1193</v>
      </c>
      <c r="H6" s="3">
        <v>62269000</v>
      </c>
      <c r="I6" s="3">
        <v>148773000</v>
      </c>
      <c r="J6" s="3">
        <v>0</v>
      </c>
      <c r="K6" s="3">
        <v>211042000</v>
      </c>
      <c r="L6" s="3">
        <v>62269000</v>
      </c>
      <c r="M6" s="3">
        <v>178773000</v>
      </c>
      <c r="N6" s="3">
        <v>0</v>
      </c>
      <c r="O6" s="3">
        <v>241042000</v>
      </c>
      <c r="P6" s="3">
        <v>62269000</v>
      </c>
      <c r="Q6" s="3">
        <v>178773000</v>
      </c>
      <c r="R6" s="3">
        <v>0</v>
      </c>
      <c r="S6" s="3">
        <v>241042000</v>
      </c>
      <c r="T6" s="3">
        <v>79718421</v>
      </c>
      <c r="U6" s="3">
        <v>161323579</v>
      </c>
      <c r="V6" s="3">
        <v>0</v>
      </c>
      <c r="W6" s="3">
        <v>241042000</v>
      </c>
      <c r="X6" s="6">
        <v>79718421</v>
      </c>
      <c r="Y6" s="3">
        <v>161323579</v>
      </c>
      <c r="Z6" s="3">
        <v>0</v>
      </c>
      <c r="AA6" s="3">
        <v>241042000</v>
      </c>
      <c r="AB6" s="3">
        <v>79717421</v>
      </c>
      <c r="AC6" s="3">
        <v>156448813.11000001</v>
      </c>
      <c r="AD6" s="3">
        <v>0</v>
      </c>
      <c r="AE6" s="3">
        <v>236166234.11000001</v>
      </c>
      <c r="AF6" s="3">
        <v>77936515.340000004</v>
      </c>
      <c r="AG6" s="3">
        <v>99089536.989999995</v>
      </c>
      <c r="AH6" s="3">
        <v>0</v>
      </c>
      <c r="AI6" s="3">
        <v>177026052.32999998</v>
      </c>
      <c r="AJ6" s="3">
        <v>70615000</v>
      </c>
      <c r="AK6" s="3">
        <v>123129000</v>
      </c>
      <c r="AL6" s="3">
        <v>0</v>
      </c>
      <c r="AM6" s="3">
        <v>193744000</v>
      </c>
      <c r="AN6" s="3">
        <v>70615000</v>
      </c>
      <c r="AO6" s="3">
        <v>143129000</v>
      </c>
      <c r="AP6" s="3">
        <v>0</v>
      </c>
      <c r="AQ6" s="3">
        <v>213744000</v>
      </c>
      <c r="AR6" s="3">
        <v>70615000</v>
      </c>
      <c r="AS6" s="3">
        <v>143129000</v>
      </c>
      <c r="AT6" s="3">
        <v>0</v>
      </c>
      <c r="AU6" s="3">
        <v>213744000</v>
      </c>
      <c r="AV6" s="3">
        <v>74836540</v>
      </c>
      <c r="AW6" s="3">
        <v>138907460</v>
      </c>
      <c r="AX6" s="3">
        <v>0</v>
      </c>
      <c r="AY6" s="3">
        <v>213744000</v>
      </c>
      <c r="AZ6" s="3">
        <v>74836540</v>
      </c>
      <c r="BA6" s="3">
        <v>138907460</v>
      </c>
      <c r="BB6" s="3">
        <v>0</v>
      </c>
      <c r="BC6" s="3">
        <v>213744000</v>
      </c>
      <c r="BD6" s="3">
        <v>74831367.370000005</v>
      </c>
      <c r="BE6" s="3">
        <v>125267563.66000001</v>
      </c>
      <c r="BF6" s="3">
        <v>0</v>
      </c>
      <c r="BG6" s="3">
        <v>200098931.03000003</v>
      </c>
      <c r="BH6" s="3">
        <v>72388287.620000005</v>
      </c>
      <c r="BI6" s="3">
        <v>88273602.049999997</v>
      </c>
      <c r="BJ6" s="3">
        <v>0</v>
      </c>
      <c r="BK6" s="3">
        <v>160661889.67000002</v>
      </c>
      <c r="BL6" s="3">
        <v>69037000</v>
      </c>
      <c r="BM6" s="3">
        <v>121936000</v>
      </c>
      <c r="BN6" s="3">
        <v>0</v>
      </c>
      <c r="BO6" s="3">
        <v>190973000</v>
      </c>
      <c r="BP6" s="3">
        <v>69037000</v>
      </c>
      <c r="BQ6" s="3">
        <v>121936000</v>
      </c>
      <c r="BR6" s="3">
        <v>0</v>
      </c>
      <c r="BS6" s="3">
        <v>190973000</v>
      </c>
      <c r="BT6" s="3">
        <v>69037000</v>
      </c>
      <c r="BU6" s="3">
        <v>121936000</v>
      </c>
      <c r="BV6" s="3">
        <v>0</v>
      </c>
      <c r="BW6" s="3">
        <v>190973000</v>
      </c>
      <c r="BX6" s="3">
        <v>77859847</v>
      </c>
      <c r="BY6" s="3">
        <v>108138153</v>
      </c>
      <c r="BZ6" s="3">
        <v>0</v>
      </c>
      <c r="CA6" s="3">
        <v>185998000</v>
      </c>
      <c r="CB6" s="6">
        <v>77859847</v>
      </c>
      <c r="CC6" s="6">
        <v>108138153</v>
      </c>
      <c r="CD6" s="6">
        <v>0</v>
      </c>
      <c r="CE6" s="6">
        <v>185998000</v>
      </c>
      <c r="CF6" s="6">
        <v>77859225.469999999</v>
      </c>
      <c r="CG6" s="3">
        <v>87201751.629999995</v>
      </c>
      <c r="CH6" s="3">
        <v>0</v>
      </c>
      <c r="CI6" s="3">
        <v>165060977.09999999</v>
      </c>
      <c r="CJ6" s="3">
        <v>73720789.069999993</v>
      </c>
      <c r="CK6" s="3">
        <v>56742783.259999998</v>
      </c>
      <c r="CL6" s="3">
        <v>0</v>
      </c>
      <c r="CM6" s="3">
        <v>130463572.32999998</v>
      </c>
      <c r="CN6" s="3">
        <v>79858000</v>
      </c>
      <c r="CO6" s="3">
        <v>124157000</v>
      </c>
      <c r="CP6" s="3">
        <v>0</v>
      </c>
      <c r="CQ6" s="3">
        <v>204015000</v>
      </c>
      <c r="CR6" s="3">
        <v>79858000</v>
      </c>
      <c r="CS6" s="3">
        <v>124157000</v>
      </c>
      <c r="CT6" s="3">
        <v>0</v>
      </c>
      <c r="CU6" s="3">
        <v>204015000</v>
      </c>
      <c r="CV6" s="3">
        <v>79858000</v>
      </c>
      <c r="CW6" s="3">
        <v>124157000</v>
      </c>
      <c r="CX6" s="3">
        <v>0</v>
      </c>
      <c r="CY6" s="3">
        <v>204015000</v>
      </c>
      <c r="CZ6" s="3">
        <v>88726453.450000003</v>
      </c>
      <c r="DA6" s="3">
        <v>115194633.55</v>
      </c>
      <c r="DB6" s="3">
        <v>0</v>
      </c>
      <c r="DC6" s="3">
        <v>203921087</v>
      </c>
      <c r="DD6" s="3">
        <v>88726453.450000003</v>
      </c>
      <c r="DE6" s="3">
        <v>115194633.55</v>
      </c>
      <c r="DF6" s="3">
        <v>0</v>
      </c>
      <c r="DG6" s="3">
        <v>203921087</v>
      </c>
      <c r="DH6" s="3">
        <v>88725651.400000006</v>
      </c>
      <c r="DI6" s="3">
        <v>109631630.83</v>
      </c>
      <c r="DJ6" s="3">
        <v>0</v>
      </c>
      <c r="DK6" s="3">
        <v>198357282.23000002</v>
      </c>
      <c r="DL6" s="3">
        <v>86757496.730000004</v>
      </c>
      <c r="DM6" s="3">
        <v>83367577.079999998</v>
      </c>
      <c r="DN6" s="3">
        <v>0</v>
      </c>
      <c r="DO6" s="3">
        <v>170125073.81</v>
      </c>
      <c r="DP6" s="3">
        <v>80703000</v>
      </c>
      <c r="DQ6" s="3">
        <v>124157000</v>
      </c>
      <c r="DR6" s="3">
        <v>0</v>
      </c>
      <c r="DS6" s="3">
        <v>204860000</v>
      </c>
      <c r="DT6" s="3">
        <v>80703000</v>
      </c>
      <c r="DU6" s="3">
        <v>125452000</v>
      </c>
      <c r="DV6" s="3">
        <v>6305000</v>
      </c>
      <c r="DW6" s="3">
        <v>212460000</v>
      </c>
      <c r="DX6" s="3">
        <v>80703000</v>
      </c>
      <c r="DY6" s="3">
        <v>125452000</v>
      </c>
      <c r="DZ6" s="3">
        <v>6305000</v>
      </c>
      <c r="EA6" s="3">
        <v>212460000</v>
      </c>
      <c r="EB6" s="6">
        <v>84865351.629999995</v>
      </c>
      <c r="EC6" s="6">
        <v>115798539</v>
      </c>
      <c r="ED6" s="6">
        <v>6305000</v>
      </c>
      <c r="EE6" s="3">
        <v>206968890.63</v>
      </c>
      <c r="EF6" s="3">
        <v>84865351.629999995</v>
      </c>
      <c r="EG6" s="3">
        <v>115798539</v>
      </c>
      <c r="EH6" s="3">
        <v>6305000</v>
      </c>
      <c r="EI6" s="3">
        <v>206968890.63</v>
      </c>
      <c r="EJ6" s="3">
        <v>84865348.980000004</v>
      </c>
      <c r="EK6" s="3">
        <v>108305382.75</v>
      </c>
      <c r="EL6" s="3">
        <v>3480000</v>
      </c>
      <c r="EM6" s="3">
        <v>196650731.73000002</v>
      </c>
      <c r="EN6" s="3">
        <v>83918456.189999998</v>
      </c>
      <c r="EO6" s="3">
        <v>84565333.709999993</v>
      </c>
      <c r="EP6" s="3">
        <v>0</v>
      </c>
      <c r="EQ6" s="3">
        <v>168483789.89999998</v>
      </c>
      <c r="ER6" s="3">
        <v>81485000</v>
      </c>
      <c r="ES6" s="3">
        <v>103757000</v>
      </c>
      <c r="ET6" s="3">
        <v>0</v>
      </c>
      <c r="EU6" s="3">
        <v>185242000</v>
      </c>
      <c r="EV6" s="3">
        <v>81485000</v>
      </c>
      <c r="EW6" s="3">
        <v>121757000</v>
      </c>
      <c r="EX6" s="3">
        <v>0</v>
      </c>
      <c r="EY6" s="3">
        <v>203242000</v>
      </c>
      <c r="EZ6" s="3">
        <v>81485000</v>
      </c>
      <c r="FA6" s="3">
        <v>121757000</v>
      </c>
      <c r="FB6" s="3">
        <v>0</v>
      </c>
      <c r="FC6" s="3">
        <v>203242000</v>
      </c>
      <c r="FD6" s="3">
        <v>77651123.920000002</v>
      </c>
      <c r="FE6" s="3">
        <v>118725860.36</v>
      </c>
      <c r="FF6" s="3">
        <v>0</v>
      </c>
      <c r="FG6" s="3">
        <v>196376984.28</v>
      </c>
      <c r="FH6" s="6">
        <v>77651123.920000002</v>
      </c>
      <c r="FI6" s="3">
        <v>118725860.36</v>
      </c>
      <c r="FJ6" s="3">
        <v>0</v>
      </c>
      <c r="FK6" s="3">
        <v>196376984.28</v>
      </c>
      <c r="FL6" s="3">
        <v>77651123.189999998</v>
      </c>
      <c r="FM6" s="3">
        <v>110411833.53</v>
      </c>
      <c r="FN6" s="3">
        <v>0</v>
      </c>
      <c r="FO6" s="3">
        <v>188062956.72</v>
      </c>
      <c r="FP6" s="3">
        <v>76970801.769999996</v>
      </c>
      <c r="FQ6" s="3">
        <v>80574501.400000006</v>
      </c>
      <c r="FR6" s="3">
        <v>0</v>
      </c>
      <c r="FS6" s="3">
        <v>157545303.17000002</v>
      </c>
      <c r="FT6" s="3">
        <v>76945000</v>
      </c>
      <c r="FU6" s="3">
        <v>103700000</v>
      </c>
      <c r="FV6" s="3">
        <v>0</v>
      </c>
      <c r="FW6" s="3">
        <v>180645000</v>
      </c>
      <c r="FX6" s="3">
        <v>76945000</v>
      </c>
      <c r="FY6" s="3">
        <v>103700000</v>
      </c>
      <c r="FZ6" s="3">
        <v>0</v>
      </c>
      <c r="GA6" s="3">
        <v>180645000</v>
      </c>
      <c r="GB6" s="3">
        <v>76945000</v>
      </c>
      <c r="GC6" s="3">
        <v>103700000</v>
      </c>
      <c r="GD6" s="3">
        <v>0</v>
      </c>
      <c r="GE6" s="3">
        <v>180645000</v>
      </c>
      <c r="GF6" s="3">
        <v>74621111.799999997</v>
      </c>
      <c r="GG6" s="3">
        <v>100701369</v>
      </c>
      <c r="GH6" s="3">
        <v>0</v>
      </c>
      <c r="GI6" s="3">
        <v>175322480.80000001</v>
      </c>
      <c r="GJ6" s="3">
        <v>74621111.799999997</v>
      </c>
      <c r="GK6" s="3">
        <v>100701369</v>
      </c>
      <c r="GL6" s="3">
        <v>0</v>
      </c>
      <c r="GM6" s="3">
        <v>175322480.80000001</v>
      </c>
      <c r="GN6" s="3">
        <v>74621111.799999997</v>
      </c>
      <c r="GO6" s="3">
        <v>85443448.469999999</v>
      </c>
      <c r="GP6" s="3">
        <v>0</v>
      </c>
      <c r="GQ6" s="3">
        <v>160064560.26999998</v>
      </c>
      <c r="GR6" s="3">
        <v>73357457.450000003</v>
      </c>
      <c r="GS6" s="6">
        <v>68657001.650000006</v>
      </c>
      <c r="GT6" s="3">
        <v>0</v>
      </c>
      <c r="GU6" s="3">
        <v>142014459.10000002</v>
      </c>
      <c r="GV6" s="3">
        <v>74965000</v>
      </c>
      <c r="GW6" s="3">
        <v>132968000</v>
      </c>
      <c r="GX6" s="3">
        <v>0</v>
      </c>
      <c r="GY6" s="3">
        <v>207933000</v>
      </c>
      <c r="GZ6" s="3">
        <v>74965000</v>
      </c>
      <c r="HA6" s="3">
        <v>132968000</v>
      </c>
      <c r="HB6" s="3">
        <v>0</v>
      </c>
      <c r="HC6" s="3">
        <v>207933000</v>
      </c>
      <c r="HD6" s="3">
        <v>74965000</v>
      </c>
      <c r="HE6" s="3">
        <v>132968000</v>
      </c>
      <c r="HF6" s="3">
        <v>0</v>
      </c>
      <c r="HG6" s="3">
        <v>207933000</v>
      </c>
      <c r="HH6" s="3">
        <v>81286313.730000004</v>
      </c>
      <c r="HI6" s="3">
        <v>124952363</v>
      </c>
      <c r="HJ6" s="3">
        <v>0</v>
      </c>
      <c r="HK6" s="3">
        <v>206238676.73000002</v>
      </c>
      <c r="HL6" s="3">
        <v>81286313.730000004</v>
      </c>
      <c r="HM6" s="3">
        <v>124952363</v>
      </c>
      <c r="HN6" s="3">
        <v>0</v>
      </c>
      <c r="HO6" s="3">
        <v>206238676.73000002</v>
      </c>
      <c r="HP6" s="3">
        <v>81286313.730000004</v>
      </c>
      <c r="HQ6" s="3">
        <v>96322600.25</v>
      </c>
      <c r="HR6" s="3">
        <v>0</v>
      </c>
      <c r="HS6" s="3">
        <v>177608913.98000002</v>
      </c>
      <c r="HT6" s="3">
        <v>80759947.170000002</v>
      </c>
      <c r="HU6" s="3">
        <v>82848475.969999999</v>
      </c>
      <c r="HV6" s="3">
        <v>0</v>
      </c>
      <c r="HW6" s="3">
        <v>163608423.13999999</v>
      </c>
      <c r="HX6" s="3">
        <v>85068000</v>
      </c>
      <c r="HY6" s="3">
        <v>133083000</v>
      </c>
      <c r="HZ6" s="3">
        <v>0</v>
      </c>
      <c r="IA6" s="3">
        <v>218151000</v>
      </c>
      <c r="IB6" s="3">
        <v>85068000</v>
      </c>
      <c r="IC6" s="3">
        <v>133083000</v>
      </c>
      <c r="ID6" s="3">
        <v>0</v>
      </c>
      <c r="IE6" s="3">
        <v>218151000</v>
      </c>
      <c r="IF6" s="3"/>
      <c r="IG6" s="3"/>
      <c r="IH6" s="3"/>
      <c r="II6" s="3"/>
      <c r="IJ6" s="3"/>
      <c r="IK6" s="3"/>
      <c r="IL6" s="3"/>
      <c r="IM6" s="3"/>
      <c r="IN6" s="3"/>
      <c r="IO6" s="3"/>
      <c r="IP6" s="3"/>
      <c r="IQ6" s="3"/>
      <c r="IR6" s="3"/>
      <c r="IS6" s="3"/>
      <c r="IT6" s="3"/>
      <c r="IU6" s="3"/>
      <c r="IV6" s="3"/>
      <c r="IW6" s="3"/>
      <c r="IX6" s="3"/>
      <c r="IY6" s="3"/>
      <c r="IZ6" s="3">
        <v>84597000</v>
      </c>
      <c r="JA6" s="3">
        <v>124209000</v>
      </c>
      <c r="JB6" s="3">
        <v>0</v>
      </c>
      <c r="JC6" s="3">
        <v>208806000</v>
      </c>
      <c r="JD6" s="3"/>
      <c r="JE6" s="3"/>
      <c r="JF6" s="3"/>
      <c r="JG6" s="3"/>
    </row>
    <row r="7" spans="1:267" x14ac:dyDescent="0.25">
      <c r="A7" t="s">
        <v>1153</v>
      </c>
      <c r="B7" t="s">
        <v>1154</v>
      </c>
      <c r="C7" t="s">
        <v>199</v>
      </c>
      <c r="D7" t="s">
        <v>200</v>
      </c>
      <c r="E7" t="s">
        <v>208</v>
      </c>
      <c r="F7" t="s">
        <v>213</v>
      </c>
      <c r="G7" t="s">
        <v>1194</v>
      </c>
      <c r="H7" s="3">
        <v>139991000</v>
      </c>
      <c r="I7" s="3">
        <v>35998000</v>
      </c>
      <c r="J7" s="3">
        <v>0</v>
      </c>
      <c r="K7" s="3">
        <v>175989000</v>
      </c>
      <c r="L7" s="3">
        <v>139991000</v>
      </c>
      <c r="M7" s="3">
        <v>35998000</v>
      </c>
      <c r="N7" s="3">
        <v>0</v>
      </c>
      <c r="O7" s="3">
        <v>175989000</v>
      </c>
      <c r="P7" s="3">
        <v>139991000</v>
      </c>
      <c r="Q7" s="3">
        <v>35998000</v>
      </c>
      <c r="R7" s="3">
        <v>0</v>
      </c>
      <c r="S7" s="3">
        <v>175989000</v>
      </c>
      <c r="T7" s="3">
        <v>142259016</v>
      </c>
      <c r="U7" s="3">
        <v>33729984</v>
      </c>
      <c r="V7" s="3">
        <v>0</v>
      </c>
      <c r="W7" s="3">
        <v>175989000</v>
      </c>
      <c r="X7" s="6">
        <v>142259016</v>
      </c>
      <c r="Y7" s="3">
        <v>33729984</v>
      </c>
      <c r="Z7" s="3">
        <v>0</v>
      </c>
      <c r="AA7" s="3">
        <v>175989000</v>
      </c>
      <c r="AB7" s="3">
        <v>142244224</v>
      </c>
      <c r="AC7" s="3">
        <v>32596147.27</v>
      </c>
      <c r="AD7" s="3">
        <v>0</v>
      </c>
      <c r="AE7" s="3">
        <v>174840371.27000001</v>
      </c>
      <c r="AF7" s="3">
        <v>137801932.31999999</v>
      </c>
      <c r="AG7" s="3">
        <v>28639944.420000002</v>
      </c>
      <c r="AH7" s="3">
        <v>0</v>
      </c>
      <c r="AI7" s="3">
        <v>166441876.74000001</v>
      </c>
      <c r="AJ7" s="3">
        <v>163992000</v>
      </c>
      <c r="AK7" s="3">
        <v>44793000</v>
      </c>
      <c r="AL7" s="3">
        <v>0</v>
      </c>
      <c r="AM7" s="3">
        <v>208785000</v>
      </c>
      <c r="AN7" s="3">
        <v>163992000</v>
      </c>
      <c r="AO7" s="3">
        <v>44793000</v>
      </c>
      <c r="AP7" s="3">
        <v>0</v>
      </c>
      <c r="AQ7" s="3">
        <v>208785000</v>
      </c>
      <c r="AR7" s="3">
        <v>163992000</v>
      </c>
      <c r="AS7" s="3">
        <v>44793000</v>
      </c>
      <c r="AT7" s="3">
        <v>0</v>
      </c>
      <c r="AU7" s="3">
        <v>208785000</v>
      </c>
      <c r="AV7" s="3">
        <v>165920463</v>
      </c>
      <c r="AW7" s="3">
        <v>42864537</v>
      </c>
      <c r="AX7" s="3">
        <v>0</v>
      </c>
      <c r="AY7" s="3">
        <v>208785000</v>
      </c>
      <c r="AZ7" s="3">
        <v>165920463</v>
      </c>
      <c r="BA7" s="3">
        <v>42864537</v>
      </c>
      <c r="BB7" s="3">
        <v>0</v>
      </c>
      <c r="BC7" s="3">
        <v>208785000</v>
      </c>
      <c r="BD7" s="3">
        <v>165834667.74000001</v>
      </c>
      <c r="BE7" s="3">
        <v>41358092.380000003</v>
      </c>
      <c r="BF7" s="3">
        <v>0</v>
      </c>
      <c r="BG7" s="3">
        <v>207192760.12</v>
      </c>
      <c r="BH7" s="3">
        <v>161184182.94999999</v>
      </c>
      <c r="BI7" s="3">
        <v>37127069.530000001</v>
      </c>
      <c r="BJ7" s="3">
        <v>0</v>
      </c>
      <c r="BK7" s="3">
        <v>198311252.47999999</v>
      </c>
      <c r="BL7" s="3">
        <v>195236000</v>
      </c>
      <c r="BM7" s="3">
        <v>39379000</v>
      </c>
      <c r="BN7" s="3">
        <v>0</v>
      </c>
      <c r="BO7" s="3">
        <v>234615000</v>
      </c>
      <c r="BP7" s="3">
        <v>195236000</v>
      </c>
      <c r="BQ7" s="3">
        <v>39379000</v>
      </c>
      <c r="BR7" s="3">
        <v>0</v>
      </c>
      <c r="BS7" s="3">
        <v>234615000</v>
      </c>
      <c r="BT7" s="3">
        <v>195236000</v>
      </c>
      <c r="BU7" s="3">
        <v>39379000</v>
      </c>
      <c r="BV7" s="3">
        <v>0</v>
      </c>
      <c r="BW7" s="3">
        <v>234615000</v>
      </c>
      <c r="BX7" s="3">
        <v>197496000</v>
      </c>
      <c r="BY7" s="3">
        <v>36379000</v>
      </c>
      <c r="BZ7" s="3">
        <v>0</v>
      </c>
      <c r="CA7" s="3">
        <v>233875000</v>
      </c>
      <c r="CB7" s="6">
        <v>197496000</v>
      </c>
      <c r="CC7" s="6">
        <v>36379000</v>
      </c>
      <c r="CD7" s="6">
        <v>0</v>
      </c>
      <c r="CE7" s="6">
        <v>233875000</v>
      </c>
      <c r="CF7" s="6">
        <v>197495999.47</v>
      </c>
      <c r="CG7" s="3">
        <v>28622647.52</v>
      </c>
      <c r="CH7" s="3">
        <v>0</v>
      </c>
      <c r="CI7" s="3">
        <v>226118646.99000001</v>
      </c>
      <c r="CJ7" s="3">
        <v>180720100.50999999</v>
      </c>
      <c r="CK7" s="3">
        <v>20619991.66</v>
      </c>
      <c r="CL7" s="3">
        <v>0</v>
      </c>
      <c r="CM7" s="3">
        <v>201340092.16999999</v>
      </c>
      <c r="CN7" s="3">
        <v>203910000</v>
      </c>
      <c r="CO7" s="3">
        <v>39915000</v>
      </c>
      <c r="CP7" s="3">
        <v>0</v>
      </c>
      <c r="CQ7" s="3">
        <v>243825000</v>
      </c>
      <c r="CR7" s="3">
        <v>203910000</v>
      </c>
      <c r="CS7" s="3">
        <v>39915000</v>
      </c>
      <c r="CT7" s="3">
        <v>0</v>
      </c>
      <c r="CU7" s="3">
        <v>243825000</v>
      </c>
      <c r="CV7" s="3">
        <v>203910000</v>
      </c>
      <c r="CW7" s="3">
        <v>39915000</v>
      </c>
      <c r="CX7" s="3">
        <v>0</v>
      </c>
      <c r="CY7" s="3">
        <v>243825000</v>
      </c>
      <c r="CZ7" s="3">
        <v>203303081.31</v>
      </c>
      <c r="DA7" s="3">
        <v>37745900</v>
      </c>
      <c r="DB7" s="3">
        <v>0</v>
      </c>
      <c r="DC7" s="3">
        <v>241048981.31</v>
      </c>
      <c r="DD7" s="3">
        <v>203303081.31</v>
      </c>
      <c r="DE7" s="3">
        <v>37745900</v>
      </c>
      <c r="DF7" s="3">
        <v>0</v>
      </c>
      <c r="DG7" s="3">
        <v>241048981.31</v>
      </c>
      <c r="DH7" s="3">
        <v>203257871.37</v>
      </c>
      <c r="DI7" s="3">
        <v>34208673.490000002</v>
      </c>
      <c r="DJ7" s="3">
        <v>0</v>
      </c>
      <c r="DK7" s="3">
        <v>237466544.86000001</v>
      </c>
      <c r="DL7" s="3">
        <v>197712517.12</v>
      </c>
      <c r="DM7" s="3">
        <v>28994376.129999999</v>
      </c>
      <c r="DN7" s="3">
        <v>0</v>
      </c>
      <c r="DO7" s="3">
        <v>226706893.25</v>
      </c>
      <c r="DP7" s="3">
        <v>219465000</v>
      </c>
      <c r="DQ7" s="3">
        <v>39915000</v>
      </c>
      <c r="DR7" s="3">
        <v>0</v>
      </c>
      <c r="DS7" s="3">
        <v>259380000</v>
      </c>
      <c r="DT7" s="3">
        <v>219465000</v>
      </c>
      <c r="DU7" s="3">
        <v>49915000</v>
      </c>
      <c r="DV7" s="3">
        <v>0</v>
      </c>
      <c r="DW7" s="3">
        <v>269380000</v>
      </c>
      <c r="DX7" s="3">
        <v>219465000</v>
      </c>
      <c r="DY7" s="3">
        <v>49915000</v>
      </c>
      <c r="DZ7" s="3">
        <v>0</v>
      </c>
      <c r="EA7" s="3">
        <v>269380000</v>
      </c>
      <c r="EB7" s="6">
        <v>206729701.34999999</v>
      </c>
      <c r="EC7" s="6">
        <v>47664690</v>
      </c>
      <c r="ED7" s="6">
        <v>0</v>
      </c>
      <c r="EE7" s="3">
        <v>254394391.34999999</v>
      </c>
      <c r="EF7" s="3">
        <v>206729701.34999999</v>
      </c>
      <c r="EG7" s="3">
        <v>47664690</v>
      </c>
      <c r="EH7" s="3">
        <v>0</v>
      </c>
      <c r="EI7" s="3">
        <v>254394391.34999999</v>
      </c>
      <c r="EJ7" s="3">
        <v>206729701.34</v>
      </c>
      <c r="EK7" s="3">
        <v>46308558.079999998</v>
      </c>
      <c r="EL7" s="3">
        <v>0</v>
      </c>
      <c r="EM7" s="3">
        <v>253038259.42000002</v>
      </c>
      <c r="EN7" s="3">
        <v>200502824.96000001</v>
      </c>
      <c r="EO7" s="3">
        <v>40048953.020000003</v>
      </c>
      <c r="EP7" s="3">
        <v>0</v>
      </c>
      <c r="EQ7" s="3">
        <v>240551777.98000002</v>
      </c>
      <c r="ER7" s="3">
        <v>224074000</v>
      </c>
      <c r="ES7" s="3">
        <v>50545000</v>
      </c>
      <c r="ET7" s="3">
        <v>0</v>
      </c>
      <c r="EU7" s="3">
        <v>274619000</v>
      </c>
      <c r="EV7" s="3">
        <v>224074000</v>
      </c>
      <c r="EW7" s="3">
        <v>50545000</v>
      </c>
      <c r="EX7" s="3">
        <v>0</v>
      </c>
      <c r="EY7" s="3">
        <v>274619000</v>
      </c>
      <c r="EZ7" s="3">
        <v>224074000</v>
      </c>
      <c r="FA7" s="3">
        <v>50545000</v>
      </c>
      <c r="FB7" s="3">
        <v>0</v>
      </c>
      <c r="FC7" s="3">
        <v>274619000</v>
      </c>
      <c r="FD7" s="3">
        <v>214517955.40000001</v>
      </c>
      <c r="FE7" s="3">
        <v>48168107.770000003</v>
      </c>
      <c r="FF7" s="3">
        <v>0</v>
      </c>
      <c r="FG7" s="3">
        <v>262686063.17000002</v>
      </c>
      <c r="FH7" s="6">
        <v>214517955.40000001</v>
      </c>
      <c r="FI7" s="3">
        <v>48168107.770000003</v>
      </c>
      <c r="FJ7" s="3">
        <v>0</v>
      </c>
      <c r="FK7" s="3">
        <v>262686063.17000002</v>
      </c>
      <c r="FL7" s="3">
        <v>214512235.91999999</v>
      </c>
      <c r="FM7" s="3">
        <v>45148998.640000001</v>
      </c>
      <c r="FN7" s="3">
        <v>0</v>
      </c>
      <c r="FO7" s="3">
        <v>259661234.56</v>
      </c>
      <c r="FP7" s="3">
        <v>212098347.5</v>
      </c>
      <c r="FQ7" s="3">
        <v>37441314.25</v>
      </c>
      <c r="FR7" s="3">
        <v>0</v>
      </c>
      <c r="FS7" s="3">
        <v>249539661.75</v>
      </c>
      <c r="FT7" s="3">
        <v>225737000</v>
      </c>
      <c r="FU7" s="3">
        <v>57955000</v>
      </c>
      <c r="FV7" s="3">
        <v>0</v>
      </c>
      <c r="FW7" s="3">
        <v>283692000</v>
      </c>
      <c r="FX7" s="3">
        <v>225737000</v>
      </c>
      <c r="FY7" s="3">
        <v>64955000</v>
      </c>
      <c r="FZ7" s="3">
        <v>0</v>
      </c>
      <c r="GA7" s="3">
        <v>290692000</v>
      </c>
      <c r="GB7" s="3">
        <v>225737000</v>
      </c>
      <c r="GC7" s="3">
        <v>64955000</v>
      </c>
      <c r="GD7" s="3">
        <v>0</v>
      </c>
      <c r="GE7" s="3">
        <v>290692000</v>
      </c>
      <c r="GF7" s="3">
        <v>233796482.31999999</v>
      </c>
      <c r="GG7" s="3">
        <v>61516096</v>
      </c>
      <c r="GH7" s="3">
        <v>0</v>
      </c>
      <c r="GI7" s="3">
        <v>295312578.31999999</v>
      </c>
      <c r="GJ7" s="3">
        <v>233796482.31999999</v>
      </c>
      <c r="GK7" s="3">
        <v>61516096</v>
      </c>
      <c r="GL7" s="3">
        <v>0</v>
      </c>
      <c r="GM7" s="3">
        <v>295312578.31999999</v>
      </c>
      <c r="GN7" s="3">
        <v>233796481.63999999</v>
      </c>
      <c r="GO7" s="3">
        <v>58284756.219999999</v>
      </c>
      <c r="GP7" s="3">
        <v>0</v>
      </c>
      <c r="GQ7" s="3">
        <v>292081237.86000001</v>
      </c>
      <c r="GR7" s="3">
        <v>228653948.96000001</v>
      </c>
      <c r="GS7" s="6">
        <v>50961129.420000002</v>
      </c>
      <c r="GT7" s="3">
        <v>0</v>
      </c>
      <c r="GU7" s="3">
        <v>279615078.38</v>
      </c>
      <c r="GV7" s="3">
        <v>236381000</v>
      </c>
      <c r="GW7" s="3">
        <v>110677000</v>
      </c>
      <c r="GX7" s="3">
        <v>0</v>
      </c>
      <c r="GY7" s="3">
        <v>347058000</v>
      </c>
      <c r="GZ7" s="3">
        <v>236381000</v>
      </c>
      <c r="HA7" s="3">
        <v>110677000</v>
      </c>
      <c r="HB7" s="3">
        <v>0</v>
      </c>
      <c r="HC7" s="3">
        <v>347058000</v>
      </c>
      <c r="HD7" s="3">
        <v>236381000</v>
      </c>
      <c r="HE7" s="3">
        <v>110677000</v>
      </c>
      <c r="HF7" s="3">
        <v>0</v>
      </c>
      <c r="HG7" s="3">
        <v>347058000</v>
      </c>
      <c r="HH7" s="3">
        <v>233049805.72999999</v>
      </c>
      <c r="HI7" s="3">
        <v>106391708.98999999</v>
      </c>
      <c r="HJ7" s="3">
        <v>0</v>
      </c>
      <c r="HK7" s="3">
        <v>339441514.71999997</v>
      </c>
      <c r="HL7" s="3">
        <v>233049805.72999999</v>
      </c>
      <c r="HM7" s="3">
        <v>106391708.98999999</v>
      </c>
      <c r="HN7" s="3">
        <v>0</v>
      </c>
      <c r="HO7" s="3">
        <v>339441514.71999997</v>
      </c>
      <c r="HP7" s="3">
        <v>233049657.69</v>
      </c>
      <c r="HQ7" s="3">
        <v>100634842.69</v>
      </c>
      <c r="HR7" s="3">
        <v>0</v>
      </c>
      <c r="HS7" s="3">
        <v>333684500.38</v>
      </c>
      <c r="HT7" s="3">
        <v>231700043</v>
      </c>
      <c r="HU7" s="3">
        <v>87029942.890000001</v>
      </c>
      <c r="HV7" s="3">
        <v>0</v>
      </c>
      <c r="HW7" s="3">
        <v>318729985.88999999</v>
      </c>
      <c r="HX7" s="3">
        <v>260315000</v>
      </c>
      <c r="HY7" s="3">
        <v>132655000</v>
      </c>
      <c r="HZ7" s="3">
        <v>0</v>
      </c>
      <c r="IA7" s="3">
        <v>392970000</v>
      </c>
      <c r="IB7" s="3">
        <v>260315000</v>
      </c>
      <c r="IC7" s="3">
        <v>132655000</v>
      </c>
      <c r="ID7" s="3">
        <v>0</v>
      </c>
      <c r="IE7" s="3">
        <v>392970000</v>
      </c>
      <c r="IF7" s="3"/>
      <c r="IG7" s="3"/>
      <c r="IH7" s="3"/>
      <c r="II7" s="3"/>
      <c r="IJ7" s="3"/>
      <c r="IK7" s="3"/>
      <c r="IL7" s="3"/>
      <c r="IM7" s="3"/>
      <c r="IN7" s="3"/>
      <c r="IO7" s="3"/>
      <c r="IP7" s="3"/>
      <c r="IQ7" s="3"/>
      <c r="IR7" s="3"/>
      <c r="IS7" s="3"/>
      <c r="IT7" s="3"/>
      <c r="IU7" s="3"/>
      <c r="IV7" s="3"/>
      <c r="IW7" s="3"/>
      <c r="IX7" s="3"/>
      <c r="IY7" s="3"/>
      <c r="IZ7" s="3">
        <v>259766000</v>
      </c>
      <c r="JA7" s="3">
        <v>135561000</v>
      </c>
      <c r="JB7" s="3">
        <v>0</v>
      </c>
      <c r="JC7" s="3">
        <v>395327000</v>
      </c>
      <c r="JD7" s="3"/>
      <c r="JE7" s="3"/>
      <c r="JF7" s="3"/>
      <c r="JG7" s="3"/>
    </row>
    <row r="8" spans="1:267" x14ac:dyDescent="0.25">
      <c r="A8" t="s">
        <v>1153</v>
      </c>
      <c r="B8" t="s">
        <v>1154</v>
      </c>
      <c r="C8" t="s">
        <v>199</v>
      </c>
      <c r="D8" t="s">
        <v>200</v>
      </c>
      <c r="E8" t="s">
        <v>208</v>
      </c>
      <c r="F8" t="s">
        <v>506</v>
      </c>
      <c r="G8" t="s">
        <v>1195</v>
      </c>
      <c r="H8" s="3">
        <v>28749000</v>
      </c>
      <c r="I8" s="3">
        <v>223146000</v>
      </c>
      <c r="J8" s="3">
        <v>0</v>
      </c>
      <c r="K8" s="3">
        <v>251895000</v>
      </c>
      <c r="L8" s="3">
        <v>28749000</v>
      </c>
      <c r="M8" s="3">
        <v>225146000</v>
      </c>
      <c r="N8" s="3">
        <v>0</v>
      </c>
      <c r="O8" s="3">
        <v>253895000</v>
      </c>
      <c r="P8" s="3">
        <v>28749000</v>
      </c>
      <c r="Q8" s="3">
        <v>225146000</v>
      </c>
      <c r="R8" s="3">
        <v>0</v>
      </c>
      <c r="S8" s="3">
        <v>253895000</v>
      </c>
      <c r="T8" s="3">
        <v>32381898</v>
      </c>
      <c r="U8" s="3">
        <v>221513102</v>
      </c>
      <c r="V8" s="3">
        <v>0</v>
      </c>
      <c r="W8" s="3">
        <v>253895000</v>
      </c>
      <c r="X8" s="6">
        <v>32381898</v>
      </c>
      <c r="Y8" s="3">
        <v>221513102</v>
      </c>
      <c r="Z8" s="3">
        <v>0</v>
      </c>
      <c r="AA8" s="3">
        <v>253895000</v>
      </c>
      <c r="AB8" s="3">
        <v>32381898</v>
      </c>
      <c r="AC8" s="3">
        <v>216366463.38999999</v>
      </c>
      <c r="AD8" s="3">
        <v>0</v>
      </c>
      <c r="AE8" s="3">
        <v>248748361.38999999</v>
      </c>
      <c r="AF8" s="3">
        <v>29601157.199999999</v>
      </c>
      <c r="AG8" s="3">
        <v>167300813.91999999</v>
      </c>
      <c r="AH8" s="3">
        <v>0</v>
      </c>
      <c r="AI8" s="3">
        <v>196901971.11999997</v>
      </c>
      <c r="AJ8" s="3">
        <v>31687000</v>
      </c>
      <c r="AK8" s="3">
        <v>234511000</v>
      </c>
      <c r="AL8" s="3">
        <v>0</v>
      </c>
      <c r="AM8" s="3">
        <v>266198000</v>
      </c>
      <c r="AN8" s="3">
        <v>31687000</v>
      </c>
      <c r="AO8" s="3">
        <v>273731000</v>
      </c>
      <c r="AP8" s="3">
        <v>1830000</v>
      </c>
      <c r="AQ8" s="3">
        <v>307248000</v>
      </c>
      <c r="AR8" s="3">
        <v>31687000</v>
      </c>
      <c r="AS8" s="3">
        <v>273731000</v>
      </c>
      <c r="AT8" s="3">
        <v>1830000</v>
      </c>
      <c r="AU8" s="3">
        <v>307248000</v>
      </c>
      <c r="AV8" s="3">
        <v>47975000</v>
      </c>
      <c r="AW8" s="3">
        <v>257443000</v>
      </c>
      <c r="AX8" s="3">
        <v>1830000</v>
      </c>
      <c r="AY8" s="3">
        <v>307248000</v>
      </c>
      <c r="AZ8" s="3">
        <v>47975000</v>
      </c>
      <c r="BA8" s="3">
        <v>257443000</v>
      </c>
      <c r="BB8" s="3">
        <v>1830000</v>
      </c>
      <c r="BC8" s="3">
        <v>307248000</v>
      </c>
      <c r="BD8" s="3">
        <v>47975000</v>
      </c>
      <c r="BE8" s="3">
        <v>212951694.88999999</v>
      </c>
      <c r="BF8" s="3">
        <v>1504576</v>
      </c>
      <c r="BG8" s="3">
        <v>262431270.88999999</v>
      </c>
      <c r="BH8" s="3">
        <v>45313580.700000003</v>
      </c>
      <c r="BI8" s="3">
        <v>147693438.01999998</v>
      </c>
      <c r="BJ8" s="3">
        <v>1504576</v>
      </c>
      <c r="BK8" s="3">
        <v>194511594.71999997</v>
      </c>
      <c r="BL8" s="3">
        <v>34727000</v>
      </c>
      <c r="BM8" s="3">
        <v>238203000</v>
      </c>
      <c r="BN8" s="3">
        <v>0</v>
      </c>
      <c r="BO8" s="3">
        <v>272930000</v>
      </c>
      <c r="BP8" s="3">
        <v>34727000</v>
      </c>
      <c r="BQ8" s="3">
        <v>223503000</v>
      </c>
      <c r="BR8" s="3">
        <v>14700000</v>
      </c>
      <c r="BS8" s="3">
        <v>272930000</v>
      </c>
      <c r="BT8" s="3">
        <v>34727000</v>
      </c>
      <c r="BU8" s="3">
        <v>223503000</v>
      </c>
      <c r="BV8" s="3">
        <v>14700000</v>
      </c>
      <c r="BW8" s="3">
        <v>272930000</v>
      </c>
      <c r="BX8" s="3">
        <v>51673350</v>
      </c>
      <c r="BY8" s="3">
        <v>114757650</v>
      </c>
      <c r="BZ8" s="3">
        <v>14700000</v>
      </c>
      <c r="CA8" s="3">
        <v>181131000</v>
      </c>
      <c r="CB8" s="6">
        <v>51673350</v>
      </c>
      <c r="CC8" s="6">
        <v>114757650</v>
      </c>
      <c r="CD8" s="6">
        <v>0</v>
      </c>
      <c r="CE8" s="6">
        <v>166431000</v>
      </c>
      <c r="CF8" s="6">
        <v>51673350</v>
      </c>
      <c r="CG8" s="3">
        <v>74539820.680000007</v>
      </c>
      <c r="CH8" s="3">
        <v>0</v>
      </c>
      <c r="CI8" s="3">
        <v>126213170.68000001</v>
      </c>
      <c r="CJ8" s="3">
        <v>42038287.119999997</v>
      </c>
      <c r="CK8" s="3">
        <v>55439032.219999999</v>
      </c>
      <c r="CL8" s="3">
        <v>0</v>
      </c>
      <c r="CM8" s="3">
        <v>97477319.340000004</v>
      </c>
      <c r="CN8" s="3">
        <v>35053000</v>
      </c>
      <c r="CO8" s="3">
        <v>220908000</v>
      </c>
      <c r="CP8" s="3">
        <v>0</v>
      </c>
      <c r="CQ8" s="3">
        <v>255961000</v>
      </c>
      <c r="CR8" s="3">
        <v>35053000</v>
      </c>
      <c r="CS8" s="3">
        <v>220908000</v>
      </c>
      <c r="CT8" s="3">
        <v>0</v>
      </c>
      <c r="CU8" s="3">
        <v>255961000</v>
      </c>
      <c r="CV8" s="3">
        <v>35053000</v>
      </c>
      <c r="CW8" s="3">
        <v>220908000</v>
      </c>
      <c r="CX8" s="3">
        <v>0</v>
      </c>
      <c r="CY8" s="3">
        <v>255961000</v>
      </c>
      <c r="CZ8" s="3">
        <v>66217449</v>
      </c>
      <c r="DA8" s="3">
        <v>189743551</v>
      </c>
      <c r="DB8" s="3">
        <v>0</v>
      </c>
      <c r="DC8" s="3">
        <v>255961000</v>
      </c>
      <c r="DD8" s="3">
        <v>66217449</v>
      </c>
      <c r="DE8" s="3">
        <v>189743551</v>
      </c>
      <c r="DF8" s="3">
        <v>0</v>
      </c>
      <c r="DG8" s="3">
        <v>255961000</v>
      </c>
      <c r="DH8" s="3">
        <v>66217446</v>
      </c>
      <c r="DI8" s="3">
        <v>155016227.05000001</v>
      </c>
      <c r="DJ8" s="3">
        <v>0</v>
      </c>
      <c r="DK8" s="3">
        <v>221233673.05000001</v>
      </c>
      <c r="DL8" s="3">
        <v>52271646.030000001</v>
      </c>
      <c r="DM8" s="3">
        <v>127193979.48</v>
      </c>
      <c r="DN8" s="3">
        <v>0</v>
      </c>
      <c r="DO8" s="3">
        <v>179465625.50999999</v>
      </c>
      <c r="DP8" s="3">
        <v>37118000</v>
      </c>
      <c r="DQ8" s="3">
        <v>225162000</v>
      </c>
      <c r="DR8" s="3">
        <v>680000</v>
      </c>
      <c r="DS8" s="3">
        <v>262960000</v>
      </c>
      <c r="DT8" s="3">
        <v>37118000</v>
      </c>
      <c r="DU8" s="3">
        <v>195162000</v>
      </c>
      <c r="DV8" s="3">
        <v>13080000</v>
      </c>
      <c r="DW8" s="3">
        <v>245360000</v>
      </c>
      <c r="DX8" s="3">
        <v>37118000</v>
      </c>
      <c r="DY8" s="3">
        <v>195162000</v>
      </c>
      <c r="DZ8" s="3">
        <v>13080000</v>
      </c>
      <c r="EA8" s="3">
        <v>245360000</v>
      </c>
      <c r="EB8" s="6">
        <v>43289283.710000001</v>
      </c>
      <c r="EC8" s="6">
        <v>185895867</v>
      </c>
      <c r="ED8" s="6">
        <v>13080000</v>
      </c>
      <c r="EE8" s="3">
        <v>242265150.71000001</v>
      </c>
      <c r="EF8" s="3">
        <v>43289283.710000001</v>
      </c>
      <c r="EG8" s="3">
        <v>185895867</v>
      </c>
      <c r="EH8" s="3">
        <v>13080000</v>
      </c>
      <c r="EI8" s="3">
        <v>242265150.71000001</v>
      </c>
      <c r="EJ8" s="3">
        <v>43289283.710000001</v>
      </c>
      <c r="EK8" s="3">
        <v>172928817.94999999</v>
      </c>
      <c r="EL8" s="3">
        <v>6980000</v>
      </c>
      <c r="EM8" s="3">
        <v>223198101.66</v>
      </c>
      <c r="EN8" s="3">
        <v>43117480.710000001</v>
      </c>
      <c r="EO8" s="3">
        <v>133215687.09999999</v>
      </c>
      <c r="EP8" s="3">
        <v>6877627.75</v>
      </c>
      <c r="EQ8" s="3">
        <v>183210795.56</v>
      </c>
      <c r="ER8" s="3">
        <v>38472000</v>
      </c>
      <c r="ES8" s="3">
        <v>191880000</v>
      </c>
      <c r="ET8" s="3">
        <v>0</v>
      </c>
      <c r="EU8" s="3">
        <v>230352000</v>
      </c>
      <c r="EV8" s="3">
        <v>38472000</v>
      </c>
      <c r="EW8" s="3">
        <v>185880000</v>
      </c>
      <c r="EX8" s="3">
        <v>6000000</v>
      </c>
      <c r="EY8" s="3">
        <v>230352000</v>
      </c>
      <c r="EZ8" s="3">
        <v>38472000</v>
      </c>
      <c r="FA8" s="3">
        <v>185880000</v>
      </c>
      <c r="FB8" s="3">
        <v>6000000</v>
      </c>
      <c r="FC8" s="3">
        <v>230352000</v>
      </c>
      <c r="FD8" s="3">
        <v>35472368.700000003</v>
      </c>
      <c r="FE8" s="3">
        <v>183729370</v>
      </c>
      <c r="FF8" s="3">
        <v>6000000</v>
      </c>
      <c r="FG8" s="3">
        <v>225201738.69999999</v>
      </c>
      <c r="FH8" s="6">
        <v>35472368.700000003</v>
      </c>
      <c r="FI8" s="3">
        <v>183729370</v>
      </c>
      <c r="FJ8" s="3">
        <v>6000000</v>
      </c>
      <c r="FK8" s="3">
        <v>225201738.69999999</v>
      </c>
      <c r="FL8" s="3">
        <v>35472368.700000003</v>
      </c>
      <c r="FM8" s="3">
        <v>162069831.68000001</v>
      </c>
      <c r="FN8" s="3">
        <v>3836000</v>
      </c>
      <c r="FO8" s="3">
        <v>201378200.38</v>
      </c>
      <c r="FP8" s="3">
        <v>35472109.350000001</v>
      </c>
      <c r="FQ8" s="3">
        <v>132828060.52</v>
      </c>
      <c r="FR8" s="3">
        <v>0</v>
      </c>
      <c r="FS8" s="3">
        <v>168300169.87</v>
      </c>
      <c r="FT8" s="3">
        <v>35157000</v>
      </c>
      <c r="FU8" s="3">
        <v>338625000</v>
      </c>
      <c r="FV8" s="3">
        <v>203861000</v>
      </c>
      <c r="FW8" s="3">
        <v>577643000</v>
      </c>
      <c r="FX8" s="3">
        <v>35157000</v>
      </c>
      <c r="FY8" s="3">
        <v>338625000</v>
      </c>
      <c r="FZ8" s="3">
        <v>203861000</v>
      </c>
      <c r="GA8" s="3">
        <v>577643000</v>
      </c>
      <c r="GB8" s="3">
        <v>35157000</v>
      </c>
      <c r="GC8" s="3">
        <v>338625000</v>
      </c>
      <c r="GD8" s="3">
        <v>203861000</v>
      </c>
      <c r="GE8" s="3">
        <v>577643000</v>
      </c>
      <c r="GF8" s="3">
        <v>41964683.380000003</v>
      </c>
      <c r="GG8" s="3">
        <v>331714125</v>
      </c>
      <c r="GH8" s="3">
        <v>203861000</v>
      </c>
      <c r="GI8" s="3">
        <v>577539808.38</v>
      </c>
      <c r="GJ8" s="3">
        <v>41964683.380000003</v>
      </c>
      <c r="GK8" s="3">
        <v>331714125</v>
      </c>
      <c r="GL8" s="3">
        <v>203861000</v>
      </c>
      <c r="GM8" s="3">
        <v>577539808.38</v>
      </c>
      <c r="GN8" s="3">
        <v>41964683.380000003</v>
      </c>
      <c r="GO8" s="3">
        <v>274298240.19</v>
      </c>
      <c r="GP8" s="3">
        <v>203860352.25999999</v>
      </c>
      <c r="GQ8" s="3">
        <v>520123275.82999998</v>
      </c>
      <c r="GR8" s="3">
        <v>40551034.880000003</v>
      </c>
      <c r="GS8" s="6">
        <v>208158973.06999999</v>
      </c>
      <c r="GT8" s="3">
        <v>203860352.25999999</v>
      </c>
      <c r="GU8" s="3">
        <v>452570360.20999998</v>
      </c>
      <c r="GV8" s="3">
        <v>35343000</v>
      </c>
      <c r="GW8" s="3">
        <v>295894000</v>
      </c>
      <c r="GX8" s="3">
        <v>160000000</v>
      </c>
      <c r="GY8" s="3">
        <v>491237000</v>
      </c>
      <c r="GZ8" s="3">
        <v>35343000</v>
      </c>
      <c r="HA8" s="3">
        <v>295894000</v>
      </c>
      <c r="HB8" s="3">
        <v>160000000</v>
      </c>
      <c r="HC8" s="3">
        <v>491237000</v>
      </c>
      <c r="HD8" s="3">
        <v>35343000</v>
      </c>
      <c r="HE8" s="3">
        <v>295894000</v>
      </c>
      <c r="HF8" s="3">
        <v>160000000</v>
      </c>
      <c r="HG8" s="3">
        <v>491237000</v>
      </c>
      <c r="HH8" s="3">
        <v>42348796.340000004</v>
      </c>
      <c r="HI8" s="3">
        <v>290049493</v>
      </c>
      <c r="HJ8" s="3">
        <v>160000000</v>
      </c>
      <c r="HK8" s="3">
        <v>492398289.34000003</v>
      </c>
      <c r="HL8" s="3">
        <v>42348796.340000004</v>
      </c>
      <c r="HM8" s="3">
        <v>290049493</v>
      </c>
      <c r="HN8" s="3">
        <v>160000000</v>
      </c>
      <c r="HO8" s="3">
        <v>492398289.34000003</v>
      </c>
      <c r="HP8" s="3">
        <v>42348796.340000004</v>
      </c>
      <c r="HQ8" s="3">
        <v>147575773.00999999</v>
      </c>
      <c r="HR8" s="3">
        <v>138255437.96000001</v>
      </c>
      <c r="HS8" s="3">
        <v>328180007.31</v>
      </c>
      <c r="HT8" s="3">
        <v>40754166.479999997</v>
      </c>
      <c r="HU8" s="3">
        <v>100212691.67</v>
      </c>
      <c r="HV8" s="3">
        <v>138255437.96000001</v>
      </c>
      <c r="HW8" s="3">
        <v>279222296.11000001</v>
      </c>
      <c r="HX8" s="3">
        <v>41140000</v>
      </c>
      <c r="HY8" s="3">
        <v>343466000</v>
      </c>
      <c r="HZ8" s="3">
        <v>0</v>
      </c>
      <c r="IA8" s="3">
        <v>384606000</v>
      </c>
      <c r="IB8" s="3">
        <v>41140000</v>
      </c>
      <c r="IC8" s="3">
        <v>329966000</v>
      </c>
      <c r="ID8" s="3">
        <v>0</v>
      </c>
      <c r="IE8" s="3">
        <v>371106000</v>
      </c>
      <c r="IF8" s="3"/>
      <c r="IG8" s="3"/>
      <c r="IH8" s="3"/>
      <c r="II8" s="3"/>
      <c r="IJ8" s="3"/>
      <c r="IK8" s="3"/>
      <c r="IL8" s="3"/>
      <c r="IM8" s="3"/>
      <c r="IN8" s="3"/>
      <c r="IO8" s="3"/>
      <c r="IP8" s="3"/>
      <c r="IQ8" s="3"/>
      <c r="IR8" s="3"/>
      <c r="IS8" s="3"/>
      <c r="IT8" s="3"/>
      <c r="IU8" s="3"/>
      <c r="IV8" s="3"/>
      <c r="IW8" s="3"/>
      <c r="IX8" s="3"/>
      <c r="IY8" s="3"/>
      <c r="IZ8" s="3">
        <v>41195000</v>
      </c>
      <c r="JA8" s="3">
        <v>328648000</v>
      </c>
      <c r="JB8" s="3">
        <v>0</v>
      </c>
      <c r="JC8" s="3">
        <v>369843000</v>
      </c>
      <c r="JD8" s="3"/>
      <c r="JE8" s="3"/>
      <c r="JF8" s="3"/>
      <c r="JG8" s="3"/>
    </row>
    <row r="9" spans="1:267" x14ac:dyDescent="0.25">
      <c r="A9" t="s">
        <v>1153</v>
      </c>
      <c r="B9" t="s">
        <v>1154</v>
      </c>
      <c r="C9" t="s">
        <v>199</v>
      </c>
      <c r="D9" t="s">
        <v>200</v>
      </c>
      <c r="E9" t="s">
        <v>208</v>
      </c>
      <c r="F9" t="s">
        <v>507</v>
      </c>
      <c r="G9" t="s">
        <v>1196</v>
      </c>
      <c r="H9" s="3">
        <v>387129000</v>
      </c>
      <c r="I9" s="3">
        <v>354094000</v>
      </c>
      <c r="J9" s="3">
        <v>0</v>
      </c>
      <c r="K9" s="3">
        <v>741223000</v>
      </c>
      <c r="L9" s="3">
        <v>387129000</v>
      </c>
      <c r="M9" s="3">
        <v>354094000</v>
      </c>
      <c r="N9" s="3">
        <v>0</v>
      </c>
      <c r="O9" s="3">
        <v>741223000</v>
      </c>
      <c r="P9" s="3">
        <v>387129000</v>
      </c>
      <c r="Q9" s="3">
        <v>354094000</v>
      </c>
      <c r="R9" s="3">
        <v>0</v>
      </c>
      <c r="S9" s="3">
        <v>741223000</v>
      </c>
      <c r="T9" s="3">
        <v>423964918</v>
      </c>
      <c r="U9" s="3">
        <v>317258082</v>
      </c>
      <c r="V9" s="3">
        <v>0</v>
      </c>
      <c r="W9" s="3">
        <v>741223000</v>
      </c>
      <c r="X9" s="6">
        <v>423964918</v>
      </c>
      <c r="Y9" s="3">
        <v>317258082</v>
      </c>
      <c r="Z9" s="3">
        <v>0</v>
      </c>
      <c r="AA9" s="3">
        <v>741223000</v>
      </c>
      <c r="AB9" s="3">
        <v>423794054.93000001</v>
      </c>
      <c r="AC9" s="3">
        <v>310775560.20999998</v>
      </c>
      <c r="AD9" s="3">
        <v>0</v>
      </c>
      <c r="AE9" s="3">
        <v>734569615.13999999</v>
      </c>
      <c r="AF9" s="3">
        <v>420556603.81</v>
      </c>
      <c r="AG9" s="3">
        <v>261011670.13999999</v>
      </c>
      <c r="AH9" s="3">
        <v>0</v>
      </c>
      <c r="AI9" s="3">
        <v>681568273.95000005</v>
      </c>
      <c r="AJ9" s="3">
        <v>424819000</v>
      </c>
      <c r="AK9" s="3">
        <v>298061000</v>
      </c>
      <c r="AL9" s="3">
        <v>0</v>
      </c>
      <c r="AM9" s="3">
        <v>722880000</v>
      </c>
      <c r="AN9" s="3">
        <v>424819000</v>
      </c>
      <c r="AO9" s="3">
        <v>298061000</v>
      </c>
      <c r="AP9" s="3">
        <v>0</v>
      </c>
      <c r="AQ9" s="3">
        <v>722880000</v>
      </c>
      <c r="AR9" s="3">
        <v>424819000</v>
      </c>
      <c r="AS9" s="3">
        <v>298061000</v>
      </c>
      <c r="AT9" s="3">
        <v>0</v>
      </c>
      <c r="AU9" s="3">
        <v>722880000</v>
      </c>
      <c r="AV9" s="3">
        <v>451946883</v>
      </c>
      <c r="AW9" s="3">
        <v>270933117</v>
      </c>
      <c r="AX9" s="3">
        <v>0</v>
      </c>
      <c r="AY9" s="3">
        <v>722880000</v>
      </c>
      <c r="AZ9" s="3">
        <v>451946883</v>
      </c>
      <c r="BA9" s="3">
        <v>270933117</v>
      </c>
      <c r="BB9" s="3">
        <v>0</v>
      </c>
      <c r="BC9" s="3">
        <v>722880000</v>
      </c>
      <c r="BD9" s="3">
        <v>451900519.56999999</v>
      </c>
      <c r="BE9" s="3">
        <v>263380510.99000001</v>
      </c>
      <c r="BF9" s="3">
        <v>0</v>
      </c>
      <c r="BG9" s="3">
        <v>715281030.55999994</v>
      </c>
      <c r="BH9" s="3">
        <v>445813820.01999998</v>
      </c>
      <c r="BI9" s="3">
        <v>228088159.44999999</v>
      </c>
      <c r="BJ9" s="3">
        <v>0</v>
      </c>
      <c r="BK9" s="3">
        <v>673901979.47000003</v>
      </c>
      <c r="BL9" s="3">
        <v>438544000</v>
      </c>
      <c r="BM9" s="3">
        <v>294860000</v>
      </c>
      <c r="BN9" s="3">
        <v>0</v>
      </c>
      <c r="BO9" s="3">
        <v>733404000</v>
      </c>
      <c r="BP9" s="3">
        <v>438544000</v>
      </c>
      <c r="BQ9" s="3">
        <v>294860000</v>
      </c>
      <c r="BR9" s="3">
        <v>0</v>
      </c>
      <c r="BS9" s="3">
        <v>733404000</v>
      </c>
      <c r="BT9" s="3">
        <v>438544000</v>
      </c>
      <c r="BU9" s="3">
        <v>294860000</v>
      </c>
      <c r="BV9" s="3">
        <v>0</v>
      </c>
      <c r="BW9" s="3">
        <v>733404000</v>
      </c>
      <c r="BX9" s="3">
        <v>468380478</v>
      </c>
      <c r="BY9" s="3">
        <v>220940522</v>
      </c>
      <c r="BZ9" s="3">
        <v>0</v>
      </c>
      <c r="CA9" s="3">
        <v>689321000</v>
      </c>
      <c r="CB9" s="6">
        <v>468380478</v>
      </c>
      <c r="CC9" s="6">
        <v>220940522</v>
      </c>
      <c r="CD9" s="6">
        <v>0</v>
      </c>
      <c r="CE9" s="6">
        <v>689321000</v>
      </c>
      <c r="CF9" s="6">
        <v>468287186.97000003</v>
      </c>
      <c r="CG9" s="3">
        <v>191871883.78999999</v>
      </c>
      <c r="CH9" s="3">
        <v>0</v>
      </c>
      <c r="CI9" s="3">
        <v>660159070.75999999</v>
      </c>
      <c r="CJ9" s="3">
        <v>459023572.25</v>
      </c>
      <c r="CK9" s="3">
        <v>146468295.15000001</v>
      </c>
      <c r="CL9" s="3">
        <v>0</v>
      </c>
      <c r="CM9" s="3">
        <v>605491867.39999998</v>
      </c>
      <c r="CN9" s="3">
        <v>453932000</v>
      </c>
      <c r="CO9" s="3">
        <v>225328000</v>
      </c>
      <c r="CP9" s="3">
        <v>0</v>
      </c>
      <c r="CQ9" s="3">
        <v>679260000</v>
      </c>
      <c r="CR9" s="3">
        <v>453932000</v>
      </c>
      <c r="CS9" s="3">
        <v>225328000</v>
      </c>
      <c r="CT9" s="3">
        <v>0</v>
      </c>
      <c r="CU9" s="3">
        <v>679260000</v>
      </c>
      <c r="CV9" s="3">
        <v>453932000</v>
      </c>
      <c r="CW9" s="3">
        <v>225328000</v>
      </c>
      <c r="CX9" s="3">
        <v>0</v>
      </c>
      <c r="CY9" s="3">
        <v>679260000</v>
      </c>
      <c r="CZ9" s="3">
        <v>478639843</v>
      </c>
      <c r="DA9" s="3">
        <v>198658719</v>
      </c>
      <c r="DB9" s="3">
        <v>0</v>
      </c>
      <c r="DC9" s="3">
        <v>677298562</v>
      </c>
      <c r="DD9" s="3">
        <v>478639843</v>
      </c>
      <c r="DE9" s="3">
        <v>198658719</v>
      </c>
      <c r="DF9" s="3">
        <v>0</v>
      </c>
      <c r="DG9" s="3">
        <v>677298562</v>
      </c>
      <c r="DH9" s="3">
        <v>478580625.20999998</v>
      </c>
      <c r="DI9" s="3">
        <v>184757415.78</v>
      </c>
      <c r="DJ9" s="3">
        <v>0</v>
      </c>
      <c r="DK9" s="3">
        <v>663338040.99000001</v>
      </c>
      <c r="DL9" s="3">
        <v>472494329.80000001</v>
      </c>
      <c r="DM9" s="3">
        <v>152590558.03</v>
      </c>
      <c r="DN9" s="3">
        <v>0</v>
      </c>
      <c r="DO9" s="3">
        <v>625084887.83000004</v>
      </c>
      <c r="DP9" s="3">
        <v>458289000</v>
      </c>
      <c r="DQ9" s="3">
        <v>245328000</v>
      </c>
      <c r="DR9" s="3">
        <v>0</v>
      </c>
      <c r="DS9" s="3">
        <v>703617000</v>
      </c>
      <c r="DT9" s="3">
        <v>458289000</v>
      </c>
      <c r="DU9" s="3">
        <v>245328000</v>
      </c>
      <c r="DV9" s="3">
        <v>0</v>
      </c>
      <c r="DW9" s="3">
        <v>703617000</v>
      </c>
      <c r="DX9" s="3">
        <v>458289000</v>
      </c>
      <c r="DY9" s="3">
        <v>245328000</v>
      </c>
      <c r="DZ9" s="3">
        <v>0</v>
      </c>
      <c r="EA9" s="3">
        <v>703617000</v>
      </c>
      <c r="EB9" s="6">
        <v>462398076.70999998</v>
      </c>
      <c r="EC9" s="6">
        <v>226578998.91</v>
      </c>
      <c r="ED9" s="6">
        <v>0</v>
      </c>
      <c r="EE9" s="3">
        <v>688977075.62</v>
      </c>
      <c r="EF9" s="3">
        <v>462398076.70999998</v>
      </c>
      <c r="EG9" s="3">
        <v>226578998.91</v>
      </c>
      <c r="EH9" s="3">
        <v>0</v>
      </c>
      <c r="EI9" s="3">
        <v>688977075.62</v>
      </c>
      <c r="EJ9" s="3">
        <v>462396281.95999998</v>
      </c>
      <c r="EK9" s="3">
        <v>219996417.61000001</v>
      </c>
      <c r="EL9" s="3">
        <v>0</v>
      </c>
      <c r="EM9" s="3">
        <v>682392699.56999993</v>
      </c>
      <c r="EN9" s="3">
        <v>447998243.75</v>
      </c>
      <c r="EO9" s="3">
        <v>185948706.25999999</v>
      </c>
      <c r="EP9" s="3">
        <v>0</v>
      </c>
      <c r="EQ9" s="3">
        <v>633946950.00999999</v>
      </c>
      <c r="ER9" s="3">
        <v>457075000</v>
      </c>
      <c r="ES9" s="3">
        <v>212783000</v>
      </c>
      <c r="ET9" s="3">
        <v>0</v>
      </c>
      <c r="EU9" s="3">
        <v>669858000</v>
      </c>
      <c r="EV9" s="3">
        <v>457075000</v>
      </c>
      <c r="EW9" s="3">
        <v>212783000</v>
      </c>
      <c r="EX9" s="3">
        <v>0</v>
      </c>
      <c r="EY9" s="3">
        <v>669858000</v>
      </c>
      <c r="EZ9" s="3">
        <v>457075000</v>
      </c>
      <c r="FA9" s="3">
        <v>212783000</v>
      </c>
      <c r="FB9" s="3">
        <v>0</v>
      </c>
      <c r="FC9" s="3">
        <v>669858000</v>
      </c>
      <c r="FD9" s="3">
        <v>471791843.27999997</v>
      </c>
      <c r="FE9" s="3">
        <v>194596217.96000001</v>
      </c>
      <c r="FF9" s="3">
        <v>0</v>
      </c>
      <c r="FG9" s="3">
        <v>666388061.24000001</v>
      </c>
      <c r="FH9" s="6">
        <v>471791843.27999997</v>
      </c>
      <c r="FI9" s="3">
        <v>194596217.96000001</v>
      </c>
      <c r="FJ9" s="3">
        <v>0</v>
      </c>
      <c r="FK9" s="3">
        <v>666388061.24000001</v>
      </c>
      <c r="FL9" s="3">
        <v>471789475.56999999</v>
      </c>
      <c r="FM9" s="3">
        <v>182405375.02000001</v>
      </c>
      <c r="FN9" s="3">
        <v>0</v>
      </c>
      <c r="FO9" s="3">
        <v>654194850.59000003</v>
      </c>
      <c r="FP9" s="3">
        <v>467322907.33999997</v>
      </c>
      <c r="FQ9" s="3">
        <v>164009395.33000001</v>
      </c>
      <c r="FR9" s="3">
        <v>0</v>
      </c>
      <c r="FS9" s="3">
        <v>631332302.66999996</v>
      </c>
      <c r="FT9" s="3">
        <v>455683000</v>
      </c>
      <c r="FU9" s="3">
        <v>278860000</v>
      </c>
      <c r="FV9" s="3">
        <v>0</v>
      </c>
      <c r="FW9" s="3">
        <v>734543000</v>
      </c>
      <c r="FX9" s="3">
        <v>455683000</v>
      </c>
      <c r="FY9" s="3">
        <v>288860000</v>
      </c>
      <c r="FZ9" s="3">
        <v>0</v>
      </c>
      <c r="GA9" s="3">
        <v>744543000</v>
      </c>
      <c r="GB9" s="3">
        <v>455683000</v>
      </c>
      <c r="GC9" s="3">
        <v>288860000</v>
      </c>
      <c r="GD9" s="3">
        <v>0</v>
      </c>
      <c r="GE9" s="3">
        <v>744543000</v>
      </c>
      <c r="GF9" s="3">
        <v>473910970.18000001</v>
      </c>
      <c r="GG9" s="3">
        <v>265680826</v>
      </c>
      <c r="GH9" s="3">
        <v>0</v>
      </c>
      <c r="GI9" s="3">
        <v>739591796.18000007</v>
      </c>
      <c r="GJ9" s="3">
        <v>473910970.18000001</v>
      </c>
      <c r="GK9" s="3">
        <v>265680826</v>
      </c>
      <c r="GL9" s="3">
        <v>0</v>
      </c>
      <c r="GM9" s="3">
        <v>739591796.18000007</v>
      </c>
      <c r="GN9" s="3">
        <v>473910968.17000002</v>
      </c>
      <c r="GO9" s="3">
        <v>233255460.43000001</v>
      </c>
      <c r="GP9" s="3">
        <v>0</v>
      </c>
      <c r="GQ9" s="3">
        <v>707166428.60000002</v>
      </c>
      <c r="GR9" s="3">
        <v>471983075.08999997</v>
      </c>
      <c r="GS9" s="6">
        <v>205901369.69</v>
      </c>
      <c r="GT9" s="3">
        <v>0</v>
      </c>
      <c r="GU9" s="3">
        <v>677884444.77999997</v>
      </c>
      <c r="GV9" s="3">
        <v>457062000</v>
      </c>
      <c r="GW9" s="3">
        <v>286014000</v>
      </c>
      <c r="GX9" s="3">
        <v>0</v>
      </c>
      <c r="GY9" s="3">
        <v>743076000</v>
      </c>
      <c r="GZ9" s="3">
        <v>457062000</v>
      </c>
      <c r="HA9" s="3">
        <v>286014000</v>
      </c>
      <c r="HB9" s="3">
        <v>0</v>
      </c>
      <c r="HC9" s="3">
        <v>743076000</v>
      </c>
      <c r="HD9" s="3">
        <v>457062000</v>
      </c>
      <c r="HE9" s="3">
        <v>286014000</v>
      </c>
      <c r="HF9" s="3">
        <v>0</v>
      </c>
      <c r="HG9" s="3">
        <v>743076000</v>
      </c>
      <c r="HH9" s="3">
        <v>485673707.08999997</v>
      </c>
      <c r="HI9" s="3">
        <v>264912813.80000001</v>
      </c>
      <c r="HJ9" s="3">
        <v>0</v>
      </c>
      <c r="HK9" s="3">
        <v>750586520.88999999</v>
      </c>
      <c r="HL9" s="3">
        <v>485673707.08999997</v>
      </c>
      <c r="HM9" s="3">
        <v>264912813.80000001</v>
      </c>
      <c r="HN9" s="3">
        <v>0</v>
      </c>
      <c r="HO9" s="3">
        <v>750586520.88999999</v>
      </c>
      <c r="HP9" s="3">
        <v>485673703.91000003</v>
      </c>
      <c r="HQ9" s="3">
        <v>222337023.84</v>
      </c>
      <c r="HR9" s="3">
        <v>0</v>
      </c>
      <c r="HS9" s="3">
        <v>708010727.75</v>
      </c>
      <c r="HT9" s="3">
        <v>484437614.83999997</v>
      </c>
      <c r="HU9" s="3">
        <v>198635124.50999999</v>
      </c>
      <c r="HV9" s="3">
        <v>0</v>
      </c>
      <c r="HW9" s="3">
        <v>683072739.3499999</v>
      </c>
      <c r="HX9" s="3">
        <v>532408000</v>
      </c>
      <c r="HY9" s="3">
        <v>301392000</v>
      </c>
      <c r="HZ9" s="3">
        <v>0</v>
      </c>
      <c r="IA9" s="3">
        <v>833800000</v>
      </c>
      <c r="IB9" s="3">
        <v>532408000</v>
      </c>
      <c r="IC9" s="3">
        <v>301392000</v>
      </c>
      <c r="ID9" s="3">
        <v>0</v>
      </c>
      <c r="IE9" s="3">
        <v>833800000</v>
      </c>
      <c r="IF9" s="3"/>
      <c r="IG9" s="3"/>
      <c r="IH9" s="3"/>
      <c r="II9" s="3"/>
      <c r="IJ9" s="3"/>
      <c r="IK9" s="3"/>
      <c r="IL9" s="3"/>
      <c r="IM9" s="3"/>
      <c r="IN9" s="3"/>
      <c r="IO9" s="3"/>
      <c r="IP9" s="3"/>
      <c r="IQ9" s="3"/>
      <c r="IR9" s="3"/>
      <c r="IS9" s="3"/>
      <c r="IT9" s="3"/>
      <c r="IU9" s="3"/>
      <c r="IV9" s="3"/>
      <c r="IW9" s="3"/>
      <c r="IX9" s="3"/>
      <c r="IY9" s="3"/>
      <c r="IZ9" s="3">
        <v>560109000</v>
      </c>
      <c r="JA9" s="3">
        <v>282431000</v>
      </c>
      <c r="JB9" s="3">
        <v>0</v>
      </c>
      <c r="JC9" s="3">
        <v>842540000</v>
      </c>
      <c r="JD9" s="3"/>
      <c r="JE9" s="3"/>
      <c r="JF9" s="3"/>
      <c r="JG9" s="3"/>
    </row>
    <row r="10" spans="1:267" x14ac:dyDescent="0.25">
      <c r="A10" t="s">
        <v>1153</v>
      </c>
      <c r="B10" t="s">
        <v>1154</v>
      </c>
      <c r="C10" t="s">
        <v>199</v>
      </c>
      <c r="D10" t="s">
        <v>200</v>
      </c>
      <c r="E10" t="s">
        <v>208</v>
      </c>
      <c r="F10" t="s">
        <v>508</v>
      </c>
      <c r="G10" t="s">
        <v>1197</v>
      </c>
      <c r="H10" s="3">
        <v>129812000</v>
      </c>
      <c r="I10" s="3">
        <v>111920000</v>
      </c>
      <c r="J10" s="3">
        <v>0</v>
      </c>
      <c r="K10" s="3">
        <v>241732000</v>
      </c>
      <c r="L10" s="3">
        <v>129812000</v>
      </c>
      <c r="M10" s="3">
        <v>111920000</v>
      </c>
      <c r="N10" s="3">
        <v>0</v>
      </c>
      <c r="O10" s="3">
        <v>241732000</v>
      </c>
      <c r="P10" s="3">
        <v>129812000</v>
      </c>
      <c r="Q10" s="3">
        <v>111920000</v>
      </c>
      <c r="R10" s="3">
        <v>0</v>
      </c>
      <c r="S10" s="3">
        <v>241732000</v>
      </c>
      <c r="T10" s="3">
        <v>137687000</v>
      </c>
      <c r="U10" s="3">
        <v>104045000</v>
      </c>
      <c r="V10" s="3">
        <v>0</v>
      </c>
      <c r="W10" s="3">
        <v>241732000</v>
      </c>
      <c r="X10" s="6">
        <v>137687000</v>
      </c>
      <c r="Y10" s="3">
        <v>104045000</v>
      </c>
      <c r="Z10" s="3">
        <v>0</v>
      </c>
      <c r="AA10" s="3">
        <v>241732000</v>
      </c>
      <c r="AB10" s="3">
        <v>137687000</v>
      </c>
      <c r="AC10" s="3">
        <v>104044853.47</v>
      </c>
      <c r="AD10" s="3">
        <v>0</v>
      </c>
      <c r="AE10" s="3">
        <v>241731853.47</v>
      </c>
      <c r="AF10" s="3">
        <v>136870420.71000001</v>
      </c>
      <c r="AG10" s="3">
        <v>94052323.019999996</v>
      </c>
      <c r="AH10" s="3">
        <v>0</v>
      </c>
      <c r="AI10" s="3">
        <v>230922743.73000002</v>
      </c>
      <c r="AJ10" s="3">
        <v>147062000</v>
      </c>
      <c r="AK10" s="3">
        <v>92629000</v>
      </c>
      <c r="AL10" s="3">
        <v>0</v>
      </c>
      <c r="AM10" s="3">
        <v>239691000</v>
      </c>
      <c r="AN10" s="3">
        <v>147062000</v>
      </c>
      <c r="AO10" s="3">
        <v>92629000</v>
      </c>
      <c r="AP10" s="3">
        <v>0</v>
      </c>
      <c r="AQ10" s="3">
        <v>239691000</v>
      </c>
      <c r="AR10" s="3">
        <v>147062000</v>
      </c>
      <c r="AS10" s="3">
        <v>92629000</v>
      </c>
      <c r="AT10" s="3">
        <v>0</v>
      </c>
      <c r="AU10" s="3">
        <v>239691000</v>
      </c>
      <c r="AV10" s="3">
        <v>151897417</v>
      </c>
      <c r="AW10" s="3">
        <v>87793583</v>
      </c>
      <c r="AX10" s="3">
        <v>0</v>
      </c>
      <c r="AY10" s="3">
        <v>239691000</v>
      </c>
      <c r="AZ10" s="3">
        <v>151897417</v>
      </c>
      <c r="BA10" s="3">
        <v>87793583</v>
      </c>
      <c r="BB10" s="3">
        <v>0</v>
      </c>
      <c r="BC10" s="3">
        <v>239691000</v>
      </c>
      <c r="BD10" s="3">
        <v>151897417</v>
      </c>
      <c r="BE10" s="3">
        <v>87301794.590000004</v>
      </c>
      <c r="BF10" s="3">
        <v>0</v>
      </c>
      <c r="BG10" s="3">
        <v>239199211.59</v>
      </c>
      <c r="BH10" s="3">
        <v>150989710.26999998</v>
      </c>
      <c r="BI10" s="3">
        <v>78205097.599999994</v>
      </c>
      <c r="BJ10" s="3">
        <v>0</v>
      </c>
      <c r="BK10" s="3">
        <v>229194807.86999997</v>
      </c>
      <c r="BL10" s="3">
        <v>141193000</v>
      </c>
      <c r="BM10" s="3">
        <v>94296000</v>
      </c>
      <c r="BN10" s="3">
        <v>0</v>
      </c>
      <c r="BO10" s="3">
        <v>235489000</v>
      </c>
      <c r="BP10" s="3">
        <v>141193000</v>
      </c>
      <c r="BQ10" s="3">
        <v>94296000</v>
      </c>
      <c r="BR10" s="3">
        <v>0</v>
      </c>
      <c r="BS10" s="3">
        <v>235489000</v>
      </c>
      <c r="BT10" s="3">
        <v>141193000</v>
      </c>
      <c r="BU10" s="3">
        <v>94296000</v>
      </c>
      <c r="BV10" s="3">
        <v>0</v>
      </c>
      <c r="BW10" s="3">
        <v>235489000</v>
      </c>
      <c r="BX10" s="3">
        <v>147226000</v>
      </c>
      <c r="BY10" s="3">
        <v>72172000</v>
      </c>
      <c r="BZ10" s="3">
        <v>0</v>
      </c>
      <c r="CA10" s="3">
        <v>219398000</v>
      </c>
      <c r="CB10" s="6">
        <v>147226000</v>
      </c>
      <c r="CC10" s="6">
        <v>72172000</v>
      </c>
      <c r="CD10" s="6">
        <v>0</v>
      </c>
      <c r="CE10" s="6">
        <v>219398000</v>
      </c>
      <c r="CF10" s="6">
        <v>147226000</v>
      </c>
      <c r="CG10" s="3">
        <v>71593054.099999994</v>
      </c>
      <c r="CH10" s="3">
        <v>0</v>
      </c>
      <c r="CI10" s="3">
        <v>218819054.09999999</v>
      </c>
      <c r="CJ10" s="3">
        <v>146726000</v>
      </c>
      <c r="CK10" s="3">
        <v>56448284.200000003</v>
      </c>
      <c r="CL10" s="3">
        <v>0</v>
      </c>
      <c r="CM10" s="3">
        <v>203174284.19999999</v>
      </c>
      <c r="CN10" s="3">
        <v>165727000</v>
      </c>
      <c r="CO10" s="3">
        <v>96014000</v>
      </c>
      <c r="CP10" s="3">
        <v>0</v>
      </c>
      <c r="CQ10" s="3">
        <v>261741000</v>
      </c>
      <c r="CR10" s="3">
        <v>165727000</v>
      </c>
      <c r="CS10" s="3">
        <v>96014000</v>
      </c>
      <c r="CT10" s="3">
        <v>0</v>
      </c>
      <c r="CU10" s="3">
        <v>261741000</v>
      </c>
      <c r="CV10" s="3">
        <v>165727000</v>
      </c>
      <c r="CW10" s="3">
        <v>96014000</v>
      </c>
      <c r="CX10" s="3">
        <v>0</v>
      </c>
      <c r="CY10" s="3">
        <v>261741000</v>
      </c>
      <c r="CZ10" s="3">
        <v>177332000</v>
      </c>
      <c r="DA10" s="3">
        <v>84409000</v>
      </c>
      <c r="DB10" s="3">
        <v>0</v>
      </c>
      <c r="DC10" s="3">
        <v>261741000</v>
      </c>
      <c r="DD10" s="3">
        <v>177332000</v>
      </c>
      <c r="DE10" s="3">
        <v>84409000</v>
      </c>
      <c r="DF10" s="3">
        <v>0</v>
      </c>
      <c r="DG10" s="3">
        <v>261741000</v>
      </c>
      <c r="DH10" s="3">
        <v>177331666.65000001</v>
      </c>
      <c r="DI10" s="3">
        <v>81077083.620000005</v>
      </c>
      <c r="DJ10" s="3">
        <v>0</v>
      </c>
      <c r="DK10" s="3">
        <v>258408750.27000001</v>
      </c>
      <c r="DL10" s="3">
        <v>170845517.28999999</v>
      </c>
      <c r="DM10" s="3">
        <v>64777848.18</v>
      </c>
      <c r="DN10" s="3">
        <v>0</v>
      </c>
      <c r="DO10" s="3">
        <v>235623365.47</v>
      </c>
      <c r="DP10" s="3">
        <v>159837000</v>
      </c>
      <c r="DQ10" s="3">
        <v>96014000</v>
      </c>
      <c r="DR10" s="3">
        <v>0</v>
      </c>
      <c r="DS10" s="3">
        <v>255851000</v>
      </c>
      <c r="DT10" s="3">
        <v>159837000</v>
      </c>
      <c r="DU10" s="3">
        <v>96014000</v>
      </c>
      <c r="DV10" s="3">
        <v>0</v>
      </c>
      <c r="DW10" s="3">
        <v>255851000</v>
      </c>
      <c r="DX10" s="3">
        <v>159837000</v>
      </c>
      <c r="DY10" s="3">
        <v>96014000</v>
      </c>
      <c r="DZ10" s="3">
        <v>0</v>
      </c>
      <c r="EA10" s="3">
        <v>255851000</v>
      </c>
      <c r="EB10" s="6">
        <v>173302083.31999999</v>
      </c>
      <c r="EC10" s="6">
        <v>82548916.680000007</v>
      </c>
      <c r="ED10" s="6">
        <v>0</v>
      </c>
      <c r="EE10" s="3">
        <v>255851000</v>
      </c>
      <c r="EF10" s="3">
        <v>173302083.31999999</v>
      </c>
      <c r="EG10" s="3">
        <v>82548916.680000007</v>
      </c>
      <c r="EH10" s="3">
        <v>0</v>
      </c>
      <c r="EI10" s="3">
        <v>255851000</v>
      </c>
      <c r="EJ10" s="3">
        <v>173302083.31999999</v>
      </c>
      <c r="EK10" s="3">
        <v>75909292.230000004</v>
      </c>
      <c r="EL10" s="3">
        <v>0</v>
      </c>
      <c r="EM10" s="3">
        <v>249211375.55000001</v>
      </c>
      <c r="EN10" s="3">
        <v>168056908.47999999</v>
      </c>
      <c r="EO10" s="3">
        <v>68909002.340000004</v>
      </c>
      <c r="EP10" s="3">
        <v>0</v>
      </c>
      <c r="EQ10" s="3">
        <v>236965910.81999999</v>
      </c>
      <c r="ER10" s="3">
        <v>171776000</v>
      </c>
      <c r="ES10" s="3">
        <v>98705000</v>
      </c>
      <c r="ET10" s="3">
        <v>0</v>
      </c>
      <c r="EU10" s="3">
        <v>270481000</v>
      </c>
      <c r="EV10" s="3">
        <v>171776000</v>
      </c>
      <c r="EW10" s="3">
        <v>98705000</v>
      </c>
      <c r="EX10" s="3">
        <v>0</v>
      </c>
      <c r="EY10" s="3">
        <v>270481000</v>
      </c>
      <c r="EZ10" s="3">
        <v>171776000</v>
      </c>
      <c r="FA10" s="3">
        <v>98705000</v>
      </c>
      <c r="FB10" s="3">
        <v>0</v>
      </c>
      <c r="FC10" s="3">
        <v>270481000</v>
      </c>
      <c r="FD10" s="3">
        <v>187848775</v>
      </c>
      <c r="FE10" s="3">
        <v>82632225</v>
      </c>
      <c r="FF10" s="3">
        <v>0</v>
      </c>
      <c r="FG10" s="3">
        <v>270481000</v>
      </c>
      <c r="FH10" s="6">
        <v>187848775</v>
      </c>
      <c r="FI10" s="3">
        <v>82632225</v>
      </c>
      <c r="FJ10" s="3">
        <v>0</v>
      </c>
      <c r="FK10" s="3">
        <v>270481000</v>
      </c>
      <c r="FL10" s="3">
        <v>187848775</v>
      </c>
      <c r="FM10" s="3">
        <v>61720278.18</v>
      </c>
      <c r="FN10" s="3">
        <v>0</v>
      </c>
      <c r="FO10" s="3">
        <v>249569053.18000001</v>
      </c>
      <c r="FP10" s="3">
        <v>187716910.16</v>
      </c>
      <c r="FQ10" s="3">
        <v>54890306.729999997</v>
      </c>
      <c r="FR10" s="3">
        <v>0</v>
      </c>
      <c r="FS10" s="3">
        <v>242607216.88999999</v>
      </c>
      <c r="FT10" s="3">
        <v>177769000</v>
      </c>
      <c r="FU10" s="3">
        <v>94838000</v>
      </c>
      <c r="FV10" s="3">
        <v>0</v>
      </c>
      <c r="FW10" s="3">
        <v>272607000</v>
      </c>
      <c r="FX10" s="3">
        <v>177769000</v>
      </c>
      <c r="FY10" s="3">
        <v>94838000</v>
      </c>
      <c r="FZ10" s="3">
        <v>0</v>
      </c>
      <c r="GA10" s="3">
        <v>272607000</v>
      </c>
      <c r="GB10" s="3">
        <v>177769000</v>
      </c>
      <c r="GC10" s="3">
        <v>94838000</v>
      </c>
      <c r="GD10" s="3">
        <v>0</v>
      </c>
      <c r="GE10" s="3">
        <v>272607000</v>
      </c>
      <c r="GF10" s="3">
        <v>194046500</v>
      </c>
      <c r="GG10" s="3">
        <v>75560500</v>
      </c>
      <c r="GH10" s="3">
        <v>0</v>
      </c>
      <c r="GI10" s="3">
        <v>269607000</v>
      </c>
      <c r="GJ10" s="3">
        <v>194046500</v>
      </c>
      <c r="GK10" s="3">
        <v>75560500</v>
      </c>
      <c r="GL10" s="3">
        <v>0</v>
      </c>
      <c r="GM10" s="3">
        <v>269607000</v>
      </c>
      <c r="GN10" s="3">
        <v>194046500</v>
      </c>
      <c r="GO10" s="3">
        <v>61087599.780000001</v>
      </c>
      <c r="GP10" s="3">
        <v>0</v>
      </c>
      <c r="GQ10" s="3">
        <v>255134099.78</v>
      </c>
      <c r="GR10" s="3">
        <v>191908425.00999999</v>
      </c>
      <c r="GS10" s="6">
        <v>55361684.170000002</v>
      </c>
      <c r="GT10" s="3">
        <v>0</v>
      </c>
      <c r="GU10" s="3">
        <v>247270109.18000001</v>
      </c>
      <c r="GV10" s="3">
        <v>177481000</v>
      </c>
      <c r="GW10" s="3">
        <v>104815000</v>
      </c>
      <c r="GX10" s="3">
        <v>0</v>
      </c>
      <c r="GY10" s="3">
        <v>282296000</v>
      </c>
      <c r="GZ10" s="3">
        <v>177481000</v>
      </c>
      <c r="HA10" s="3">
        <v>104815000</v>
      </c>
      <c r="HB10" s="3">
        <v>0</v>
      </c>
      <c r="HC10" s="3">
        <v>282296000</v>
      </c>
      <c r="HD10" s="3">
        <v>177481000</v>
      </c>
      <c r="HE10" s="3">
        <v>104815000</v>
      </c>
      <c r="HF10" s="3">
        <v>0</v>
      </c>
      <c r="HG10" s="3">
        <v>282296000</v>
      </c>
      <c r="HH10" s="3">
        <v>194169000</v>
      </c>
      <c r="HI10" s="3">
        <v>86127000</v>
      </c>
      <c r="HJ10" s="3">
        <v>0</v>
      </c>
      <c r="HK10" s="3">
        <v>280296000</v>
      </c>
      <c r="HL10" s="3">
        <v>194169000</v>
      </c>
      <c r="HM10" s="3">
        <v>86127000</v>
      </c>
      <c r="HN10" s="3">
        <v>0</v>
      </c>
      <c r="HO10" s="3">
        <v>280296000</v>
      </c>
      <c r="HP10" s="3">
        <v>194169000</v>
      </c>
      <c r="HQ10" s="3">
        <v>65042040.090000004</v>
      </c>
      <c r="HR10" s="3">
        <v>0</v>
      </c>
      <c r="HS10" s="3">
        <v>259211040.09</v>
      </c>
      <c r="HT10" s="3">
        <v>193818308.78</v>
      </c>
      <c r="HU10" s="3">
        <v>54622707.219999999</v>
      </c>
      <c r="HV10" s="3">
        <v>0</v>
      </c>
      <c r="HW10" s="3">
        <v>248441016</v>
      </c>
      <c r="HX10" s="3">
        <v>193117000</v>
      </c>
      <c r="HY10" s="3">
        <v>124151000</v>
      </c>
      <c r="HZ10" s="3">
        <v>0</v>
      </c>
      <c r="IA10" s="3">
        <v>317268000</v>
      </c>
      <c r="IB10" s="3">
        <v>193117000</v>
      </c>
      <c r="IC10" s="3">
        <v>124151000</v>
      </c>
      <c r="ID10" s="3">
        <v>0</v>
      </c>
      <c r="IE10" s="3">
        <v>317268000</v>
      </c>
      <c r="IF10" s="3"/>
      <c r="IG10" s="3"/>
      <c r="IH10" s="3"/>
      <c r="II10" s="3"/>
      <c r="IJ10" s="3"/>
      <c r="IK10" s="3"/>
      <c r="IL10" s="3"/>
      <c r="IM10" s="3"/>
      <c r="IN10" s="3"/>
      <c r="IO10" s="3"/>
      <c r="IP10" s="3"/>
      <c r="IQ10" s="3"/>
      <c r="IR10" s="3"/>
      <c r="IS10" s="3"/>
      <c r="IT10" s="3"/>
      <c r="IU10" s="3"/>
      <c r="IV10" s="3"/>
      <c r="IW10" s="3"/>
      <c r="IX10" s="3"/>
      <c r="IY10" s="3"/>
      <c r="IZ10" s="3">
        <v>216660000</v>
      </c>
      <c r="JA10" s="3">
        <v>115873000</v>
      </c>
      <c r="JB10" s="3">
        <v>0</v>
      </c>
      <c r="JC10" s="3">
        <v>332533000</v>
      </c>
      <c r="JD10" s="3"/>
      <c r="JE10" s="3"/>
      <c r="JF10" s="3"/>
      <c r="JG10" s="3"/>
    </row>
    <row r="11" spans="1:267" x14ac:dyDescent="0.25">
      <c r="A11" t="s">
        <v>1153</v>
      </c>
      <c r="B11" t="s">
        <v>1154</v>
      </c>
      <c r="C11" t="s">
        <v>199</v>
      </c>
      <c r="D11" t="s">
        <v>200</v>
      </c>
      <c r="E11" t="s">
        <v>217</v>
      </c>
      <c r="F11" t="s">
        <v>218</v>
      </c>
      <c r="G11" t="s">
        <v>1198</v>
      </c>
      <c r="H11" s="3">
        <v>340281000</v>
      </c>
      <c r="I11" s="3">
        <v>850210000</v>
      </c>
      <c r="J11" s="3">
        <v>113000000</v>
      </c>
      <c r="K11" s="3">
        <v>1303491000</v>
      </c>
      <c r="L11" s="3">
        <v>340281000</v>
      </c>
      <c r="M11" s="3">
        <v>850210000</v>
      </c>
      <c r="N11" s="3">
        <v>113000000</v>
      </c>
      <c r="O11" s="3">
        <v>1303491000</v>
      </c>
      <c r="P11" s="3">
        <v>340281000</v>
      </c>
      <c r="Q11" s="3">
        <v>850210000</v>
      </c>
      <c r="R11" s="3">
        <v>113000000</v>
      </c>
      <c r="S11" s="3">
        <v>1303491000</v>
      </c>
      <c r="T11" s="3">
        <v>395859060</v>
      </c>
      <c r="U11" s="3">
        <v>775651940</v>
      </c>
      <c r="V11" s="3">
        <v>131980000</v>
      </c>
      <c r="W11" s="3">
        <v>1303491000</v>
      </c>
      <c r="X11" s="6">
        <v>395859060</v>
      </c>
      <c r="Y11" s="3">
        <v>775651940</v>
      </c>
      <c r="Z11" s="3">
        <v>131980000</v>
      </c>
      <c r="AA11" s="3">
        <v>1303491000</v>
      </c>
      <c r="AB11" s="3">
        <v>395777486.41000003</v>
      </c>
      <c r="AC11" s="3">
        <v>746312633.33000004</v>
      </c>
      <c r="AD11" s="3">
        <v>130276996.28</v>
      </c>
      <c r="AE11" s="3">
        <v>1272367116.02</v>
      </c>
      <c r="AF11" s="3">
        <v>392080584.51999998</v>
      </c>
      <c r="AG11" s="3">
        <v>614642237.59000003</v>
      </c>
      <c r="AH11" s="3">
        <v>92299364.739999995</v>
      </c>
      <c r="AI11" s="3">
        <v>1099022186.8499999</v>
      </c>
      <c r="AJ11" s="3">
        <v>481038000</v>
      </c>
      <c r="AK11" s="3">
        <v>823700000</v>
      </c>
      <c r="AL11" s="3">
        <v>113000000</v>
      </c>
      <c r="AM11" s="3">
        <v>1417738000</v>
      </c>
      <c r="AN11" s="3">
        <v>481038000</v>
      </c>
      <c r="AO11" s="3">
        <v>935912000</v>
      </c>
      <c r="AP11" s="3">
        <v>114000000</v>
      </c>
      <c r="AQ11" s="3">
        <v>1530950000</v>
      </c>
      <c r="AR11" s="3">
        <v>481038000</v>
      </c>
      <c r="AS11" s="3">
        <v>935912000</v>
      </c>
      <c r="AT11" s="3">
        <v>114000000</v>
      </c>
      <c r="AU11" s="3">
        <v>1530950000</v>
      </c>
      <c r="AV11" s="3">
        <v>557323239</v>
      </c>
      <c r="AW11" s="3">
        <v>859626761</v>
      </c>
      <c r="AX11" s="3">
        <v>114000000</v>
      </c>
      <c r="AY11" s="3">
        <v>1530950000</v>
      </c>
      <c r="AZ11" s="3">
        <v>557323239</v>
      </c>
      <c r="BA11" s="3">
        <v>859626761</v>
      </c>
      <c r="BB11" s="3">
        <v>114000000</v>
      </c>
      <c r="BC11" s="3">
        <v>1530950000</v>
      </c>
      <c r="BD11" s="3">
        <v>557322504.80999994</v>
      </c>
      <c r="BE11" s="3">
        <v>789637973.12</v>
      </c>
      <c r="BF11" s="3">
        <v>86374117.900000006</v>
      </c>
      <c r="BG11" s="3">
        <v>1433334595.8299999</v>
      </c>
      <c r="BH11" s="3">
        <v>548095256.30999994</v>
      </c>
      <c r="BI11" s="3">
        <v>682002569.21000004</v>
      </c>
      <c r="BJ11" s="3">
        <v>76876804.780000001</v>
      </c>
      <c r="BK11" s="3">
        <v>1306974630.3</v>
      </c>
      <c r="BL11" s="3">
        <v>483321000</v>
      </c>
      <c r="BM11" s="3">
        <v>821818000</v>
      </c>
      <c r="BN11" s="3">
        <v>113000000</v>
      </c>
      <c r="BO11" s="3">
        <v>1418139000</v>
      </c>
      <c r="BP11" s="3">
        <v>483321000</v>
      </c>
      <c r="BQ11" s="3">
        <v>821818000</v>
      </c>
      <c r="BR11" s="3">
        <v>113000000</v>
      </c>
      <c r="BS11" s="3">
        <v>1418139000</v>
      </c>
      <c r="BT11" s="3">
        <v>483321000</v>
      </c>
      <c r="BU11" s="3">
        <v>821818000</v>
      </c>
      <c r="BV11" s="3">
        <v>113000000</v>
      </c>
      <c r="BW11" s="3">
        <v>1418139000</v>
      </c>
      <c r="BX11" s="3">
        <v>558006381</v>
      </c>
      <c r="BY11" s="3">
        <v>644299619</v>
      </c>
      <c r="BZ11" s="3">
        <v>97867000</v>
      </c>
      <c r="CA11" s="3">
        <v>1300173000</v>
      </c>
      <c r="CB11" s="6">
        <v>558006381</v>
      </c>
      <c r="CC11" s="6">
        <v>644299619</v>
      </c>
      <c r="CD11" s="6">
        <v>97867000</v>
      </c>
      <c r="CE11" s="6">
        <v>1300173000</v>
      </c>
      <c r="CF11" s="6">
        <v>557964380.25</v>
      </c>
      <c r="CG11" s="3">
        <v>578133734.74000001</v>
      </c>
      <c r="CH11" s="3">
        <v>95519291.409999996</v>
      </c>
      <c r="CI11" s="3">
        <v>1231617406.4000001</v>
      </c>
      <c r="CJ11" s="3">
        <v>543848033.01999998</v>
      </c>
      <c r="CK11" s="3">
        <v>468935841.88999999</v>
      </c>
      <c r="CL11" s="3">
        <v>86901419.510000005</v>
      </c>
      <c r="CM11" s="3">
        <v>1099685294.4200001</v>
      </c>
      <c r="CN11" s="3">
        <v>516333000</v>
      </c>
      <c r="CO11" s="3">
        <v>824102000</v>
      </c>
      <c r="CP11" s="3">
        <v>113000000</v>
      </c>
      <c r="CQ11" s="3">
        <v>1453435000</v>
      </c>
      <c r="CR11" s="3">
        <v>516333000</v>
      </c>
      <c r="CS11" s="3">
        <v>824102000</v>
      </c>
      <c r="CT11" s="3">
        <v>113000000</v>
      </c>
      <c r="CU11" s="3">
        <v>1453435000</v>
      </c>
      <c r="CV11" s="3">
        <v>516333000</v>
      </c>
      <c r="CW11" s="3">
        <v>824102000</v>
      </c>
      <c r="CX11" s="3">
        <v>113000000</v>
      </c>
      <c r="CY11" s="3">
        <v>1453435000</v>
      </c>
      <c r="CZ11" s="3">
        <v>596881862.07000005</v>
      </c>
      <c r="DA11" s="3">
        <v>741200451</v>
      </c>
      <c r="DB11" s="3">
        <v>113000000</v>
      </c>
      <c r="DC11" s="3">
        <v>1451082313.0700002</v>
      </c>
      <c r="DD11" s="3">
        <v>596881862.07000005</v>
      </c>
      <c r="DE11" s="3">
        <v>741200451</v>
      </c>
      <c r="DF11" s="3">
        <v>113000000</v>
      </c>
      <c r="DG11" s="3">
        <v>1451082313.0700002</v>
      </c>
      <c r="DH11" s="3">
        <v>596881089.58000004</v>
      </c>
      <c r="DI11" s="3">
        <v>702443749.39999998</v>
      </c>
      <c r="DJ11" s="3">
        <v>111357320.45</v>
      </c>
      <c r="DK11" s="3">
        <v>1410682159.4300001</v>
      </c>
      <c r="DL11" s="3">
        <v>576724494.77999997</v>
      </c>
      <c r="DM11" s="3">
        <v>618637623.25999999</v>
      </c>
      <c r="DN11" s="3">
        <v>96176393.209999993</v>
      </c>
      <c r="DO11" s="3">
        <v>1291538511.25</v>
      </c>
      <c r="DP11" s="3">
        <v>527888000</v>
      </c>
      <c r="DQ11" s="3">
        <v>870582000</v>
      </c>
      <c r="DR11" s="3">
        <v>0</v>
      </c>
      <c r="DS11" s="3">
        <v>1398470000</v>
      </c>
      <c r="DT11" s="3">
        <v>527888000</v>
      </c>
      <c r="DU11" s="3">
        <v>870582000</v>
      </c>
      <c r="DV11" s="3">
        <v>0</v>
      </c>
      <c r="DW11" s="3">
        <v>1398470000</v>
      </c>
      <c r="DX11" s="3">
        <v>527888000</v>
      </c>
      <c r="DY11" s="3">
        <v>870582000</v>
      </c>
      <c r="DZ11" s="3">
        <v>0</v>
      </c>
      <c r="EA11" s="3">
        <v>1398470000</v>
      </c>
      <c r="EB11" s="6">
        <v>607352055.75</v>
      </c>
      <c r="EC11" s="6">
        <v>789942439.04999995</v>
      </c>
      <c r="ED11" s="6">
        <v>0</v>
      </c>
      <c r="EE11" s="3">
        <v>1397294494.8</v>
      </c>
      <c r="EF11" s="3">
        <v>607352055.75</v>
      </c>
      <c r="EG11" s="3">
        <v>789942439.04999995</v>
      </c>
      <c r="EH11" s="3">
        <v>0</v>
      </c>
      <c r="EI11" s="3">
        <v>1397294494.8</v>
      </c>
      <c r="EJ11" s="3">
        <v>607352055.46000004</v>
      </c>
      <c r="EK11" s="3">
        <v>752525850.79999995</v>
      </c>
      <c r="EL11" s="3">
        <v>0</v>
      </c>
      <c r="EM11" s="3">
        <v>1359877906.26</v>
      </c>
      <c r="EN11" s="3">
        <v>586596594.10000002</v>
      </c>
      <c r="EO11" s="3">
        <v>684007129.67999995</v>
      </c>
      <c r="EP11" s="3">
        <v>0</v>
      </c>
      <c r="EQ11" s="3">
        <v>1270603723.78</v>
      </c>
      <c r="ER11" s="3">
        <v>546185000</v>
      </c>
      <c r="ES11" s="3">
        <v>864602000</v>
      </c>
      <c r="ET11" s="3">
        <v>0</v>
      </c>
      <c r="EU11" s="3">
        <v>1410787000</v>
      </c>
      <c r="EV11" s="3">
        <v>546185000</v>
      </c>
      <c r="EW11" s="3">
        <v>979445000</v>
      </c>
      <c r="EX11" s="3">
        <v>93400000</v>
      </c>
      <c r="EY11" s="3">
        <v>1619030000</v>
      </c>
      <c r="EZ11" s="3">
        <v>546185000</v>
      </c>
      <c r="FA11" s="3">
        <v>979445000</v>
      </c>
      <c r="FB11" s="3">
        <v>93400000</v>
      </c>
      <c r="FC11" s="3">
        <v>1619030000</v>
      </c>
      <c r="FD11" s="3">
        <v>625564597.60000002</v>
      </c>
      <c r="FE11" s="3">
        <v>885767573.76999998</v>
      </c>
      <c r="FF11" s="3">
        <v>93400000</v>
      </c>
      <c r="FG11" s="3">
        <v>1604732171.3699999</v>
      </c>
      <c r="FH11" s="6">
        <v>625564597.60000002</v>
      </c>
      <c r="FI11" s="6">
        <v>885767573.76999998</v>
      </c>
      <c r="FJ11" s="6">
        <v>93400000</v>
      </c>
      <c r="FK11" s="3">
        <v>1604732171.3699999</v>
      </c>
      <c r="FL11" s="3">
        <v>625560894.21000004</v>
      </c>
      <c r="FM11" s="3">
        <v>754616167.88</v>
      </c>
      <c r="FN11" s="3">
        <v>88226099.719999999</v>
      </c>
      <c r="FO11" s="3">
        <v>1468403161.8100002</v>
      </c>
      <c r="FP11" s="3">
        <v>615595128.54999995</v>
      </c>
      <c r="FQ11" s="3">
        <v>684792936.61000001</v>
      </c>
      <c r="FR11" s="3">
        <v>44628392.200000003</v>
      </c>
      <c r="FS11" s="3">
        <v>1345016457.3599999</v>
      </c>
      <c r="FT11" s="3">
        <v>546986000</v>
      </c>
      <c r="FU11" s="3">
        <v>951553000</v>
      </c>
      <c r="FV11" s="3">
        <v>500000</v>
      </c>
      <c r="FW11" s="3">
        <v>1499039000</v>
      </c>
      <c r="FX11" s="3">
        <v>546986000</v>
      </c>
      <c r="FY11" s="3">
        <v>971553000</v>
      </c>
      <c r="FZ11" s="3">
        <v>30500000</v>
      </c>
      <c r="GA11" s="3">
        <v>1549039000</v>
      </c>
      <c r="GB11" s="3">
        <v>546986000</v>
      </c>
      <c r="GC11" s="3">
        <v>971553000</v>
      </c>
      <c r="GD11" s="3">
        <v>30500000</v>
      </c>
      <c r="GE11" s="3">
        <v>1549039000</v>
      </c>
      <c r="GF11" s="6">
        <v>634988459.01999998</v>
      </c>
      <c r="GG11" s="6">
        <v>879491041.39999998</v>
      </c>
      <c r="GH11" s="6">
        <v>30500000</v>
      </c>
      <c r="GI11" s="6">
        <v>1544979500.4200001</v>
      </c>
      <c r="GJ11" s="6">
        <v>634988459.01999998</v>
      </c>
      <c r="GK11" s="3">
        <v>879491041.39999998</v>
      </c>
      <c r="GL11" s="3">
        <v>30500000</v>
      </c>
      <c r="GM11" s="3">
        <v>1544979500.4200001</v>
      </c>
      <c r="GN11" s="3">
        <v>634988459.01999998</v>
      </c>
      <c r="GO11" s="3">
        <v>763644669.63</v>
      </c>
      <c r="GP11" s="3">
        <v>30054075.789999999</v>
      </c>
      <c r="GQ11" s="3">
        <v>1428687204.4400001</v>
      </c>
      <c r="GR11" s="3">
        <v>630859248.25999999</v>
      </c>
      <c r="GS11" s="6">
        <v>713640644.08000004</v>
      </c>
      <c r="GT11" s="3">
        <v>24683134.640000001</v>
      </c>
      <c r="GU11" s="3">
        <v>1369183026.9800003</v>
      </c>
      <c r="GV11" s="3">
        <v>564788000</v>
      </c>
      <c r="GW11" s="3">
        <v>946584000</v>
      </c>
      <c r="GX11" s="3">
        <v>68000000</v>
      </c>
      <c r="GY11" s="3">
        <v>1579372000</v>
      </c>
      <c r="GZ11" s="3">
        <v>564788000</v>
      </c>
      <c r="HA11" s="3">
        <v>946584000</v>
      </c>
      <c r="HB11" s="3">
        <v>68000000</v>
      </c>
      <c r="HC11" s="3">
        <v>1579372000</v>
      </c>
      <c r="HD11" s="3">
        <v>564788000</v>
      </c>
      <c r="HE11" s="3">
        <v>946584000</v>
      </c>
      <c r="HF11" s="3">
        <v>68000000</v>
      </c>
      <c r="HG11" s="3">
        <v>1579372000</v>
      </c>
      <c r="HH11" s="3">
        <v>659977049.97000003</v>
      </c>
      <c r="HI11" s="3">
        <v>851394950.02999997</v>
      </c>
      <c r="HJ11" s="3">
        <v>68000000</v>
      </c>
      <c r="HK11" s="3">
        <v>1579372000</v>
      </c>
      <c r="HL11" s="3">
        <v>659977049.97000003</v>
      </c>
      <c r="HM11" s="3">
        <v>851394950.02999997</v>
      </c>
      <c r="HN11" s="3">
        <v>68000000</v>
      </c>
      <c r="HO11" s="3">
        <v>1579372000</v>
      </c>
      <c r="HP11" s="3">
        <v>659976316.97000003</v>
      </c>
      <c r="HQ11" s="3">
        <v>725415337.98000002</v>
      </c>
      <c r="HR11" s="3">
        <v>66654573.869999997</v>
      </c>
      <c r="HS11" s="3">
        <v>1452046228.8199999</v>
      </c>
      <c r="HT11" s="3">
        <v>657852909.08000004</v>
      </c>
      <c r="HU11" s="3">
        <v>662474857.90999997</v>
      </c>
      <c r="HV11" s="3">
        <v>52842177.18</v>
      </c>
      <c r="HW11" s="3">
        <v>1373169944.1700001</v>
      </c>
      <c r="HX11" s="3">
        <v>631537000</v>
      </c>
      <c r="HY11" s="3">
        <v>996637000</v>
      </c>
      <c r="HZ11" s="3">
        <v>12500000</v>
      </c>
      <c r="IA11" s="3">
        <v>1640674000</v>
      </c>
      <c r="IB11" s="3">
        <v>631537000</v>
      </c>
      <c r="IC11" s="3">
        <v>996637000</v>
      </c>
      <c r="ID11" s="3">
        <v>12500000</v>
      </c>
      <c r="IE11" s="3">
        <v>1640674000</v>
      </c>
      <c r="IF11" s="3"/>
      <c r="IG11" s="3"/>
      <c r="IH11" s="3"/>
      <c r="II11" s="3"/>
      <c r="IJ11" s="3"/>
      <c r="IK11" s="3"/>
      <c r="IL11" s="3"/>
      <c r="IM11" s="3"/>
      <c r="IN11" s="3"/>
      <c r="IO11" s="3"/>
      <c r="IP11" s="3"/>
      <c r="IQ11" s="3"/>
      <c r="IR11" s="3"/>
      <c r="IS11" s="3"/>
      <c r="IT11" s="3"/>
      <c r="IU11" s="3"/>
      <c r="IV11" s="3"/>
      <c r="IW11" s="3"/>
      <c r="IX11" s="3"/>
      <c r="IY11" s="3"/>
      <c r="IZ11" s="3">
        <v>672297000</v>
      </c>
      <c r="JA11" s="3">
        <v>1340246000</v>
      </c>
      <c r="JB11" s="3">
        <v>45000000</v>
      </c>
      <c r="JC11" s="3">
        <v>2057543000</v>
      </c>
      <c r="JD11" s="3"/>
      <c r="JE11" s="3"/>
      <c r="JF11" s="3"/>
      <c r="JG11" s="3"/>
    </row>
    <row r="12" spans="1:267" x14ac:dyDescent="0.25">
      <c r="A12" t="s">
        <v>1153</v>
      </c>
      <c r="B12" t="s">
        <v>1154</v>
      </c>
      <c r="C12" t="s">
        <v>199</v>
      </c>
      <c r="D12" t="s">
        <v>200</v>
      </c>
      <c r="E12" t="s">
        <v>217</v>
      </c>
      <c r="F12" t="s">
        <v>220</v>
      </c>
      <c r="G12" t="s">
        <v>1199</v>
      </c>
      <c r="H12" s="3">
        <v>0</v>
      </c>
      <c r="I12" s="3">
        <v>58779000</v>
      </c>
      <c r="J12" s="3">
        <v>0</v>
      </c>
      <c r="K12" s="3">
        <v>58779000</v>
      </c>
      <c r="L12" s="3">
        <v>0</v>
      </c>
      <c r="M12" s="3">
        <v>58779000</v>
      </c>
      <c r="N12" s="3">
        <v>0</v>
      </c>
      <c r="O12" s="3">
        <v>58779000</v>
      </c>
      <c r="P12" s="3">
        <v>0</v>
      </c>
      <c r="Q12" s="3">
        <v>58779000</v>
      </c>
      <c r="R12" s="3">
        <v>0</v>
      </c>
      <c r="S12" s="3">
        <v>58779000</v>
      </c>
      <c r="T12" s="3">
        <v>1891633</v>
      </c>
      <c r="U12" s="3">
        <v>56887367</v>
      </c>
      <c r="V12" s="3">
        <v>0</v>
      </c>
      <c r="W12" s="3">
        <v>58779000</v>
      </c>
      <c r="X12" s="6">
        <v>1891633</v>
      </c>
      <c r="Y12" s="3">
        <v>56887367</v>
      </c>
      <c r="Z12" s="3">
        <v>0</v>
      </c>
      <c r="AA12" s="3">
        <v>58779000</v>
      </c>
      <c r="AB12" s="3">
        <v>1891633</v>
      </c>
      <c r="AC12" s="3">
        <v>55062184.700000003</v>
      </c>
      <c r="AD12" s="3">
        <v>0</v>
      </c>
      <c r="AE12" s="3">
        <v>56953817.700000003</v>
      </c>
      <c r="AF12" s="3">
        <v>1891133</v>
      </c>
      <c r="AG12" s="3">
        <v>49661766.530000001</v>
      </c>
      <c r="AH12" s="3">
        <v>0</v>
      </c>
      <c r="AI12" s="3">
        <v>51552899.530000001</v>
      </c>
      <c r="AJ12" s="3">
        <v>0</v>
      </c>
      <c r="AK12" s="3">
        <v>260000000</v>
      </c>
      <c r="AL12" s="3">
        <v>0</v>
      </c>
      <c r="AM12" s="3">
        <v>260000000</v>
      </c>
      <c r="AN12" s="3">
        <v>0</v>
      </c>
      <c r="AO12" s="3">
        <v>171000000</v>
      </c>
      <c r="AP12" s="3">
        <v>0</v>
      </c>
      <c r="AQ12" s="3">
        <v>171000000</v>
      </c>
      <c r="AR12" s="3">
        <v>0</v>
      </c>
      <c r="AS12" s="3">
        <v>171000000</v>
      </c>
      <c r="AT12" s="3">
        <v>0</v>
      </c>
      <c r="AU12" s="3">
        <v>171000000</v>
      </c>
      <c r="AV12" s="3">
        <v>1496524</v>
      </c>
      <c r="AW12" s="3">
        <v>169503476</v>
      </c>
      <c r="AX12" s="3">
        <v>0</v>
      </c>
      <c r="AY12" s="3">
        <v>171000000</v>
      </c>
      <c r="AZ12" s="3">
        <v>1496524</v>
      </c>
      <c r="BA12" s="3">
        <v>169503476</v>
      </c>
      <c r="BB12" s="3">
        <v>0</v>
      </c>
      <c r="BC12" s="3">
        <v>171000000</v>
      </c>
      <c r="BD12" s="3">
        <v>1496524</v>
      </c>
      <c r="BE12" s="3">
        <v>162773356.48000002</v>
      </c>
      <c r="BF12" s="3">
        <v>0</v>
      </c>
      <c r="BG12" s="3">
        <v>164269880.48000002</v>
      </c>
      <c r="BH12" s="3">
        <v>1313801.3999999999</v>
      </c>
      <c r="BI12" s="3">
        <v>87746127.150000006</v>
      </c>
      <c r="BJ12" s="3">
        <v>0</v>
      </c>
      <c r="BK12" s="3">
        <v>89059928.550000012</v>
      </c>
      <c r="BL12" s="3">
        <v>0</v>
      </c>
      <c r="BM12" s="3">
        <v>210000000</v>
      </c>
      <c r="BN12" s="3">
        <v>0</v>
      </c>
      <c r="BO12" s="3">
        <v>210000000</v>
      </c>
      <c r="BP12" s="3">
        <v>0</v>
      </c>
      <c r="BQ12" s="3">
        <v>210000000</v>
      </c>
      <c r="BR12" s="3">
        <v>0</v>
      </c>
      <c r="BS12" s="3">
        <v>210000000</v>
      </c>
      <c r="BT12" s="3">
        <v>0</v>
      </c>
      <c r="BU12" s="3">
        <v>210000000</v>
      </c>
      <c r="BV12" s="3">
        <v>0</v>
      </c>
      <c r="BW12" s="3">
        <v>210000000</v>
      </c>
      <c r="BX12" s="3">
        <v>1542532</v>
      </c>
      <c r="BY12" s="3">
        <v>207046468</v>
      </c>
      <c r="BZ12" s="3">
        <v>0</v>
      </c>
      <c r="CA12" s="3">
        <v>208589000</v>
      </c>
      <c r="CB12" s="6">
        <v>1542532</v>
      </c>
      <c r="CC12" s="6">
        <v>207046468</v>
      </c>
      <c r="CD12" s="6">
        <v>0</v>
      </c>
      <c r="CE12" s="6">
        <v>208589000</v>
      </c>
      <c r="CF12" s="6">
        <v>1462362</v>
      </c>
      <c r="CG12" s="3">
        <v>99515952.900000006</v>
      </c>
      <c r="CH12" s="3">
        <v>0</v>
      </c>
      <c r="CI12" s="3">
        <v>100978314.90000001</v>
      </c>
      <c r="CJ12" s="3">
        <v>1235306</v>
      </c>
      <c r="CK12" s="3">
        <v>70707483.540000007</v>
      </c>
      <c r="CL12" s="3">
        <v>0</v>
      </c>
      <c r="CM12" s="3">
        <v>71942789.540000007</v>
      </c>
      <c r="CN12" s="3">
        <v>0</v>
      </c>
      <c r="CO12" s="3">
        <v>160000000</v>
      </c>
      <c r="CP12" s="3">
        <v>0</v>
      </c>
      <c r="CQ12" s="3">
        <v>160000000</v>
      </c>
      <c r="CR12" s="3">
        <v>0</v>
      </c>
      <c r="CS12" s="3">
        <v>160000000</v>
      </c>
      <c r="CT12" s="3">
        <v>10000000</v>
      </c>
      <c r="CU12" s="3">
        <v>170000000</v>
      </c>
      <c r="CV12" s="3">
        <v>0</v>
      </c>
      <c r="CW12" s="3">
        <v>160000000</v>
      </c>
      <c r="CX12" s="3">
        <v>10000000</v>
      </c>
      <c r="CY12" s="3">
        <v>170000000</v>
      </c>
      <c r="CZ12" s="3">
        <v>2085104</v>
      </c>
      <c r="DA12" s="3">
        <v>149114896</v>
      </c>
      <c r="DB12" s="3">
        <v>18800000</v>
      </c>
      <c r="DC12" s="3">
        <v>170000000</v>
      </c>
      <c r="DD12" s="3">
        <v>2085104</v>
      </c>
      <c r="DE12" s="3">
        <v>149114896</v>
      </c>
      <c r="DF12" s="3">
        <v>18800000</v>
      </c>
      <c r="DG12" s="3">
        <v>170000000</v>
      </c>
      <c r="DH12" s="3">
        <v>2085104</v>
      </c>
      <c r="DI12" s="3">
        <v>128416543.23999999</v>
      </c>
      <c r="DJ12" s="3">
        <v>18567498.140000001</v>
      </c>
      <c r="DK12" s="3">
        <v>149069145.38</v>
      </c>
      <c r="DL12" s="3">
        <v>1801850</v>
      </c>
      <c r="DM12" s="3">
        <v>100762625.89</v>
      </c>
      <c r="DN12" s="3">
        <v>9474252.8399999999</v>
      </c>
      <c r="DO12" s="3">
        <v>112038728.73</v>
      </c>
      <c r="DP12" s="3">
        <v>0</v>
      </c>
      <c r="DQ12" s="3">
        <v>181365000</v>
      </c>
      <c r="DR12" s="3">
        <v>11000000</v>
      </c>
      <c r="DS12" s="3">
        <v>192365000</v>
      </c>
      <c r="DT12" s="3">
        <v>0</v>
      </c>
      <c r="DU12" s="3">
        <v>181365000</v>
      </c>
      <c r="DV12" s="3">
        <v>11000000</v>
      </c>
      <c r="DW12" s="3">
        <v>192365000</v>
      </c>
      <c r="DX12" s="3">
        <v>0</v>
      </c>
      <c r="DY12" s="3">
        <v>181365000</v>
      </c>
      <c r="DZ12" s="3">
        <v>11000000</v>
      </c>
      <c r="EA12" s="3">
        <v>192365000</v>
      </c>
      <c r="EB12" s="6">
        <v>13727190</v>
      </c>
      <c r="EC12" s="6">
        <v>167637810</v>
      </c>
      <c r="ED12" s="6">
        <v>11000000</v>
      </c>
      <c r="EE12" s="3">
        <v>192365000</v>
      </c>
      <c r="EF12" s="3">
        <v>13727190</v>
      </c>
      <c r="EG12" s="3">
        <v>167637810</v>
      </c>
      <c r="EH12" s="3">
        <v>11000000</v>
      </c>
      <c r="EI12" s="3">
        <v>192365000</v>
      </c>
      <c r="EJ12" s="3">
        <v>13727190</v>
      </c>
      <c r="EK12" s="3">
        <v>146304863.74000001</v>
      </c>
      <c r="EL12" s="3">
        <v>8746251.9700000007</v>
      </c>
      <c r="EM12" s="3">
        <v>168778305.71000001</v>
      </c>
      <c r="EN12" s="3">
        <v>3274072.01</v>
      </c>
      <c r="EO12" s="3">
        <v>128535523.84</v>
      </c>
      <c r="EP12" s="3">
        <v>2945208.1</v>
      </c>
      <c r="EQ12" s="3">
        <v>134754803.95000002</v>
      </c>
      <c r="ER12" s="3">
        <v>0</v>
      </c>
      <c r="ES12" s="3">
        <v>119080000</v>
      </c>
      <c r="ET12" s="3">
        <v>3000000</v>
      </c>
      <c r="EU12" s="3">
        <v>122080000</v>
      </c>
      <c r="EV12" s="3">
        <v>0</v>
      </c>
      <c r="EW12" s="3">
        <v>119080000</v>
      </c>
      <c r="EX12" s="3">
        <v>3000000</v>
      </c>
      <c r="EY12" s="3">
        <v>122080000</v>
      </c>
      <c r="EZ12" s="3">
        <v>0</v>
      </c>
      <c r="FA12" s="3">
        <v>119080000</v>
      </c>
      <c r="FB12" s="3">
        <v>3000000</v>
      </c>
      <c r="FC12" s="3">
        <v>122080000</v>
      </c>
      <c r="FD12" s="3">
        <v>3792511</v>
      </c>
      <c r="FE12" s="3">
        <v>115287489</v>
      </c>
      <c r="FF12" s="3">
        <v>3000000</v>
      </c>
      <c r="FG12" s="3">
        <v>122080000</v>
      </c>
      <c r="FH12" s="6">
        <v>3792511</v>
      </c>
      <c r="FI12" s="6">
        <v>115287489</v>
      </c>
      <c r="FJ12" s="6">
        <v>3000000</v>
      </c>
      <c r="FK12" s="3">
        <v>122080000</v>
      </c>
      <c r="FL12" s="3">
        <v>3792511</v>
      </c>
      <c r="FM12" s="3">
        <v>73017171.200000003</v>
      </c>
      <c r="FN12" s="3">
        <v>2993899</v>
      </c>
      <c r="FO12" s="3">
        <v>79803581.200000003</v>
      </c>
      <c r="FP12" s="3">
        <v>3619850.99</v>
      </c>
      <c r="FQ12" s="3">
        <v>64472296.539999999</v>
      </c>
      <c r="FR12" s="3">
        <v>2514512</v>
      </c>
      <c r="FS12" s="3">
        <v>70606659.530000001</v>
      </c>
      <c r="FT12" s="3">
        <v>0</v>
      </c>
      <c r="FU12" s="3">
        <v>106842000</v>
      </c>
      <c r="FV12" s="3">
        <v>2800000</v>
      </c>
      <c r="FW12" s="3">
        <v>109642000</v>
      </c>
      <c r="FX12" s="3">
        <v>0</v>
      </c>
      <c r="FY12" s="3">
        <v>98842000</v>
      </c>
      <c r="FZ12" s="3">
        <v>10800000</v>
      </c>
      <c r="GA12" s="3">
        <v>109642000</v>
      </c>
      <c r="GB12" s="3">
        <v>0</v>
      </c>
      <c r="GC12" s="3">
        <v>98842000</v>
      </c>
      <c r="GD12" s="3">
        <v>10800000</v>
      </c>
      <c r="GE12" s="3">
        <v>109642000</v>
      </c>
      <c r="GF12" s="6">
        <v>4087190</v>
      </c>
      <c r="GG12" s="6">
        <v>94754810</v>
      </c>
      <c r="GH12" s="6">
        <v>10800000</v>
      </c>
      <c r="GI12" s="6">
        <v>109642000</v>
      </c>
      <c r="GJ12" s="6">
        <v>4087190</v>
      </c>
      <c r="GK12" s="3">
        <v>94754810</v>
      </c>
      <c r="GL12" s="3">
        <v>10800000</v>
      </c>
      <c r="GM12" s="3">
        <v>109642000</v>
      </c>
      <c r="GN12" s="3">
        <v>4087190</v>
      </c>
      <c r="GO12" s="3">
        <v>66636501.509999998</v>
      </c>
      <c r="GP12" s="3">
        <v>7996749</v>
      </c>
      <c r="GQ12" s="3">
        <v>78720440.50999999</v>
      </c>
      <c r="GR12" s="3">
        <v>4049690</v>
      </c>
      <c r="GS12" s="6">
        <v>58549918.810000002</v>
      </c>
      <c r="GT12" s="3">
        <v>3965800</v>
      </c>
      <c r="GU12" s="3">
        <v>66565408.810000002</v>
      </c>
      <c r="GV12" s="3">
        <v>0</v>
      </c>
      <c r="GW12" s="3">
        <v>108600000</v>
      </c>
      <c r="GX12" s="3">
        <v>0</v>
      </c>
      <c r="GY12" s="3">
        <v>108600000</v>
      </c>
      <c r="GZ12" s="3">
        <v>0</v>
      </c>
      <c r="HA12" s="3">
        <v>108600000</v>
      </c>
      <c r="HB12" s="3">
        <v>0</v>
      </c>
      <c r="HC12" s="3">
        <v>108600000</v>
      </c>
      <c r="HD12" s="3">
        <v>0</v>
      </c>
      <c r="HE12" s="3">
        <v>108600000</v>
      </c>
      <c r="HF12" s="3">
        <v>0</v>
      </c>
      <c r="HG12" s="3">
        <v>108600000</v>
      </c>
      <c r="HH12" s="3">
        <v>3876318.63</v>
      </c>
      <c r="HI12" s="3">
        <v>104723681.37</v>
      </c>
      <c r="HJ12" s="3">
        <v>0</v>
      </c>
      <c r="HK12" s="3">
        <v>108600000</v>
      </c>
      <c r="HL12" s="3">
        <v>3876318.63</v>
      </c>
      <c r="HM12" s="3">
        <v>104723681.37</v>
      </c>
      <c r="HN12" s="3">
        <v>0</v>
      </c>
      <c r="HO12" s="3">
        <v>108600000</v>
      </c>
      <c r="HP12" s="3">
        <v>3876318.63</v>
      </c>
      <c r="HQ12" s="3">
        <v>74031693.530000001</v>
      </c>
      <c r="HR12" s="3">
        <v>0</v>
      </c>
      <c r="HS12" s="3">
        <v>77908012.159999996</v>
      </c>
      <c r="HT12" s="3">
        <v>3868366.63</v>
      </c>
      <c r="HU12" s="3">
        <v>56909210.93</v>
      </c>
      <c r="HV12" s="3">
        <v>0</v>
      </c>
      <c r="HW12" s="3">
        <v>60777577.560000002</v>
      </c>
      <c r="HX12" s="3">
        <v>0</v>
      </c>
      <c r="HY12" s="3">
        <v>110556000</v>
      </c>
      <c r="HZ12" s="3">
        <v>0</v>
      </c>
      <c r="IA12" s="3">
        <v>110556000</v>
      </c>
      <c r="IB12" s="3">
        <v>0</v>
      </c>
      <c r="IC12" s="3">
        <v>110556000</v>
      </c>
      <c r="ID12" s="3">
        <v>0</v>
      </c>
      <c r="IE12" s="3">
        <v>110556000</v>
      </c>
      <c r="IF12" s="3"/>
      <c r="IG12" s="3"/>
      <c r="IH12" s="3"/>
      <c r="II12" s="3"/>
      <c r="IJ12" s="3"/>
      <c r="IK12" s="3"/>
      <c r="IL12" s="3"/>
      <c r="IM12" s="3"/>
      <c r="IN12" s="3"/>
      <c r="IO12" s="3"/>
      <c r="IP12" s="3"/>
      <c r="IQ12" s="3"/>
      <c r="IR12" s="3"/>
      <c r="IS12" s="3"/>
      <c r="IT12" s="3"/>
      <c r="IU12" s="3"/>
      <c r="IV12" s="3"/>
      <c r="IW12" s="3"/>
      <c r="IX12" s="3"/>
      <c r="IY12" s="3"/>
      <c r="IZ12" s="3">
        <v>0</v>
      </c>
      <c r="JA12" s="3">
        <v>137184000</v>
      </c>
      <c r="JB12" s="3">
        <v>0</v>
      </c>
      <c r="JC12" s="3">
        <v>137184000</v>
      </c>
      <c r="JD12" s="3"/>
      <c r="JE12" s="3"/>
      <c r="JF12" s="3"/>
      <c r="JG12" s="3"/>
    </row>
    <row r="13" spans="1:267" x14ac:dyDescent="0.25">
      <c r="A13" t="s">
        <v>1153</v>
      </c>
      <c r="B13" t="s">
        <v>1154</v>
      </c>
      <c r="C13" t="s">
        <v>199</v>
      </c>
      <c r="D13" t="s">
        <v>200</v>
      </c>
      <c r="E13" t="s">
        <v>224</v>
      </c>
      <c r="F13" t="s">
        <v>225</v>
      </c>
      <c r="G13" t="s">
        <v>1200</v>
      </c>
      <c r="H13" s="3">
        <v>701290000</v>
      </c>
      <c r="I13" s="3">
        <v>681029000</v>
      </c>
      <c r="J13" s="3">
        <v>3300000</v>
      </c>
      <c r="K13" s="3">
        <v>1385619000</v>
      </c>
      <c r="L13" s="3">
        <v>701290000</v>
      </c>
      <c r="M13" s="3">
        <v>674345000</v>
      </c>
      <c r="N13" s="3">
        <v>39984000</v>
      </c>
      <c r="O13" s="3">
        <v>1415619000</v>
      </c>
      <c r="P13" s="3">
        <v>701290000</v>
      </c>
      <c r="Q13" s="3">
        <v>674345000</v>
      </c>
      <c r="R13" s="3">
        <v>39984000</v>
      </c>
      <c r="S13" s="3">
        <v>1415619000</v>
      </c>
      <c r="T13" s="3">
        <v>778910000</v>
      </c>
      <c r="U13" s="3">
        <v>596725000</v>
      </c>
      <c r="V13" s="3">
        <v>39984000</v>
      </c>
      <c r="W13" s="3">
        <v>1415619000</v>
      </c>
      <c r="X13" s="6">
        <v>778910000</v>
      </c>
      <c r="Y13" s="3">
        <v>596725000</v>
      </c>
      <c r="Z13" s="3">
        <v>39984000</v>
      </c>
      <c r="AA13" s="3">
        <v>1415619000</v>
      </c>
      <c r="AB13" s="3">
        <v>778687532.28999996</v>
      </c>
      <c r="AC13" s="3">
        <v>589879935.20000005</v>
      </c>
      <c r="AD13" s="3">
        <v>39041498.049999997</v>
      </c>
      <c r="AE13" s="3">
        <v>1407608965.54</v>
      </c>
      <c r="AF13" s="3">
        <v>761788955.44000006</v>
      </c>
      <c r="AG13" s="3">
        <v>466727780.80000001</v>
      </c>
      <c r="AH13" s="3">
        <v>21583501.829999998</v>
      </c>
      <c r="AI13" s="3">
        <v>1250100238.0699999</v>
      </c>
      <c r="AJ13" s="3">
        <v>770237000</v>
      </c>
      <c r="AK13" s="3">
        <v>651029000</v>
      </c>
      <c r="AL13" s="3">
        <v>3300000</v>
      </c>
      <c r="AM13" s="3">
        <v>1424566000</v>
      </c>
      <c r="AN13" s="3">
        <v>770237000</v>
      </c>
      <c r="AO13" s="3">
        <v>658641000</v>
      </c>
      <c r="AP13" s="3">
        <v>40400000</v>
      </c>
      <c r="AQ13" s="3">
        <v>1469278000</v>
      </c>
      <c r="AR13" s="3">
        <v>770237000</v>
      </c>
      <c r="AS13" s="3">
        <v>658641000</v>
      </c>
      <c r="AT13" s="3">
        <v>40400000</v>
      </c>
      <c r="AU13" s="3">
        <v>1469278000</v>
      </c>
      <c r="AV13" s="3">
        <v>850746138</v>
      </c>
      <c r="AW13" s="3">
        <v>578131862</v>
      </c>
      <c r="AX13" s="3">
        <v>40400000</v>
      </c>
      <c r="AY13" s="3">
        <v>1469278000</v>
      </c>
      <c r="AZ13" s="3">
        <v>850746138</v>
      </c>
      <c r="BA13" s="3">
        <v>578131862</v>
      </c>
      <c r="BB13" s="3">
        <v>40400000</v>
      </c>
      <c r="BC13" s="3">
        <v>1469278000</v>
      </c>
      <c r="BD13" s="3">
        <v>850729317.41999996</v>
      </c>
      <c r="BE13" s="3">
        <v>571747066.70000005</v>
      </c>
      <c r="BF13" s="3">
        <v>38162221.190000005</v>
      </c>
      <c r="BG13" s="3">
        <v>1460638605.3099999</v>
      </c>
      <c r="BH13" s="3">
        <v>840137423.23000002</v>
      </c>
      <c r="BI13" s="3">
        <v>493594246.77999997</v>
      </c>
      <c r="BJ13" s="3">
        <v>25143189.09</v>
      </c>
      <c r="BK13" s="3">
        <v>1358874859.0999999</v>
      </c>
      <c r="BL13" s="3">
        <v>785781000</v>
      </c>
      <c r="BM13" s="3">
        <v>651029000</v>
      </c>
      <c r="BN13" s="3">
        <v>3300000</v>
      </c>
      <c r="BO13" s="3">
        <v>1440110000</v>
      </c>
      <c r="BP13" s="3">
        <v>785781000</v>
      </c>
      <c r="BQ13" s="3">
        <v>1214147000</v>
      </c>
      <c r="BR13" s="3">
        <v>31892000</v>
      </c>
      <c r="BS13" s="3">
        <v>2031820000</v>
      </c>
      <c r="BT13" s="3">
        <v>785781000</v>
      </c>
      <c r="BU13" s="3">
        <v>1214147000</v>
      </c>
      <c r="BV13" s="3">
        <v>31892000</v>
      </c>
      <c r="BW13" s="3">
        <v>2031820000</v>
      </c>
      <c r="BX13" s="3">
        <v>853071548</v>
      </c>
      <c r="BY13" s="3">
        <v>1040632452</v>
      </c>
      <c r="BZ13" s="3">
        <v>31892000</v>
      </c>
      <c r="CA13" s="3">
        <v>1925596000</v>
      </c>
      <c r="CB13" s="6">
        <v>853071548</v>
      </c>
      <c r="CC13" s="6">
        <v>477514452</v>
      </c>
      <c r="CD13" s="6">
        <v>3300000</v>
      </c>
      <c r="CE13" s="6">
        <v>1333886000</v>
      </c>
      <c r="CF13" s="6">
        <v>852517247.70000005</v>
      </c>
      <c r="CG13" s="3">
        <v>469117448.06999999</v>
      </c>
      <c r="CH13" s="3">
        <v>3283856.48</v>
      </c>
      <c r="CI13" s="3">
        <v>1324918552.25</v>
      </c>
      <c r="CJ13" s="3">
        <v>832932047.39999998</v>
      </c>
      <c r="CK13" s="3">
        <v>389860160.99000001</v>
      </c>
      <c r="CL13" s="3">
        <v>0</v>
      </c>
      <c r="CM13" s="3">
        <v>1222792208.3899999</v>
      </c>
      <c r="CN13" s="3">
        <v>827451000</v>
      </c>
      <c r="CO13" s="3">
        <v>651029000</v>
      </c>
      <c r="CP13" s="3">
        <v>6800000</v>
      </c>
      <c r="CQ13" s="3">
        <v>1485280000</v>
      </c>
      <c r="CR13" s="3">
        <v>827451000</v>
      </c>
      <c r="CS13" s="3">
        <v>681299000</v>
      </c>
      <c r="CT13" s="3">
        <v>14950000</v>
      </c>
      <c r="CU13" s="3">
        <v>1523700000</v>
      </c>
      <c r="CV13" s="3">
        <v>827451000</v>
      </c>
      <c r="CW13" s="3">
        <v>681299000</v>
      </c>
      <c r="CX13" s="3">
        <v>14950000</v>
      </c>
      <c r="CY13" s="3">
        <v>1523700000</v>
      </c>
      <c r="CZ13" s="3">
        <v>908934450.87</v>
      </c>
      <c r="DA13" s="3">
        <v>596880986</v>
      </c>
      <c r="DB13" s="3">
        <v>14950000</v>
      </c>
      <c r="DC13" s="3">
        <v>1520765436.8699999</v>
      </c>
      <c r="DD13" s="3">
        <v>908934450.87</v>
      </c>
      <c r="DE13" s="3">
        <v>596880986</v>
      </c>
      <c r="DF13" s="3">
        <v>14950000</v>
      </c>
      <c r="DG13" s="3">
        <v>1520765436.8699999</v>
      </c>
      <c r="DH13" s="3">
        <v>908930810.79999995</v>
      </c>
      <c r="DI13" s="3">
        <v>584881607.12</v>
      </c>
      <c r="DJ13" s="3">
        <v>13018152.26</v>
      </c>
      <c r="DK13" s="3">
        <v>1506830570.1800001</v>
      </c>
      <c r="DL13" s="3">
        <v>893543647.91999996</v>
      </c>
      <c r="DM13" s="3">
        <v>509071392.70999998</v>
      </c>
      <c r="DN13" s="3">
        <v>9886783.1600000001</v>
      </c>
      <c r="DO13" s="3">
        <v>1412501823.79</v>
      </c>
      <c r="DP13" s="3">
        <v>840319000</v>
      </c>
      <c r="DQ13" s="3">
        <v>1016337000</v>
      </c>
      <c r="DR13" s="3">
        <v>0</v>
      </c>
      <c r="DS13" s="3">
        <v>1856656000</v>
      </c>
      <c r="DT13" s="3">
        <v>840319000</v>
      </c>
      <c r="DU13" s="3">
        <v>1447901000</v>
      </c>
      <c r="DV13" s="3">
        <v>223106000</v>
      </c>
      <c r="DW13" s="3">
        <v>2511326000</v>
      </c>
      <c r="DX13" s="3">
        <v>840319000</v>
      </c>
      <c r="DY13" s="3">
        <v>1447901000</v>
      </c>
      <c r="DZ13" s="3">
        <v>223106000</v>
      </c>
      <c r="EA13" s="3">
        <v>2511326000</v>
      </c>
      <c r="EB13" s="6">
        <v>957940720.62</v>
      </c>
      <c r="EC13" s="6">
        <v>1324448826.8699999</v>
      </c>
      <c r="ED13" s="6">
        <v>227006000</v>
      </c>
      <c r="EE13" s="3">
        <v>2509395547.4899998</v>
      </c>
      <c r="EF13" s="3">
        <v>957940720.62</v>
      </c>
      <c r="EG13" s="3">
        <v>1324448826.8699999</v>
      </c>
      <c r="EH13" s="3">
        <v>227006000</v>
      </c>
      <c r="EI13" s="3">
        <v>2509395547.4899998</v>
      </c>
      <c r="EJ13" s="3">
        <v>957939995.62</v>
      </c>
      <c r="EK13" s="3">
        <v>1307055994.8199999</v>
      </c>
      <c r="EL13" s="3">
        <v>225064225.78999999</v>
      </c>
      <c r="EM13" s="3">
        <v>2490060216.23</v>
      </c>
      <c r="EN13" s="3">
        <v>923343650.23000002</v>
      </c>
      <c r="EO13" s="3">
        <v>1118097825.76</v>
      </c>
      <c r="EP13" s="3">
        <v>186535620.96000001</v>
      </c>
      <c r="EQ13" s="3">
        <v>2227977096.9499998</v>
      </c>
      <c r="ER13" s="3">
        <v>858908000</v>
      </c>
      <c r="ES13" s="3">
        <v>989321000</v>
      </c>
      <c r="ET13" s="3">
        <v>5400000</v>
      </c>
      <c r="EU13" s="3">
        <v>1853629000</v>
      </c>
      <c r="EV13" s="3">
        <v>858908000</v>
      </c>
      <c r="EW13" s="3">
        <v>985173000</v>
      </c>
      <c r="EX13" s="3">
        <v>14400000</v>
      </c>
      <c r="EY13" s="3">
        <v>1858481000</v>
      </c>
      <c r="EZ13" s="3">
        <v>858908000</v>
      </c>
      <c r="FA13" s="3">
        <v>985173000</v>
      </c>
      <c r="FB13" s="3">
        <v>14400000</v>
      </c>
      <c r="FC13" s="3">
        <v>1858481000</v>
      </c>
      <c r="FD13" s="3">
        <v>947091253.94000006</v>
      </c>
      <c r="FE13" s="3">
        <v>895982666.62</v>
      </c>
      <c r="FF13" s="3">
        <v>14400000</v>
      </c>
      <c r="FG13" s="3">
        <v>1857473920.5599999</v>
      </c>
      <c r="FH13" s="6">
        <v>947091253.94000006</v>
      </c>
      <c r="FI13" s="6">
        <v>895982666.62</v>
      </c>
      <c r="FJ13" s="6">
        <v>14400000</v>
      </c>
      <c r="FK13" s="3">
        <v>1857473920.5599999</v>
      </c>
      <c r="FL13" s="3">
        <v>947083629.20000005</v>
      </c>
      <c r="FM13" s="3">
        <v>883825789.75999999</v>
      </c>
      <c r="FN13" s="3">
        <v>14370743.640000001</v>
      </c>
      <c r="FO13" s="3">
        <v>1845280162.6000001</v>
      </c>
      <c r="FP13" s="3">
        <v>935816450.67999995</v>
      </c>
      <c r="FQ13" s="3">
        <v>808831751.80999994</v>
      </c>
      <c r="FR13" s="3">
        <v>7866873.0499999998</v>
      </c>
      <c r="FS13" s="3">
        <v>1752515075.5399997</v>
      </c>
      <c r="FT13" s="3">
        <v>854962000</v>
      </c>
      <c r="FU13" s="3">
        <v>1018280000</v>
      </c>
      <c r="FV13" s="3">
        <v>18360000</v>
      </c>
      <c r="FW13" s="3">
        <v>1891602000</v>
      </c>
      <c r="FX13" s="3">
        <v>854962000</v>
      </c>
      <c r="FY13" s="3">
        <v>1504646000</v>
      </c>
      <c r="FZ13" s="3">
        <v>825062000</v>
      </c>
      <c r="GA13" s="3">
        <v>3184670000</v>
      </c>
      <c r="GB13" s="3">
        <v>854962000</v>
      </c>
      <c r="GC13" s="3">
        <v>1504646000</v>
      </c>
      <c r="GD13" s="3">
        <v>825062000</v>
      </c>
      <c r="GE13" s="3">
        <v>3184670000</v>
      </c>
      <c r="GF13" s="6">
        <v>982718620.42999995</v>
      </c>
      <c r="GG13" s="6">
        <v>1376255256</v>
      </c>
      <c r="GH13" s="6">
        <v>825062000</v>
      </c>
      <c r="GI13" s="6">
        <v>3184035876.4299998</v>
      </c>
      <c r="GJ13" s="6">
        <v>982718620.42999995</v>
      </c>
      <c r="GK13" s="3">
        <v>1376255256</v>
      </c>
      <c r="GL13" s="3">
        <v>825062000</v>
      </c>
      <c r="GM13" s="3">
        <v>3184035876.4299998</v>
      </c>
      <c r="GN13" s="3">
        <v>982718520.42999995</v>
      </c>
      <c r="GO13" s="3">
        <v>1261486467.72</v>
      </c>
      <c r="GP13" s="3">
        <v>582414185.57000005</v>
      </c>
      <c r="GQ13" s="3">
        <v>2826619173.7200003</v>
      </c>
      <c r="GR13" s="3">
        <v>975359716.05999994</v>
      </c>
      <c r="GS13" s="6">
        <v>1127963073.27</v>
      </c>
      <c r="GT13" s="3">
        <v>322560386.27999997</v>
      </c>
      <c r="GU13" s="3">
        <v>2425883175.6099997</v>
      </c>
      <c r="GV13" s="3">
        <v>873111000</v>
      </c>
      <c r="GW13" s="3">
        <v>1134944000</v>
      </c>
      <c r="GX13" s="3">
        <v>242921000</v>
      </c>
      <c r="GY13" s="3">
        <v>2250976000</v>
      </c>
      <c r="GZ13" s="3">
        <v>873111000</v>
      </c>
      <c r="HA13" s="3">
        <v>1134944000</v>
      </c>
      <c r="HB13" s="3">
        <v>442921000</v>
      </c>
      <c r="HC13" s="3">
        <v>2450976000</v>
      </c>
      <c r="HD13" s="3">
        <v>873111000</v>
      </c>
      <c r="HE13" s="3">
        <v>1134944000</v>
      </c>
      <c r="HF13" s="3">
        <v>442921000</v>
      </c>
      <c r="HG13" s="3">
        <v>2450976000</v>
      </c>
      <c r="HH13" s="3">
        <v>982991892.04999995</v>
      </c>
      <c r="HI13" s="3">
        <v>1025063107.95</v>
      </c>
      <c r="HJ13" s="3">
        <v>442921000</v>
      </c>
      <c r="HK13" s="3">
        <v>2450976000</v>
      </c>
      <c r="HL13" s="3">
        <v>982991892.04999995</v>
      </c>
      <c r="HM13" s="3">
        <v>1025063107.95</v>
      </c>
      <c r="HN13" s="3">
        <v>410921000</v>
      </c>
      <c r="HO13" s="3">
        <v>2418976000</v>
      </c>
      <c r="HP13" s="3">
        <v>982991392.04999995</v>
      </c>
      <c r="HQ13" s="3">
        <v>918687609.53999996</v>
      </c>
      <c r="HR13" s="3">
        <v>229487236.18000001</v>
      </c>
      <c r="HS13" s="3">
        <v>2131166237.77</v>
      </c>
      <c r="HT13" s="3">
        <v>977148969.95000005</v>
      </c>
      <c r="HU13" s="3">
        <v>837850397.61000001</v>
      </c>
      <c r="HV13" s="3">
        <v>184257805.22999999</v>
      </c>
      <c r="HW13" s="3">
        <v>1999257172.79</v>
      </c>
      <c r="HX13" s="3">
        <v>997287000</v>
      </c>
      <c r="HY13" s="3">
        <v>1151739000</v>
      </c>
      <c r="HZ13" s="3">
        <v>107388000</v>
      </c>
      <c r="IA13" s="3">
        <v>2256414000</v>
      </c>
      <c r="IB13" s="3">
        <v>997287000</v>
      </c>
      <c r="IC13" s="3">
        <v>1151739000</v>
      </c>
      <c r="ID13" s="3">
        <v>107388000</v>
      </c>
      <c r="IE13" s="3">
        <v>2256414000</v>
      </c>
      <c r="IF13" s="3"/>
      <c r="IG13" s="3"/>
      <c r="IH13" s="3"/>
      <c r="II13" s="3"/>
      <c r="IJ13" s="3"/>
      <c r="IK13" s="3"/>
      <c r="IL13" s="3"/>
      <c r="IM13" s="3"/>
      <c r="IN13" s="3"/>
      <c r="IO13" s="3"/>
      <c r="IP13" s="3"/>
      <c r="IQ13" s="3"/>
      <c r="IR13" s="3"/>
      <c r="IS13" s="3"/>
      <c r="IT13" s="3"/>
      <c r="IU13" s="3"/>
      <c r="IV13" s="3"/>
      <c r="IW13" s="3"/>
      <c r="IX13" s="3"/>
      <c r="IY13" s="3"/>
      <c r="IZ13" s="3">
        <v>1133061000</v>
      </c>
      <c r="JA13" s="3">
        <v>1134964000</v>
      </c>
      <c r="JB13" s="3">
        <v>75370000</v>
      </c>
      <c r="JC13" s="3">
        <v>2343395000</v>
      </c>
      <c r="JD13" s="3"/>
      <c r="JE13" s="3"/>
      <c r="JF13" s="3"/>
      <c r="JG13" s="3"/>
    </row>
    <row r="14" spans="1:267" x14ac:dyDescent="0.25">
      <c r="A14" t="s">
        <v>1153</v>
      </c>
      <c r="B14" t="s">
        <v>1154</v>
      </c>
      <c r="C14" t="s">
        <v>199</v>
      </c>
      <c r="D14" t="s">
        <v>200</v>
      </c>
      <c r="E14" t="s">
        <v>224</v>
      </c>
      <c r="F14" t="s">
        <v>233</v>
      </c>
      <c r="G14" t="s">
        <v>1201</v>
      </c>
      <c r="H14" s="3">
        <v>0</v>
      </c>
      <c r="I14" s="3">
        <v>72782000</v>
      </c>
      <c r="J14" s="3">
        <v>5000000</v>
      </c>
      <c r="K14" s="3">
        <v>77782000</v>
      </c>
      <c r="L14" s="3">
        <v>0</v>
      </c>
      <c r="M14" s="3">
        <v>72782000</v>
      </c>
      <c r="N14" s="3">
        <v>88790000</v>
      </c>
      <c r="O14" s="3">
        <v>161572000</v>
      </c>
      <c r="P14" s="3">
        <v>0</v>
      </c>
      <c r="Q14" s="3">
        <v>72782000</v>
      </c>
      <c r="R14" s="3">
        <v>88790000</v>
      </c>
      <c r="S14" s="3">
        <v>161572000</v>
      </c>
      <c r="T14" s="3">
        <v>7458628</v>
      </c>
      <c r="U14" s="3">
        <v>65323372</v>
      </c>
      <c r="V14" s="3">
        <v>88790000</v>
      </c>
      <c r="W14" s="3">
        <v>161572000</v>
      </c>
      <c r="X14" s="6">
        <v>7458628</v>
      </c>
      <c r="Y14" s="3">
        <v>65323372</v>
      </c>
      <c r="Z14" s="3">
        <v>88790000</v>
      </c>
      <c r="AA14" s="3">
        <v>161572000</v>
      </c>
      <c r="AB14" s="3">
        <v>7458628</v>
      </c>
      <c r="AC14" s="3">
        <v>64555692.880000003</v>
      </c>
      <c r="AD14" s="3">
        <v>4975535.5</v>
      </c>
      <c r="AE14" s="3">
        <v>76989856.379999995</v>
      </c>
      <c r="AF14" s="3">
        <v>7456321</v>
      </c>
      <c r="AG14" s="3">
        <v>52557713.380000003</v>
      </c>
      <c r="AH14" s="3">
        <v>1416985.49</v>
      </c>
      <c r="AI14" s="3">
        <v>61431019.870000005</v>
      </c>
      <c r="AJ14" s="3">
        <v>0</v>
      </c>
      <c r="AK14" s="3">
        <v>72782000</v>
      </c>
      <c r="AL14" s="3">
        <v>5000000</v>
      </c>
      <c r="AM14" s="3">
        <v>77782000</v>
      </c>
      <c r="AN14" s="3">
        <v>0</v>
      </c>
      <c r="AO14" s="3">
        <v>72782000</v>
      </c>
      <c r="AP14" s="3">
        <v>5000000</v>
      </c>
      <c r="AQ14" s="3">
        <v>77782000</v>
      </c>
      <c r="AR14" s="3">
        <v>0</v>
      </c>
      <c r="AS14" s="3">
        <v>72782000</v>
      </c>
      <c r="AT14" s="3">
        <v>5000000</v>
      </c>
      <c r="AU14" s="3">
        <v>77782000</v>
      </c>
      <c r="AV14" s="3">
        <v>9146883</v>
      </c>
      <c r="AW14" s="3">
        <v>63635117</v>
      </c>
      <c r="AX14" s="3">
        <v>5000000</v>
      </c>
      <c r="AY14" s="3">
        <v>77782000</v>
      </c>
      <c r="AZ14" s="3">
        <v>9146883</v>
      </c>
      <c r="BA14" s="3">
        <v>63635117</v>
      </c>
      <c r="BB14" s="3">
        <v>5000000</v>
      </c>
      <c r="BC14" s="3">
        <v>77782000</v>
      </c>
      <c r="BD14" s="3">
        <v>9146883</v>
      </c>
      <c r="BE14" s="3">
        <v>62895672.140000001</v>
      </c>
      <c r="BF14" s="3">
        <v>4995360.25</v>
      </c>
      <c r="BG14" s="3">
        <v>77037915.390000001</v>
      </c>
      <c r="BH14" s="3">
        <v>8927784.4000000004</v>
      </c>
      <c r="BI14" s="3">
        <v>54072205.5</v>
      </c>
      <c r="BJ14" s="3">
        <v>4831642.49</v>
      </c>
      <c r="BK14" s="3">
        <v>67831632.390000001</v>
      </c>
      <c r="BL14" s="3">
        <v>0</v>
      </c>
      <c r="BM14" s="3">
        <v>72782000</v>
      </c>
      <c r="BN14" s="3">
        <v>5000000</v>
      </c>
      <c r="BO14" s="3">
        <v>77782000</v>
      </c>
      <c r="BP14" s="3">
        <v>0</v>
      </c>
      <c r="BQ14" s="3">
        <v>72782000</v>
      </c>
      <c r="BR14" s="3">
        <v>5000000</v>
      </c>
      <c r="BS14" s="3">
        <v>77782000</v>
      </c>
      <c r="BT14" s="3">
        <v>0</v>
      </c>
      <c r="BU14" s="3">
        <v>72782000</v>
      </c>
      <c r="BV14" s="3">
        <v>5000000</v>
      </c>
      <c r="BW14" s="3">
        <v>77782000</v>
      </c>
      <c r="BX14" s="3">
        <v>8322719</v>
      </c>
      <c r="BY14" s="3">
        <v>59368281</v>
      </c>
      <c r="BZ14" s="3">
        <v>2008000</v>
      </c>
      <c r="CA14" s="3">
        <v>69699000</v>
      </c>
      <c r="CB14" s="6">
        <v>8322719</v>
      </c>
      <c r="CC14" s="6">
        <v>59368281</v>
      </c>
      <c r="CD14" s="6">
        <v>2008000</v>
      </c>
      <c r="CE14" s="6">
        <v>69699000</v>
      </c>
      <c r="CF14" s="6">
        <v>8322719</v>
      </c>
      <c r="CG14" s="3">
        <v>56616447.560000002</v>
      </c>
      <c r="CH14" s="3">
        <v>1996404.6</v>
      </c>
      <c r="CI14" s="3">
        <v>66935571.160000004</v>
      </c>
      <c r="CJ14" s="3">
        <v>7086692</v>
      </c>
      <c r="CK14" s="3">
        <v>45713593.200000003</v>
      </c>
      <c r="CL14" s="3">
        <v>137110</v>
      </c>
      <c r="CM14" s="3">
        <v>52937395.200000003</v>
      </c>
      <c r="CN14" s="3">
        <v>0</v>
      </c>
      <c r="CO14" s="3">
        <v>72782000</v>
      </c>
      <c r="CP14" s="3">
        <v>5000000</v>
      </c>
      <c r="CQ14" s="3">
        <v>77782000</v>
      </c>
      <c r="CR14" s="3">
        <v>0</v>
      </c>
      <c r="CS14" s="3">
        <v>72782000</v>
      </c>
      <c r="CT14" s="3">
        <v>5000000</v>
      </c>
      <c r="CU14" s="3">
        <v>77782000</v>
      </c>
      <c r="CV14" s="3">
        <v>0</v>
      </c>
      <c r="CW14" s="3">
        <v>72782000</v>
      </c>
      <c r="CX14" s="3">
        <v>5000000</v>
      </c>
      <c r="CY14" s="3">
        <v>77782000</v>
      </c>
      <c r="CZ14" s="3">
        <v>6864591</v>
      </c>
      <c r="DA14" s="3">
        <v>65917409</v>
      </c>
      <c r="DB14" s="3">
        <v>5000000</v>
      </c>
      <c r="DC14" s="3">
        <v>77782000</v>
      </c>
      <c r="DD14" s="3">
        <v>6864591</v>
      </c>
      <c r="DE14" s="3">
        <v>65917409</v>
      </c>
      <c r="DF14" s="3">
        <v>5000000</v>
      </c>
      <c r="DG14" s="3">
        <v>77782000</v>
      </c>
      <c r="DH14" s="3">
        <v>6864591</v>
      </c>
      <c r="DI14" s="3">
        <v>63495580.859999999</v>
      </c>
      <c r="DJ14" s="3">
        <v>4905642.75</v>
      </c>
      <c r="DK14" s="3">
        <v>75265814.609999999</v>
      </c>
      <c r="DL14" s="3">
        <v>6514270</v>
      </c>
      <c r="DM14" s="3">
        <v>54253604.450000003</v>
      </c>
      <c r="DN14" s="3">
        <v>4107704.03</v>
      </c>
      <c r="DO14" s="3">
        <v>64875578.480000004</v>
      </c>
      <c r="DP14" s="3">
        <v>0</v>
      </c>
      <c r="DQ14" s="3">
        <v>72782000</v>
      </c>
      <c r="DR14" s="3">
        <v>0</v>
      </c>
      <c r="DS14" s="3">
        <v>72782000</v>
      </c>
      <c r="DT14" s="3">
        <v>0</v>
      </c>
      <c r="DU14" s="3">
        <v>72782000</v>
      </c>
      <c r="DV14" s="3">
        <v>0</v>
      </c>
      <c r="DW14" s="3">
        <v>72782000</v>
      </c>
      <c r="DX14" s="3">
        <v>0</v>
      </c>
      <c r="DY14" s="3">
        <v>72782000</v>
      </c>
      <c r="DZ14" s="3">
        <v>0</v>
      </c>
      <c r="EA14" s="3">
        <v>72782000</v>
      </c>
      <c r="EB14" s="6">
        <v>6021616</v>
      </c>
      <c r="EC14" s="6">
        <v>66760384</v>
      </c>
      <c r="ED14" s="6">
        <v>0</v>
      </c>
      <c r="EE14" s="3">
        <v>72782000</v>
      </c>
      <c r="EF14" s="3">
        <v>6021616</v>
      </c>
      <c r="EG14" s="3">
        <v>66760384</v>
      </c>
      <c r="EH14" s="3">
        <v>0</v>
      </c>
      <c r="EI14" s="3">
        <v>72782000</v>
      </c>
      <c r="EJ14" s="3">
        <v>6021616</v>
      </c>
      <c r="EK14" s="3">
        <v>66178814.350000001</v>
      </c>
      <c r="EL14" s="3">
        <v>0</v>
      </c>
      <c r="EM14" s="3">
        <v>72200430.349999994</v>
      </c>
      <c r="EN14" s="3">
        <v>5219482</v>
      </c>
      <c r="EO14" s="3">
        <v>60518767.960000001</v>
      </c>
      <c r="EP14" s="3">
        <v>0</v>
      </c>
      <c r="EQ14" s="3">
        <v>65738249.960000001</v>
      </c>
      <c r="ER14" s="3">
        <v>0</v>
      </c>
      <c r="ES14" s="3">
        <v>78926000</v>
      </c>
      <c r="ET14" s="3">
        <v>0</v>
      </c>
      <c r="EU14" s="3">
        <v>78926000</v>
      </c>
      <c r="EV14" s="3">
        <v>0</v>
      </c>
      <c r="EW14" s="3">
        <v>78926000</v>
      </c>
      <c r="EX14" s="3">
        <v>0</v>
      </c>
      <c r="EY14" s="3">
        <v>78926000</v>
      </c>
      <c r="EZ14" s="3">
        <v>0</v>
      </c>
      <c r="FA14" s="3">
        <v>78926000</v>
      </c>
      <c r="FB14" s="3">
        <v>0</v>
      </c>
      <c r="FC14" s="3">
        <v>78926000</v>
      </c>
      <c r="FD14" s="3">
        <v>6269892</v>
      </c>
      <c r="FE14" s="3">
        <v>72656108</v>
      </c>
      <c r="FF14" s="3">
        <v>0</v>
      </c>
      <c r="FG14" s="3">
        <v>78926000</v>
      </c>
      <c r="FH14" s="6">
        <v>6269892</v>
      </c>
      <c r="FI14" s="6">
        <v>72656108</v>
      </c>
      <c r="FJ14" s="6">
        <v>0</v>
      </c>
      <c r="FK14" s="3">
        <v>78926000</v>
      </c>
      <c r="FL14" s="3">
        <v>6269891.79</v>
      </c>
      <c r="FM14" s="3">
        <v>69274734.530000001</v>
      </c>
      <c r="FN14" s="3">
        <v>0</v>
      </c>
      <c r="FO14" s="3">
        <v>75544626.320000008</v>
      </c>
      <c r="FP14" s="3">
        <v>6264641.79</v>
      </c>
      <c r="FQ14" s="3">
        <v>63356811.329999998</v>
      </c>
      <c r="FR14" s="3">
        <v>0</v>
      </c>
      <c r="FS14" s="3">
        <v>69621453.120000005</v>
      </c>
      <c r="FT14" s="3">
        <v>0</v>
      </c>
      <c r="FU14" s="3">
        <v>86347000</v>
      </c>
      <c r="FV14" s="3">
        <v>0</v>
      </c>
      <c r="FW14" s="3">
        <v>86347000</v>
      </c>
      <c r="FX14" s="3">
        <v>0</v>
      </c>
      <c r="FY14" s="3">
        <v>159742000</v>
      </c>
      <c r="FZ14" s="3">
        <v>26605000</v>
      </c>
      <c r="GA14" s="3">
        <v>186347000</v>
      </c>
      <c r="GB14" s="3">
        <v>0</v>
      </c>
      <c r="GC14" s="3">
        <v>159742000</v>
      </c>
      <c r="GD14" s="3">
        <v>26605000</v>
      </c>
      <c r="GE14" s="3">
        <v>186347000</v>
      </c>
      <c r="GF14" s="6">
        <v>7231368</v>
      </c>
      <c r="GG14" s="6">
        <v>152510632</v>
      </c>
      <c r="GH14" s="6">
        <v>26605000</v>
      </c>
      <c r="GI14" s="6">
        <v>186347000</v>
      </c>
      <c r="GJ14" s="6">
        <v>7231368</v>
      </c>
      <c r="GK14" s="3">
        <v>152510632</v>
      </c>
      <c r="GL14" s="3">
        <v>26605000</v>
      </c>
      <c r="GM14" s="3">
        <v>186347000</v>
      </c>
      <c r="GN14" s="3">
        <v>7231368</v>
      </c>
      <c r="GO14" s="3">
        <v>138864999.33000001</v>
      </c>
      <c r="GP14" s="3">
        <v>16439086.98</v>
      </c>
      <c r="GQ14" s="3">
        <v>162535454.31</v>
      </c>
      <c r="GR14" s="3">
        <v>7092968</v>
      </c>
      <c r="GS14" s="6">
        <v>95132545.519999996</v>
      </c>
      <c r="GT14" s="3">
        <v>488209.25</v>
      </c>
      <c r="GU14" s="3">
        <v>102713722.77</v>
      </c>
      <c r="GV14" s="3">
        <v>0</v>
      </c>
      <c r="GW14" s="3">
        <v>194096000</v>
      </c>
      <c r="GX14" s="3">
        <v>0</v>
      </c>
      <c r="GY14" s="3">
        <v>194096000</v>
      </c>
      <c r="GZ14" s="3">
        <v>0</v>
      </c>
      <c r="HA14" s="3">
        <v>194096000</v>
      </c>
      <c r="HB14" s="3">
        <v>0</v>
      </c>
      <c r="HC14" s="3">
        <v>194096000</v>
      </c>
      <c r="HD14" s="3">
        <v>0</v>
      </c>
      <c r="HE14" s="3">
        <v>194096000</v>
      </c>
      <c r="HF14" s="3">
        <v>0</v>
      </c>
      <c r="HG14" s="3">
        <v>194096000</v>
      </c>
      <c r="HH14" s="3">
        <v>8011271.7999999998</v>
      </c>
      <c r="HI14" s="3">
        <v>186084728.19999999</v>
      </c>
      <c r="HJ14" s="3">
        <v>0</v>
      </c>
      <c r="HK14" s="3">
        <v>194096000</v>
      </c>
      <c r="HL14" s="3">
        <v>8011271.7999999998</v>
      </c>
      <c r="HM14" s="3">
        <v>186084728.19999999</v>
      </c>
      <c r="HN14" s="3">
        <v>0</v>
      </c>
      <c r="HO14" s="3">
        <v>194096000</v>
      </c>
      <c r="HP14" s="3">
        <v>8011271.7999999998</v>
      </c>
      <c r="HQ14" s="3">
        <v>147850172.41</v>
      </c>
      <c r="HR14" s="3">
        <v>0</v>
      </c>
      <c r="HS14" s="3">
        <v>155861444.21000001</v>
      </c>
      <c r="HT14" s="3">
        <v>7996008.7999999998</v>
      </c>
      <c r="HU14" s="3">
        <v>113993493.37</v>
      </c>
      <c r="HV14" s="3">
        <v>0</v>
      </c>
      <c r="HW14" s="3">
        <v>121989502.17</v>
      </c>
      <c r="HX14" s="3">
        <v>0</v>
      </c>
      <c r="HY14" s="3">
        <v>122677000</v>
      </c>
      <c r="HZ14" s="3">
        <v>3000000</v>
      </c>
      <c r="IA14" s="3">
        <v>125677000</v>
      </c>
      <c r="IB14" s="3">
        <v>0</v>
      </c>
      <c r="IC14" s="3">
        <v>122677000</v>
      </c>
      <c r="ID14" s="3">
        <v>3000000</v>
      </c>
      <c r="IE14" s="3">
        <v>125677000</v>
      </c>
      <c r="IF14" s="3"/>
      <c r="IG14" s="3"/>
      <c r="IH14" s="3"/>
      <c r="II14" s="3"/>
      <c r="IJ14" s="3"/>
      <c r="IK14" s="3"/>
      <c r="IL14" s="3"/>
      <c r="IM14" s="3"/>
      <c r="IN14" s="3"/>
      <c r="IO14" s="3"/>
      <c r="IP14" s="3"/>
      <c r="IQ14" s="3"/>
      <c r="IR14" s="3"/>
      <c r="IS14" s="3"/>
      <c r="IT14" s="3"/>
      <c r="IU14" s="3"/>
      <c r="IV14" s="3"/>
      <c r="IW14" s="3"/>
      <c r="IX14" s="3"/>
      <c r="IY14" s="3"/>
      <c r="IZ14" s="3">
        <v>0</v>
      </c>
      <c r="JA14" s="3">
        <v>89497000</v>
      </c>
      <c r="JB14" s="3">
        <v>25000000</v>
      </c>
      <c r="JC14" s="3">
        <v>114497000</v>
      </c>
      <c r="JD14" s="3"/>
      <c r="JE14" s="3"/>
      <c r="JF14" s="3"/>
      <c r="JG14" s="3"/>
    </row>
    <row r="15" spans="1:267" x14ac:dyDescent="0.25">
      <c r="A15" t="s">
        <v>1153</v>
      </c>
      <c r="B15" t="s">
        <v>1154</v>
      </c>
      <c r="C15" t="s">
        <v>199</v>
      </c>
      <c r="D15" t="s">
        <v>200</v>
      </c>
      <c r="E15" t="s">
        <v>224</v>
      </c>
      <c r="F15" t="s">
        <v>239</v>
      </c>
      <c r="G15" t="s">
        <v>1202</v>
      </c>
      <c r="H15" s="3">
        <v>0</v>
      </c>
      <c r="I15" s="3">
        <v>315313000</v>
      </c>
      <c r="J15" s="3">
        <v>5000000</v>
      </c>
      <c r="K15" s="3">
        <v>320313000</v>
      </c>
      <c r="L15" s="3">
        <v>0</v>
      </c>
      <c r="M15" s="3">
        <v>305313000</v>
      </c>
      <c r="N15" s="3">
        <v>15000000</v>
      </c>
      <c r="O15" s="3">
        <v>320313000</v>
      </c>
      <c r="P15" s="3">
        <v>0</v>
      </c>
      <c r="Q15" s="3">
        <v>305313000</v>
      </c>
      <c r="R15" s="3">
        <v>15000000</v>
      </c>
      <c r="S15" s="3">
        <v>320313000</v>
      </c>
      <c r="T15" s="3">
        <v>15535235</v>
      </c>
      <c r="U15" s="3">
        <v>289777765</v>
      </c>
      <c r="V15" s="3">
        <v>15000000</v>
      </c>
      <c r="W15" s="3">
        <v>320313000</v>
      </c>
      <c r="X15" s="6">
        <v>15535235</v>
      </c>
      <c r="Y15" s="3">
        <v>289777765</v>
      </c>
      <c r="Z15" s="3">
        <v>15000000</v>
      </c>
      <c r="AA15" s="3">
        <v>320313000</v>
      </c>
      <c r="AB15" s="3">
        <v>15535235</v>
      </c>
      <c r="AC15" s="3">
        <v>274362500.27999997</v>
      </c>
      <c r="AD15" s="3">
        <v>13718517</v>
      </c>
      <c r="AE15" s="3">
        <v>303616252.27999997</v>
      </c>
      <c r="AF15" s="3">
        <v>15379435</v>
      </c>
      <c r="AG15" s="3">
        <v>211141456.44</v>
      </c>
      <c r="AH15" s="3">
        <v>0</v>
      </c>
      <c r="AI15" s="3">
        <v>226520891.44</v>
      </c>
      <c r="AJ15" s="3">
        <v>0</v>
      </c>
      <c r="AK15" s="3">
        <v>252688000</v>
      </c>
      <c r="AL15" s="3">
        <v>15000000</v>
      </c>
      <c r="AM15" s="3">
        <v>267688000</v>
      </c>
      <c r="AN15" s="3">
        <v>0</v>
      </c>
      <c r="AO15" s="3">
        <v>284568000</v>
      </c>
      <c r="AP15" s="3">
        <v>103952000</v>
      </c>
      <c r="AQ15" s="3">
        <v>388520000</v>
      </c>
      <c r="AR15" s="3">
        <v>0</v>
      </c>
      <c r="AS15" s="3">
        <v>284568000</v>
      </c>
      <c r="AT15" s="3">
        <v>103952000</v>
      </c>
      <c r="AU15" s="3">
        <v>388520000</v>
      </c>
      <c r="AV15" s="3">
        <v>17460678</v>
      </c>
      <c r="AW15" s="3">
        <v>267107322</v>
      </c>
      <c r="AX15" s="3">
        <v>103952000</v>
      </c>
      <c r="AY15" s="3">
        <v>388520000</v>
      </c>
      <c r="AZ15" s="3">
        <v>17460678</v>
      </c>
      <c r="BA15" s="3">
        <v>267107322</v>
      </c>
      <c r="BB15" s="3">
        <v>103952000</v>
      </c>
      <c r="BC15" s="3">
        <v>388520000</v>
      </c>
      <c r="BD15" s="3">
        <v>17460677.989999998</v>
      </c>
      <c r="BE15" s="3">
        <v>258253376.45999998</v>
      </c>
      <c r="BF15" s="3">
        <v>102455736.75</v>
      </c>
      <c r="BG15" s="3">
        <v>378169791.19999999</v>
      </c>
      <c r="BH15" s="3">
        <v>17252049.77</v>
      </c>
      <c r="BI15" s="3">
        <v>201237955.56999999</v>
      </c>
      <c r="BJ15" s="3">
        <v>53598505.049999997</v>
      </c>
      <c r="BK15" s="3">
        <v>272088510.38999999</v>
      </c>
      <c r="BL15" s="3">
        <v>0</v>
      </c>
      <c r="BM15" s="3">
        <v>243834000</v>
      </c>
      <c r="BN15" s="3">
        <v>0</v>
      </c>
      <c r="BO15" s="3">
        <v>243834000</v>
      </c>
      <c r="BP15" s="3">
        <v>0</v>
      </c>
      <c r="BQ15" s="3">
        <v>243834000</v>
      </c>
      <c r="BR15" s="3">
        <v>0</v>
      </c>
      <c r="BS15" s="3">
        <v>243834000</v>
      </c>
      <c r="BT15" s="3">
        <v>0</v>
      </c>
      <c r="BU15" s="3">
        <v>243834000</v>
      </c>
      <c r="BV15" s="3">
        <v>0</v>
      </c>
      <c r="BW15" s="3">
        <v>243834000</v>
      </c>
      <c r="BX15" s="3">
        <v>18175202</v>
      </c>
      <c r="BY15" s="3">
        <v>191814798</v>
      </c>
      <c r="BZ15" s="3">
        <v>0</v>
      </c>
      <c r="CA15" s="3">
        <v>209990000</v>
      </c>
      <c r="CB15" s="6">
        <v>18175202</v>
      </c>
      <c r="CC15" s="6">
        <v>186814798</v>
      </c>
      <c r="CD15" s="6">
        <v>0</v>
      </c>
      <c r="CE15" s="6">
        <v>204990000</v>
      </c>
      <c r="CF15" s="6">
        <v>17985202</v>
      </c>
      <c r="CG15" s="3">
        <v>179069988.96000001</v>
      </c>
      <c r="CH15" s="3">
        <v>0</v>
      </c>
      <c r="CI15" s="3">
        <v>197055190.96000001</v>
      </c>
      <c r="CJ15" s="3">
        <v>15240941</v>
      </c>
      <c r="CK15" s="3">
        <v>138226776.05000001</v>
      </c>
      <c r="CL15" s="3">
        <v>0</v>
      </c>
      <c r="CM15" s="3">
        <v>153467717.05000001</v>
      </c>
      <c r="CN15" s="3">
        <v>0</v>
      </c>
      <c r="CO15" s="3">
        <v>248275000</v>
      </c>
      <c r="CP15" s="3">
        <v>0</v>
      </c>
      <c r="CQ15" s="3">
        <v>248275000</v>
      </c>
      <c r="CR15" s="3">
        <v>0</v>
      </c>
      <c r="CS15" s="3">
        <v>248275000</v>
      </c>
      <c r="CT15" s="3">
        <v>0</v>
      </c>
      <c r="CU15" s="3">
        <v>248275000</v>
      </c>
      <c r="CV15" s="3">
        <v>0</v>
      </c>
      <c r="CW15" s="3">
        <v>248275000</v>
      </c>
      <c r="CX15" s="3">
        <v>0</v>
      </c>
      <c r="CY15" s="3">
        <v>248275000</v>
      </c>
      <c r="CZ15" s="3">
        <v>20815319</v>
      </c>
      <c r="DA15" s="3">
        <v>227459681</v>
      </c>
      <c r="DB15" s="3">
        <v>0</v>
      </c>
      <c r="DC15" s="3">
        <v>248275000</v>
      </c>
      <c r="DD15" s="3">
        <v>20815319</v>
      </c>
      <c r="DE15" s="3">
        <v>227459681</v>
      </c>
      <c r="DF15" s="3">
        <v>0</v>
      </c>
      <c r="DG15" s="3">
        <v>248275000</v>
      </c>
      <c r="DH15" s="3">
        <v>20814985.02</v>
      </c>
      <c r="DI15" s="3">
        <v>222976083.86000001</v>
      </c>
      <c r="DJ15" s="3">
        <v>0</v>
      </c>
      <c r="DK15" s="3">
        <v>243791068.88000003</v>
      </c>
      <c r="DL15" s="3">
        <v>19063467.719999999</v>
      </c>
      <c r="DM15" s="3">
        <v>178763199.97999999</v>
      </c>
      <c r="DN15" s="3">
        <v>0</v>
      </c>
      <c r="DO15" s="3">
        <v>197826667.69999999</v>
      </c>
      <c r="DP15" s="3">
        <v>0</v>
      </c>
      <c r="DQ15" s="3">
        <v>225453000</v>
      </c>
      <c r="DR15" s="3">
        <v>46348000</v>
      </c>
      <c r="DS15" s="3">
        <v>271801000</v>
      </c>
      <c r="DT15" s="3">
        <v>0</v>
      </c>
      <c r="DU15" s="3">
        <v>225453000</v>
      </c>
      <c r="DV15" s="3">
        <v>46348000</v>
      </c>
      <c r="DW15" s="3">
        <v>271801000</v>
      </c>
      <c r="DX15" s="3">
        <v>0</v>
      </c>
      <c r="DY15" s="3">
        <v>225453000</v>
      </c>
      <c r="DZ15" s="3">
        <v>46348000</v>
      </c>
      <c r="EA15" s="3">
        <v>271801000</v>
      </c>
      <c r="EB15" s="6">
        <v>15756107.07</v>
      </c>
      <c r="EC15" s="6">
        <v>209696892.93000001</v>
      </c>
      <c r="ED15" s="6">
        <v>46348000</v>
      </c>
      <c r="EE15" s="3">
        <v>271801000</v>
      </c>
      <c r="EF15" s="3">
        <v>15756107.07</v>
      </c>
      <c r="EG15" s="3">
        <v>209696892.93000001</v>
      </c>
      <c r="EH15" s="3">
        <v>46348000</v>
      </c>
      <c r="EI15" s="3">
        <v>271801000</v>
      </c>
      <c r="EJ15" s="3">
        <v>15756107.07</v>
      </c>
      <c r="EK15" s="3">
        <v>203079753.96000001</v>
      </c>
      <c r="EL15" s="3">
        <v>26428794.66</v>
      </c>
      <c r="EM15" s="3">
        <v>245264655.69</v>
      </c>
      <c r="EN15" s="3">
        <v>10893332.210000001</v>
      </c>
      <c r="EO15" s="3">
        <v>183690032.03999999</v>
      </c>
      <c r="EP15" s="3">
        <v>18732656.559999999</v>
      </c>
      <c r="EQ15" s="3">
        <v>213316020.81</v>
      </c>
      <c r="ER15" s="3">
        <v>0</v>
      </c>
      <c r="ES15" s="3">
        <v>237401000</v>
      </c>
      <c r="ET15" s="3">
        <v>8715000</v>
      </c>
      <c r="EU15" s="3">
        <v>246116000</v>
      </c>
      <c r="EV15" s="3">
        <v>0</v>
      </c>
      <c r="EW15" s="3">
        <v>237401000</v>
      </c>
      <c r="EX15" s="3">
        <v>8715000</v>
      </c>
      <c r="EY15" s="3">
        <v>246116000</v>
      </c>
      <c r="EZ15" s="3">
        <v>0</v>
      </c>
      <c r="FA15" s="3">
        <v>237401000</v>
      </c>
      <c r="FB15" s="3">
        <v>8715000</v>
      </c>
      <c r="FC15" s="3">
        <v>246116000</v>
      </c>
      <c r="FD15" s="3">
        <v>18310775.52</v>
      </c>
      <c r="FE15" s="3">
        <v>219090224.47999999</v>
      </c>
      <c r="FF15" s="3">
        <v>8715000</v>
      </c>
      <c r="FG15" s="3">
        <v>246116000</v>
      </c>
      <c r="FH15" s="6">
        <v>18310775.52</v>
      </c>
      <c r="FI15" s="6">
        <v>219090224.47999999</v>
      </c>
      <c r="FJ15" s="6">
        <v>8715000</v>
      </c>
      <c r="FK15" s="3">
        <v>246116000</v>
      </c>
      <c r="FL15" s="3">
        <v>18310775.52</v>
      </c>
      <c r="FM15" s="3">
        <v>200736559.31999999</v>
      </c>
      <c r="FN15" s="3">
        <v>4153481.25</v>
      </c>
      <c r="FO15" s="3">
        <v>223200816.09</v>
      </c>
      <c r="FP15" s="3">
        <v>18293775.52</v>
      </c>
      <c r="FQ15" s="3">
        <v>180493057.31999999</v>
      </c>
      <c r="FR15" s="3">
        <v>833022.19</v>
      </c>
      <c r="FS15" s="3">
        <v>199619855.03</v>
      </c>
      <c r="FT15" s="3">
        <v>0</v>
      </c>
      <c r="FU15" s="3">
        <v>216637000</v>
      </c>
      <c r="FV15" s="3">
        <v>0</v>
      </c>
      <c r="FW15" s="3">
        <v>216637000</v>
      </c>
      <c r="FX15" s="3">
        <v>0</v>
      </c>
      <c r="FY15" s="3">
        <v>286520000</v>
      </c>
      <c r="FZ15" s="3">
        <v>360117000</v>
      </c>
      <c r="GA15" s="3">
        <v>646637000</v>
      </c>
      <c r="GB15" s="3">
        <v>0</v>
      </c>
      <c r="GC15" s="3">
        <v>286520000</v>
      </c>
      <c r="GD15" s="3">
        <v>360117000</v>
      </c>
      <c r="GE15" s="3">
        <v>646637000</v>
      </c>
      <c r="GF15" s="6">
        <v>15414946</v>
      </c>
      <c r="GG15" s="6">
        <v>271105054</v>
      </c>
      <c r="GH15" s="6">
        <v>360117000</v>
      </c>
      <c r="GI15" s="6">
        <v>646637000</v>
      </c>
      <c r="GJ15" s="6">
        <v>15414946</v>
      </c>
      <c r="GK15" s="3">
        <v>271105054</v>
      </c>
      <c r="GL15" s="3">
        <v>360117000</v>
      </c>
      <c r="GM15" s="3">
        <v>646637000</v>
      </c>
      <c r="GN15" s="3">
        <v>15414946</v>
      </c>
      <c r="GO15" s="3">
        <v>236379694.65000001</v>
      </c>
      <c r="GP15" s="3">
        <v>29515725</v>
      </c>
      <c r="GQ15" s="3">
        <v>281310365.64999998</v>
      </c>
      <c r="GR15" s="3">
        <v>15269471</v>
      </c>
      <c r="GS15" s="6">
        <v>204319288.06999999</v>
      </c>
      <c r="GT15" s="3">
        <v>26288325</v>
      </c>
      <c r="GU15" s="3">
        <v>245877084.06999999</v>
      </c>
      <c r="GV15" s="3">
        <v>0</v>
      </c>
      <c r="GW15" s="3">
        <v>246513000</v>
      </c>
      <c r="GX15" s="3">
        <v>18000000</v>
      </c>
      <c r="GY15" s="3">
        <v>264513000</v>
      </c>
      <c r="GZ15" s="3">
        <v>0</v>
      </c>
      <c r="HA15" s="3">
        <v>246513000</v>
      </c>
      <c r="HB15" s="3">
        <v>46000000</v>
      </c>
      <c r="HC15" s="3">
        <v>292513000</v>
      </c>
      <c r="HD15" s="3">
        <v>0</v>
      </c>
      <c r="HE15" s="3">
        <v>246513000</v>
      </c>
      <c r="HF15" s="3">
        <v>46000000</v>
      </c>
      <c r="HG15" s="3">
        <v>292513000</v>
      </c>
      <c r="HH15" s="3">
        <v>19413288.5</v>
      </c>
      <c r="HI15" s="3">
        <v>227099711.5</v>
      </c>
      <c r="HJ15" s="3">
        <v>46000000</v>
      </c>
      <c r="HK15" s="3">
        <v>292513000</v>
      </c>
      <c r="HL15" s="3">
        <v>19413288.5</v>
      </c>
      <c r="HM15" s="3">
        <v>227099711.5</v>
      </c>
      <c r="HN15" s="3">
        <v>18000000</v>
      </c>
      <c r="HO15" s="3">
        <v>264513000</v>
      </c>
      <c r="HP15" s="3">
        <v>19413288.5</v>
      </c>
      <c r="HQ15" s="3">
        <v>198593081.78999999</v>
      </c>
      <c r="HR15" s="3">
        <v>16044707</v>
      </c>
      <c r="HS15" s="3">
        <v>234051077.28999999</v>
      </c>
      <c r="HT15" s="3">
        <v>18923372.489999998</v>
      </c>
      <c r="HU15" s="3">
        <v>174195681.83000001</v>
      </c>
      <c r="HV15" s="3">
        <v>6788479</v>
      </c>
      <c r="HW15" s="3">
        <v>199907533.32000002</v>
      </c>
      <c r="HX15" s="3">
        <v>0</v>
      </c>
      <c r="HY15" s="3">
        <v>267464000</v>
      </c>
      <c r="HZ15" s="3">
        <v>35700000</v>
      </c>
      <c r="IA15" s="3">
        <v>303164000</v>
      </c>
      <c r="IB15" s="3">
        <v>0</v>
      </c>
      <c r="IC15" s="3">
        <v>345464000</v>
      </c>
      <c r="ID15" s="3">
        <v>77700000</v>
      </c>
      <c r="IE15" s="3">
        <v>423164000</v>
      </c>
      <c r="IF15" s="3"/>
      <c r="IG15" s="3"/>
      <c r="IH15" s="3"/>
      <c r="II15" s="3"/>
      <c r="IJ15" s="3"/>
      <c r="IK15" s="3"/>
      <c r="IL15" s="3"/>
      <c r="IM15" s="3"/>
      <c r="IN15" s="3"/>
      <c r="IO15" s="3"/>
      <c r="IP15" s="3"/>
      <c r="IQ15" s="3"/>
      <c r="IR15" s="3"/>
      <c r="IS15" s="3"/>
      <c r="IT15" s="3"/>
      <c r="IU15" s="3"/>
      <c r="IV15" s="3"/>
      <c r="IW15" s="3"/>
      <c r="IX15" s="3"/>
      <c r="IY15" s="3"/>
      <c r="IZ15" s="3">
        <v>0</v>
      </c>
      <c r="JA15" s="3">
        <v>276541000</v>
      </c>
      <c r="JB15" s="3">
        <v>40800000</v>
      </c>
      <c r="JC15" s="3">
        <v>317341000</v>
      </c>
      <c r="JD15" s="3"/>
      <c r="JE15" s="3"/>
      <c r="JF15" s="3"/>
      <c r="JG15" s="3"/>
    </row>
    <row r="16" spans="1:267" x14ac:dyDescent="0.25">
      <c r="A16" t="s">
        <v>1153</v>
      </c>
      <c r="B16" t="s">
        <v>1154</v>
      </c>
      <c r="C16" t="s">
        <v>199</v>
      </c>
      <c r="D16" t="s">
        <v>200</v>
      </c>
      <c r="E16" t="s">
        <v>224</v>
      </c>
      <c r="F16" t="s">
        <v>1155</v>
      </c>
      <c r="G16" t="s">
        <v>1203</v>
      </c>
      <c r="H16" s="3">
        <v>0</v>
      </c>
      <c r="I16" s="3">
        <v>60000000</v>
      </c>
      <c r="J16" s="3">
        <v>20000000</v>
      </c>
      <c r="K16" s="3">
        <v>80000000</v>
      </c>
      <c r="L16" s="3">
        <v>0</v>
      </c>
      <c r="M16" s="3">
        <v>60000000</v>
      </c>
      <c r="N16" s="3">
        <v>20000000</v>
      </c>
      <c r="O16" s="3">
        <v>80000000</v>
      </c>
      <c r="P16" s="3">
        <v>0</v>
      </c>
      <c r="Q16" s="3">
        <v>60000000</v>
      </c>
      <c r="R16" s="3">
        <v>20000000</v>
      </c>
      <c r="S16" s="3">
        <v>80000000</v>
      </c>
      <c r="T16" s="3">
        <v>0</v>
      </c>
      <c r="U16" s="3">
        <v>60000000</v>
      </c>
      <c r="V16" s="3">
        <v>20000000</v>
      </c>
      <c r="W16" s="3">
        <v>80000000</v>
      </c>
      <c r="X16" s="6">
        <v>0</v>
      </c>
      <c r="Y16" s="3">
        <v>60000000</v>
      </c>
      <c r="Z16" s="3">
        <v>20000000</v>
      </c>
      <c r="AA16" s="3">
        <v>80000000</v>
      </c>
      <c r="AB16" s="3">
        <v>0</v>
      </c>
      <c r="AC16" s="3">
        <v>59753934.850000001</v>
      </c>
      <c r="AD16" s="3">
        <v>16499000</v>
      </c>
      <c r="AE16" s="3">
        <v>76252934.849999994</v>
      </c>
      <c r="AF16" s="3">
        <v>0</v>
      </c>
      <c r="AG16" s="3">
        <v>48794450.969999999</v>
      </c>
      <c r="AH16" s="3">
        <v>0</v>
      </c>
      <c r="AI16" s="3">
        <v>48794450.969999999</v>
      </c>
      <c r="AJ16" s="3">
        <v>0</v>
      </c>
      <c r="AK16" s="3">
        <v>70000000</v>
      </c>
      <c r="AL16" s="3">
        <v>10000000</v>
      </c>
      <c r="AM16" s="3">
        <v>80000000</v>
      </c>
      <c r="AN16" s="3">
        <v>0</v>
      </c>
      <c r="AO16" s="3">
        <v>66000000</v>
      </c>
      <c r="AP16" s="3">
        <v>14000000</v>
      </c>
      <c r="AQ16" s="3">
        <v>80000000</v>
      </c>
      <c r="AR16" s="3">
        <v>0</v>
      </c>
      <c r="AS16" s="3">
        <v>66000000</v>
      </c>
      <c r="AT16" s="3">
        <v>14000000</v>
      </c>
      <c r="AU16" s="3">
        <v>80000000</v>
      </c>
      <c r="AV16" s="3">
        <v>0</v>
      </c>
      <c r="AW16" s="3">
        <v>66000000</v>
      </c>
      <c r="AX16" s="3">
        <v>14000000</v>
      </c>
      <c r="AY16" s="3">
        <v>80000000</v>
      </c>
      <c r="AZ16" s="3">
        <v>0</v>
      </c>
      <c r="BA16" s="3">
        <v>66000000</v>
      </c>
      <c r="BB16" s="3">
        <v>14000000</v>
      </c>
      <c r="BC16" s="3">
        <v>80000000</v>
      </c>
      <c r="BD16" s="3">
        <v>0</v>
      </c>
      <c r="BE16" s="3">
        <v>58578505.57</v>
      </c>
      <c r="BF16" s="3">
        <v>10000000</v>
      </c>
      <c r="BG16" s="3">
        <v>68578505.569999993</v>
      </c>
      <c r="BH16" s="3">
        <v>0</v>
      </c>
      <c r="BI16" s="3">
        <v>47429401.200000003</v>
      </c>
      <c r="BJ16" s="3">
        <v>7500000</v>
      </c>
      <c r="BK16" s="3">
        <v>54929401.200000003</v>
      </c>
      <c r="BL16" s="3">
        <v>0</v>
      </c>
      <c r="BM16" s="3">
        <v>1181700000</v>
      </c>
      <c r="BN16" s="3">
        <v>165300000</v>
      </c>
      <c r="BO16" s="3">
        <v>1347000000</v>
      </c>
      <c r="BP16" s="3">
        <v>0</v>
      </c>
      <c r="BQ16" s="3">
        <v>1222200000</v>
      </c>
      <c r="BR16" s="3">
        <v>124800000</v>
      </c>
      <c r="BS16" s="3">
        <v>1347000000</v>
      </c>
      <c r="BT16" s="3">
        <v>0</v>
      </c>
      <c r="BU16" s="3">
        <v>1222200000</v>
      </c>
      <c r="BV16" s="3">
        <v>124800000</v>
      </c>
      <c r="BW16" s="3">
        <v>1347000000</v>
      </c>
      <c r="BX16" s="3">
        <v>0</v>
      </c>
      <c r="BY16" s="3">
        <v>692200000</v>
      </c>
      <c r="BZ16" s="3">
        <v>654800000</v>
      </c>
      <c r="CA16" s="3">
        <v>1347000000</v>
      </c>
      <c r="CB16" s="6">
        <v>0</v>
      </c>
      <c r="CC16" s="6">
        <v>651700000</v>
      </c>
      <c r="CD16" s="6">
        <v>654800000</v>
      </c>
      <c r="CE16" s="6">
        <v>1306500000</v>
      </c>
      <c r="CF16" s="6">
        <v>0</v>
      </c>
      <c r="CG16" s="3">
        <v>375513514.37</v>
      </c>
      <c r="CH16" s="3">
        <v>106113199</v>
      </c>
      <c r="CI16" s="3">
        <v>481626713.37</v>
      </c>
      <c r="CJ16" s="3">
        <v>0</v>
      </c>
      <c r="CK16" s="3">
        <v>291560332.67000002</v>
      </c>
      <c r="CL16" s="3">
        <v>87259154</v>
      </c>
      <c r="CM16" s="3">
        <v>378819486.67000002</v>
      </c>
      <c r="CN16" s="3">
        <v>0</v>
      </c>
      <c r="CO16" s="3">
        <v>960703000</v>
      </c>
      <c r="CP16" s="3">
        <v>662800000</v>
      </c>
      <c r="CQ16" s="3">
        <v>1623503000</v>
      </c>
      <c r="CR16" s="3">
        <v>0</v>
      </c>
      <c r="CS16" s="3">
        <v>637703000</v>
      </c>
      <c r="CT16" s="3">
        <v>915800000</v>
      </c>
      <c r="CU16" s="3">
        <v>1553503000</v>
      </c>
      <c r="CV16" s="3">
        <v>0</v>
      </c>
      <c r="CW16" s="3">
        <v>637703000</v>
      </c>
      <c r="CX16" s="3">
        <v>915800000</v>
      </c>
      <c r="CY16" s="3">
        <v>1553503000</v>
      </c>
      <c r="CZ16" s="3">
        <v>0</v>
      </c>
      <c r="DA16" s="3">
        <v>878703000</v>
      </c>
      <c r="DB16" s="3">
        <v>674800000</v>
      </c>
      <c r="DC16" s="3">
        <v>1553503000</v>
      </c>
      <c r="DD16" s="3">
        <v>0</v>
      </c>
      <c r="DE16" s="3">
        <v>878703000</v>
      </c>
      <c r="DF16" s="3">
        <v>674800000</v>
      </c>
      <c r="DG16" s="3">
        <v>1553503000</v>
      </c>
      <c r="DH16" s="3">
        <v>0</v>
      </c>
      <c r="DI16" s="3">
        <v>735560901.69000006</v>
      </c>
      <c r="DJ16" s="3">
        <v>643026657.11000001</v>
      </c>
      <c r="DK16" s="3">
        <v>1378587558.8000002</v>
      </c>
      <c r="DL16" s="3">
        <v>0</v>
      </c>
      <c r="DM16" s="3">
        <v>682212610.50999999</v>
      </c>
      <c r="DN16" s="3">
        <v>624139857.23000002</v>
      </c>
      <c r="DO16" s="3">
        <v>1306352467.74</v>
      </c>
      <c r="DP16" s="3">
        <v>0</v>
      </c>
      <c r="DQ16" s="3">
        <v>960703000</v>
      </c>
      <c r="DR16" s="3">
        <v>662800000</v>
      </c>
      <c r="DS16" s="3">
        <v>1623503000</v>
      </c>
      <c r="DT16" s="3">
        <v>0</v>
      </c>
      <c r="DU16" s="3">
        <v>960703000</v>
      </c>
      <c r="DV16" s="3">
        <v>662800000</v>
      </c>
      <c r="DW16" s="3">
        <v>1623503000</v>
      </c>
      <c r="DX16" s="3">
        <v>0</v>
      </c>
      <c r="DY16" s="3">
        <v>960703000</v>
      </c>
      <c r="DZ16" s="3">
        <v>662800000</v>
      </c>
      <c r="EA16" s="3">
        <v>1623503000</v>
      </c>
      <c r="EB16" s="6">
        <v>2880000</v>
      </c>
      <c r="EC16" s="6">
        <v>957823000</v>
      </c>
      <c r="ED16" s="6">
        <v>662800000</v>
      </c>
      <c r="EE16" s="3">
        <v>1623503000</v>
      </c>
      <c r="EF16" s="3">
        <v>2880000</v>
      </c>
      <c r="EG16" s="3">
        <v>957823000</v>
      </c>
      <c r="EH16" s="3">
        <v>662800000</v>
      </c>
      <c r="EI16" s="3">
        <v>1623503000</v>
      </c>
      <c r="EJ16" s="3">
        <v>2880000</v>
      </c>
      <c r="EK16" s="3">
        <v>855139810.23000002</v>
      </c>
      <c r="EL16" s="3">
        <v>530855062.50999999</v>
      </c>
      <c r="EM16" s="3">
        <v>1388874872.74</v>
      </c>
      <c r="EN16" s="3">
        <v>0</v>
      </c>
      <c r="EO16" s="3">
        <v>786701440.30999994</v>
      </c>
      <c r="EP16" s="3">
        <v>490410104.12</v>
      </c>
      <c r="EQ16" s="3">
        <v>1277111544.4299998</v>
      </c>
      <c r="ER16" s="3">
        <v>0</v>
      </c>
      <c r="ES16" s="3">
        <v>990593000</v>
      </c>
      <c r="ET16" s="3">
        <v>562910000</v>
      </c>
      <c r="EU16" s="3">
        <v>1553503000</v>
      </c>
      <c r="EV16" s="3">
        <v>0</v>
      </c>
      <c r="EW16" s="3">
        <v>730593000</v>
      </c>
      <c r="EX16" s="3">
        <v>822910000</v>
      </c>
      <c r="EY16" s="3">
        <v>1553503000</v>
      </c>
      <c r="EZ16" s="3">
        <v>0</v>
      </c>
      <c r="FA16" s="3">
        <v>730593000</v>
      </c>
      <c r="FB16" s="3">
        <v>822910000</v>
      </c>
      <c r="FC16" s="3">
        <v>1553503000</v>
      </c>
      <c r="FD16" s="3">
        <v>0</v>
      </c>
      <c r="FE16" s="3">
        <v>730593000</v>
      </c>
      <c r="FF16" s="3">
        <v>822910000</v>
      </c>
      <c r="FG16" s="3">
        <v>1553503000</v>
      </c>
      <c r="FH16" s="6">
        <v>0</v>
      </c>
      <c r="FI16" s="6">
        <v>730593000</v>
      </c>
      <c r="FJ16" s="6">
        <v>822910000</v>
      </c>
      <c r="FK16" s="3">
        <v>1553503000</v>
      </c>
      <c r="FL16" s="3">
        <v>0</v>
      </c>
      <c r="FM16" s="3">
        <v>579924071.5</v>
      </c>
      <c r="FN16" s="3">
        <v>814081676</v>
      </c>
      <c r="FO16" s="3">
        <v>1394005747.5</v>
      </c>
      <c r="FP16" s="3">
        <v>0</v>
      </c>
      <c r="FQ16" s="3">
        <v>475052230.38999999</v>
      </c>
      <c r="FR16" s="3">
        <v>797505771.14999998</v>
      </c>
      <c r="FS16" s="3">
        <v>1272558001.54</v>
      </c>
      <c r="FT16" s="3">
        <v>0</v>
      </c>
      <c r="FU16" s="3">
        <v>834756000</v>
      </c>
      <c r="FV16" s="3">
        <v>558660000</v>
      </c>
      <c r="FW16" s="3">
        <v>1393416000</v>
      </c>
      <c r="FX16" s="3">
        <v>0</v>
      </c>
      <c r="FY16" s="3">
        <v>774756000</v>
      </c>
      <c r="FZ16" s="3">
        <v>558660000</v>
      </c>
      <c r="GA16" s="3">
        <v>1333416000</v>
      </c>
      <c r="GB16" s="3">
        <v>0</v>
      </c>
      <c r="GC16" s="3">
        <v>774756000</v>
      </c>
      <c r="GD16" s="3">
        <v>558660000</v>
      </c>
      <c r="GE16" s="3">
        <v>1333416000</v>
      </c>
      <c r="GF16" s="6">
        <v>0</v>
      </c>
      <c r="GG16" s="6">
        <v>774756000</v>
      </c>
      <c r="GH16" s="6">
        <v>558660000</v>
      </c>
      <c r="GI16" s="6">
        <v>1333416000</v>
      </c>
      <c r="GJ16" s="6">
        <v>0</v>
      </c>
      <c r="GK16" s="3">
        <v>774756000</v>
      </c>
      <c r="GL16" s="3">
        <v>558660000</v>
      </c>
      <c r="GM16" s="3">
        <v>1333416000</v>
      </c>
      <c r="GN16" s="3">
        <v>0</v>
      </c>
      <c r="GO16" s="3">
        <v>714831700.40999997</v>
      </c>
      <c r="GP16" s="3">
        <v>492182939.56</v>
      </c>
      <c r="GQ16" s="3">
        <v>1207014639.97</v>
      </c>
      <c r="GR16" s="3">
        <v>0</v>
      </c>
      <c r="GS16" s="6">
        <v>613682365.94000006</v>
      </c>
      <c r="GT16" s="3">
        <v>475950325.98000002</v>
      </c>
      <c r="GU16" s="3">
        <v>1089632691.9200001</v>
      </c>
      <c r="GV16" s="3">
        <v>0</v>
      </c>
      <c r="GW16" s="3">
        <v>806631000</v>
      </c>
      <c r="GX16" s="3">
        <v>632660000</v>
      </c>
      <c r="GY16" s="3">
        <v>1439291000</v>
      </c>
      <c r="GZ16" s="3">
        <v>0</v>
      </c>
      <c r="HA16" s="3">
        <v>680687000</v>
      </c>
      <c r="HB16" s="3">
        <v>558604000</v>
      </c>
      <c r="HC16" s="3">
        <v>1239291000</v>
      </c>
      <c r="HD16" s="3">
        <v>0</v>
      </c>
      <c r="HE16" s="3">
        <v>680687000</v>
      </c>
      <c r="HF16" s="3">
        <v>558604000</v>
      </c>
      <c r="HG16" s="3">
        <v>1239291000</v>
      </c>
      <c r="HH16" s="3">
        <v>0</v>
      </c>
      <c r="HI16" s="3">
        <v>680687000</v>
      </c>
      <c r="HJ16" s="3">
        <v>558604000</v>
      </c>
      <c r="HK16" s="3">
        <v>1239291000</v>
      </c>
      <c r="HL16" s="3">
        <v>0</v>
      </c>
      <c r="HM16" s="3">
        <v>680687000</v>
      </c>
      <c r="HN16" s="3">
        <v>558604000</v>
      </c>
      <c r="HO16" s="3">
        <v>1239291000</v>
      </c>
      <c r="HP16" s="3">
        <v>0</v>
      </c>
      <c r="HQ16" s="3">
        <v>653364064.29999995</v>
      </c>
      <c r="HR16" s="3">
        <v>510345330.73000002</v>
      </c>
      <c r="HS16" s="3">
        <v>1163709395.03</v>
      </c>
      <c r="HT16" s="3">
        <v>0</v>
      </c>
      <c r="HU16" s="3">
        <v>612642535.98000002</v>
      </c>
      <c r="HV16" s="3">
        <v>494868764.05000001</v>
      </c>
      <c r="HW16" s="3">
        <v>1107511300.03</v>
      </c>
      <c r="HX16" s="3">
        <v>0</v>
      </c>
      <c r="HY16" s="3">
        <v>696894000</v>
      </c>
      <c r="HZ16" s="3">
        <v>542397000</v>
      </c>
      <c r="IA16" s="3">
        <v>1239291000</v>
      </c>
      <c r="IB16" s="3">
        <v>0</v>
      </c>
      <c r="IC16" s="3">
        <v>696894000</v>
      </c>
      <c r="ID16" s="3">
        <v>542397000</v>
      </c>
      <c r="IE16" s="3">
        <v>1239291000</v>
      </c>
      <c r="IF16" s="3"/>
      <c r="IG16" s="3"/>
      <c r="IH16" s="3"/>
      <c r="II16" s="3"/>
      <c r="IJ16" s="3"/>
      <c r="IK16" s="3"/>
      <c r="IL16" s="3"/>
      <c r="IM16" s="3"/>
      <c r="IN16" s="3"/>
      <c r="IO16" s="3"/>
      <c r="IP16" s="3"/>
      <c r="IQ16" s="3"/>
      <c r="IR16" s="3"/>
      <c r="IS16" s="3"/>
      <c r="IT16" s="3"/>
      <c r="IU16" s="3"/>
      <c r="IV16" s="3"/>
      <c r="IW16" s="3"/>
      <c r="IX16" s="3"/>
      <c r="IY16" s="3"/>
      <c r="IZ16" s="3">
        <v>0</v>
      </c>
      <c r="JA16" s="3">
        <v>822467000</v>
      </c>
      <c r="JB16" s="3">
        <v>322059000</v>
      </c>
      <c r="JC16" s="3">
        <v>1144526000</v>
      </c>
      <c r="JD16" s="3"/>
      <c r="JE16" s="3"/>
      <c r="JF16" s="3"/>
      <c r="JG16" s="3"/>
    </row>
    <row r="17" spans="1:267" x14ac:dyDescent="0.25">
      <c r="A17" t="s">
        <v>1153</v>
      </c>
      <c r="B17" t="s">
        <v>1154</v>
      </c>
      <c r="C17" t="s">
        <v>199</v>
      </c>
      <c r="D17" t="s">
        <v>200</v>
      </c>
      <c r="E17" t="s">
        <v>224</v>
      </c>
      <c r="F17" t="s">
        <v>1156</v>
      </c>
      <c r="G17" t="s">
        <v>1242</v>
      </c>
      <c r="H17" s="3"/>
      <c r="I17" s="3"/>
      <c r="J17" s="3"/>
      <c r="K17" s="3"/>
      <c r="L17" s="3"/>
      <c r="M17" s="3"/>
      <c r="N17" s="3"/>
      <c r="O17" s="3"/>
      <c r="P17" s="3"/>
      <c r="Q17" s="3"/>
      <c r="R17" s="3"/>
      <c r="S17" s="3"/>
      <c r="T17" s="3"/>
      <c r="U17" s="3"/>
      <c r="V17" s="3"/>
      <c r="W17" s="3"/>
      <c r="X17" s="6"/>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5"/>
      <c r="BE17" s="5"/>
      <c r="BF17" s="3"/>
      <c r="BG17" s="3"/>
      <c r="BH17" s="5"/>
      <c r="BI17" s="5"/>
      <c r="BJ17" s="5"/>
      <c r="BK17" s="3"/>
      <c r="BL17" s="3">
        <v>0</v>
      </c>
      <c r="BM17" s="3">
        <v>0</v>
      </c>
      <c r="BN17" s="3">
        <v>0</v>
      </c>
      <c r="BO17" s="3">
        <v>0</v>
      </c>
      <c r="BP17" s="3">
        <v>21645000</v>
      </c>
      <c r="BQ17" s="3">
        <v>93618000</v>
      </c>
      <c r="BR17" s="3">
        <v>0</v>
      </c>
      <c r="BS17" s="3">
        <v>115263000</v>
      </c>
      <c r="BT17" s="3">
        <v>21645000</v>
      </c>
      <c r="BU17" s="3">
        <v>93618000</v>
      </c>
      <c r="BV17" s="3">
        <v>0</v>
      </c>
      <c r="BW17" s="3">
        <v>115263000</v>
      </c>
      <c r="BX17" s="3">
        <v>21773707.84</v>
      </c>
      <c r="BY17" s="3">
        <v>78543000</v>
      </c>
      <c r="BZ17" s="3">
        <v>0</v>
      </c>
      <c r="CA17" s="3">
        <v>100316707.84</v>
      </c>
      <c r="CB17" s="6">
        <v>2626639.84</v>
      </c>
      <c r="CC17" s="6">
        <v>78543000</v>
      </c>
      <c r="CD17" s="6">
        <v>0</v>
      </c>
      <c r="CE17" s="6">
        <v>81169639.840000004</v>
      </c>
      <c r="CF17" s="6">
        <v>2626639.81</v>
      </c>
      <c r="CG17" s="3">
        <v>41298359.259999998</v>
      </c>
      <c r="CH17" s="3">
        <v>0</v>
      </c>
      <c r="CI17" s="3">
        <v>43924999.07</v>
      </c>
      <c r="CJ17" s="3">
        <v>1109596.3999999999</v>
      </c>
      <c r="CK17" s="3">
        <v>20667033.629999999</v>
      </c>
      <c r="CL17" s="3">
        <v>0</v>
      </c>
      <c r="CM17" s="3">
        <v>21776630.029999997</v>
      </c>
      <c r="CN17" s="3">
        <v>9762000</v>
      </c>
      <c r="CO17" s="3">
        <v>93618000</v>
      </c>
      <c r="CP17" s="3">
        <v>0</v>
      </c>
      <c r="CQ17" s="3">
        <v>103380000</v>
      </c>
      <c r="CR17" s="3">
        <v>9762000</v>
      </c>
      <c r="CS17" s="3">
        <v>88618000</v>
      </c>
      <c r="CT17" s="3">
        <v>5000000</v>
      </c>
      <c r="CU17" s="3">
        <v>103380000</v>
      </c>
      <c r="CV17" s="3">
        <v>9762000</v>
      </c>
      <c r="CW17" s="3">
        <v>88618000</v>
      </c>
      <c r="CX17" s="3">
        <v>5000000</v>
      </c>
      <c r="CY17" s="3">
        <v>103380000</v>
      </c>
      <c r="CZ17" s="3">
        <v>9255860.0800000001</v>
      </c>
      <c r="DA17" s="3">
        <v>88368000</v>
      </c>
      <c r="DB17" s="3">
        <v>5000000</v>
      </c>
      <c r="DC17" s="3">
        <v>102623860.08</v>
      </c>
      <c r="DD17" s="3">
        <v>9255860.0800000001</v>
      </c>
      <c r="DE17" s="3">
        <v>88368000</v>
      </c>
      <c r="DF17" s="3">
        <v>5000000</v>
      </c>
      <c r="DG17" s="3">
        <v>102623860.08</v>
      </c>
      <c r="DH17" s="3">
        <v>9255860.0800000001</v>
      </c>
      <c r="DI17" s="3">
        <v>77834554.950000003</v>
      </c>
      <c r="DJ17" s="3">
        <v>4990480</v>
      </c>
      <c r="DK17" s="3">
        <v>92080895.030000001</v>
      </c>
      <c r="DL17" s="3">
        <v>8779823.4700000007</v>
      </c>
      <c r="DM17" s="3">
        <v>61825199.25</v>
      </c>
      <c r="DN17" s="3">
        <v>4542857.1500000004</v>
      </c>
      <c r="DO17" s="3">
        <v>75147879.870000005</v>
      </c>
      <c r="DP17" s="3">
        <v>8977000</v>
      </c>
      <c r="DQ17" s="3">
        <v>76318000</v>
      </c>
      <c r="DR17" s="3">
        <v>17300000</v>
      </c>
      <c r="DS17" s="3">
        <v>102595000</v>
      </c>
      <c r="DT17" s="3">
        <v>8977000</v>
      </c>
      <c r="DU17" s="3">
        <v>76318000</v>
      </c>
      <c r="DV17" s="3">
        <v>17300000</v>
      </c>
      <c r="DW17" s="3">
        <v>102595000</v>
      </c>
      <c r="DX17" s="3">
        <v>8977000</v>
      </c>
      <c r="DY17" s="3">
        <v>76318000</v>
      </c>
      <c r="DZ17" s="3">
        <v>17300000</v>
      </c>
      <c r="EA17" s="3">
        <v>102595000</v>
      </c>
      <c r="EB17" s="6">
        <v>9218666.6600000001</v>
      </c>
      <c r="EC17" s="6">
        <v>76076333.340000004</v>
      </c>
      <c r="ED17" s="6">
        <v>17300000</v>
      </c>
      <c r="EE17" s="3">
        <v>102595000</v>
      </c>
      <c r="EF17" s="3">
        <v>9218666.6600000001</v>
      </c>
      <c r="EG17" s="3">
        <v>76076333.340000004</v>
      </c>
      <c r="EH17" s="3">
        <v>17300000</v>
      </c>
      <c r="EI17" s="3">
        <v>102595000</v>
      </c>
      <c r="EJ17" s="3">
        <v>9218666.6600000001</v>
      </c>
      <c r="EK17" s="3">
        <v>71600358.150000006</v>
      </c>
      <c r="EL17" s="3">
        <v>13726999.42</v>
      </c>
      <c r="EM17" s="3">
        <v>94546024.230000004</v>
      </c>
      <c r="EN17" s="3">
        <v>9212416.6600000001</v>
      </c>
      <c r="EO17" s="3">
        <v>60866726.75</v>
      </c>
      <c r="EP17" s="3">
        <v>1237500.03</v>
      </c>
      <c r="EQ17" s="3">
        <v>71316643.439999998</v>
      </c>
      <c r="ER17" s="3">
        <v>15033000</v>
      </c>
      <c r="ES17" s="3">
        <v>88618000</v>
      </c>
      <c r="ET17" s="3">
        <v>0</v>
      </c>
      <c r="EU17" s="3">
        <v>103651000</v>
      </c>
      <c r="EV17" s="3">
        <v>15033000</v>
      </c>
      <c r="EW17" s="3">
        <v>88618000</v>
      </c>
      <c r="EX17" s="3">
        <v>0</v>
      </c>
      <c r="EY17" s="3">
        <v>103651000</v>
      </c>
      <c r="EZ17" s="3">
        <v>15033000</v>
      </c>
      <c r="FA17" s="3">
        <v>88618000</v>
      </c>
      <c r="FB17" s="3">
        <v>0</v>
      </c>
      <c r="FC17" s="3">
        <v>103651000</v>
      </c>
      <c r="FD17" s="3">
        <v>15393000</v>
      </c>
      <c r="FE17" s="3">
        <v>88258000</v>
      </c>
      <c r="FF17" s="3">
        <v>0</v>
      </c>
      <c r="FG17" s="3">
        <v>103651000</v>
      </c>
      <c r="FH17" s="6">
        <v>15393000</v>
      </c>
      <c r="FI17" s="6">
        <v>88258000</v>
      </c>
      <c r="FJ17" s="6">
        <v>0</v>
      </c>
      <c r="FK17" s="3">
        <v>103651000</v>
      </c>
      <c r="FL17" s="3">
        <v>15393000</v>
      </c>
      <c r="FM17" s="3">
        <v>75881331.359999999</v>
      </c>
      <c r="FN17" s="3">
        <v>0</v>
      </c>
      <c r="FO17" s="3">
        <v>91274331.359999999</v>
      </c>
      <c r="FP17" s="3">
        <v>15393000</v>
      </c>
      <c r="FQ17" s="3">
        <v>66182740.219999999</v>
      </c>
      <c r="FR17" s="3">
        <v>0</v>
      </c>
      <c r="FS17" s="3">
        <v>81575740.219999999</v>
      </c>
      <c r="FT17" s="3">
        <v>11132000</v>
      </c>
      <c r="FU17" s="3">
        <v>83437000</v>
      </c>
      <c r="FV17" s="3">
        <v>13800000</v>
      </c>
      <c r="FW17" s="3">
        <v>108369000</v>
      </c>
      <c r="FX17" s="3">
        <v>11132000</v>
      </c>
      <c r="FY17" s="3">
        <v>83437000</v>
      </c>
      <c r="FZ17" s="3">
        <v>13800000</v>
      </c>
      <c r="GA17" s="3">
        <v>108369000</v>
      </c>
      <c r="GB17" s="3">
        <v>11132000</v>
      </c>
      <c r="GC17" s="3">
        <v>83437000</v>
      </c>
      <c r="GD17" s="3">
        <v>13800000</v>
      </c>
      <c r="GE17" s="3">
        <v>108369000</v>
      </c>
      <c r="GF17" s="6">
        <v>9554000</v>
      </c>
      <c r="GG17" s="6">
        <v>83215000</v>
      </c>
      <c r="GH17" s="6">
        <v>13800000</v>
      </c>
      <c r="GI17" s="6">
        <v>106569000</v>
      </c>
      <c r="GJ17" s="6">
        <v>9554000</v>
      </c>
      <c r="GK17" s="3">
        <v>83215000</v>
      </c>
      <c r="GL17" s="3">
        <v>13800000</v>
      </c>
      <c r="GM17" s="3">
        <v>106569000</v>
      </c>
      <c r="GN17" s="3">
        <v>9554000</v>
      </c>
      <c r="GO17" s="3">
        <v>74723597.989999995</v>
      </c>
      <c r="GP17" s="3">
        <v>8679992</v>
      </c>
      <c r="GQ17" s="3">
        <v>92957589.989999995</v>
      </c>
      <c r="GR17" s="3">
        <v>9554000</v>
      </c>
      <c r="GS17" s="6">
        <v>66731540.020000003</v>
      </c>
      <c r="GT17" s="3">
        <v>8679992</v>
      </c>
      <c r="GU17" s="3">
        <v>84965532.020000011</v>
      </c>
      <c r="GV17" s="3">
        <v>12500000</v>
      </c>
      <c r="GW17" s="3">
        <v>84939000</v>
      </c>
      <c r="GX17" s="3">
        <v>0</v>
      </c>
      <c r="GY17" s="3">
        <v>97439000</v>
      </c>
      <c r="GZ17" s="3">
        <v>12500000</v>
      </c>
      <c r="HA17" s="3">
        <v>84939000</v>
      </c>
      <c r="HB17" s="3">
        <v>0</v>
      </c>
      <c r="HC17" s="3">
        <v>97439000</v>
      </c>
      <c r="HD17" s="3">
        <v>12500000</v>
      </c>
      <c r="HE17" s="3">
        <v>84939000</v>
      </c>
      <c r="HF17" s="3">
        <v>0</v>
      </c>
      <c r="HG17" s="3">
        <v>97439000</v>
      </c>
      <c r="HH17" s="3">
        <v>12894667</v>
      </c>
      <c r="HI17" s="3">
        <v>84544333</v>
      </c>
      <c r="HJ17" s="3">
        <v>0</v>
      </c>
      <c r="HK17" s="3">
        <v>97439000</v>
      </c>
      <c r="HL17" s="3">
        <v>12894667</v>
      </c>
      <c r="HM17" s="3">
        <v>84544333</v>
      </c>
      <c r="HN17" s="3">
        <v>0</v>
      </c>
      <c r="HO17" s="3">
        <v>97439000</v>
      </c>
      <c r="HP17" s="3">
        <v>12894667</v>
      </c>
      <c r="HQ17" s="3">
        <v>66340304.93</v>
      </c>
      <c r="HR17" s="3">
        <v>0</v>
      </c>
      <c r="HS17" s="3">
        <v>79234971.930000007</v>
      </c>
      <c r="HT17" s="3">
        <v>12894667</v>
      </c>
      <c r="HU17" s="3">
        <v>61813374.780000001</v>
      </c>
      <c r="HV17" s="3">
        <v>0</v>
      </c>
      <c r="HW17" s="3">
        <v>74708041.780000001</v>
      </c>
      <c r="HX17" s="3">
        <v>16989000</v>
      </c>
      <c r="HY17" s="3">
        <v>86468000</v>
      </c>
      <c r="HZ17" s="3">
        <v>0</v>
      </c>
      <c r="IA17" s="3">
        <v>103457000</v>
      </c>
      <c r="IB17" s="3">
        <v>16989000</v>
      </c>
      <c r="IC17" s="3">
        <v>86468000</v>
      </c>
      <c r="ID17" s="3">
        <v>0</v>
      </c>
      <c r="IE17" s="3">
        <v>103457000</v>
      </c>
      <c r="IF17" s="3"/>
      <c r="IG17" s="3"/>
      <c r="IH17" s="3"/>
      <c r="II17" s="3"/>
      <c r="IJ17" s="3"/>
      <c r="IK17" s="3"/>
      <c r="IL17" s="3"/>
      <c r="IM17" s="3"/>
      <c r="IN17" s="3"/>
      <c r="IO17" s="3"/>
      <c r="IP17" s="3"/>
      <c r="IQ17" s="3"/>
      <c r="IR17" s="3"/>
      <c r="IS17" s="3"/>
      <c r="IT17" s="3"/>
      <c r="IU17" s="3"/>
      <c r="IV17" s="3"/>
      <c r="IW17" s="3"/>
      <c r="IX17" s="3"/>
      <c r="IY17" s="3"/>
      <c r="IZ17" s="3">
        <v>17616000</v>
      </c>
      <c r="JA17" s="3">
        <v>86468000</v>
      </c>
      <c r="JB17" s="3">
        <v>0</v>
      </c>
      <c r="JC17" s="3">
        <v>104084000</v>
      </c>
      <c r="JD17" s="3"/>
      <c r="JE17" s="3"/>
      <c r="JF17" s="3"/>
      <c r="JG17" s="3"/>
    </row>
    <row r="18" spans="1:267" x14ac:dyDescent="0.25">
      <c r="A18" t="s">
        <v>1153</v>
      </c>
      <c r="B18" t="s">
        <v>1154</v>
      </c>
      <c r="C18" t="s">
        <v>199</v>
      </c>
      <c r="D18" t="s">
        <v>200</v>
      </c>
      <c r="E18" t="s">
        <v>224</v>
      </c>
      <c r="F18" t="s">
        <v>1157</v>
      </c>
      <c r="G18" t="s">
        <v>1204</v>
      </c>
      <c r="H18" s="3">
        <v>1051366000</v>
      </c>
      <c r="I18" s="3">
        <v>398918000</v>
      </c>
      <c r="J18" s="3">
        <v>0</v>
      </c>
      <c r="K18" s="3">
        <v>1450284000</v>
      </c>
      <c r="L18" s="3">
        <v>1051366000</v>
      </c>
      <c r="M18" s="3">
        <v>398918000</v>
      </c>
      <c r="N18" s="3">
        <v>0</v>
      </c>
      <c r="O18" s="3">
        <v>1450284000</v>
      </c>
      <c r="P18" s="3">
        <v>1051366000</v>
      </c>
      <c r="Q18" s="3">
        <v>398918000</v>
      </c>
      <c r="R18" s="3">
        <v>0</v>
      </c>
      <c r="S18" s="3">
        <v>1450284000</v>
      </c>
      <c r="T18" s="3">
        <v>1088502469</v>
      </c>
      <c r="U18" s="3">
        <v>361781531</v>
      </c>
      <c r="V18" s="3">
        <v>0</v>
      </c>
      <c r="W18" s="3">
        <v>1450284000</v>
      </c>
      <c r="X18" s="6">
        <v>1088502469</v>
      </c>
      <c r="Y18" s="3">
        <v>361781531</v>
      </c>
      <c r="Z18" s="3">
        <v>0</v>
      </c>
      <c r="AA18" s="3">
        <v>1450284000</v>
      </c>
      <c r="AB18" s="3">
        <v>1088412166.6700001</v>
      </c>
      <c r="AC18" s="3">
        <v>354044184.32999998</v>
      </c>
      <c r="AD18" s="3">
        <v>0</v>
      </c>
      <c r="AE18" s="3">
        <v>1442456351</v>
      </c>
      <c r="AF18" s="3">
        <v>1077074203.8800001</v>
      </c>
      <c r="AG18" s="3">
        <v>304312991.31</v>
      </c>
      <c r="AH18" s="3">
        <v>0</v>
      </c>
      <c r="AI18" s="3">
        <v>1381387195.1900001</v>
      </c>
      <c r="AJ18" s="3">
        <v>1138455000</v>
      </c>
      <c r="AK18" s="3">
        <v>398918000</v>
      </c>
      <c r="AL18" s="3">
        <v>0</v>
      </c>
      <c r="AM18" s="3">
        <v>1537373000</v>
      </c>
      <c r="AN18" s="3">
        <v>1138455000</v>
      </c>
      <c r="AO18" s="3">
        <v>386822000</v>
      </c>
      <c r="AP18" s="3">
        <v>0</v>
      </c>
      <c r="AQ18" s="3">
        <v>1525277000</v>
      </c>
      <c r="AR18" s="3">
        <v>1138455000</v>
      </c>
      <c r="AS18" s="3">
        <v>386822000</v>
      </c>
      <c r="AT18" s="3">
        <v>0</v>
      </c>
      <c r="AU18" s="3">
        <v>1525277000</v>
      </c>
      <c r="AV18" s="3">
        <v>1171791273</v>
      </c>
      <c r="AW18" s="3">
        <v>353485727</v>
      </c>
      <c r="AX18" s="3">
        <v>0</v>
      </c>
      <c r="AY18" s="3">
        <v>1525277000</v>
      </c>
      <c r="AZ18" s="3">
        <v>1171791273</v>
      </c>
      <c r="BA18" s="3">
        <v>353485727</v>
      </c>
      <c r="BB18" s="3">
        <v>0</v>
      </c>
      <c r="BC18" s="3">
        <v>1525277000</v>
      </c>
      <c r="BD18" s="3">
        <v>1171788411.3800001</v>
      </c>
      <c r="BE18" s="3">
        <v>342397060.37</v>
      </c>
      <c r="BF18" s="3">
        <v>0</v>
      </c>
      <c r="BG18" s="3">
        <v>1514185471.75</v>
      </c>
      <c r="BH18" s="3">
        <v>1163808378.5599999</v>
      </c>
      <c r="BI18" s="3">
        <v>300611843.31999999</v>
      </c>
      <c r="BJ18" s="3">
        <v>0</v>
      </c>
      <c r="BK18" s="3">
        <v>1464420221.8799999</v>
      </c>
      <c r="BL18" s="3">
        <v>1164093000</v>
      </c>
      <c r="BM18" s="3">
        <v>396918000</v>
      </c>
      <c r="BN18" s="3">
        <v>0</v>
      </c>
      <c r="BO18" s="3">
        <v>1561011000</v>
      </c>
      <c r="BP18" s="3">
        <v>1164093000</v>
      </c>
      <c r="BQ18" s="3">
        <v>834918000</v>
      </c>
      <c r="BR18" s="3">
        <v>12000000</v>
      </c>
      <c r="BS18" s="3">
        <v>2011011000</v>
      </c>
      <c r="BT18" s="3">
        <v>1164093000</v>
      </c>
      <c r="BU18" s="3">
        <v>834918000</v>
      </c>
      <c r="BV18" s="3">
        <v>12000000</v>
      </c>
      <c r="BW18" s="3">
        <v>2011011000</v>
      </c>
      <c r="BX18" s="3">
        <v>1200747842</v>
      </c>
      <c r="BY18" s="3">
        <v>769394158</v>
      </c>
      <c r="BZ18" s="3">
        <v>12000000</v>
      </c>
      <c r="CA18" s="3">
        <v>1982142000</v>
      </c>
      <c r="CB18" s="6">
        <v>1200747842</v>
      </c>
      <c r="CC18" s="6">
        <v>331394158</v>
      </c>
      <c r="CD18" s="6">
        <v>0</v>
      </c>
      <c r="CE18" s="6">
        <v>1532142000</v>
      </c>
      <c r="CF18" s="6">
        <v>1200156486.25</v>
      </c>
      <c r="CG18" s="3">
        <v>311230624.37</v>
      </c>
      <c r="CH18" s="3">
        <v>0</v>
      </c>
      <c r="CI18" s="3">
        <v>1511387110.6199999</v>
      </c>
      <c r="CJ18" s="3">
        <v>1180742696.46</v>
      </c>
      <c r="CK18" s="3">
        <v>254005950.65000001</v>
      </c>
      <c r="CL18" s="3">
        <v>0</v>
      </c>
      <c r="CM18" s="3">
        <v>1434748647.1100001</v>
      </c>
      <c r="CN18" s="3">
        <v>1229972000</v>
      </c>
      <c r="CO18" s="3">
        <v>393245000</v>
      </c>
      <c r="CP18" s="3">
        <v>0</v>
      </c>
      <c r="CQ18" s="3">
        <v>1623217000</v>
      </c>
      <c r="CR18" s="3">
        <v>1229972000</v>
      </c>
      <c r="CS18" s="3">
        <v>393245000</v>
      </c>
      <c r="CT18" s="3">
        <v>0</v>
      </c>
      <c r="CU18" s="3">
        <v>1623217000</v>
      </c>
      <c r="CV18" s="3">
        <v>1229972000</v>
      </c>
      <c r="CW18" s="3">
        <v>393245000</v>
      </c>
      <c r="CX18" s="3">
        <v>0</v>
      </c>
      <c r="CY18" s="3">
        <v>1623217000</v>
      </c>
      <c r="CZ18" s="3">
        <v>1262043493.72</v>
      </c>
      <c r="DA18" s="3">
        <v>355492536</v>
      </c>
      <c r="DB18" s="3">
        <v>0</v>
      </c>
      <c r="DC18" s="3">
        <v>1617536029.72</v>
      </c>
      <c r="DD18" s="3">
        <v>1262043493.72</v>
      </c>
      <c r="DE18" s="3">
        <v>355492536</v>
      </c>
      <c r="DF18" s="3">
        <v>0</v>
      </c>
      <c r="DG18" s="3">
        <v>1617536029.72</v>
      </c>
      <c r="DH18" s="3">
        <v>1262039291.97</v>
      </c>
      <c r="DI18" s="3">
        <v>340381097.47000003</v>
      </c>
      <c r="DJ18" s="3">
        <v>0</v>
      </c>
      <c r="DK18" s="3">
        <v>1602420389.4400001</v>
      </c>
      <c r="DL18" s="3">
        <v>1248959252.8599999</v>
      </c>
      <c r="DM18" s="3">
        <v>305468339.66000003</v>
      </c>
      <c r="DN18" s="3">
        <v>0</v>
      </c>
      <c r="DO18" s="3">
        <v>1554427592.52</v>
      </c>
      <c r="DP18" s="3">
        <v>1270396000</v>
      </c>
      <c r="DQ18" s="3">
        <v>393245000</v>
      </c>
      <c r="DR18" s="3">
        <v>22100000</v>
      </c>
      <c r="DS18" s="3">
        <v>1685741000</v>
      </c>
      <c r="DT18" s="3">
        <v>1270396000</v>
      </c>
      <c r="DU18" s="3">
        <v>493245000</v>
      </c>
      <c r="DV18" s="3">
        <v>22100000</v>
      </c>
      <c r="DW18" s="3">
        <v>1785741000</v>
      </c>
      <c r="DX18" s="3">
        <v>1270396000</v>
      </c>
      <c r="DY18" s="3">
        <v>493245000</v>
      </c>
      <c r="DZ18" s="3">
        <v>22100000</v>
      </c>
      <c r="EA18" s="3">
        <v>1785741000</v>
      </c>
      <c r="EB18" s="6">
        <v>1299761747.4200001</v>
      </c>
      <c r="EC18" s="6">
        <v>456877536.05000001</v>
      </c>
      <c r="ED18" s="6">
        <v>22100000</v>
      </c>
      <c r="EE18" s="3">
        <v>1778739283.47</v>
      </c>
      <c r="EF18" s="3">
        <v>1299761747.4200001</v>
      </c>
      <c r="EG18" s="3">
        <v>456877536.05000001</v>
      </c>
      <c r="EH18" s="3">
        <v>22100000</v>
      </c>
      <c r="EI18" s="3">
        <v>1778739283.47</v>
      </c>
      <c r="EJ18" s="3">
        <v>1299760815.9100001</v>
      </c>
      <c r="EK18" s="3">
        <v>441740730.05000001</v>
      </c>
      <c r="EL18" s="3">
        <v>21957500</v>
      </c>
      <c r="EM18" s="3">
        <v>1763459045.96</v>
      </c>
      <c r="EN18" s="3">
        <v>1271260970.03</v>
      </c>
      <c r="EO18" s="3">
        <v>397909620.88</v>
      </c>
      <c r="EP18" s="3">
        <v>14580000</v>
      </c>
      <c r="EQ18" s="3">
        <v>1683750590.9099998</v>
      </c>
      <c r="ER18" s="3">
        <v>1296978000</v>
      </c>
      <c r="ES18" s="3">
        <v>389660000</v>
      </c>
      <c r="ET18" s="3">
        <v>0</v>
      </c>
      <c r="EU18" s="3">
        <v>1686638000</v>
      </c>
      <c r="EV18" s="3">
        <v>1296978000</v>
      </c>
      <c r="EW18" s="3">
        <v>419660000</v>
      </c>
      <c r="EX18" s="3">
        <v>0</v>
      </c>
      <c r="EY18" s="3">
        <v>1716638000</v>
      </c>
      <c r="EZ18" s="3">
        <v>1296978000</v>
      </c>
      <c r="FA18" s="3">
        <v>419660000</v>
      </c>
      <c r="FB18" s="3">
        <v>0</v>
      </c>
      <c r="FC18" s="3">
        <v>1716638000</v>
      </c>
      <c r="FD18" s="3">
        <v>1330095776.03</v>
      </c>
      <c r="FE18" s="3">
        <v>383793585.43000001</v>
      </c>
      <c r="FF18" s="3">
        <v>780000</v>
      </c>
      <c r="FG18" s="3">
        <v>1714669361.46</v>
      </c>
      <c r="FH18" s="6">
        <v>1330095776.03</v>
      </c>
      <c r="FI18" s="6">
        <v>383793585.43000001</v>
      </c>
      <c r="FJ18" s="6">
        <v>780000</v>
      </c>
      <c r="FK18" s="3">
        <v>1714669361.46</v>
      </c>
      <c r="FL18" s="3">
        <v>1330095773.1500001</v>
      </c>
      <c r="FM18" s="3">
        <v>371985938.97000003</v>
      </c>
      <c r="FN18" s="3">
        <v>0</v>
      </c>
      <c r="FO18" s="3">
        <v>1702081712.1200001</v>
      </c>
      <c r="FP18" s="3">
        <v>1316418070.0599999</v>
      </c>
      <c r="FQ18" s="3">
        <v>338840811.79000002</v>
      </c>
      <c r="FR18" s="3">
        <v>0</v>
      </c>
      <c r="FS18" s="3">
        <v>1655258881.8499999</v>
      </c>
      <c r="FT18" s="3">
        <v>1264935000</v>
      </c>
      <c r="FU18" s="3">
        <v>466674000</v>
      </c>
      <c r="FV18" s="3">
        <v>44340000</v>
      </c>
      <c r="FW18" s="3">
        <v>1775949000</v>
      </c>
      <c r="FX18" s="3">
        <v>1264935000</v>
      </c>
      <c r="FY18" s="3">
        <v>471674000</v>
      </c>
      <c r="FZ18" s="3">
        <v>44340000</v>
      </c>
      <c r="GA18" s="3">
        <v>1780949000</v>
      </c>
      <c r="GB18" s="3">
        <v>1264935000</v>
      </c>
      <c r="GC18" s="3">
        <v>471674000</v>
      </c>
      <c r="GD18" s="3">
        <v>44340000</v>
      </c>
      <c r="GE18" s="3">
        <v>1780949000</v>
      </c>
      <c r="GF18" s="6">
        <v>1297494477.55</v>
      </c>
      <c r="GG18" s="6">
        <v>435215623.48000002</v>
      </c>
      <c r="GH18" s="6">
        <v>44340000</v>
      </c>
      <c r="GI18" s="6">
        <v>1777050101.03</v>
      </c>
      <c r="GJ18" s="6">
        <v>1297494477.55</v>
      </c>
      <c r="GK18" s="3">
        <v>435215623.48000002</v>
      </c>
      <c r="GL18" s="3">
        <v>44340000</v>
      </c>
      <c r="GM18" s="3">
        <v>1777050101.03</v>
      </c>
      <c r="GN18" s="3">
        <v>1297494477.55</v>
      </c>
      <c r="GO18" s="3">
        <v>417171362.5</v>
      </c>
      <c r="GP18" s="3">
        <v>44340000</v>
      </c>
      <c r="GQ18" s="3">
        <v>1759005840.05</v>
      </c>
      <c r="GR18" s="3">
        <v>1289138383.0899999</v>
      </c>
      <c r="GS18" s="6">
        <v>373342821.76999998</v>
      </c>
      <c r="GT18" s="3">
        <v>44340000</v>
      </c>
      <c r="GU18" s="3">
        <v>1706821204.8599999</v>
      </c>
      <c r="GV18" s="3">
        <v>1284155000</v>
      </c>
      <c r="GW18" s="3">
        <v>589015000</v>
      </c>
      <c r="GX18" s="3">
        <v>0</v>
      </c>
      <c r="GY18" s="3">
        <v>1873170000</v>
      </c>
      <c r="GZ18" s="3">
        <v>1284155000</v>
      </c>
      <c r="HA18" s="3">
        <v>589015000</v>
      </c>
      <c r="HB18" s="3">
        <v>0</v>
      </c>
      <c r="HC18" s="3">
        <v>1873170000</v>
      </c>
      <c r="HD18" s="3">
        <v>1284155000</v>
      </c>
      <c r="HE18" s="3">
        <v>589015000</v>
      </c>
      <c r="HF18" s="3">
        <v>0</v>
      </c>
      <c r="HG18" s="3">
        <v>1873170000</v>
      </c>
      <c r="HH18" s="3">
        <v>1327993915.2</v>
      </c>
      <c r="HI18" s="3">
        <v>543856084.79999995</v>
      </c>
      <c r="HJ18" s="3">
        <v>0</v>
      </c>
      <c r="HK18" s="3">
        <v>1871850000</v>
      </c>
      <c r="HL18" s="3">
        <v>1327993915.2</v>
      </c>
      <c r="HM18" s="3">
        <v>543856084.79999995</v>
      </c>
      <c r="HN18" s="3">
        <v>0</v>
      </c>
      <c r="HO18" s="3">
        <v>1871850000</v>
      </c>
      <c r="HP18" s="3">
        <v>1327993901.53</v>
      </c>
      <c r="HQ18" s="3">
        <v>515086974.62</v>
      </c>
      <c r="HR18" s="3">
        <v>0</v>
      </c>
      <c r="HS18" s="3">
        <v>1843080876.1500001</v>
      </c>
      <c r="HT18" s="3">
        <v>1324329691.5999999</v>
      </c>
      <c r="HU18" s="3">
        <v>444520792.56</v>
      </c>
      <c r="HV18" s="3">
        <v>0</v>
      </c>
      <c r="HW18" s="3">
        <v>1768850484.1599998</v>
      </c>
      <c r="HX18" s="3">
        <v>1439585000</v>
      </c>
      <c r="HY18" s="3">
        <v>677458000</v>
      </c>
      <c r="HZ18" s="3">
        <v>10400000</v>
      </c>
      <c r="IA18" s="3">
        <v>2127443000</v>
      </c>
      <c r="IB18" s="3">
        <v>1439585000</v>
      </c>
      <c r="IC18" s="3">
        <v>677458000</v>
      </c>
      <c r="ID18" s="3">
        <v>10400000</v>
      </c>
      <c r="IE18" s="3">
        <v>2127443000</v>
      </c>
      <c r="IF18" s="3"/>
      <c r="IG18" s="3"/>
      <c r="IH18" s="3"/>
      <c r="II18" s="3"/>
      <c r="IJ18" s="3"/>
      <c r="IK18" s="3"/>
      <c r="IL18" s="3"/>
      <c r="IM18" s="3"/>
      <c r="IN18" s="3"/>
      <c r="IO18" s="3"/>
      <c r="IP18" s="3"/>
      <c r="IQ18" s="3"/>
      <c r="IR18" s="3"/>
      <c r="IS18" s="3"/>
      <c r="IT18" s="3"/>
      <c r="IU18" s="3"/>
      <c r="IV18" s="3"/>
      <c r="IW18" s="3"/>
      <c r="IX18" s="3"/>
      <c r="IY18" s="3"/>
      <c r="IZ18" s="3">
        <v>1515674000</v>
      </c>
      <c r="JA18" s="3">
        <v>808035000</v>
      </c>
      <c r="JB18" s="3">
        <v>14300000</v>
      </c>
      <c r="JC18" s="3">
        <v>2338009000</v>
      </c>
      <c r="JD18" s="3"/>
      <c r="JE18" s="3"/>
      <c r="JF18" s="3"/>
      <c r="JG18" s="3"/>
    </row>
    <row r="19" spans="1:267" x14ac:dyDescent="0.25">
      <c r="A19" t="s">
        <v>1153</v>
      </c>
      <c r="B19" t="s">
        <v>1154</v>
      </c>
      <c r="C19" t="s">
        <v>199</v>
      </c>
      <c r="D19" t="s">
        <v>200</v>
      </c>
      <c r="E19" t="s">
        <v>224</v>
      </c>
      <c r="F19" t="s">
        <v>1158</v>
      </c>
      <c r="G19" t="s">
        <v>1205</v>
      </c>
      <c r="H19" s="3">
        <v>74218000</v>
      </c>
      <c r="I19" s="3">
        <v>186634000</v>
      </c>
      <c r="J19" s="3">
        <v>0</v>
      </c>
      <c r="K19" s="3">
        <v>260852000</v>
      </c>
      <c r="L19" s="3">
        <v>74218000</v>
      </c>
      <c r="M19" s="3">
        <v>186634000</v>
      </c>
      <c r="N19" s="3">
        <v>0</v>
      </c>
      <c r="O19" s="3">
        <v>260852000</v>
      </c>
      <c r="P19" s="3">
        <v>74218000</v>
      </c>
      <c r="Q19" s="3">
        <v>186634000</v>
      </c>
      <c r="R19" s="3">
        <v>0</v>
      </c>
      <c r="S19" s="3">
        <v>260852000</v>
      </c>
      <c r="T19" s="3">
        <v>74218000</v>
      </c>
      <c r="U19" s="3">
        <v>186634000</v>
      </c>
      <c r="V19" s="3">
        <v>0</v>
      </c>
      <c r="W19" s="3">
        <v>260852000</v>
      </c>
      <c r="X19" s="6">
        <v>74218000</v>
      </c>
      <c r="Y19" s="3">
        <v>186634000</v>
      </c>
      <c r="Z19" s="3">
        <v>0</v>
      </c>
      <c r="AA19" s="3">
        <v>260852000</v>
      </c>
      <c r="AB19" s="3">
        <v>72789649.549999997</v>
      </c>
      <c r="AC19" s="3">
        <v>182853748.00999999</v>
      </c>
      <c r="AD19" s="3">
        <v>0</v>
      </c>
      <c r="AE19" s="3">
        <v>255643397.56</v>
      </c>
      <c r="AF19" s="3">
        <v>68996019.269999996</v>
      </c>
      <c r="AG19" s="3">
        <v>141635937.11000001</v>
      </c>
      <c r="AH19" s="3">
        <v>0</v>
      </c>
      <c r="AI19" s="3">
        <v>210631956.38</v>
      </c>
      <c r="AJ19" s="3">
        <v>76714000</v>
      </c>
      <c r="AK19" s="3">
        <v>150419000</v>
      </c>
      <c r="AL19" s="3">
        <v>0</v>
      </c>
      <c r="AM19" s="3">
        <v>227133000</v>
      </c>
      <c r="AN19" s="3">
        <v>76714000</v>
      </c>
      <c r="AO19" s="3">
        <v>150419000</v>
      </c>
      <c r="AP19" s="3">
        <v>0</v>
      </c>
      <c r="AQ19" s="3">
        <v>227133000</v>
      </c>
      <c r="AR19" s="3">
        <v>76714000</v>
      </c>
      <c r="AS19" s="3">
        <v>150419000</v>
      </c>
      <c r="AT19" s="3">
        <v>0</v>
      </c>
      <c r="AU19" s="3">
        <v>227133000</v>
      </c>
      <c r="AV19" s="3">
        <v>76714000</v>
      </c>
      <c r="AW19" s="3">
        <v>150419000</v>
      </c>
      <c r="AX19" s="3">
        <v>0</v>
      </c>
      <c r="AY19" s="3">
        <v>227133000</v>
      </c>
      <c r="AZ19" s="3">
        <v>76714000</v>
      </c>
      <c r="BA19" s="3">
        <v>150419000</v>
      </c>
      <c r="BB19" s="3">
        <v>0</v>
      </c>
      <c r="BC19" s="3">
        <v>227133000</v>
      </c>
      <c r="BD19" s="3">
        <v>75346915.090000004</v>
      </c>
      <c r="BE19" s="3">
        <v>149272190.60999998</v>
      </c>
      <c r="BF19" s="3">
        <v>0</v>
      </c>
      <c r="BG19" s="3">
        <v>224619105.69999999</v>
      </c>
      <c r="BH19" s="3">
        <v>72823106.460000008</v>
      </c>
      <c r="BI19" s="3">
        <v>124980768.94</v>
      </c>
      <c r="BJ19" s="3">
        <v>0</v>
      </c>
      <c r="BK19" s="3">
        <v>197803875.40000001</v>
      </c>
      <c r="BL19" s="3">
        <v>76714000</v>
      </c>
      <c r="BM19" s="3">
        <v>152902000</v>
      </c>
      <c r="BN19" s="3">
        <v>0</v>
      </c>
      <c r="BO19" s="3">
        <v>229616000</v>
      </c>
      <c r="BP19" s="3">
        <v>76714000</v>
      </c>
      <c r="BQ19" s="3">
        <v>152902000</v>
      </c>
      <c r="BR19" s="3">
        <v>0</v>
      </c>
      <c r="BS19" s="3">
        <v>229616000</v>
      </c>
      <c r="BT19" s="3">
        <v>76714000</v>
      </c>
      <c r="BU19" s="3">
        <v>152902000</v>
      </c>
      <c r="BV19" s="3">
        <v>0</v>
      </c>
      <c r="BW19" s="3">
        <v>229616000</v>
      </c>
      <c r="BX19" s="3">
        <v>77097792.159999996</v>
      </c>
      <c r="BY19" s="3">
        <v>137400500</v>
      </c>
      <c r="BZ19" s="3">
        <v>0</v>
      </c>
      <c r="CA19" s="3">
        <v>214498292.16</v>
      </c>
      <c r="CB19" s="6">
        <v>77097792.159999996</v>
      </c>
      <c r="CC19" s="6">
        <v>137400500</v>
      </c>
      <c r="CD19" s="6">
        <v>0</v>
      </c>
      <c r="CE19" s="6">
        <v>214498292.16</v>
      </c>
      <c r="CF19" s="6">
        <v>77040310.590000004</v>
      </c>
      <c r="CG19" s="3">
        <v>131844066.48</v>
      </c>
      <c r="CH19" s="3">
        <v>0</v>
      </c>
      <c r="CI19" s="3">
        <v>208884377.06999999</v>
      </c>
      <c r="CJ19" s="3">
        <v>71973342.569999993</v>
      </c>
      <c r="CK19" s="3">
        <v>113164090.25</v>
      </c>
      <c r="CL19" s="3">
        <v>0</v>
      </c>
      <c r="CM19" s="3">
        <v>185137432.81999999</v>
      </c>
      <c r="CN19" s="3">
        <v>83863000</v>
      </c>
      <c r="CO19" s="3">
        <v>143439000</v>
      </c>
      <c r="CP19" s="3">
        <v>0</v>
      </c>
      <c r="CQ19" s="3">
        <v>227302000</v>
      </c>
      <c r="CR19" s="3">
        <v>83863000</v>
      </c>
      <c r="CS19" s="3">
        <v>143439000</v>
      </c>
      <c r="CT19" s="3">
        <v>0</v>
      </c>
      <c r="CU19" s="3">
        <v>227302000</v>
      </c>
      <c r="CV19" s="3">
        <v>83863000</v>
      </c>
      <c r="CW19" s="3">
        <v>143439000</v>
      </c>
      <c r="CX19" s="3">
        <v>0</v>
      </c>
      <c r="CY19" s="3">
        <v>227302000</v>
      </c>
      <c r="CZ19" s="3">
        <v>88682952.629999995</v>
      </c>
      <c r="DA19" s="3">
        <v>141554189.66999999</v>
      </c>
      <c r="DB19" s="3">
        <v>0</v>
      </c>
      <c r="DC19" s="3">
        <v>230237142.29999998</v>
      </c>
      <c r="DD19" s="3">
        <v>88682952.629999995</v>
      </c>
      <c r="DE19" s="3">
        <v>141554189.66999999</v>
      </c>
      <c r="DF19" s="3">
        <v>0</v>
      </c>
      <c r="DG19" s="3">
        <v>230237142.29999998</v>
      </c>
      <c r="DH19" s="3">
        <v>88379640.349999994</v>
      </c>
      <c r="DI19" s="3">
        <v>125418439.77</v>
      </c>
      <c r="DJ19" s="3">
        <v>0</v>
      </c>
      <c r="DK19" s="3">
        <v>213798080.12</v>
      </c>
      <c r="DL19" s="3">
        <v>84528967.909999996</v>
      </c>
      <c r="DM19" s="3">
        <v>108202683.29000001</v>
      </c>
      <c r="DN19" s="3">
        <v>0</v>
      </c>
      <c r="DO19" s="3">
        <v>192731651.19999999</v>
      </c>
      <c r="DP19" s="3">
        <v>87994000</v>
      </c>
      <c r="DQ19" s="3">
        <v>130612000</v>
      </c>
      <c r="DR19" s="3">
        <v>0</v>
      </c>
      <c r="DS19" s="3">
        <v>218606000</v>
      </c>
      <c r="DT19" s="3">
        <v>87994000</v>
      </c>
      <c r="DU19" s="3">
        <v>130612000</v>
      </c>
      <c r="DV19" s="3">
        <v>0</v>
      </c>
      <c r="DW19" s="3">
        <v>218606000</v>
      </c>
      <c r="DX19" s="3">
        <v>87994000</v>
      </c>
      <c r="DY19" s="3">
        <v>130612000</v>
      </c>
      <c r="DZ19" s="3">
        <v>0</v>
      </c>
      <c r="EA19" s="3">
        <v>218606000</v>
      </c>
      <c r="EB19" s="6">
        <v>90258529.379999995</v>
      </c>
      <c r="EC19" s="6">
        <v>128526366.67</v>
      </c>
      <c r="ED19" s="6">
        <v>0</v>
      </c>
      <c r="EE19" s="3">
        <v>218784896.05000001</v>
      </c>
      <c r="EF19" s="3">
        <v>90258529.379999995</v>
      </c>
      <c r="EG19" s="3">
        <v>128526366.67</v>
      </c>
      <c r="EH19" s="3">
        <v>0</v>
      </c>
      <c r="EI19" s="3">
        <v>218784896.05000001</v>
      </c>
      <c r="EJ19" s="3">
        <v>90247593.689999998</v>
      </c>
      <c r="EK19" s="3">
        <v>123861492.11</v>
      </c>
      <c r="EL19" s="3">
        <v>0</v>
      </c>
      <c r="EM19" s="3">
        <v>214109085.80000001</v>
      </c>
      <c r="EN19" s="3">
        <v>84323028.030000001</v>
      </c>
      <c r="EO19" s="3">
        <v>109105273.2</v>
      </c>
      <c r="EP19" s="3">
        <v>0</v>
      </c>
      <c r="EQ19" s="3">
        <v>193428301.23000002</v>
      </c>
      <c r="ER19" s="3">
        <v>91738000</v>
      </c>
      <c r="ES19" s="3">
        <v>134873000</v>
      </c>
      <c r="ET19" s="3">
        <v>0</v>
      </c>
      <c r="EU19" s="3">
        <v>226611000</v>
      </c>
      <c r="EV19" s="3">
        <v>91738000</v>
      </c>
      <c r="EW19" s="3">
        <v>134873000</v>
      </c>
      <c r="EX19" s="3">
        <v>0</v>
      </c>
      <c r="EY19" s="3">
        <v>226611000</v>
      </c>
      <c r="EZ19" s="3">
        <v>91738000</v>
      </c>
      <c r="FA19" s="3">
        <v>134873000</v>
      </c>
      <c r="FB19" s="3">
        <v>0</v>
      </c>
      <c r="FC19" s="3">
        <v>226611000</v>
      </c>
      <c r="FD19" s="3">
        <v>92310394.069999993</v>
      </c>
      <c r="FE19" s="3">
        <v>133644097</v>
      </c>
      <c r="FF19" s="3">
        <v>0</v>
      </c>
      <c r="FG19" s="3">
        <v>225954491.06999999</v>
      </c>
      <c r="FH19" s="6">
        <v>92310394.069999993</v>
      </c>
      <c r="FI19" s="6">
        <v>133644097</v>
      </c>
      <c r="FJ19" s="6">
        <v>0</v>
      </c>
      <c r="FK19" s="3">
        <v>225954491.06999999</v>
      </c>
      <c r="FL19" s="3">
        <v>92295709.109999999</v>
      </c>
      <c r="FM19" s="3">
        <v>131189304.09999999</v>
      </c>
      <c r="FN19" s="3">
        <v>0</v>
      </c>
      <c r="FO19" s="3">
        <v>223485013.20999998</v>
      </c>
      <c r="FP19" s="3">
        <v>89768320.730000004</v>
      </c>
      <c r="FQ19" s="3">
        <v>117165931.42</v>
      </c>
      <c r="FR19" s="3">
        <v>0</v>
      </c>
      <c r="FS19" s="3">
        <v>206934252.15000001</v>
      </c>
      <c r="FT19" s="3">
        <v>91738000</v>
      </c>
      <c r="FU19" s="3">
        <v>137829000</v>
      </c>
      <c r="FV19" s="3">
        <v>0</v>
      </c>
      <c r="FW19" s="3">
        <v>229567000</v>
      </c>
      <c r="FX19" s="3">
        <v>91738000</v>
      </c>
      <c r="FY19" s="3">
        <v>137829000</v>
      </c>
      <c r="FZ19" s="3">
        <v>0</v>
      </c>
      <c r="GA19" s="3">
        <v>229567000</v>
      </c>
      <c r="GB19" s="3">
        <v>91738000</v>
      </c>
      <c r="GC19" s="3">
        <v>137829000</v>
      </c>
      <c r="GD19" s="3">
        <v>0</v>
      </c>
      <c r="GE19" s="3">
        <v>229567000</v>
      </c>
      <c r="GF19" s="6">
        <v>92372970</v>
      </c>
      <c r="GG19" s="6">
        <v>137194030</v>
      </c>
      <c r="GH19" s="6">
        <v>0</v>
      </c>
      <c r="GI19" s="6">
        <v>229567000</v>
      </c>
      <c r="GJ19" s="6">
        <v>92372970</v>
      </c>
      <c r="GK19" s="3">
        <v>137194030</v>
      </c>
      <c r="GL19" s="3">
        <v>0</v>
      </c>
      <c r="GM19" s="3">
        <v>229567000</v>
      </c>
      <c r="GN19" s="3">
        <v>92372970</v>
      </c>
      <c r="GO19" s="3">
        <v>127017252.26000001</v>
      </c>
      <c r="GP19" s="3">
        <v>0</v>
      </c>
      <c r="GQ19" s="3">
        <v>219390222.25999999</v>
      </c>
      <c r="GR19" s="3">
        <v>89772472.799999997</v>
      </c>
      <c r="GS19" s="6">
        <v>110717328.37</v>
      </c>
      <c r="GT19" s="3">
        <v>0</v>
      </c>
      <c r="GU19" s="3">
        <v>200489801.17000002</v>
      </c>
      <c r="GV19" s="3">
        <v>92420000</v>
      </c>
      <c r="GW19" s="3">
        <v>155396000</v>
      </c>
      <c r="GX19" s="3">
        <v>0</v>
      </c>
      <c r="GY19" s="3">
        <v>247816000</v>
      </c>
      <c r="GZ19" s="3">
        <v>92420000</v>
      </c>
      <c r="HA19" s="3">
        <v>155396000</v>
      </c>
      <c r="HB19" s="3">
        <v>0</v>
      </c>
      <c r="HC19" s="3">
        <v>247816000</v>
      </c>
      <c r="HD19" s="3">
        <v>92420000</v>
      </c>
      <c r="HE19" s="3">
        <v>155396000</v>
      </c>
      <c r="HF19" s="3">
        <v>0</v>
      </c>
      <c r="HG19" s="3">
        <v>247816000</v>
      </c>
      <c r="HH19" s="3">
        <v>93855313.840000004</v>
      </c>
      <c r="HI19" s="3">
        <v>154406000</v>
      </c>
      <c r="HJ19" s="3">
        <v>0</v>
      </c>
      <c r="HK19" s="3">
        <v>248261313.84</v>
      </c>
      <c r="HL19" s="3">
        <v>93855313.840000004</v>
      </c>
      <c r="HM19" s="3">
        <v>154406000</v>
      </c>
      <c r="HN19" s="3">
        <v>0</v>
      </c>
      <c r="HO19" s="3">
        <v>248261313.84</v>
      </c>
      <c r="HP19" s="3">
        <v>93855312</v>
      </c>
      <c r="HQ19" s="3">
        <v>145290117.36000001</v>
      </c>
      <c r="HR19" s="3">
        <v>0</v>
      </c>
      <c r="HS19" s="3">
        <v>239145429.36000001</v>
      </c>
      <c r="HT19" s="3">
        <v>91960307.920000002</v>
      </c>
      <c r="HU19" s="3">
        <v>120707201.3</v>
      </c>
      <c r="HV19" s="3">
        <v>0</v>
      </c>
      <c r="HW19" s="3">
        <v>212667509.22</v>
      </c>
      <c r="HX19" s="3">
        <v>104362000</v>
      </c>
      <c r="HY19" s="3">
        <v>142289000</v>
      </c>
      <c r="HZ19" s="3">
        <v>0</v>
      </c>
      <c r="IA19" s="3">
        <v>246651000</v>
      </c>
      <c r="IB19" s="3">
        <v>104362000</v>
      </c>
      <c r="IC19" s="3">
        <v>142289000</v>
      </c>
      <c r="ID19" s="3">
        <v>0</v>
      </c>
      <c r="IE19" s="3">
        <v>246651000</v>
      </c>
      <c r="IF19" s="3"/>
      <c r="IG19" s="3"/>
      <c r="IH19" s="3"/>
      <c r="II19" s="3"/>
      <c r="IJ19" s="3"/>
      <c r="IK19" s="3"/>
      <c r="IL19" s="3"/>
      <c r="IM19" s="3"/>
      <c r="IN19" s="3"/>
      <c r="IO19" s="3"/>
      <c r="IP19" s="3"/>
      <c r="IQ19" s="3"/>
      <c r="IR19" s="3"/>
      <c r="IS19" s="3"/>
      <c r="IT19" s="3"/>
      <c r="IU19" s="3"/>
      <c r="IV19" s="3"/>
      <c r="IW19" s="3"/>
      <c r="IX19" s="3"/>
      <c r="IY19" s="3"/>
      <c r="IZ19" s="3">
        <v>111046000</v>
      </c>
      <c r="JA19" s="3">
        <v>136298000</v>
      </c>
      <c r="JB19" s="3">
        <v>0</v>
      </c>
      <c r="JC19" s="3">
        <v>247344000</v>
      </c>
      <c r="JD19" s="3"/>
      <c r="JE19" s="3"/>
      <c r="JF19" s="3"/>
      <c r="JG19" s="3"/>
    </row>
    <row r="20" spans="1:267" x14ac:dyDescent="0.25">
      <c r="A20" t="s">
        <v>1153</v>
      </c>
      <c r="B20" t="s">
        <v>1154</v>
      </c>
      <c r="C20" t="s">
        <v>199</v>
      </c>
      <c r="D20" t="s">
        <v>200</v>
      </c>
      <c r="E20" t="s">
        <v>224</v>
      </c>
      <c r="F20" t="s">
        <v>1159</v>
      </c>
      <c r="G20" t="s">
        <v>1206</v>
      </c>
      <c r="H20" s="3">
        <v>1464140000</v>
      </c>
      <c r="I20" s="3">
        <v>1480265000</v>
      </c>
      <c r="J20" s="3">
        <v>5676627000</v>
      </c>
      <c r="K20" s="3">
        <v>8621032000</v>
      </c>
      <c r="L20" s="3">
        <v>1464140000</v>
      </c>
      <c r="M20" s="3">
        <v>892307000</v>
      </c>
      <c r="N20" s="3">
        <v>4264585000</v>
      </c>
      <c r="O20" s="3">
        <v>6621032000</v>
      </c>
      <c r="P20" s="3">
        <v>1464140000</v>
      </c>
      <c r="Q20" s="3">
        <v>892307000</v>
      </c>
      <c r="R20" s="3">
        <v>4264585000</v>
      </c>
      <c r="S20" s="3">
        <v>6621032000</v>
      </c>
      <c r="T20" s="3">
        <v>1464140000</v>
      </c>
      <c r="U20" s="3">
        <v>892307000</v>
      </c>
      <c r="V20" s="3">
        <v>4264585000</v>
      </c>
      <c r="W20" s="3">
        <v>6621032000</v>
      </c>
      <c r="X20" s="6">
        <v>1464140000</v>
      </c>
      <c r="Y20" s="3">
        <v>892307000</v>
      </c>
      <c r="Z20" s="3">
        <v>4264585000</v>
      </c>
      <c r="AA20" s="3">
        <v>6621032000</v>
      </c>
      <c r="AB20" s="3">
        <v>1464111110.23</v>
      </c>
      <c r="AC20" s="3">
        <v>866698298.28999996</v>
      </c>
      <c r="AD20" s="3">
        <v>4199974263.6799998</v>
      </c>
      <c r="AE20" s="3">
        <v>6530783672.1999998</v>
      </c>
      <c r="AF20" s="3">
        <v>1447953611.3099999</v>
      </c>
      <c r="AG20" s="3">
        <v>735338050.97000003</v>
      </c>
      <c r="AH20" s="3">
        <v>3060983700.1599998</v>
      </c>
      <c r="AI20" s="3">
        <v>5244275362.4399996</v>
      </c>
      <c r="AJ20" s="3">
        <v>1490062000</v>
      </c>
      <c r="AK20" s="3">
        <v>961070000</v>
      </c>
      <c r="AL20" s="3">
        <v>4191367000</v>
      </c>
      <c r="AM20" s="3">
        <v>6642499000</v>
      </c>
      <c r="AN20" s="3">
        <v>1490062000</v>
      </c>
      <c r="AO20" s="3">
        <v>764203000</v>
      </c>
      <c r="AP20" s="3">
        <v>1838234000</v>
      </c>
      <c r="AQ20" s="3">
        <v>4092499000</v>
      </c>
      <c r="AR20" s="3">
        <v>1490062000</v>
      </c>
      <c r="AS20" s="3">
        <v>764203000</v>
      </c>
      <c r="AT20" s="3">
        <v>1838234000</v>
      </c>
      <c r="AU20" s="3">
        <v>4092499000</v>
      </c>
      <c r="AV20" s="3">
        <v>1490062000</v>
      </c>
      <c r="AW20" s="3">
        <v>764203000</v>
      </c>
      <c r="AX20" s="3">
        <v>1838234000</v>
      </c>
      <c r="AY20" s="3">
        <v>4092499000</v>
      </c>
      <c r="AZ20" s="3">
        <v>1490062000</v>
      </c>
      <c r="BA20" s="3">
        <v>764203000</v>
      </c>
      <c r="BB20" s="3">
        <v>1838234000</v>
      </c>
      <c r="BC20" s="3">
        <v>4092499000</v>
      </c>
      <c r="BD20" s="3">
        <v>1489943632.8900001</v>
      </c>
      <c r="BE20" s="3">
        <v>746406274.04000008</v>
      </c>
      <c r="BF20" s="3">
        <v>1829786413.02</v>
      </c>
      <c r="BG20" s="3">
        <v>4066136319.9500003</v>
      </c>
      <c r="BH20" s="3">
        <v>1478546754.71</v>
      </c>
      <c r="BI20" s="3">
        <v>678747889.73000002</v>
      </c>
      <c r="BJ20" s="3">
        <v>1539195701.7400002</v>
      </c>
      <c r="BK20" s="3">
        <v>3696490346.1800003</v>
      </c>
      <c r="BL20" s="3">
        <v>1498545000</v>
      </c>
      <c r="BM20" s="3">
        <v>1061561000</v>
      </c>
      <c r="BN20" s="3">
        <v>4090876000</v>
      </c>
      <c r="BO20" s="3">
        <v>6650982000</v>
      </c>
      <c r="BP20" s="3">
        <v>1498545000</v>
      </c>
      <c r="BQ20" s="3">
        <v>1200621000</v>
      </c>
      <c r="BR20" s="3">
        <v>1951816000</v>
      </c>
      <c r="BS20" s="3">
        <v>4650982000</v>
      </c>
      <c r="BT20" s="3">
        <v>1498545000</v>
      </c>
      <c r="BU20" s="3">
        <v>1200621000</v>
      </c>
      <c r="BV20" s="3">
        <v>1951816000</v>
      </c>
      <c r="BW20" s="3">
        <v>4650982000</v>
      </c>
      <c r="BX20" s="3">
        <v>1498819190</v>
      </c>
      <c r="BY20" s="3">
        <v>1073898810</v>
      </c>
      <c r="BZ20" s="3">
        <v>1884536000</v>
      </c>
      <c r="CA20" s="3">
        <v>4457254000</v>
      </c>
      <c r="CB20" s="6">
        <v>1498819190</v>
      </c>
      <c r="CC20" s="6">
        <v>768300810</v>
      </c>
      <c r="CD20" s="6">
        <v>1850780000</v>
      </c>
      <c r="CE20" s="6">
        <v>4117900000</v>
      </c>
      <c r="CF20" s="6">
        <v>1495870354.26</v>
      </c>
      <c r="CG20" s="3">
        <v>714931747.03999996</v>
      </c>
      <c r="CH20" s="3">
        <v>1843596590.6400001</v>
      </c>
      <c r="CI20" s="3">
        <v>4054398691.9400005</v>
      </c>
      <c r="CJ20" s="3">
        <v>1480829603.01</v>
      </c>
      <c r="CK20" s="3">
        <v>620697669.99000001</v>
      </c>
      <c r="CL20" s="3">
        <v>1548057953.78</v>
      </c>
      <c r="CM20" s="3">
        <v>3649585226.7799997</v>
      </c>
      <c r="CN20" s="3">
        <v>1581996000</v>
      </c>
      <c r="CO20" s="3">
        <v>964808000</v>
      </c>
      <c r="CP20" s="3">
        <v>4187629000</v>
      </c>
      <c r="CQ20" s="3">
        <v>6734433000</v>
      </c>
      <c r="CR20" s="3">
        <v>1581996000</v>
      </c>
      <c r="CS20" s="3">
        <v>769989000</v>
      </c>
      <c r="CT20" s="3">
        <v>2388120000</v>
      </c>
      <c r="CU20" s="3">
        <v>4740105000</v>
      </c>
      <c r="CV20" s="3">
        <v>1581996000</v>
      </c>
      <c r="CW20" s="3">
        <v>769989000</v>
      </c>
      <c r="CX20" s="3">
        <v>2388120000</v>
      </c>
      <c r="CY20" s="3">
        <v>4740105000</v>
      </c>
      <c r="CZ20" s="3">
        <v>1577186194.96</v>
      </c>
      <c r="DA20" s="3">
        <v>769989000</v>
      </c>
      <c r="DB20" s="3">
        <v>2388120000</v>
      </c>
      <c r="DC20" s="3">
        <v>4735295194.96</v>
      </c>
      <c r="DD20" s="3">
        <v>1577186194.96</v>
      </c>
      <c r="DE20" s="3">
        <v>769989000</v>
      </c>
      <c r="DF20" s="3">
        <v>2388120000</v>
      </c>
      <c r="DG20" s="3">
        <v>4735295194.96</v>
      </c>
      <c r="DH20" s="3">
        <v>1577164741.75</v>
      </c>
      <c r="DI20" s="3">
        <v>727232366.19000006</v>
      </c>
      <c r="DJ20" s="3">
        <v>2357415481.75</v>
      </c>
      <c r="DK20" s="3">
        <v>4661812589.6900005</v>
      </c>
      <c r="DL20" s="3">
        <v>1555974635.01</v>
      </c>
      <c r="DM20" s="3">
        <v>668519672.95000005</v>
      </c>
      <c r="DN20" s="3">
        <v>2038725604.6099999</v>
      </c>
      <c r="DO20" s="3">
        <v>4263219912.5699997</v>
      </c>
      <c r="DP20" s="3">
        <v>1620745000</v>
      </c>
      <c r="DQ20" s="3">
        <v>932443000</v>
      </c>
      <c r="DR20" s="3">
        <v>2756973000</v>
      </c>
      <c r="DS20" s="3">
        <v>5310161000</v>
      </c>
      <c r="DT20" s="3">
        <v>1620745000</v>
      </c>
      <c r="DU20" s="3">
        <v>631747000</v>
      </c>
      <c r="DV20" s="3">
        <v>1633999000</v>
      </c>
      <c r="DW20" s="3">
        <v>3886491000</v>
      </c>
      <c r="DX20" s="3">
        <v>1620745000</v>
      </c>
      <c r="DY20" s="3">
        <v>631747000</v>
      </c>
      <c r="DZ20" s="3">
        <v>1633999000</v>
      </c>
      <c r="EA20" s="3">
        <v>3886491000</v>
      </c>
      <c r="EB20" s="6">
        <v>1615285045.8599999</v>
      </c>
      <c r="EC20" s="6">
        <v>630316386</v>
      </c>
      <c r="ED20" s="6">
        <v>1633999000</v>
      </c>
      <c r="EE20" s="3">
        <v>3879600431.8599997</v>
      </c>
      <c r="EF20" s="3">
        <v>1615285045.8599999</v>
      </c>
      <c r="EG20" s="3">
        <v>630316386</v>
      </c>
      <c r="EH20" s="3">
        <v>1633999000</v>
      </c>
      <c r="EI20" s="3">
        <v>3879600431.8599997</v>
      </c>
      <c r="EJ20" s="3">
        <v>1615282779.8</v>
      </c>
      <c r="EK20" s="3">
        <v>603245601.02999997</v>
      </c>
      <c r="EL20" s="3">
        <v>1615830517.24</v>
      </c>
      <c r="EM20" s="3">
        <v>3834358898.0699997</v>
      </c>
      <c r="EN20" s="3">
        <v>1578827285.6800001</v>
      </c>
      <c r="EO20" s="3">
        <v>566247973.51999998</v>
      </c>
      <c r="EP20" s="3">
        <v>1439430109.8599999</v>
      </c>
      <c r="EQ20" s="3">
        <v>3584505369.0599999</v>
      </c>
      <c r="ER20" s="3">
        <v>1661022000</v>
      </c>
      <c r="ES20" s="3">
        <v>929704000</v>
      </c>
      <c r="ET20" s="3">
        <v>1562169000</v>
      </c>
      <c r="EU20" s="3">
        <v>4152895000</v>
      </c>
      <c r="EV20" s="3">
        <v>1661022000</v>
      </c>
      <c r="EW20" s="3">
        <v>980793000</v>
      </c>
      <c r="EX20" s="3">
        <v>1409914000</v>
      </c>
      <c r="EY20" s="3">
        <v>4051729000</v>
      </c>
      <c r="EZ20" s="3">
        <v>1661022000</v>
      </c>
      <c r="FA20" s="3">
        <v>980793000</v>
      </c>
      <c r="FB20" s="3">
        <v>1409914000</v>
      </c>
      <c r="FC20" s="3">
        <v>4051729000</v>
      </c>
      <c r="FD20" s="3">
        <v>1656331461.6400001</v>
      </c>
      <c r="FE20" s="3">
        <v>980284900</v>
      </c>
      <c r="FF20" s="3">
        <v>1409914000</v>
      </c>
      <c r="FG20" s="3">
        <v>4046530361.6400003</v>
      </c>
      <c r="FH20" s="6">
        <v>1656331461.6400001</v>
      </c>
      <c r="FI20" s="6">
        <v>980284900</v>
      </c>
      <c r="FJ20" s="6">
        <v>1409914000</v>
      </c>
      <c r="FK20" s="3">
        <v>4046530361.6400003</v>
      </c>
      <c r="FL20" s="3">
        <v>1656312303.9200001</v>
      </c>
      <c r="FM20" s="3">
        <v>814698746.57000005</v>
      </c>
      <c r="FN20" s="3">
        <v>1334327464</v>
      </c>
      <c r="FO20" s="3">
        <v>3805338514.4900002</v>
      </c>
      <c r="FP20" s="3">
        <v>1645820229.1800001</v>
      </c>
      <c r="FQ20" s="3">
        <v>630957023.83000004</v>
      </c>
      <c r="FR20" s="3">
        <v>1110528505.78</v>
      </c>
      <c r="FS20" s="3">
        <v>3387305758.79</v>
      </c>
      <c r="FT20" s="3">
        <v>1621169000</v>
      </c>
      <c r="FU20" s="3">
        <v>1131891000</v>
      </c>
      <c r="FV20" s="3">
        <v>1365293000</v>
      </c>
      <c r="FW20" s="3">
        <v>4118353000</v>
      </c>
      <c r="FX20" s="3">
        <v>1621169000</v>
      </c>
      <c r="FY20" s="3">
        <v>531555000</v>
      </c>
      <c r="FZ20" s="3">
        <v>707561000</v>
      </c>
      <c r="GA20" s="3">
        <v>2860285000</v>
      </c>
      <c r="GB20" s="3">
        <v>1621169000</v>
      </c>
      <c r="GC20" s="3">
        <v>531555000</v>
      </c>
      <c r="GD20" s="3">
        <v>707561000</v>
      </c>
      <c r="GE20" s="3">
        <v>2860285000</v>
      </c>
      <c r="GF20" s="6">
        <v>1619645997.72</v>
      </c>
      <c r="GG20" s="6">
        <v>525998400</v>
      </c>
      <c r="GH20" s="6">
        <v>707561000</v>
      </c>
      <c r="GI20" s="6">
        <v>2853205397.7200003</v>
      </c>
      <c r="GJ20" s="6">
        <v>1619645997.72</v>
      </c>
      <c r="GK20" s="3">
        <v>525998400</v>
      </c>
      <c r="GL20" s="3">
        <v>707561000</v>
      </c>
      <c r="GM20" s="3">
        <v>2853205397.7200003</v>
      </c>
      <c r="GN20" s="3">
        <v>1619645997.72</v>
      </c>
      <c r="GO20" s="3">
        <v>487369309.98000002</v>
      </c>
      <c r="GP20" s="3">
        <v>660706080.03999996</v>
      </c>
      <c r="GQ20" s="3">
        <v>2767721387.7399998</v>
      </c>
      <c r="GR20" s="3">
        <v>1613422786.1300001</v>
      </c>
      <c r="GS20" s="6">
        <v>452837405.22000003</v>
      </c>
      <c r="GT20" s="3">
        <v>547496977.48000002</v>
      </c>
      <c r="GU20" s="3">
        <v>2613757168.8299999</v>
      </c>
      <c r="GV20" s="3">
        <v>1629340000</v>
      </c>
      <c r="GW20" s="3">
        <v>673581000</v>
      </c>
      <c r="GX20" s="3">
        <v>798185000</v>
      </c>
      <c r="GY20" s="3">
        <v>3101106000</v>
      </c>
      <c r="GZ20" s="3">
        <v>1629340000</v>
      </c>
      <c r="HA20" s="3">
        <v>673581000</v>
      </c>
      <c r="HB20" s="3">
        <v>798185000</v>
      </c>
      <c r="HC20" s="3">
        <v>3101106000</v>
      </c>
      <c r="HD20" s="3">
        <v>1629340000</v>
      </c>
      <c r="HE20" s="3">
        <v>673581000</v>
      </c>
      <c r="HF20" s="3">
        <v>798185000</v>
      </c>
      <c r="HG20" s="3">
        <v>3101106000</v>
      </c>
      <c r="HH20" s="3">
        <v>1631350026</v>
      </c>
      <c r="HI20" s="3">
        <v>671570974</v>
      </c>
      <c r="HJ20" s="3">
        <v>798185000</v>
      </c>
      <c r="HK20" s="3">
        <v>3101106000</v>
      </c>
      <c r="HL20" s="3">
        <v>1631350026</v>
      </c>
      <c r="HM20" s="3">
        <v>671570974</v>
      </c>
      <c r="HN20" s="3">
        <v>798185000</v>
      </c>
      <c r="HO20" s="3">
        <v>3101106000</v>
      </c>
      <c r="HP20" s="3">
        <v>1631349999.6500001</v>
      </c>
      <c r="HQ20" s="3">
        <v>613540282.33000004</v>
      </c>
      <c r="HR20" s="3">
        <v>714530516.66999996</v>
      </c>
      <c r="HS20" s="3">
        <v>2959420798.6500001</v>
      </c>
      <c r="HT20" s="3">
        <v>1625579418.6700001</v>
      </c>
      <c r="HU20" s="3">
        <v>500756138.88999999</v>
      </c>
      <c r="HV20" s="3">
        <v>626159779.57000005</v>
      </c>
      <c r="HW20" s="3">
        <v>2752495337.1300001</v>
      </c>
      <c r="HX20" s="3">
        <v>1853490000</v>
      </c>
      <c r="HY20" s="3">
        <v>684274000</v>
      </c>
      <c r="HZ20" s="3">
        <v>970905000</v>
      </c>
      <c r="IA20" s="3">
        <v>3508669000</v>
      </c>
      <c r="IB20" s="3">
        <v>1853490000</v>
      </c>
      <c r="IC20" s="3">
        <v>271496000</v>
      </c>
      <c r="ID20" s="3">
        <v>293504000</v>
      </c>
      <c r="IE20" s="3">
        <v>2418490000</v>
      </c>
      <c r="IF20" s="3"/>
      <c r="IG20" s="3"/>
      <c r="IH20" s="3"/>
      <c r="II20" s="3"/>
      <c r="IJ20" s="3"/>
      <c r="IK20" s="3"/>
      <c r="IL20" s="3"/>
      <c r="IM20" s="3"/>
      <c r="IN20" s="3"/>
      <c r="IO20" s="3"/>
      <c r="IP20" s="3"/>
      <c r="IQ20" s="3"/>
      <c r="IR20" s="3"/>
      <c r="IS20" s="3"/>
      <c r="IT20" s="3"/>
      <c r="IU20" s="3"/>
      <c r="IV20" s="3"/>
      <c r="IW20" s="3"/>
      <c r="IX20" s="3"/>
      <c r="IY20" s="3"/>
      <c r="IZ20" s="3">
        <v>1941534000</v>
      </c>
      <c r="JA20" s="3">
        <v>646774000</v>
      </c>
      <c r="JB20" s="3">
        <v>970905000</v>
      </c>
      <c r="JC20" s="3">
        <v>3559213000</v>
      </c>
      <c r="JD20" s="3"/>
      <c r="JE20" s="3"/>
      <c r="JF20" s="3"/>
      <c r="JG20" s="3"/>
    </row>
    <row r="21" spans="1:267" x14ac:dyDescent="0.25">
      <c r="A21" t="s">
        <v>1153</v>
      </c>
      <c r="B21" t="s">
        <v>1154</v>
      </c>
      <c r="C21" t="s">
        <v>199</v>
      </c>
      <c r="D21" t="s">
        <v>200</v>
      </c>
      <c r="E21" t="s">
        <v>224</v>
      </c>
      <c r="F21" t="s">
        <v>1160</v>
      </c>
      <c r="G21" t="s">
        <v>1207</v>
      </c>
      <c r="H21" s="3">
        <v>0</v>
      </c>
      <c r="I21" s="3">
        <v>50000000</v>
      </c>
      <c r="J21" s="3">
        <v>200000000</v>
      </c>
      <c r="K21" s="3">
        <v>250000000</v>
      </c>
      <c r="L21" s="3">
        <v>0</v>
      </c>
      <c r="M21" s="3">
        <v>50000000</v>
      </c>
      <c r="N21" s="3">
        <v>200000000</v>
      </c>
      <c r="O21" s="3">
        <v>250000000</v>
      </c>
      <c r="P21" s="3">
        <v>0</v>
      </c>
      <c r="Q21" s="3">
        <v>50000000</v>
      </c>
      <c r="R21" s="3">
        <v>200000000</v>
      </c>
      <c r="S21" s="3">
        <v>250000000</v>
      </c>
      <c r="T21" s="3">
        <v>1481576</v>
      </c>
      <c r="U21" s="3">
        <v>48518424</v>
      </c>
      <c r="V21" s="3">
        <v>200000000</v>
      </c>
      <c r="W21" s="3">
        <v>250000000</v>
      </c>
      <c r="X21" s="6">
        <v>1481576</v>
      </c>
      <c r="Y21" s="3">
        <v>48518424</v>
      </c>
      <c r="Z21" s="3">
        <v>200000000</v>
      </c>
      <c r="AA21" s="3">
        <v>250000000</v>
      </c>
      <c r="AB21" s="3">
        <v>1481576</v>
      </c>
      <c r="AC21" s="3">
        <v>46232553.719999999</v>
      </c>
      <c r="AD21" s="3">
        <v>196456329.53999999</v>
      </c>
      <c r="AE21" s="3">
        <v>244170459.25999999</v>
      </c>
      <c r="AF21" s="3">
        <v>1481576</v>
      </c>
      <c r="AG21" s="3">
        <v>32238376.079999998</v>
      </c>
      <c r="AH21" s="3">
        <v>80915049.760000005</v>
      </c>
      <c r="AI21" s="3">
        <v>114635001.84</v>
      </c>
      <c r="AJ21" s="3">
        <v>0</v>
      </c>
      <c r="AK21" s="3">
        <v>80000000</v>
      </c>
      <c r="AL21" s="3">
        <v>200000000</v>
      </c>
      <c r="AM21" s="3">
        <v>280000000</v>
      </c>
      <c r="AN21" s="3">
        <v>0</v>
      </c>
      <c r="AO21" s="3">
        <v>78350000</v>
      </c>
      <c r="AP21" s="3">
        <v>201650000</v>
      </c>
      <c r="AQ21" s="3">
        <v>280000000</v>
      </c>
      <c r="AR21" s="3">
        <v>0</v>
      </c>
      <c r="AS21" s="3">
        <v>78350000</v>
      </c>
      <c r="AT21" s="3">
        <v>201650000</v>
      </c>
      <c r="AU21" s="3">
        <v>280000000</v>
      </c>
      <c r="AV21" s="3">
        <v>2537886</v>
      </c>
      <c r="AW21" s="3">
        <v>75812114</v>
      </c>
      <c r="AX21" s="3">
        <v>201650000</v>
      </c>
      <c r="AY21" s="3">
        <v>280000000</v>
      </c>
      <c r="AZ21" s="3">
        <v>2537886</v>
      </c>
      <c r="BA21" s="3">
        <v>75812114</v>
      </c>
      <c r="BB21" s="3">
        <v>201650000</v>
      </c>
      <c r="BC21" s="3">
        <v>280000000</v>
      </c>
      <c r="BD21" s="3">
        <v>2537886</v>
      </c>
      <c r="BE21" s="3">
        <v>72270944.299999997</v>
      </c>
      <c r="BF21" s="3">
        <v>186914537.53999999</v>
      </c>
      <c r="BG21" s="3">
        <v>261723367.83999997</v>
      </c>
      <c r="BH21" s="3">
        <v>2537886</v>
      </c>
      <c r="BI21" s="3">
        <v>59595634.329999998</v>
      </c>
      <c r="BJ21" s="3">
        <v>111443457.02000001</v>
      </c>
      <c r="BK21" s="3">
        <v>173576977.35000002</v>
      </c>
      <c r="BL21" s="3">
        <v>0</v>
      </c>
      <c r="BM21" s="3">
        <v>50000000</v>
      </c>
      <c r="BN21" s="3">
        <v>200000000</v>
      </c>
      <c r="BO21" s="3">
        <v>250000000</v>
      </c>
      <c r="BP21" s="3">
        <v>0</v>
      </c>
      <c r="BQ21" s="3">
        <v>50000000</v>
      </c>
      <c r="BR21" s="3">
        <v>200000000</v>
      </c>
      <c r="BS21" s="3">
        <v>250000000</v>
      </c>
      <c r="BT21" s="3">
        <v>0</v>
      </c>
      <c r="BU21" s="3">
        <v>50000000</v>
      </c>
      <c r="BV21" s="3">
        <v>200000000</v>
      </c>
      <c r="BW21" s="3">
        <v>250000000</v>
      </c>
      <c r="BX21" s="3">
        <v>1674331</v>
      </c>
      <c r="BY21" s="3">
        <v>45108669</v>
      </c>
      <c r="BZ21" s="3">
        <v>128945000</v>
      </c>
      <c r="CA21" s="3">
        <v>175728000</v>
      </c>
      <c r="CB21" s="6">
        <v>1674331</v>
      </c>
      <c r="CC21" s="6">
        <v>45108669</v>
      </c>
      <c r="CD21" s="6">
        <v>128945000</v>
      </c>
      <c r="CE21" s="6">
        <v>175728000</v>
      </c>
      <c r="CF21" s="6">
        <v>1628750.75</v>
      </c>
      <c r="CG21" s="3">
        <v>40490232.859999999</v>
      </c>
      <c r="CH21" s="3">
        <v>121609510.98999999</v>
      </c>
      <c r="CI21" s="3">
        <v>163728494.59999999</v>
      </c>
      <c r="CJ21" s="3">
        <v>1468762.42</v>
      </c>
      <c r="CK21" s="3">
        <v>25486972.75</v>
      </c>
      <c r="CL21" s="3">
        <v>91271744.180000007</v>
      </c>
      <c r="CM21" s="3">
        <v>118227479.35000001</v>
      </c>
      <c r="CN21" s="3">
        <v>0</v>
      </c>
      <c r="CO21" s="3">
        <v>64723000</v>
      </c>
      <c r="CP21" s="3">
        <v>185277000</v>
      </c>
      <c r="CQ21" s="3">
        <v>250000000</v>
      </c>
      <c r="CR21" s="3">
        <v>0</v>
      </c>
      <c r="CS21" s="3">
        <v>64723000</v>
      </c>
      <c r="CT21" s="3">
        <v>185277000</v>
      </c>
      <c r="CU21" s="3">
        <v>250000000</v>
      </c>
      <c r="CV21" s="3">
        <v>0</v>
      </c>
      <c r="CW21" s="3">
        <v>64723000</v>
      </c>
      <c r="CX21" s="3">
        <v>185277000</v>
      </c>
      <c r="CY21" s="3">
        <v>250000000</v>
      </c>
      <c r="CZ21" s="3">
        <v>2465190</v>
      </c>
      <c r="DA21" s="3">
        <v>62257810</v>
      </c>
      <c r="DB21" s="3">
        <v>185277000</v>
      </c>
      <c r="DC21" s="3">
        <v>250000000</v>
      </c>
      <c r="DD21" s="3">
        <v>2465190</v>
      </c>
      <c r="DE21" s="3">
        <v>62257810</v>
      </c>
      <c r="DF21" s="3">
        <v>185277000</v>
      </c>
      <c r="DG21" s="3">
        <v>250000000</v>
      </c>
      <c r="DH21" s="3">
        <v>2465190</v>
      </c>
      <c r="DI21" s="3">
        <v>51839651.829999998</v>
      </c>
      <c r="DJ21" s="3">
        <v>174188960.47999999</v>
      </c>
      <c r="DK21" s="3">
        <v>228493802.31</v>
      </c>
      <c r="DL21" s="3">
        <v>2275190</v>
      </c>
      <c r="DM21" s="3">
        <v>39279051.740000002</v>
      </c>
      <c r="DN21" s="3">
        <v>132340796.56</v>
      </c>
      <c r="DO21" s="3">
        <v>173895038.30000001</v>
      </c>
      <c r="DP21" s="3">
        <v>0</v>
      </c>
      <c r="DQ21" s="3">
        <v>100033000</v>
      </c>
      <c r="DR21" s="3">
        <v>353098000</v>
      </c>
      <c r="DS21" s="3">
        <v>453131000</v>
      </c>
      <c r="DT21" s="3">
        <v>0</v>
      </c>
      <c r="DU21" s="3">
        <v>100033000</v>
      </c>
      <c r="DV21" s="3">
        <v>353098000</v>
      </c>
      <c r="DW21" s="3">
        <v>453131000</v>
      </c>
      <c r="DX21" s="3">
        <v>0</v>
      </c>
      <c r="DY21" s="3">
        <v>100033000</v>
      </c>
      <c r="DZ21" s="3">
        <v>353098000</v>
      </c>
      <c r="EA21" s="3">
        <v>453131000</v>
      </c>
      <c r="EB21" s="6">
        <v>5115250</v>
      </c>
      <c r="EC21" s="6">
        <v>94917750</v>
      </c>
      <c r="ED21" s="6">
        <v>353098000</v>
      </c>
      <c r="EE21" s="3">
        <v>453131000</v>
      </c>
      <c r="EF21" s="3">
        <v>5115250</v>
      </c>
      <c r="EG21" s="3">
        <v>94917750</v>
      </c>
      <c r="EH21" s="3">
        <v>353098000</v>
      </c>
      <c r="EI21" s="3">
        <v>453131000</v>
      </c>
      <c r="EJ21" s="3">
        <v>5115250</v>
      </c>
      <c r="EK21" s="3">
        <v>89630662.049999997</v>
      </c>
      <c r="EL21" s="3">
        <v>347930812.93000001</v>
      </c>
      <c r="EM21" s="3">
        <v>442676724.98000002</v>
      </c>
      <c r="EN21" s="3">
        <v>4021829.24</v>
      </c>
      <c r="EO21" s="3">
        <v>78537648.530000001</v>
      </c>
      <c r="EP21" s="3">
        <v>303317339.66000003</v>
      </c>
      <c r="EQ21" s="3">
        <v>385876817.43000001</v>
      </c>
      <c r="ER21" s="3">
        <v>0</v>
      </c>
      <c r="ES21" s="3">
        <v>83513000</v>
      </c>
      <c r="ET21" s="3">
        <v>185032000</v>
      </c>
      <c r="EU21" s="3">
        <v>268545000</v>
      </c>
      <c r="EV21" s="3">
        <v>0</v>
      </c>
      <c r="EW21" s="3">
        <v>89299000</v>
      </c>
      <c r="EX21" s="3">
        <v>198071000</v>
      </c>
      <c r="EY21" s="3">
        <v>287370000</v>
      </c>
      <c r="EZ21" s="3">
        <v>0</v>
      </c>
      <c r="FA21" s="3">
        <v>89299000</v>
      </c>
      <c r="FB21" s="3">
        <v>198071000</v>
      </c>
      <c r="FC21" s="3">
        <v>287370000</v>
      </c>
      <c r="FD21" s="3">
        <v>4185746.97</v>
      </c>
      <c r="FE21" s="3">
        <v>85113253.030000001</v>
      </c>
      <c r="FF21" s="3">
        <v>198071000</v>
      </c>
      <c r="FG21" s="3">
        <v>287370000</v>
      </c>
      <c r="FH21" s="6">
        <v>4185746.97</v>
      </c>
      <c r="FI21" s="6">
        <v>85113253.030000001</v>
      </c>
      <c r="FJ21" s="6">
        <v>198071000</v>
      </c>
      <c r="FK21" s="3">
        <v>287370000</v>
      </c>
      <c r="FL21" s="3">
        <v>4185746.97</v>
      </c>
      <c r="FM21" s="3">
        <v>81591422.680000007</v>
      </c>
      <c r="FN21" s="3">
        <v>184188964.87</v>
      </c>
      <c r="FO21" s="3">
        <v>269966134.51999998</v>
      </c>
      <c r="FP21" s="3">
        <v>4103239.63</v>
      </c>
      <c r="FQ21" s="3">
        <v>65615657.740000002</v>
      </c>
      <c r="FR21" s="3">
        <v>150247640.63999999</v>
      </c>
      <c r="FS21" s="3">
        <v>219966538.00999999</v>
      </c>
      <c r="FT21" s="3">
        <v>0</v>
      </c>
      <c r="FU21" s="3">
        <v>151216000</v>
      </c>
      <c r="FV21" s="3">
        <v>350675000</v>
      </c>
      <c r="FW21" s="3">
        <v>501891000</v>
      </c>
      <c r="FX21" s="3">
        <v>0</v>
      </c>
      <c r="FY21" s="3">
        <v>141216000</v>
      </c>
      <c r="FZ21" s="3">
        <v>350675000</v>
      </c>
      <c r="GA21" s="3">
        <v>491891000</v>
      </c>
      <c r="GB21" s="3">
        <v>0</v>
      </c>
      <c r="GC21" s="3">
        <v>141216000</v>
      </c>
      <c r="GD21" s="3">
        <v>350675000</v>
      </c>
      <c r="GE21" s="3">
        <v>491891000</v>
      </c>
      <c r="GF21" s="6">
        <v>6808909</v>
      </c>
      <c r="GG21" s="6">
        <v>134407091</v>
      </c>
      <c r="GH21" s="6">
        <v>350675000</v>
      </c>
      <c r="GI21" s="6">
        <v>491891000</v>
      </c>
      <c r="GJ21" s="6">
        <v>6808909</v>
      </c>
      <c r="GK21" s="3">
        <v>134407091</v>
      </c>
      <c r="GL21" s="3">
        <v>350675000</v>
      </c>
      <c r="GM21" s="3">
        <v>491891000</v>
      </c>
      <c r="GN21" s="3">
        <v>6808909</v>
      </c>
      <c r="GO21" s="3">
        <v>120646496.87</v>
      </c>
      <c r="GP21" s="3">
        <v>286728731.80000001</v>
      </c>
      <c r="GQ21" s="3">
        <v>414184137.67000002</v>
      </c>
      <c r="GR21" s="3">
        <v>6636775.6399999997</v>
      </c>
      <c r="GS21" s="6">
        <v>104136472.40000001</v>
      </c>
      <c r="GT21" s="3">
        <v>238335131.28</v>
      </c>
      <c r="GU21" s="3">
        <v>349108379.31999999</v>
      </c>
      <c r="GV21" s="3">
        <v>0</v>
      </c>
      <c r="GW21" s="3">
        <v>293938000</v>
      </c>
      <c r="GX21" s="3">
        <v>290675000</v>
      </c>
      <c r="GY21" s="3">
        <v>584613000</v>
      </c>
      <c r="GZ21" s="3">
        <v>0</v>
      </c>
      <c r="HA21" s="3">
        <v>368938000</v>
      </c>
      <c r="HB21" s="3">
        <v>290675000</v>
      </c>
      <c r="HC21" s="3">
        <v>659613000</v>
      </c>
      <c r="HD21" s="3">
        <v>0</v>
      </c>
      <c r="HE21" s="3">
        <v>368938000</v>
      </c>
      <c r="HF21" s="3">
        <v>290675000</v>
      </c>
      <c r="HG21" s="3">
        <v>659613000</v>
      </c>
      <c r="HH21" s="3">
        <v>7758896</v>
      </c>
      <c r="HI21" s="3">
        <v>361179104</v>
      </c>
      <c r="HJ21" s="3">
        <v>290675000</v>
      </c>
      <c r="HK21" s="3">
        <v>659613000</v>
      </c>
      <c r="HL21" s="3">
        <v>7758896</v>
      </c>
      <c r="HM21" s="3">
        <v>361179104</v>
      </c>
      <c r="HN21" s="3">
        <v>290675000</v>
      </c>
      <c r="HO21" s="3">
        <v>659613000</v>
      </c>
      <c r="HP21" s="3">
        <v>7758896</v>
      </c>
      <c r="HQ21" s="3">
        <v>243373607.90000001</v>
      </c>
      <c r="HR21" s="3">
        <v>256311652.16999999</v>
      </c>
      <c r="HS21" s="3">
        <v>507444156.06999999</v>
      </c>
      <c r="HT21" s="3">
        <v>7549168.3399999999</v>
      </c>
      <c r="HU21" s="3">
        <v>212019607.94999999</v>
      </c>
      <c r="HV21" s="3">
        <v>170543740.21000001</v>
      </c>
      <c r="HW21" s="3">
        <v>390112516.5</v>
      </c>
      <c r="HX21" s="3">
        <v>0</v>
      </c>
      <c r="HY21" s="3">
        <v>403030000</v>
      </c>
      <c r="HZ21" s="3">
        <v>340075000</v>
      </c>
      <c r="IA21" s="3">
        <v>743105000</v>
      </c>
      <c r="IB21" s="3">
        <v>0</v>
      </c>
      <c r="IC21" s="3">
        <v>403030000</v>
      </c>
      <c r="ID21" s="3">
        <v>490075000</v>
      </c>
      <c r="IE21" s="3">
        <v>893105000</v>
      </c>
      <c r="IF21" s="3"/>
      <c r="IG21" s="3"/>
      <c r="IH21" s="3"/>
      <c r="II21" s="3"/>
      <c r="IJ21" s="3"/>
      <c r="IK21" s="3"/>
      <c r="IL21" s="3"/>
      <c r="IM21" s="3"/>
      <c r="IN21" s="3"/>
      <c r="IO21" s="3"/>
      <c r="IP21" s="3"/>
      <c r="IQ21" s="3"/>
      <c r="IR21" s="3"/>
      <c r="IS21" s="3"/>
      <c r="IT21" s="3"/>
      <c r="IU21" s="3"/>
      <c r="IV21" s="3"/>
      <c r="IW21" s="3"/>
      <c r="IX21" s="3"/>
      <c r="IY21" s="3"/>
      <c r="IZ21" s="3">
        <v>0</v>
      </c>
      <c r="JA21" s="3">
        <v>329571000</v>
      </c>
      <c r="JB21" s="3">
        <v>290675000</v>
      </c>
      <c r="JC21" s="3">
        <v>620246000</v>
      </c>
      <c r="JD21" s="3"/>
      <c r="JE21" s="3"/>
      <c r="JF21" s="3"/>
      <c r="JG21" s="3"/>
    </row>
    <row r="22" spans="1:267" x14ac:dyDescent="0.25">
      <c r="A22" t="s">
        <v>1153</v>
      </c>
      <c r="B22" t="s">
        <v>1154</v>
      </c>
      <c r="C22" t="s">
        <v>199</v>
      </c>
      <c r="D22" t="s">
        <v>200</v>
      </c>
      <c r="E22" t="s">
        <v>224</v>
      </c>
      <c r="F22" t="s">
        <v>1161</v>
      </c>
      <c r="G22" t="s">
        <v>1208</v>
      </c>
      <c r="H22" s="3">
        <v>0</v>
      </c>
      <c r="I22" s="3">
        <v>368457000</v>
      </c>
      <c r="J22" s="3">
        <v>986836000</v>
      </c>
      <c r="K22" s="3">
        <v>1355293000</v>
      </c>
      <c r="L22" s="3">
        <v>0</v>
      </c>
      <c r="M22" s="3">
        <v>519364000</v>
      </c>
      <c r="N22" s="3">
        <v>476408000</v>
      </c>
      <c r="O22" s="3">
        <v>995772000</v>
      </c>
      <c r="P22" s="3">
        <v>0</v>
      </c>
      <c r="Q22" s="3">
        <v>519364000</v>
      </c>
      <c r="R22" s="3">
        <v>476408000</v>
      </c>
      <c r="S22" s="3">
        <v>995772000</v>
      </c>
      <c r="T22" s="3">
        <v>0</v>
      </c>
      <c r="U22" s="3">
        <v>519364000</v>
      </c>
      <c r="V22" s="3">
        <v>476408000</v>
      </c>
      <c r="W22" s="3">
        <v>995772000</v>
      </c>
      <c r="X22" s="3">
        <v>0</v>
      </c>
      <c r="Y22" s="3">
        <v>519364000</v>
      </c>
      <c r="Z22" s="3">
        <v>476408000</v>
      </c>
      <c r="AA22" s="3">
        <v>995772000</v>
      </c>
      <c r="AB22" s="3">
        <v>0</v>
      </c>
      <c r="AC22" s="3">
        <v>329962406.47000003</v>
      </c>
      <c r="AD22" s="3">
        <v>324405680.11000001</v>
      </c>
      <c r="AE22" s="3">
        <v>654368086.58000004</v>
      </c>
      <c r="AF22" s="3">
        <v>0</v>
      </c>
      <c r="AG22" s="3">
        <v>114718718.77</v>
      </c>
      <c r="AH22" s="3">
        <v>51824721.390000001</v>
      </c>
      <c r="AI22" s="3">
        <v>166543440.16</v>
      </c>
      <c r="AJ22" s="3">
        <v>0</v>
      </c>
      <c r="AK22" s="3">
        <v>424584000</v>
      </c>
      <c r="AL22" s="3">
        <v>27640000</v>
      </c>
      <c r="AM22" s="3">
        <v>452224000</v>
      </c>
      <c r="AN22" s="3">
        <v>0</v>
      </c>
      <c r="AO22" s="3">
        <v>389939000</v>
      </c>
      <c r="AP22" s="3">
        <v>27640000</v>
      </c>
      <c r="AQ22" s="3">
        <v>417579000</v>
      </c>
      <c r="AR22" s="3">
        <v>0</v>
      </c>
      <c r="AS22" s="3">
        <v>389939000</v>
      </c>
      <c r="AT22" s="3">
        <v>27640000</v>
      </c>
      <c r="AU22" s="3">
        <v>417579000</v>
      </c>
      <c r="AV22" s="3">
        <v>0</v>
      </c>
      <c r="AW22" s="3">
        <v>389939000</v>
      </c>
      <c r="AX22" s="3">
        <v>27640000</v>
      </c>
      <c r="AY22" s="3">
        <v>417579000</v>
      </c>
      <c r="AZ22" s="3">
        <v>0</v>
      </c>
      <c r="BA22" s="3">
        <v>389939000</v>
      </c>
      <c r="BB22" s="3">
        <v>27640000</v>
      </c>
      <c r="BC22" s="3">
        <v>417579000</v>
      </c>
      <c r="BD22" s="3">
        <v>0</v>
      </c>
      <c r="BE22" s="3">
        <v>358062137.83999997</v>
      </c>
      <c r="BF22" s="3">
        <v>11142844.59</v>
      </c>
      <c r="BG22" s="3">
        <v>369204982.43000001</v>
      </c>
      <c r="BH22" s="3">
        <v>0</v>
      </c>
      <c r="BI22" s="3">
        <v>242478936.09999999</v>
      </c>
      <c r="BJ22" s="3">
        <v>4785603.7</v>
      </c>
      <c r="BK22" s="3">
        <v>247264539.80000001</v>
      </c>
      <c r="BL22" s="3">
        <v>0</v>
      </c>
      <c r="BM22" s="3">
        <v>392006000</v>
      </c>
      <c r="BN22" s="3">
        <v>0</v>
      </c>
      <c r="BO22" s="3">
        <v>392006000</v>
      </c>
      <c r="BP22" s="3">
        <v>0</v>
      </c>
      <c r="BQ22" s="3">
        <v>367006000</v>
      </c>
      <c r="BR22" s="3">
        <v>0</v>
      </c>
      <c r="BS22" s="3">
        <v>367006000</v>
      </c>
      <c r="BT22" s="3">
        <v>0</v>
      </c>
      <c r="BU22" s="3">
        <v>367006000</v>
      </c>
      <c r="BV22" s="3">
        <v>0</v>
      </c>
      <c r="BW22" s="3">
        <v>367006000</v>
      </c>
      <c r="BX22" s="3">
        <v>0</v>
      </c>
      <c r="BY22" s="3">
        <v>315994000</v>
      </c>
      <c r="BZ22" s="3">
        <v>0</v>
      </c>
      <c r="CA22" s="3">
        <v>315994000</v>
      </c>
      <c r="CB22" s="3">
        <v>0</v>
      </c>
      <c r="CC22" s="3">
        <v>315994000</v>
      </c>
      <c r="CD22" s="3">
        <v>0</v>
      </c>
      <c r="CE22" s="3">
        <v>315994000</v>
      </c>
      <c r="CF22" s="3">
        <v>0</v>
      </c>
      <c r="CG22" s="3">
        <v>275368379.01999998</v>
      </c>
      <c r="CH22" s="3">
        <v>0</v>
      </c>
      <c r="CI22" s="3">
        <v>275368379.01999998</v>
      </c>
      <c r="CJ22" s="3">
        <v>0</v>
      </c>
      <c r="CK22" s="3">
        <v>186384787.91</v>
      </c>
      <c r="CL22" s="3">
        <v>0</v>
      </c>
      <c r="CM22" s="3">
        <v>186384787.91</v>
      </c>
      <c r="CN22" s="3">
        <v>0</v>
      </c>
      <c r="CO22" s="3">
        <v>60000000</v>
      </c>
      <c r="CP22" s="3">
        <v>0</v>
      </c>
      <c r="CQ22" s="3">
        <v>60000000</v>
      </c>
      <c r="CR22" s="3">
        <v>0</v>
      </c>
      <c r="CS22" s="3">
        <v>60000000</v>
      </c>
      <c r="CT22" s="3">
        <v>0</v>
      </c>
      <c r="CU22" s="3">
        <v>60000000</v>
      </c>
      <c r="CV22" s="3">
        <v>0</v>
      </c>
      <c r="CW22" s="3">
        <v>60000000</v>
      </c>
      <c r="CX22" s="3">
        <v>0</v>
      </c>
      <c r="CY22" s="3">
        <v>60000000</v>
      </c>
      <c r="CZ22" s="3">
        <v>0</v>
      </c>
      <c r="DA22" s="3">
        <v>60000000</v>
      </c>
      <c r="DB22" s="3">
        <v>0</v>
      </c>
      <c r="DC22" s="3">
        <v>60000000</v>
      </c>
      <c r="DD22" s="3">
        <v>0</v>
      </c>
      <c r="DE22" s="3">
        <v>60000000</v>
      </c>
      <c r="DF22" s="3">
        <v>0</v>
      </c>
      <c r="DG22" s="3">
        <v>60000000</v>
      </c>
      <c r="DH22" s="3">
        <v>0</v>
      </c>
      <c r="DI22" s="3">
        <v>55000272.640000001</v>
      </c>
      <c r="DJ22" s="3">
        <v>0</v>
      </c>
      <c r="DK22" s="3">
        <v>55000272.640000001</v>
      </c>
      <c r="DL22" s="3">
        <v>0</v>
      </c>
      <c r="DM22" s="3">
        <v>43045215.859999999</v>
      </c>
      <c r="DN22" s="3">
        <v>0</v>
      </c>
      <c r="DO22" s="3">
        <v>43045215.859999999</v>
      </c>
      <c r="DP22" s="3"/>
      <c r="DQ22" s="3"/>
      <c r="DR22" s="3"/>
      <c r="DS22" s="3"/>
      <c r="DT22" s="3"/>
      <c r="DU22" s="3"/>
      <c r="DV22" s="3"/>
      <c r="DW22" s="3"/>
      <c r="DX22" s="3"/>
      <c r="DY22" s="3"/>
      <c r="DZ22" s="3"/>
      <c r="EA22" s="3"/>
      <c r="EB22" s="6"/>
      <c r="EC22" s="6"/>
      <c r="ED22" s="6"/>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6"/>
      <c r="FI22" s="6"/>
      <c r="FJ22" s="6"/>
      <c r="FK22" s="3"/>
      <c r="FL22" s="3"/>
      <c r="FM22" s="3"/>
      <c r="FN22" s="3"/>
      <c r="FO22" s="3"/>
      <c r="FP22" s="3"/>
      <c r="FQ22" s="3"/>
      <c r="FR22" s="3"/>
      <c r="FS22" s="3"/>
      <c r="FT22" s="3"/>
      <c r="FU22" s="3"/>
      <c r="FV22" s="3"/>
      <c r="FW22" s="3"/>
      <c r="FX22" s="3"/>
      <c r="FY22" s="3"/>
      <c r="FZ22" s="3"/>
      <c r="GA22" s="3"/>
      <c r="GB22" s="3"/>
      <c r="GC22" s="3"/>
      <c r="GD22" s="3"/>
      <c r="GE22" s="3"/>
      <c r="GF22" s="6"/>
      <c r="GG22" s="6"/>
      <c r="GH22" s="6"/>
      <c r="GI22" s="6"/>
      <c r="GJ22" s="6"/>
      <c r="GK22" s="3"/>
      <c r="GL22" s="3"/>
      <c r="GM22" s="3"/>
      <c r="GN22" s="3"/>
      <c r="GO22" s="3"/>
      <c r="GP22" s="3"/>
      <c r="GQ22" s="3"/>
      <c r="GR22" s="3"/>
      <c r="GS22" s="6"/>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row>
    <row r="23" spans="1:267" x14ac:dyDescent="0.25">
      <c r="A23" t="s">
        <v>1153</v>
      </c>
      <c r="B23" t="s">
        <v>1154</v>
      </c>
      <c r="C23" t="s">
        <v>199</v>
      </c>
      <c r="D23" t="s">
        <v>200</v>
      </c>
      <c r="E23" t="s">
        <v>224</v>
      </c>
      <c r="F23" t="s">
        <v>1162</v>
      </c>
      <c r="G23" t="s">
        <v>1209</v>
      </c>
      <c r="H23" s="3">
        <v>0</v>
      </c>
      <c r="I23" s="3">
        <v>155742000</v>
      </c>
      <c r="J23" s="3">
        <v>1104853000</v>
      </c>
      <c r="K23" s="3">
        <v>1260595000</v>
      </c>
      <c r="L23" s="3">
        <v>0</v>
      </c>
      <c r="M23" s="3">
        <v>195598000</v>
      </c>
      <c r="N23" s="3">
        <v>1064997000</v>
      </c>
      <c r="O23" s="3">
        <v>1260595000</v>
      </c>
      <c r="P23" s="3">
        <v>0</v>
      </c>
      <c r="Q23" s="3">
        <v>195598000</v>
      </c>
      <c r="R23" s="3">
        <v>1064997000</v>
      </c>
      <c r="S23" s="3">
        <v>1260595000</v>
      </c>
      <c r="T23" s="3">
        <v>0</v>
      </c>
      <c r="U23" s="3">
        <v>195598000</v>
      </c>
      <c r="V23" s="3">
        <v>1064997000</v>
      </c>
      <c r="W23" s="3">
        <v>1260595000</v>
      </c>
      <c r="X23" s="3">
        <v>0</v>
      </c>
      <c r="Y23" s="3">
        <v>195598000</v>
      </c>
      <c r="Z23" s="3">
        <v>1064997000</v>
      </c>
      <c r="AA23" s="3">
        <v>1260595000</v>
      </c>
      <c r="AB23" s="3">
        <v>0</v>
      </c>
      <c r="AC23" s="3">
        <v>191451105.59</v>
      </c>
      <c r="AD23" s="3">
        <v>1061723793.89</v>
      </c>
      <c r="AE23" s="3">
        <v>1253174899.48</v>
      </c>
      <c r="AF23" s="3">
        <v>0</v>
      </c>
      <c r="AG23" s="3">
        <v>111672647.15000001</v>
      </c>
      <c r="AH23" s="3">
        <v>198681319.72</v>
      </c>
      <c r="AI23" s="3">
        <v>310353966.87</v>
      </c>
      <c r="AJ23" s="3">
        <v>0</v>
      </c>
      <c r="AK23" s="3">
        <v>174235000</v>
      </c>
      <c r="AL23" s="3">
        <v>596742000</v>
      </c>
      <c r="AM23" s="3">
        <v>770977000</v>
      </c>
      <c r="AN23" s="3">
        <v>0</v>
      </c>
      <c r="AO23" s="3">
        <v>183344000</v>
      </c>
      <c r="AP23" s="3">
        <v>622278000</v>
      </c>
      <c r="AQ23" s="3">
        <v>805622000</v>
      </c>
      <c r="AR23" s="3">
        <v>0</v>
      </c>
      <c r="AS23" s="3">
        <v>183344000</v>
      </c>
      <c r="AT23" s="3">
        <v>622278000</v>
      </c>
      <c r="AU23" s="3">
        <v>805622000</v>
      </c>
      <c r="AV23" s="3">
        <v>0</v>
      </c>
      <c r="AW23" s="3">
        <v>183344000</v>
      </c>
      <c r="AX23" s="3">
        <v>622278000</v>
      </c>
      <c r="AY23" s="3">
        <v>805622000</v>
      </c>
      <c r="AZ23" s="3">
        <v>0</v>
      </c>
      <c r="BA23" s="3">
        <v>183344000</v>
      </c>
      <c r="BB23" s="3">
        <v>622278000</v>
      </c>
      <c r="BC23" s="3">
        <v>805622000</v>
      </c>
      <c r="BD23" s="3">
        <v>0</v>
      </c>
      <c r="BE23" s="3">
        <v>158257755.24000001</v>
      </c>
      <c r="BF23" s="3">
        <v>585013876.51999998</v>
      </c>
      <c r="BG23" s="3">
        <v>743271631.75999999</v>
      </c>
      <c r="BH23" s="3">
        <v>0</v>
      </c>
      <c r="BI23" s="3">
        <v>125063999.95</v>
      </c>
      <c r="BJ23" s="3">
        <v>71801906.840000004</v>
      </c>
      <c r="BK23" s="3">
        <v>196865906.78999999</v>
      </c>
      <c r="BL23" s="3">
        <v>0</v>
      </c>
      <c r="BM23" s="3">
        <v>196917000</v>
      </c>
      <c r="BN23" s="3">
        <v>814442000</v>
      </c>
      <c r="BO23" s="3">
        <v>1011359000</v>
      </c>
      <c r="BP23" s="3">
        <v>0</v>
      </c>
      <c r="BQ23" s="3">
        <v>196917000</v>
      </c>
      <c r="BR23" s="3">
        <v>614442000</v>
      </c>
      <c r="BS23" s="3">
        <v>811359000</v>
      </c>
      <c r="BT23" s="3">
        <v>0</v>
      </c>
      <c r="BU23" s="3">
        <v>196917000</v>
      </c>
      <c r="BV23" s="3">
        <v>614442000</v>
      </c>
      <c r="BW23" s="3">
        <v>811359000</v>
      </c>
      <c r="BX23" s="3">
        <v>0</v>
      </c>
      <c r="BY23" s="3">
        <v>178509000</v>
      </c>
      <c r="BZ23" s="3">
        <v>490964000</v>
      </c>
      <c r="CA23" s="3">
        <v>669473000</v>
      </c>
      <c r="CB23" s="3">
        <v>0</v>
      </c>
      <c r="CC23" s="3">
        <v>178509000</v>
      </c>
      <c r="CD23" s="3">
        <v>490964000</v>
      </c>
      <c r="CE23" s="3">
        <v>669473000</v>
      </c>
      <c r="CF23" s="3">
        <v>0</v>
      </c>
      <c r="CG23" s="3">
        <v>157293525.84999999</v>
      </c>
      <c r="CH23" s="3">
        <v>451714038.38</v>
      </c>
      <c r="CI23" s="3">
        <v>609007564.23000002</v>
      </c>
      <c r="CJ23" s="3">
        <v>0</v>
      </c>
      <c r="CK23" s="3">
        <v>134517903.40000001</v>
      </c>
      <c r="CL23" s="3">
        <v>69944088.519999996</v>
      </c>
      <c r="CM23" s="3">
        <v>204461991.91999999</v>
      </c>
      <c r="CN23" s="3">
        <v>0</v>
      </c>
      <c r="CO23" s="3">
        <v>217132000</v>
      </c>
      <c r="CP23" s="3">
        <v>432812000</v>
      </c>
      <c r="CQ23" s="3">
        <v>649944000</v>
      </c>
      <c r="CR23" s="3">
        <v>0</v>
      </c>
      <c r="CS23" s="3">
        <v>217132000</v>
      </c>
      <c r="CT23" s="3">
        <v>432812000</v>
      </c>
      <c r="CU23" s="3">
        <v>649944000</v>
      </c>
      <c r="CV23" s="3">
        <v>0</v>
      </c>
      <c r="CW23" s="3">
        <v>217132000</v>
      </c>
      <c r="CX23" s="3">
        <v>432812000</v>
      </c>
      <c r="CY23" s="3">
        <v>649944000</v>
      </c>
      <c r="CZ23" s="3">
        <v>0</v>
      </c>
      <c r="DA23" s="3">
        <v>217132000</v>
      </c>
      <c r="DB23" s="3">
        <v>432812000</v>
      </c>
      <c r="DC23" s="3">
        <v>649944000</v>
      </c>
      <c r="DD23" s="3">
        <v>0</v>
      </c>
      <c r="DE23" s="3">
        <v>217132000</v>
      </c>
      <c r="DF23" s="3">
        <v>432812000</v>
      </c>
      <c r="DG23" s="3">
        <v>649944000</v>
      </c>
      <c r="DH23" s="3">
        <v>0</v>
      </c>
      <c r="DI23" s="3">
        <v>185243626.62</v>
      </c>
      <c r="DJ23" s="3">
        <v>413868224.95999998</v>
      </c>
      <c r="DK23" s="3">
        <v>599111851.58000004</v>
      </c>
      <c r="DL23" s="3">
        <v>0</v>
      </c>
      <c r="DM23" s="3">
        <v>141920836.47999999</v>
      </c>
      <c r="DN23" s="3">
        <v>158588196.44999999</v>
      </c>
      <c r="DO23" s="3">
        <v>300509032.93000001</v>
      </c>
      <c r="DP23" s="3">
        <v>0</v>
      </c>
      <c r="DQ23" s="3">
        <v>157883000</v>
      </c>
      <c r="DR23" s="3">
        <v>325122000</v>
      </c>
      <c r="DS23" s="3">
        <v>483005000</v>
      </c>
      <c r="DT23" s="3">
        <v>0</v>
      </c>
      <c r="DU23" s="3">
        <v>157883000</v>
      </c>
      <c r="DV23" s="3">
        <v>325122000</v>
      </c>
      <c r="DW23" s="3">
        <v>483005000</v>
      </c>
      <c r="DX23" s="3">
        <v>0</v>
      </c>
      <c r="DY23" s="3">
        <v>157883000</v>
      </c>
      <c r="DZ23" s="3">
        <v>325122000</v>
      </c>
      <c r="EA23" s="3">
        <v>483005000</v>
      </c>
      <c r="EB23" s="3">
        <v>0</v>
      </c>
      <c r="EC23" s="3">
        <v>157883000</v>
      </c>
      <c r="ED23" s="3">
        <v>325122000</v>
      </c>
      <c r="EE23" s="3">
        <v>483005000</v>
      </c>
      <c r="EF23" s="3">
        <v>0</v>
      </c>
      <c r="EG23" s="3">
        <v>157883000</v>
      </c>
      <c r="EH23" s="3">
        <v>325122000</v>
      </c>
      <c r="EI23" s="3">
        <v>483005000</v>
      </c>
      <c r="EJ23" s="3">
        <v>0</v>
      </c>
      <c r="EK23" s="3">
        <v>127414368.70999999</v>
      </c>
      <c r="EL23" s="3">
        <v>247631742.91</v>
      </c>
      <c r="EM23" s="3">
        <v>375046111.62</v>
      </c>
      <c r="EN23" s="3">
        <v>0</v>
      </c>
      <c r="EO23" s="3">
        <v>94813527.900000006</v>
      </c>
      <c r="EP23" s="3">
        <v>124776956.63</v>
      </c>
      <c r="EQ23" s="3">
        <v>219590484.53</v>
      </c>
      <c r="ER23" s="3">
        <v>0</v>
      </c>
      <c r="ES23" s="3">
        <v>52805000</v>
      </c>
      <c r="ET23" s="3">
        <v>0</v>
      </c>
      <c r="EU23" s="3">
        <v>52805000</v>
      </c>
      <c r="EV23" s="3">
        <v>0</v>
      </c>
      <c r="EW23" s="3">
        <v>47922000</v>
      </c>
      <c r="EX23" s="3">
        <v>0</v>
      </c>
      <c r="EY23" s="3">
        <v>47922000</v>
      </c>
      <c r="EZ23" s="3">
        <v>0</v>
      </c>
      <c r="FA23" s="3">
        <v>47922000</v>
      </c>
      <c r="FB23" s="3">
        <v>0</v>
      </c>
      <c r="FC23" s="3">
        <v>47922000</v>
      </c>
      <c r="FD23" s="3">
        <v>0</v>
      </c>
      <c r="FE23" s="3">
        <v>47922000</v>
      </c>
      <c r="FF23" s="3">
        <v>0</v>
      </c>
      <c r="FG23" s="3">
        <v>47922000</v>
      </c>
      <c r="FH23" s="3">
        <v>0</v>
      </c>
      <c r="FI23" s="3">
        <v>47922000</v>
      </c>
      <c r="FJ23" s="3">
        <v>0</v>
      </c>
      <c r="FK23" s="3">
        <v>47922000</v>
      </c>
      <c r="FL23" s="3">
        <v>0</v>
      </c>
      <c r="FM23" s="3">
        <v>45579971.759999998</v>
      </c>
      <c r="FN23" s="3">
        <v>0</v>
      </c>
      <c r="FO23" s="3">
        <v>45579971.759999998</v>
      </c>
      <c r="FP23" s="3">
        <v>0</v>
      </c>
      <c r="FQ23" s="3">
        <v>43268641.880000003</v>
      </c>
      <c r="FR23" s="3">
        <v>0</v>
      </c>
      <c r="FS23" s="3">
        <v>43268641.880000003</v>
      </c>
      <c r="FT23" s="3"/>
      <c r="FU23" s="3"/>
      <c r="FV23" s="3"/>
      <c r="FW23" s="3"/>
      <c r="FX23" s="3"/>
      <c r="FY23" s="3"/>
      <c r="FZ23" s="3"/>
      <c r="GA23" s="3"/>
      <c r="GB23" s="3"/>
      <c r="GC23" s="3"/>
      <c r="GD23" s="3"/>
      <c r="GE23" s="3"/>
      <c r="GF23" s="6"/>
      <c r="GG23" s="6"/>
      <c r="GH23" s="6"/>
      <c r="GI23" s="6"/>
      <c r="GJ23" s="6"/>
      <c r="GK23" s="3"/>
      <c r="GL23" s="3"/>
      <c r="GM23" s="3"/>
      <c r="GN23" s="3"/>
      <c r="GO23" s="3"/>
      <c r="GP23" s="3"/>
      <c r="GQ23" s="3"/>
      <c r="GR23" s="3"/>
      <c r="GS23" s="6"/>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row>
    <row r="24" spans="1:267" x14ac:dyDescent="0.25">
      <c r="A24" t="s">
        <v>1153</v>
      </c>
      <c r="B24" t="s">
        <v>1154</v>
      </c>
      <c r="C24" t="s">
        <v>199</v>
      </c>
      <c r="D24" t="s">
        <v>200</v>
      </c>
      <c r="E24" t="s">
        <v>729</v>
      </c>
      <c r="F24" t="s">
        <v>730</v>
      </c>
      <c r="G24" t="s">
        <v>1210</v>
      </c>
      <c r="H24" s="3">
        <v>0</v>
      </c>
      <c r="I24" s="3">
        <v>89000000</v>
      </c>
      <c r="J24" s="3">
        <v>0</v>
      </c>
      <c r="K24" s="3">
        <v>89000000</v>
      </c>
      <c r="L24" s="3">
        <v>0</v>
      </c>
      <c r="M24" s="3">
        <v>89000000</v>
      </c>
      <c r="N24" s="3">
        <v>0</v>
      </c>
      <c r="O24" s="3">
        <v>89000000</v>
      </c>
      <c r="P24" s="3">
        <v>0</v>
      </c>
      <c r="Q24" s="3">
        <v>89000000</v>
      </c>
      <c r="R24" s="3">
        <v>0</v>
      </c>
      <c r="S24" s="3">
        <v>89000000</v>
      </c>
      <c r="T24" s="3">
        <v>10273943</v>
      </c>
      <c r="U24" s="3">
        <v>78726057</v>
      </c>
      <c r="V24" s="3">
        <v>0</v>
      </c>
      <c r="W24" s="3">
        <v>89000000</v>
      </c>
      <c r="X24" s="6">
        <v>10273943</v>
      </c>
      <c r="Y24" s="3">
        <v>78726057</v>
      </c>
      <c r="Z24" s="3">
        <v>0</v>
      </c>
      <c r="AA24" s="3">
        <v>89000000</v>
      </c>
      <c r="AB24" s="3">
        <v>10273943</v>
      </c>
      <c r="AC24" s="3">
        <v>76885666.109999999</v>
      </c>
      <c r="AD24" s="3">
        <v>0</v>
      </c>
      <c r="AE24" s="3">
        <v>87159609.109999999</v>
      </c>
      <c r="AF24" s="3">
        <v>10251475</v>
      </c>
      <c r="AG24" s="3">
        <v>53981898.640000001</v>
      </c>
      <c r="AH24" s="3">
        <v>0</v>
      </c>
      <c r="AI24" s="3">
        <v>64233373.640000001</v>
      </c>
      <c r="AJ24" s="3">
        <v>0</v>
      </c>
      <c r="AK24" s="3">
        <v>73659000</v>
      </c>
      <c r="AL24" s="3">
        <v>0</v>
      </c>
      <c r="AM24" s="3">
        <v>73659000</v>
      </c>
      <c r="AN24" s="3">
        <v>0</v>
      </c>
      <c r="AO24" s="3">
        <v>73659000</v>
      </c>
      <c r="AP24" s="3">
        <v>0</v>
      </c>
      <c r="AQ24" s="3">
        <v>73659000</v>
      </c>
      <c r="AR24" s="3">
        <v>0</v>
      </c>
      <c r="AS24" s="3">
        <v>73659000</v>
      </c>
      <c r="AT24" s="3">
        <v>0</v>
      </c>
      <c r="AU24" s="3">
        <v>73659000</v>
      </c>
      <c r="AV24" s="3">
        <v>8323713</v>
      </c>
      <c r="AW24" s="3">
        <v>65335287</v>
      </c>
      <c r="AX24" s="3">
        <v>0</v>
      </c>
      <c r="AY24" s="3">
        <v>73659000</v>
      </c>
      <c r="AZ24" s="3">
        <v>8323713</v>
      </c>
      <c r="BA24" s="3">
        <v>65335287</v>
      </c>
      <c r="BB24" s="3">
        <v>0</v>
      </c>
      <c r="BC24" s="3">
        <v>73659000</v>
      </c>
      <c r="BD24" s="3">
        <v>8301391.6399999997</v>
      </c>
      <c r="BE24" s="3">
        <v>60767800.150000006</v>
      </c>
      <c r="BF24" s="3">
        <v>0</v>
      </c>
      <c r="BG24" s="3">
        <v>69069191.790000007</v>
      </c>
      <c r="BH24" s="6">
        <v>6744306.75</v>
      </c>
      <c r="BI24" s="6">
        <v>41585936.439999998</v>
      </c>
      <c r="BJ24" s="6">
        <v>0</v>
      </c>
      <c r="BK24" s="3">
        <v>48330243.189999998</v>
      </c>
      <c r="BL24" s="3">
        <v>0</v>
      </c>
      <c r="BM24" s="3">
        <v>73418000</v>
      </c>
      <c r="BN24" s="3">
        <v>0</v>
      </c>
      <c r="BO24" s="3">
        <v>73418000</v>
      </c>
      <c r="BP24" s="3">
        <v>0</v>
      </c>
      <c r="BQ24" s="3">
        <v>73418000</v>
      </c>
      <c r="BR24" s="3">
        <v>0</v>
      </c>
      <c r="BS24" s="3">
        <v>73418000</v>
      </c>
      <c r="BT24" s="3">
        <v>0</v>
      </c>
      <c r="BU24" s="3">
        <v>73418000</v>
      </c>
      <c r="BV24" s="3">
        <v>0</v>
      </c>
      <c r="BW24" s="3">
        <v>73418000</v>
      </c>
      <c r="BX24" s="3">
        <v>6446213</v>
      </c>
      <c r="BY24" s="3">
        <v>39490787</v>
      </c>
      <c r="BZ24" s="3">
        <v>0</v>
      </c>
      <c r="CA24" s="3">
        <v>45937000</v>
      </c>
      <c r="CB24" s="6">
        <v>6446213</v>
      </c>
      <c r="CC24" s="6">
        <v>39490787</v>
      </c>
      <c r="CD24" s="6">
        <v>0</v>
      </c>
      <c r="CE24" s="6">
        <v>45937000</v>
      </c>
      <c r="CF24" s="6">
        <v>6359298.1600000001</v>
      </c>
      <c r="CG24" s="3">
        <v>34632361.369999997</v>
      </c>
      <c r="CH24" s="3">
        <v>0</v>
      </c>
      <c r="CI24" s="3">
        <v>40991659.530000001</v>
      </c>
      <c r="CJ24" s="3">
        <v>4851149.16</v>
      </c>
      <c r="CK24" s="3">
        <v>27971583.59</v>
      </c>
      <c r="CL24" s="3">
        <v>0</v>
      </c>
      <c r="CM24" s="3">
        <v>32822732.75</v>
      </c>
      <c r="CN24" s="3">
        <v>0</v>
      </c>
      <c r="CO24" s="3">
        <v>74755000</v>
      </c>
      <c r="CP24" s="3">
        <v>0</v>
      </c>
      <c r="CQ24" s="3">
        <v>74755000</v>
      </c>
      <c r="CR24" s="3">
        <v>0</v>
      </c>
      <c r="CS24" s="3">
        <v>74755000</v>
      </c>
      <c r="CT24" s="3">
        <v>0</v>
      </c>
      <c r="CU24" s="3">
        <v>74755000</v>
      </c>
      <c r="CV24" s="3">
        <v>0</v>
      </c>
      <c r="CW24" s="3">
        <v>74755000</v>
      </c>
      <c r="CX24" s="3">
        <v>0</v>
      </c>
      <c r="CY24" s="3">
        <v>74755000</v>
      </c>
      <c r="CZ24" s="3">
        <v>6828272</v>
      </c>
      <c r="DA24" s="3">
        <v>67926728</v>
      </c>
      <c r="DB24" s="3">
        <v>0</v>
      </c>
      <c r="DC24" s="3">
        <v>74755000</v>
      </c>
      <c r="DD24" s="3">
        <v>6828272</v>
      </c>
      <c r="DE24" s="3">
        <v>67926728</v>
      </c>
      <c r="DF24" s="3">
        <v>0</v>
      </c>
      <c r="DG24" s="3">
        <v>74755000</v>
      </c>
      <c r="DH24" s="3">
        <v>6827236.4800000004</v>
      </c>
      <c r="DI24" s="3">
        <v>64255597.950000003</v>
      </c>
      <c r="DJ24" s="3">
        <v>0</v>
      </c>
      <c r="DK24" s="3">
        <v>71082834.430000007</v>
      </c>
      <c r="DL24" s="3">
        <v>6629745.6600000001</v>
      </c>
      <c r="DM24" s="3">
        <v>51905051.640000001</v>
      </c>
      <c r="DN24" s="3">
        <v>0</v>
      </c>
      <c r="DO24" s="3">
        <v>58534797.299999997</v>
      </c>
      <c r="DP24" s="3">
        <v>0</v>
      </c>
      <c r="DQ24" s="3">
        <v>74755000</v>
      </c>
      <c r="DR24" s="3">
        <v>0</v>
      </c>
      <c r="DS24" s="3">
        <v>74755000</v>
      </c>
      <c r="DT24" s="3">
        <v>0</v>
      </c>
      <c r="DU24" s="3">
        <v>74755000</v>
      </c>
      <c r="DV24" s="3">
        <v>0</v>
      </c>
      <c r="DW24" s="3">
        <v>74755000</v>
      </c>
      <c r="DX24" s="3">
        <v>0</v>
      </c>
      <c r="DY24" s="3">
        <v>74755000</v>
      </c>
      <c r="DZ24" s="3">
        <v>0</v>
      </c>
      <c r="EA24" s="3">
        <v>74755000</v>
      </c>
      <c r="EB24" s="6">
        <v>5773261.46</v>
      </c>
      <c r="EC24" s="6">
        <v>68981738.540000007</v>
      </c>
      <c r="ED24" s="6">
        <v>0</v>
      </c>
      <c r="EE24" s="3">
        <v>74755000</v>
      </c>
      <c r="EF24" s="3">
        <v>5773261.46</v>
      </c>
      <c r="EG24" s="3">
        <v>68981738.540000007</v>
      </c>
      <c r="EH24" s="3">
        <v>0</v>
      </c>
      <c r="EI24" s="3">
        <v>74755000</v>
      </c>
      <c r="EJ24" s="3">
        <v>5773261.46</v>
      </c>
      <c r="EK24" s="3">
        <v>56667916.219999999</v>
      </c>
      <c r="EL24" s="3">
        <v>0</v>
      </c>
      <c r="EM24" s="3">
        <v>62441177.68</v>
      </c>
      <c r="EN24" s="3">
        <v>4629990.5999999996</v>
      </c>
      <c r="EO24" s="3">
        <v>49780760.350000001</v>
      </c>
      <c r="EP24" s="3">
        <v>0</v>
      </c>
      <c r="EQ24" s="3">
        <v>54410750.950000003</v>
      </c>
      <c r="ER24" s="3">
        <v>0</v>
      </c>
      <c r="ES24" s="3">
        <v>77941000</v>
      </c>
      <c r="ET24" s="3">
        <v>0</v>
      </c>
      <c r="EU24" s="3">
        <v>77941000</v>
      </c>
      <c r="EV24" s="3">
        <v>0</v>
      </c>
      <c r="EW24" s="3">
        <v>80471000</v>
      </c>
      <c r="EX24" s="3">
        <v>0</v>
      </c>
      <c r="EY24" s="3">
        <v>80471000</v>
      </c>
      <c r="EZ24" s="3">
        <v>0</v>
      </c>
      <c r="FA24" s="3">
        <v>80471000</v>
      </c>
      <c r="FB24" s="3">
        <v>0</v>
      </c>
      <c r="FC24" s="3">
        <v>80471000</v>
      </c>
      <c r="FD24" s="3">
        <v>6246818</v>
      </c>
      <c r="FE24" s="3">
        <v>74224182</v>
      </c>
      <c r="FF24" s="3">
        <v>0</v>
      </c>
      <c r="FG24" s="3">
        <v>80471000</v>
      </c>
      <c r="FH24" s="6">
        <v>6246818</v>
      </c>
      <c r="FI24" s="6">
        <v>74224182</v>
      </c>
      <c r="FJ24" s="6">
        <v>0</v>
      </c>
      <c r="FK24" s="3">
        <v>80471000</v>
      </c>
      <c r="FL24" s="3">
        <v>6246818</v>
      </c>
      <c r="FM24" s="3">
        <v>67907259.510000005</v>
      </c>
      <c r="FN24" s="3">
        <v>0</v>
      </c>
      <c r="FO24" s="3">
        <v>74154077.510000005</v>
      </c>
      <c r="FP24" s="3">
        <v>6198818</v>
      </c>
      <c r="FQ24" s="3">
        <v>56332886.850000001</v>
      </c>
      <c r="FR24" s="3">
        <v>0</v>
      </c>
      <c r="FS24" s="3">
        <v>62531704.850000001</v>
      </c>
      <c r="FT24" s="3">
        <v>0</v>
      </c>
      <c r="FU24" s="3">
        <v>65182000</v>
      </c>
      <c r="FV24" s="3">
        <v>0</v>
      </c>
      <c r="FW24" s="3">
        <v>65182000</v>
      </c>
      <c r="FX24" s="3">
        <v>0</v>
      </c>
      <c r="FY24" s="3">
        <v>65182000</v>
      </c>
      <c r="FZ24" s="3">
        <v>0</v>
      </c>
      <c r="GA24" s="3">
        <v>65182000</v>
      </c>
      <c r="GB24" s="3">
        <v>0</v>
      </c>
      <c r="GC24" s="3">
        <v>65182000</v>
      </c>
      <c r="GD24" s="3">
        <v>0</v>
      </c>
      <c r="GE24" s="3">
        <v>65182000</v>
      </c>
      <c r="GF24" s="6">
        <v>4256644</v>
      </c>
      <c r="GG24" s="6">
        <v>60925356</v>
      </c>
      <c r="GH24" s="6">
        <v>0</v>
      </c>
      <c r="GI24" s="6">
        <v>65182000</v>
      </c>
      <c r="GJ24" s="6">
        <v>4256644</v>
      </c>
      <c r="GK24" s="3">
        <v>60925356</v>
      </c>
      <c r="GL24" s="3">
        <v>0</v>
      </c>
      <c r="GM24" s="3">
        <v>65182000</v>
      </c>
      <c r="GN24" s="3">
        <v>4256644</v>
      </c>
      <c r="GO24" s="3">
        <v>58807972.789999999</v>
      </c>
      <c r="GP24" s="3">
        <v>0</v>
      </c>
      <c r="GQ24" s="3">
        <v>63064616.789999999</v>
      </c>
      <c r="GR24" s="3">
        <v>3831395</v>
      </c>
      <c r="GS24" s="6">
        <v>53621662.210000001</v>
      </c>
      <c r="GT24" s="3">
        <v>0</v>
      </c>
      <c r="GU24" s="3">
        <v>57453057.210000001</v>
      </c>
      <c r="GV24" s="3">
        <v>0</v>
      </c>
      <c r="GW24" s="3">
        <v>86356000</v>
      </c>
      <c r="GX24" s="3">
        <v>3230000</v>
      </c>
      <c r="GY24" s="3">
        <v>89586000</v>
      </c>
      <c r="GZ24" s="3">
        <v>0</v>
      </c>
      <c r="HA24" s="3">
        <v>86356000</v>
      </c>
      <c r="HB24" s="3">
        <v>3230000</v>
      </c>
      <c r="HC24" s="3">
        <v>89586000</v>
      </c>
      <c r="HD24" s="3">
        <v>0</v>
      </c>
      <c r="HE24" s="3">
        <v>86356000</v>
      </c>
      <c r="HF24" s="3">
        <v>3230000</v>
      </c>
      <c r="HG24" s="3">
        <v>89586000</v>
      </c>
      <c r="HH24" s="3">
        <v>1755166</v>
      </c>
      <c r="HI24" s="3">
        <v>84600834</v>
      </c>
      <c r="HJ24" s="3">
        <v>3230000</v>
      </c>
      <c r="HK24" s="3">
        <v>89586000</v>
      </c>
      <c r="HL24" s="3">
        <v>1755166</v>
      </c>
      <c r="HM24" s="3">
        <v>84600834</v>
      </c>
      <c r="HN24" s="3">
        <v>3230000</v>
      </c>
      <c r="HO24" s="3">
        <v>89586000</v>
      </c>
      <c r="HP24" s="3">
        <v>1755166</v>
      </c>
      <c r="HQ24" s="3">
        <v>49625386.460000001</v>
      </c>
      <c r="HR24" s="3">
        <v>3229813.17</v>
      </c>
      <c r="HS24" s="3">
        <v>54610365.630000003</v>
      </c>
      <c r="HT24" s="3">
        <v>1740166</v>
      </c>
      <c r="HU24" s="3">
        <v>41877801.670000002</v>
      </c>
      <c r="HV24" s="3">
        <v>3229813.17</v>
      </c>
      <c r="HW24" s="3">
        <v>46847780.840000004</v>
      </c>
      <c r="HX24" s="3">
        <v>0</v>
      </c>
      <c r="HY24" s="3">
        <v>67551000</v>
      </c>
      <c r="HZ24" s="3">
        <v>0</v>
      </c>
      <c r="IA24" s="3">
        <v>67551000</v>
      </c>
      <c r="IB24" s="3">
        <v>0</v>
      </c>
      <c r="IC24" s="3">
        <v>67551000</v>
      </c>
      <c r="ID24" s="3">
        <v>0</v>
      </c>
      <c r="IE24" s="3">
        <v>67551000</v>
      </c>
      <c r="IF24" s="3"/>
      <c r="IG24" s="3"/>
      <c r="IH24" s="3"/>
      <c r="II24" s="3"/>
      <c r="IJ24" s="3"/>
      <c r="IK24" s="3"/>
      <c r="IL24" s="3"/>
      <c r="IM24" s="3"/>
      <c r="IN24" s="3"/>
      <c r="IO24" s="3"/>
      <c r="IP24" s="3"/>
      <c r="IQ24" s="3"/>
      <c r="IR24" s="3"/>
      <c r="IS24" s="3"/>
      <c r="IT24" s="3"/>
      <c r="IU24" s="3"/>
      <c r="IV24" s="3"/>
      <c r="IW24" s="3"/>
      <c r="IX24" s="3"/>
      <c r="IY24" s="3"/>
      <c r="IZ24" s="3">
        <v>0</v>
      </c>
      <c r="JA24" s="3">
        <v>63047000</v>
      </c>
      <c r="JB24" s="3">
        <v>0</v>
      </c>
      <c r="JC24" s="3">
        <v>63047000</v>
      </c>
      <c r="JD24" s="3"/>
      <c r="JE24" s="3"/>
      <c r="JF24" s="3"/>
      <c r="JG24" s="3"/>
    </row>
    <row r="25" spans="1:267" x14ac:dyDescent="0.25">
      <c r="A25" t="s">
        <v>1153</v>
      </c>
      <c r="B25" t="s">
        <v>1154</v>
      </c>
      <c r="C25" t="s">
        <v>555</v>
      </c>
      <c r="D25" t="s">
        <v>1163</v>
      </c>
      <c r="E25" t="s">
        <v>201</v>
      </c>
      <c r="F25" t="s">
        <v>202</v>
      </c>
      <c r="G25" t="s">
        <v>203</v>
      </c>
      <c r="H25" s="3">
        <v>144101000</v>
      </c>
      <c r="I25" s="3">
        <v>112677000</v>
      </c>
      <c r="J25" s="3">
        <v>185327000</v>
      </c>
      <c r="K25" s="3">
        <v>442105000</v>
      </c>
      <c r="L25" s="3">
        <v>144101000</v>
      </c>
      <c r="M25" s="3">
        <v>112677000</v>
      </c>
      <c r="N25" s="3">
        <v>185327000</v>
      </c>
      <c r="O25" s="3">
        <v>442105000</v>
      </c>
      <c r="P25" s="3"/>
      <c r="Q25" s="3"/>
      <c r="R25" s="3"/>
      <c r="S25" s="3"/>
      <c r="T25" s="3"/>
      <c r="U25" s="3"/>
      <c r="V25" s="3"/>
      <c r="W25" s="3"/>
      <c r="X25" s="6"/>
      <c r="Y25" s="3"/>
      <c r="Z25" s="3"/>
      <c r="AA25" s="3"/>
      <c r="AB25" s="3"/>
      <c r="AC25" s="3"/>
      <c r="AD25" s="3"/>
      <c r="AE25" s="3"/>
      <c r="AF25" s="3"/>
      <c r="AG25" s="3"/>
      <c r="AH25" s="3"/>
      <c r="AI25" s="3"/>
      <c r="AJ25" s="3">
        <v>158925000</v>
      </c>
      <c r="AK25" s="3">
        <v>92938000</v>
      </c>
      <c r="AL25" s="3">
        <v>161331000</v>
      </c>
      <c r="AM25" s="3">
        <v>413194000</v>
      </c>
      <c r="AN25" s="3">
        <v>158925000</v>
      </c>
      <c r="AO25" s="3">
        <v>92938000</v>
      </c>
      <c r="AP25" s="3">
        <v>161331000</v>
      </c>
      <c r="AQ25" s="3">
        <v>413194000</v>
      </c>
      <c r="AR25" s="3"/>
      <c r="AS25" s="3"/>
      <c r="AT25" s="3"/>
      <c r="AU25" s="3"/>
      <c r="AV25" s="3"/>
      <c r="AW25" s="3"/>
      <c r="AX25" s="3"/>
      <c r="AY25" s="3"/>
      <c r="AZ25" s="3"/>
      <c r="BA25" s="3"/>
      <c r="BB25" s="3"/>
      <c r="BC25" s="3"/>
      <c r="BD25" s="3"/>
      <c r="BE25" s="3"/>
      <c r="BF25" s="3"/>
      <c r="BG25" s="3"/>
      <c r="BH25" s="3"/>
      <c r="BI25" s="3"/>
      <c r="BJ25" s="3"/>
      <c r="BK25" s="3"/>
      <c r="BL25" s="3">
        <v>156124000</v>
      </c>
      <c r="BM25" s="3">
        <v>93892000</v>
      </c>
      <c r="BN25" s="3">
        <v>25404000</v>
      </c>
      <c r="BO25" s="3">
        <v>275420000</v>
      </c>
      <c r="BP25" s="3">
        <v>156124000</v>
      </c>
      <c r="BQ25" s="3">
        <v>93892000</v>
      </c>
      <c r="BR25" s="3">
        <v>36904000</v>
      </c>
      <c r="BS25" s="3">
        <v>286920000</v>
      </c>
      <c r="BT25" s="3"/>
      <c r="BU25" s="3"/>
      <c r="BV25" s="3"/>
      <c r="BW25" s="3"/>
      <c r="BX25" s="3"/>
      <c r="BY25" s="3"/>
      <c r="BZ25" s="3"/>
      <c r="CA25" s="3"/>
      <c r="CB25" s="3"/>
      <c r="CC25" s="3"/>
      <c r="CD25" s="3"/>
      <c r="CE25" s="6"/>
      <c r="CF25" s="3"/>
      <c r="CG25" s="3"/>
      <c r="CH25" s="3"/>
      <c r="CI25" s="3"/>
      <c r="CJ25" s="3"/>
      <c r="CK25" s="3"/>
      <c r="CL25" s="3"/>
      <c r="CM25" s="3"/>
      <c r="CN25" s="3">
        <v>159841000</v>
      </c>
      <c r="CO25" s="3">
        <v>101725000</v>
      </c>
      <c r="CP25" s="3">
        <v>0</v>
      </c>
      <c r="CQ25" s="3">
        <v>261566000</v>
      </c>
      <c r="CR25" s="3">
        <v>159841000</v>
      </c>
      <c r="CS25" s="3">
        <v>101725000</v>
      </c>
      <c r="CT25" s="3">
        <v>0</v>
      </c>
      <c r="CU25" s="3">
        <v>261566000</v>
      </c>
      <c r="CV25" s="3"/>
      <c r="CW25" s="3"/>
      <c r="CX25" s="3"/>
      <c r="CY25" s="3"/>
      <c r="CZ25" s="3"/>
      <c r="DA25" s="3"/>
      <c r="DB25" s="3"/>
      <c r="DC25" s="3"/>
      <c r="DD25" s="3"/>
      <c r="DE25" s="3"/>
      <c r="DF25" s="3"/>
      <c r="DG25" s="3"/>
      <c r="DH25" s="3"/>
      <c r="DI25" s="3"/>
      <c r="DJ25" s="3"/>
      <c r="DK25" s="3"/>
      <c r="DL25" s="3"/>
      <c r="DM25" s="3"/>
      <c r="DN25" s="3"/>
      <c r="DO25" s="3"/>
      <c r="DP25" s="3">
        <v>174343000</v>
      </c>
      <c r="DQ25" s="3">
        <v>101725000</v>
      </c>
      <c r="DR25" s="3">
        <v>0</v>
      </c>
      <c r="DS25" s="3">
        <v>276068000</v>
      </c>
      <c r="DT25" s="3">
        <v>174343000</v>
      </c>
      <c r="DU25" s="3">
        <v>101725000</v>
      </c>
      <c r="DV25" s="3">
        <v>0</v>
      </c>
      <c r="DW25" s="3">
        <v>276068000</v>
      </c>
      <c r="DX25" s="3"/>
      <c r="DY25" s="3"/>
      <c r="DZ25" s="3"/>
      <c r="EA25" s="3"/>
      <c r="EB25" s="3"/>
      <c r="EC25" s="3"/>
      <c r="ED25" s="3"/>
      <c r="EE25" s="3"/>
      <c r="EF25" s="3"/>
      <c r="EG25" s="3"/>
      <c r="EH25" s="3"/>
      <c r="EI25" s="3"/>
      <c r="EJ25" s="3"/>
      <c r="EK25" s="3"/>
      <c r="EL25" s="3"/>
      <c r="EM25" s="3"/>
      <c r="EN25" s="3"/>
      <c r="EO25" s="3"/>
      <c r="EP25" s="3"/>
      <c r="EQ25" s="3"/>
      <c r="ER25" s="3">
        <v>250399000</v>
      </c>
      <c r="ES25" s="3">
        <v>104179000</v>
      </c>
      <c r="ET25" s="3">
        <v>0</v>
      </c>
      <c r="EU25" s="3">
        <v>354578000</v>
      </c>
      <c r="EV25" s="3">
        <v>250399000</v>
      </c>
      <c r="EW25" s="3">
        <v>104179000</v>
      </c>
      <c r="EX25" s="3">
        <v>0</v>
      </c>
      <c r="EY25" s="3">
        <v>354578000</v>
      </c>
      <c r="EZ25" s="3"/>
      <c r="FA25" s="3"/>
      <c r="FB25" s="3"/>
      <c r="FC25" s="3"/>
      <c r="FD25" s="3"/>
      <c r="FE25" s="3"/>
      <c r="FF25" s="3"/>
      <c r="FG25" s="3"/>
      <c r="FH25" s="6"/>
      <c r="FI25" s="3"/>
      <c r="FJ25" s="3"/>
      <c r="FK25" s="3"/>
      <c r="FL25" s="3"/>
      <c r="FM25" s="3"/>
      <c r="FN25" s="3"/>
      <c r="FO25" s="3"/>
      <c r="FP25" s="3"/>
      <c r="FQ25" s="3"/>
      <c r="FR25" s="3"/>
      <c r="FS25" s="3"/>
      <c r="FT25" s="3">
        <v>241515000</v>
      </c>
      <c r="FU25" s="3">
        <v>106055000</v>
      </c>
      <c r="FV25" s="3">
        <v>106864000</v>
      </c>
      <c r="FW25" s="3">
        <v>454434000</v>
      </c>
      <c r="FX25" s="3">
        <v>241515000</v>
      </c>
      <c r="FY25" s="3">
        <v>106055000</v>
      </c>
      <c r="FZ25" s="3">
        <v>106864000</v>
      </c>
      <c r="GA25" s="3">
        <v>454434000</v>
      </c>
      <c r="GB25" s="3"/>
      <c r="GC25" s="3"/>
      <c r="GD25" s="3"/>
      <c r="GE25" s="3"/>
      <c r="GF25" s="3"/>
      <c r="GG25" s="3"/>
      <c r="GH25" s="3"/>
      <c r="GI25" s="3"/>
      <c r="GJ25" s="3"/>
      <c r="GK25" s="3"/>
      <c r="GL25" s="3"/>
      <c r="GM25" s="3"/>
      <c r="GN25" s="3"/>
      <c r="GO25" s="3"/>
      <c r="GP25" s="3"/>
      <c r="GQ25" s="3"/>
      <c r="GR25" s="3"/>
      <c r="GS25" s="6"/>
      <c r="GT25" s="3"/>
      <c r="GU25" s="3"/>
      <c r="GV25" s="3">
        <v>238368000</v>
      </c>
      <c r="GW25" s="3">
        <v>128598000</v>
      </c>
      <c r="GX25" s="3">
        <v>213790000</v>
      </c>
      <c r="GY25" s="3">
        <v>580756000</v>
      </c>
      <c r="GZ25" s="3">
        <v>238368000</v>
      </c>
      <c r="HA25" s="3">
        <v>128598000</v>
      </c>
      <c r="HB25" s="3">
        <v>214490000</v>
      </c>
      <c r="HC25" s="3">
        <v>581456000</v>
      </c>
      <c r="HD25" s="3"/>
      <c r="HE25" s="3"/>
      <c r="HF25" s="3"/>
      <c r="HG25" s="3"/>
      <c r="HH25" s="3"/>
      <c r="HI25" s="3"/>
      <c r="HJ25" s="3"/>
      <c r="HK25" s="3"/>
      <c r="HL25" s="3"/>
      <c r="HM25" s="3"/>
      <c r="HN25" s="3"/>
      <c r="HO25" s="3"/>
      <c r="HP25" s="3"/>
      <c r="HQ25" s="3"/>
      <c r="HR25" s="3"/>
      <c r="HS25" s="3"/>
      <c r="HT25" s="3"/>
      <c r="HU25" s="3"/>
      <c r="HV25" s="3"/>
      <c r="HW25" s="3"/>
      <c r="HX25" s="3">
        <v>250302000</v>
      </c>
      <c r="HY25" s="3">
        <v>136036000</v>
      </c>
      <c r="HZ25" s="3">
        <v>187202000</v>
      </c>
      <c r="IA25" s="3">
        <v>573540000</v>
      </c>
      <c r="IB25" s="3">
        <v>250302000</v>
      </c>
      <c r="IC25" s="3">
        <v>136036000</v>
      </c>
      <c r="ID25" s="3">
        <v>187202000</v>
      </c>
      <c r="IE25" s="3">
        <v>573540000</v>
      </c>
      <c r="IF25" s="3"/>
      <c r="IG25" s="3"/>
      <c r="IH25" s="3"/>
      <c r="II25" s="3"/>
      <c r="IJ25" s="3"/>
      <c r="IK25" s="3"/>
      <c r="IL25" s="3"/>
      <c r="IM25" s="3"/>
      <c r="IN25" s="3"/>
      <c r="IO25" s="3"/>
      <c r="IP25" s="3"/>
      <c r="IQ25" s="3"/>
      <c r="IR25" s="3"/>
      <c r="IS25" s="3"/>
      <c r="IT25" s="3"/>
      <c r="IU25" s="3"/>
      <c r="IV25" s="3"/>
      <c r="IW25" s="3"/>
      <c r="IX25" s="3"/>
      <c r="IY25" s="3"/>
      <c r="IZ25" s="3">
        <v>268586000</v>
      </c>
      <c r="JA25" s="3">
        <v>138805000</v>
      </c>
      <c r="JB25" s="3">
        <v>116479000</v>
      </c>
      <c r="JC25" s="3">
        <v>523870000</v>
      </c>
      <c r="JD25" s="3"/>
      <c r="JE25" s="3"/>
      <c r="JF25" s="3"/>
      <c r="JG25" s="3"/>
    </row>
    <row r="26" spans="1:267" x14ac:dyDescent="0.25">
      <c r="A26" t="s">
        <v>1153</v>
      </c>
      <c r="B26" t="s">
        <v>1154</v>
      </c>
      <c r="C26" t="s">
        <v>555</v>
      </c>
      <c r="D26" t="s">
        <v>1163</v>
      </c>
      <c r="E26" t="s">
        <v>201</v>
      </c>
      <c r="F26" t="s">
        <v>204</v>
      </c>
      <c r="G26" t="s">
        <v>625</v>
      </c>
      <c r="H26" s="3">
        <v>15503000</v>
      </c>
      <c r="I26" s="3">
        <v>0</v>
      </c>
      <c r="J26" s="3">
        <v>0</v>
      </c>
      <c r="K26" s="3">
        <v>15503000</v>
      </c>
      <c r="L26" s="3">
        <v>15503000</v>
      </c>
      <c r="M26" s="3">
        <v>0</v>
      </c>
      <c r="N26" s="3">
        <v>0</v>
      </c>
      <c r="O26" s="3">
        <v>15503000</v>
      </c>
      <c r="P26" s="3"/>
      <c r="Q26" s="3"/>
      <c r="R26" s="3"/>
      <c r="S26" s="3"/>
      <c r="T26" s="3"/>
      <c r="U26" s="3"/>
      <c r="V26" s="3"/>
      <c r="W26" s="3"/>
      <c r="X26" s="6"/>
      <c r="Y26" s="3"/>
      <c r="Z26" s="3"/>
      <c r="AA26" s="3"/>
      <c r="AB26" s="3"/>
      <c r="AC26" s="3"/>
      <c r="AD26" s="3"/>
      <c r="AE26" s="3"/>
      <c r="AF26" s="3"/>
      <c r="AG26" s="3"/>
      <c r="AH26" s="3"/>
      <c r="AI26" s="3"/>
      <c r="AJ26" s="3">
        <v>18099000</v>
      </c>
      <c r="AK26" s="3">
        <v>0</v>
      </c>
      <c r="AL26" s="3">
        <v>0</v>
      </c>
      <c r="AM26" s="3">
        <v>18099000</v>
      </c>
      <c r="AN26" s="3">
        <v>18099000</v>
      </c>
      <c r="AO26" s="3">
        <v>0</v>
      </c>
      <c r="AP26" s="3">
        <v>0</v>
      </c>
      <c r="AQ26" s="3">
        <v>18099000</v>
      </c>
      <c r="AR26" s="3"/>
      <c r="AS26" s="3"/>
      <c r="AT26" s="3"/>
      <c r="AU26" s="3"/>
      <c r="AV26" s="3"/>
      <c r="AW26" s="3"/>
      <c r="AX26" s="3"/>
      <c r="AY26" s="3"/>
      <c r="AZ26" s="3"/>
      <c r="BA26" s="3"/>
      <c r="BB26" s="3"/>
      <c r="BC26" s="3"/>
      <c r="BD26" s="3"/>
      <c r="BE26" s="3"/>
      <c r="BF26" s="3"/>
      <c r="BG26" s="3"/>
      <c r="BH26" s="3"/>
      <c r="BI26" s="3"/>
      <c r="BJ26" s="3"/>
      <c r="BK26" s="3"/>
      <c r="BL26" s="3">
        <v>17092000</v>
      </c>
      <c r="BM26" s="3">
        <v>0</v>
      </c>
      <c r="BN26" s="3">
        <v>0</v>
      </c>
      <c r="BO26" s="3">
        <v>17092000</v>
      </c>
      <c r="BP26" s="3">
        <v>17092000</v>
      </c>
      <c r="BQ26" s="3">
        <v>0</v>
      </c>
      <c r="BR26" s="3">
        <v>0</v>
      </c>
      <c r="BS26" s="3">
        <v>17092000</v>
      </c>
      <c r="BT26" s="3"/>
      <c r="BU26" s="3"/>
      <c r="BV26" s="3"/>
      <c r="BW26" s="3"/>
      <c r="BX26" s="3"/>
      <c r="BY26" s="3"/>
      <c r="BZ26" s="3"/>
      <c r="CA26" s="3"/>
      <c r="CB26" s="3"/>
      <c r="CC26" s="3"/>
      <c r="CD26" s="3"/>
      <c r="CE26" s="6"/>
      <c r="CF26" s="3"/>
      <c r="CG26" s="3"/>
      <c r="CH26" s="3"/>
      <c r="CI26" s="3"/>
      <c r="CJ26" s="3"/>
      <c r="CK26" s="3"/>
      <c r="CL26" s="3"/>
      <c r="CM26" s="3"/>
      <c r="CN26" s="3">
        <v>19330000</v>
      </c>
      <c r="CO26" s="3">
        <v>0</v>
      </c>
      <c r="CP26" s="3">
        <v>0</v>
      </c>
      <c r="CQ26" s="3">
        <v>19330000</v>
      </c>
      <c r="CR26" s="3">
        <v>19330000</v>
      </c>
      <c r="CS26" s="3">
        <v>0</v>
      </c>
      <c r="CT26" s="3">
        <v>0</v>
      </c>
      <c r="CU26" s="3">
        <v>19330000</v>
      </c>
      <c r="CV26" s="3"/>
      <c r="CW26" s="3"/>
      <c r="CX26" s="3"/>
      <c r="CY26" s="3"/>
      <c r="CZ26" s="3"/>
      <c r="DA26" s="3"/>
      <c r="DB26" s="3"/>
      <c r="DC26" s="3"/>
      <c r="DD26" s="3"/>
      <c r="DE26" s="3"/>
      <c r="DF26" s="3"/>
      <c r="DG26" s="3"/>
      <c r="DH26" s="3"/>
      <c r="DI26" s="3"/>
      <c r="DJ26" s="3"/>
      <c r="DK26" s="3"/>
      <c r="DL26" s="3"/>
      <c r="DM26" s="3"/>
      <c r="DN26" s="3"/>
      <c r="DO26" s="3"/>
      <c r="DP26" s="3">
        <v>22840000</v>
      </c>
      <c r="DQ26" s="3">
        <v>0</v>
      </c>
      <c r="DR26" s="3">
        <v>0</v>
      </c>
      <c r="DS26" s="3">
        <v>22840000</v>
      </c>
      <c r="DT26" s="3">
        <v>22840000</v>
      </c>
      <c r="DU26" s="3">
        <v>0</v>
      </c>
      <c r="DV26" s="3">
        <v>0</v>
      </c>
      <c r="DW26" s="3">
        <v>22840000</v>
      </c>
      <c r="DX26" s="3"/>
      <c r="DY26" s="3"/>
      <c r="DZ26" s="3"/>
      <c r="EA26" s="3"/>
      <c r="EB26" s="3"/>
      <c r="EC26" s="3"/>
      <c r="ED26" s="3"/>
      <c r="EE26" s="3"/>
      <c r="EF26" s="3"/>
      <c r="EG26" s="3"/>
      <c r="EH26" s="3"/>
      <c r="EI26" s="3"/>
      <c r="EJ26" s="3"/>
      <c r="EK26" s="3"/>
      <c r="EL26" s="3"/>
      <c r="EM26" s="3"/>
      <c r="EN26" s="3"/>
      <c r="EO26" s="3"/>
      <c r="EP26" s="3"/>
      <c r="EQ26" s="3"/>
      <c r="ER26" s="3">
        <v>22674000</v>
      </c>
      <c r="ES26" s="3">
        <v>0</v>
      </c>
      <c r="ET26" s="3">
        <v>0</v>
      </c>
      <c r="EU26" s="3">
        <v>22674000</v>
      </c>
      <c r="EV26" s="3">
        <v>22674000</v>
      </c>
      <c r="EW26" s="3">
        <v>0</v>
      </c>
      <c r="EX26" s="3">
        <v>0</v>
      </c>
      <c r="EY26" s="3">
        <v>22674000</v>
      </c>
      <c r="EZ26" s="3"/>
      <c r="FA26" s="3"/>
      <c r="FB26" s="3"/>
      <c r="FC26" s="3"/>
      <c r="FD26" s="3"/>
      <c r="FE26" s="3"/>
      <c r="FF26" s="3"/>
      <c r="FG26" s="3"/>
      <c r="FH26" s="6"/>
      <c r="FI26" s="3"/>
      <c r="FJ26" s="3"/>
      <c r="FK26" s="3"/>
      <c r="FL26" s="3"/>
      <c r="FM26" s="3"/>
      <c r="FN26" s="3"/>
      <c r="FO26" s="3"/>
      <c r="FP26" s="3"/>
      <c r="FQ26" s="3"/>
      <c r="FR26" s="3"/>
      <c r="FS26" s="3"/>
      <c r="FT26" s="3">
        <v>23119000</v>
      </c>
      <c r="FU26" s="3">
        <v>0</v>
      </c>
      <c r="FV26" s="3">
        <v>0</v>
      </c>
      <c r="FW26" s="3">
        <v>23119000</v>
      </c>
      <c r="FX26" s="3">
        <v>23119000</v>
      </c>
      <c r="FY26" s="3">
        <v>0</v>
      </c>
      <c r="FZ26" s="3">
        <v>0</v>
      </c>
      <c r="GA26" s="3">
        <v>23119000</v>
      </c>
      <c r="GB26" s="3"/>
      <c r="GC26" s="3"/>
      <c r="GD26" s="3"/>
      <c r="GE26" s="3"/>
      <c r="GF26" s="3"/>
      <c r="GG26" s="3"/>
      <c r="GH26" s="3"/>
      <c r="GI26" s="3"/>
      <c r="GJ26" s="3"/>
      <c r="GK26" s="3"/>
      <c r="GL26" s="3"/>
      <c r="GM26" s="3"/>
      <c r="GN26" s="3"/>
      <c r="GO26" s="3"/>
      <c r="GP26" s="3"/>
      <c r="GQ26" s="3"/>
      <c r="GR26" s="3"/>
      <c r="GS26" s="6"/>
      <c r="GT26" s="3"/>
      <c r="GU26" s="3"/>
      <c r="GV26" s="3">
        <v>22214000</v>
      </c>
      <c r="GW26" s="3">
        <v>0</v>
      </c>
      <c r="GX26" s="3">
        <v>0</v>
      </c>
      <c r="GY26" s="3">
        <v>22214000</v>
      </c>
      <c r="GZ26" s="3">
        <v>22214000</v>
      </c>
      <c r="HA26" s="3">
        <v>0</v>
      </c>
      <c r="HB26" s="3">
        <v>0</v>
      </c>
      <c r="HC26" s="3">
        <v>22214000</v>
      </c>
      <c r="HD26" s="3"/>
      <c r="HE26" s="3"/>
      <c r="HF26" s="3"/>
      <c r="HG26" s="3"/>
      <c r="HH26" s="3"/>
      <c r="HI26" s="3"/>
      <c r="HJ26" s="3"/>
      <c r="HK26" s="3"/>
      <c r="HL26" s="3"/>
      <c r="HM26" s="3"/>
      <c r="HN26" s="3"/>
      <c r="HO26" s="3"/>
      <c r="HP26" s="3"/>
      <c r="HQ26" s="3"/>
      <c r="HR26" s="3"/>
      <c r="HS26" s="3"/>
      <c r="HT26" s="3"/>
      <c r="HU26" s="3"/>
      <c r="HV26" s="3"/>
      <c r="HW26" s="3"/>
      <c r="HX26" s="3">
        <v>24709000</v>
      </c>
      <c r="HY26" s="3">
        <v>0</v>
      </c>
      <c r="HZ26" s="3">
        <v>0</v>
      </c>
      <c r="IA26" s="3">
        <v>24709000</v>
      </c>
      <c r="IB26" s="3">
        <v>24709000</v>
      </c>
      <c r="IC26" s="3">
        <v>0</v>
      </c>
      <c r="ID26" s="3">
        <v>0</v>
      </c>
      <c r="IE26" s="3">
        <v>24709000</v>
      </c>
      <c r="IF26" s="3"/>
      <c r="IG26" s="3"/>
      <c r="IH26" s="3"/>
      <c r="II26" s="3"/>
      <c r="IJ26" s="3"/>
      <c r="IK26" s="3"/>
      <c r="IL26" s="3"/>
      <c r="IM26" s="3"/>
      <c r="IN26" s="3"/>
      <c r="IO26" s="3"/>
      <c r="IP26" s="3"/>
      <c r="IQ26" s="3"/>
      <c r="IR26" s="3"/>
      <c r="IS26" s="3"/>
      <c r="IT26" s="3"/>
      <c r="IU26" s="3"/>
      <c r="IV26" s="3"/>
      <c r="IW26" s="3"/>
      <c r="IX26" s="3"/>
      <c r="IY26" s="3"/>
      <c r="IZ26" s="3">
        <v>28271000</v>
      </c>
      <c r="JA26" s="3">
        <v>0</v>
      </c>
      <c r="JB26" s="3">
        <v>0</v>
      </c>
      <c r="JC26" s="3">
        <v>28271000</v>
      </c>
      <c r="JD26" s="3"/>
      <c r="JE26" s="3"/>
      <c r="JF26" s="3"/>
      <c r="JG26" s="3"/>
    </row>
    <row r="27" spans="1:267" x14ac:dyDescent="0.25">
      <c r="A27" t="s">
        <v>1153</v>
      </c>
      <c r="B27" t="s">
        <v>1154</v>
      </c>
      <c r="C27" t="s">
        <v>555</v>
      </c>
      <c r="D27" t="s">
        <v>1163</v>
      </c>
      <c r="E27" t="s">
        <v>201</v>
      </c>
      <c r="F27" t="s">
        <v>206</v>
      </c>
      <c r="G27" t="s">
        <v>205</v>
      </c>
      <c r="H27" s="3"/>
      <c r="I27" s="3"/>
      <c r="J27" s="3"/>
      <c r="K27" s="3"/>
      <c r="L27" s="3"/>
      <c r="M27" s="3"/>
      <c r="N27" s="3"/>
      <c r="O27" s="3"/>
      <c r="P27" s="3"/>
      <c r="Q27" s="3"/>
      <c r="R27" s="3"/>
      <c r="S27" s="3"/>
      <c r="T27" s="3"/>
      <c r="U27" s="3"/>
      <c r="V27" s="3"/>
      <c r="W27" s="3"/>
      <c r="X27" s="6"/>
      <c r="Y27" s="3"/>
      <c r="Z27" s="3"/>
      <c r="AA27" s="3"/>
      <c r="AB27" s="3"/>
      <c r="AC27" s="3"/>
      <c r="AD27" s="3"/>
      <c r="AE27" s="3"/>
      <c r="AF27" s="3"/>
      <c r="AG27" s="3"/>
      <c r="AH27" s="3"/>
      <c r="AI27" s="3"/>
      <c r="AJ27" s="3">
        <v>9430000</v>
      </c>
      <c r="AK27" s="3">
        <v>0</v>
      </c>
      <c r="AL27" s="3">
        <v>0</v>
      </c>
      <c r="AM27" s="3">
        <v>9430000</v>
      </c>
      <c r="AN27" s="3">
        <v>9430000</v>
      </c>
      <c r="AO27" s="3">
        <v>0</v>
      </c>
      <c r="AP27" s="3">
        <v>0</v>
      </c>
      <c r="AQ27" s="3">
        <v>9430000</v>
      </c>
      <c r="AR27" s="3"/>
      <c r="AS27" s="3"/>
      <c r="AT27" s="3"/>
      <c r="AU27" s="3"/>
      <c r="AV27" s="3"/>
      <c r="AW27" s="3"/>
      <c r="AX27" s="3"/>
      <c r="AY27" s="3"/>
      <c r="AZ27" s="3"/>
      <c r="BA27" s="3"/>
      <c r="BB27" s="3"/>
      <c r="BC27" s="3"/>
      <c r="BD27" s="3"/>
      <c r="BE27" s="3"/>
      <c r="BF27" s="3"/>
      <c r="BG27" s="3"/>
      <c r="BH27" s="3"/>
      <c r="BI27" s="3"/>
      <c r="BJ27" s="3"/>
      <c r="BK27" s="3"/>
      <c r="BL27" s="3">
        <v>8802000</v>
      </c>
      <c r="BM27" s="3">
        <v>0</v>
      </c>
      <c r="BN27" s="3">
        <v>0</v>
      </c>
      <c r="BO27" s="3">
        <v>8802000</v>
      </c>
      <c r="BP27" s="3">
        <v>8802000</v>
      </c>
      <c r="BQ27" s="3">
        <v>0</v>
      </c>
      <c r="BR27" s="3">
        <v>0</v>
      </c>
      <c r="BS27" s="3">
        <v>8802000</v>
      </c>
      <c r="BT27" s="3"/>
      <c r="BU27" s="3"/>
      <c r="BV27" s="3"/>
      <c r="BW27" s="3"/>
      <c r="BX27" s="3"/>
      <c r="BY27" s="3"/>
      <c r="BZ27" s="3"/>
      <c r="CA27" s="3"/>
      <c r="CB27" s="3"/>
      <c r="CC27" s="3"/>
      <c r="CD27" s="3"/>
      <c r="CE27" s="6"/>
      <c r="CF27" s="3"/>
      <c r="CG27" s="3"/>
      <c r="CH27" s="3"/>
      <c r="CI27" s="3"/>
      <c r="CJ27" s="3"/>
      <c r="CK27" s="3"/>
      <c r="CL27" s="3"/>
      <c r="CM27" s="3"/>
      <c r="CN27" s="3">
        <v>9598000</v>
      </c>
      <c r="CO27" s="3">
        <v>0</v>
      </c>
      <c r="CP27" s="3">
        <v>0</v>
      </c>
      <c r="CQ27" s="3">
        <v>9598000</v>
      </c>
      <c r="CR27" s="3">
        <v>9598000</v>
      </c>
      <c r="CS27" s="3">
        <v>0</v>
      </c>
      <c r="CT27" s="3">
        <v>0</v>
      </c>
      <c r="CU27" s="3">
        <v>9598000</v>
      </c>
      <c r="CV27" s="3"/>
      <c r="CW27" s="3"/>
      <c r="CX27" s="3"/>
      <c r="CY27" s="3"/>
      <c r="CZ27" s="3"/>
      <c r="DA27" s="3"/>
      <c r="DB27" s="3"/>
      <c r="DC27" s="3"/>
      <c r="DD27" s="3"/>
      <c r="DE27" s="3"/>
      <c r="DF27" s="3"/>
      <c r="DG27" s="3"/>
      <c r="DH27" s="3"/>
      <c r="DI27" s="3"/>
      <c r="DJ27" s="3"/>
      <c r="DK27" s="3"/>
      <c r="DL27" s="3"/>
      <c r="DM27" s="3"/>
      <c r="DN27" s="3"/>
      <c r="DO27" s="3"/>
      <c r="DP27" s="3">
        <v>28288000</v>
      </c>
      <c r="DQ27" s="3">
        <v>0</v>
      </c>
      <c r="DR27" s="3">
        <v>0</v>
      </c>
      <c r="DS27" s="3">
        <v>28288000</v>
      </c>
      <c r="DT27" s="3">
        <v>28288000</v>
      </c>
      <c r="DU27" s="3">
        <v>0</v>
      </c>
      <c r="DV27" s="3">
        <v>0</v>
      </c>
      <c r="DW27" s="3">
        <v>28288000</v>
      </c>
      <c r="DX27" s="3"/>
      <c r="DY27" s="3"/>
      <c r="DZ27" s="3"/>
      <c r="EA27" s="3"/>
      <c r="EB27" s="3"/>
      <c r="EC27" s="3"/>
      <c r="ED27" s="3"/>
      <c r="EE27" s="3"/>
      <c r="EF27" s="3"/>
      <c r="EG27" s="3"/>
      <c r="EH27" s="3"/>
      <c r="EI27" s="3"/>
      <c r="EJ27" s="3"/>
      <c r="EK27" s="3"/>
      <c r="EL27" s="3"/>
      <c r="EM27" s="3"/>
      <c r="EN27" s="3"/>
      <c r="EO27" s="3"/>
      <c r="EP27" s="3"/>
      <c r="EQ27" s="3"/>
      <c r="ER27" s="3">
        <v>20756000</v>
      </c>
      <c r="ES27" s="3">
        <v>0</v>
      </c>
      <c r="ET27" s="3">
        <v>0</v>
      </c>
      <c r="EU27" s="3">
        <v>20756000</v>
      </c>
      <c r="EV27" s="3">
        <v>20756000</v>
      </c>
      <c r="EW27" s="3">
        <v>0</v>
      </c>
      <c r="EX27" s="3">
        <v>0</v>
      </c>
      <c r="EY27" s="3">
        <v>20756000</v>
      </c>
      <c r="EZ27" s="3"/>
      <c r="FA27" s="3"/>
      <c r="FB27" s="3"/>
      <c r="FC27" s="3"/>
      <c r="FD27" s="3"/>
      <c r="FE27" s="3"/>
      <c r="FF27" s="3"/>
      <c r="FG27" s="3"/>
      <c r="FH27" s="6"/>
      <c r="FI27" s="3"/>
      <c r="FJ27" s="3"/>
      <c r="FK27" s="3"/>
      <c r="FL27" s="3"/>
      <c r="FM27" s="3"/>
      <c r="FN27" s="3"/>
      <c r="FO27" s="3"/>
      <c r="FP27" s="3"/>
      <c r="FQ27" s="3"/>
      <c r="FR27" s="3"/>
      <c r="FS27" s="3"/>
      <c r="FT27" s="3">
        <v>24009000</v>
      </c>
      <c r="FU27" s="3">
        <v>0</v>
      </c>
      <c r="FV27" s="3">
        <v>0</v>
      </c>
      <c r="FW27" s="3">
        <v>24009000</v>
      </c>
      <c r="FX27" s="3">
        <v>24009000</v>
      </c>
      <c r="FY27" s="3">
        <v>0</v>
      </c>
      <c r="FZ27" s="3">
        <v>0</v>
      </c>
      <c r="GA27" s="3">
        <v>24009000</v>
      </c>
      <c r="GB27" s="3"/>
      <c r="GC27" s="3"/>
      <c r="GD27" s="3"/>
      <c r="GE27" s="3"/>
      <c r="GF27" s="3"/>
      <c r="GG27" s="3"/>
      <c r="GH27" s="3"/>
      <c r="GI27" s="3"/>
      <c r="GJ27" s="3"/>
      <c r="GK27" s="3"/>
      <c r="GL27" s="3"/>
      <c r="GM27" s="3"/>
      <c r="GN27" s="3"/>
      <c r="GO27" s="3"/>
      <c r="GP27" s="3"/>
      <c r="GQ27" s="3"/>
      <c r="GR27" s="3"/>
      <c r="GS27" s="6"/>
      <c r="GT27" s="3"/>
      <c r="GU27" s="3"/>
      <c r="GV27" s="3">
        <v>26087000</v>
      </c>
      <c r="GW27" s="3">
        <v>0</v>
      </c>
      <c r="GX27" s="3">
        <v>0</v>
      </c>
      <c r="GY27" s="3">
        <v>26087000</v>
      </c>
      <c r="GZ27" s="3">
        <v>26087000</v>
      </c>
      <c r="HA27" s="3">
        <v>0</v>
      </c>
      <c r="HB27" s="3">
        <v>0</v>
      </c>
      <c r="HC27" s="3">
        <v>26087000</v>
      </c>
      <c r="HD27" s="3"/>
      <c r="HE27" s="3"/>
      <c r="HF27" s="3"/>
      <c r="HG27" s="3"/>
      <c r="HH27" s="3"/>
      <c r="HI27" s="3"/>
      <c r="HJ27" s="3"/>
      <c r="HK27" s="3"/>
      <c r="HL27" s="3"/>
      <c r="HM27" s="3"/>
      <c r="HN27" s="3"/>
      <c r="HO27" s="3"/>
      <c r="HP27" s="3"/>
      <c r="HQ27" s="3"/>
      <c r="HR27" s="3"/>
      <c r="HS27" s="3"/>
      <c r="HT27" s="3"/>
      <c r="HU27" s="3"/>
      <c r="HV27" s="3"/>
      <c r="HW27" s="3"/>
      <c r="HX27" s="3">
        <v>48379000</v>
      </c>
      <c r="HY27" s="3">
        <v>0</v>
      </c>
      <c r="HZ27" s="3">
        <v>0</v>
      </c>
      <c r="IA27" s="3">
        <v>48379000</v>
      </c>
      <c r="IB27" s="3">
        <v>48379000</v>
      </c>
      <c r="IC27" s="3">
        <v>0</v>
      </c>
      <c r="ID27" s="3">
        <v>0</v>
      </c>
      <c r="IE27" s="3">
        <v>48379000</v>
      </c>
      <c r="IF27" s="3"/>
      <c r="IG27" s="3"/>
      <c r="IH27" s="3"/>
      <c r="II27" s="3"/>
      <c r="IJ27" s="3"/>
      <c r="IK27" s="3"/>
      <c r="IL27" s="3"/>
      <c r="IM27" s="3"/>
      <c r="IN27" s="3"/>
      <c r="IO27" s="3"/>
      <c r="IP27" s="3"/>
      <c r="IQ27" s="3"/>
      <c r="IR27" s="3"/>
      <c r="IS27" s="3"/>
      <c r="IT27" s="3"/>
      <c r="IU27" s="3"/>
      <c r="IV27" s="3"/>
      <c r="IW27" s="3"/>
      <c r="IX27" s="3"/>
      <c r="IY27" s="3"/>
      <c r="IZ27" s="3">
        <v>15572000</v>
      </c>
      <c r="JA27" s="3">
        <v>0</v>
      </c>
      <c r="JB27" s="3">
        <v>0</v>
      </c>
      <c r="JC27" s="3">
        <v>15572000</v>
      </c>
      <c r="JD27" s="3"/>
      <c r="JE27" s="3"/>
      <c r="JF27" s="3"/>
      <c r="JG27" s="3"/>
    </row>
    <row r="28" spans="1:267" x14ac:dyDescent="0.25">
      <c r="A28" t="s">
        <v>1153</v>
      </c>
      <c r="B28" t="s">
        <v>1154</v>
      </c>
      <c r="C28" t="s">
        <v>555</v>
      </c>
      <c r="D28" t="s">
        <v>1163</v>
      </c>
      <c r="E28" t="s">
        <v>208</v>
      </c>
      <c r="F28" t="s">
        <v>209</v>
      </c>
      <c r="G28" t="s">
        <v>1211</v>
      </c>
      <c r="H28" s="3">
        <v>34818000</v>
      </c>
      <c r="I28" s="3">
        <v>102246000</v>
      </c>
      <c r="J28" s="3">
        <v>55319000</v>
      </c>
      <c r="K28" s="3">
        <v>192383000</v>
      </c>
      <c r="L28" s="3">
        <v>34818000</v>
      </c>
      <c r="M28" s="3">
        <v>102246000</v>
      </c>
      <c r="N28" s="3">
        <v>55319000</v>
      </c>
      <c r="O28" s="3">
        <v>192383000</v>
      </c>
      <c r="P28" s="3"/>
      <c r="Q28" s="3"/>
      <c r="R28" s="3"/>
      <c r="S28" s="3"/>
      <c r="T28" s="3"/>
      <c r="U28" s="3"/>
      <c r="V28" s="3"/>
      <c r="W28" s="3"/>
      <c r="X28" s="6"/>
      <c r="Y28" s="3"/>
      <c r="Z28" s="3"/>
      <c r="AA28" s="3"/>
      <c r="AB28" s="3"/>
      <c r="AC28" s="3"/>
      <c r="AD28" s="3"/>
      <c r="AE28" s="3"/>
      <c r="AF28" s="3"/>
      <c r="AG28" s="3"/>
      <c r="AH28" s="3"/>
      <c r="AI28" s="3"/>
      <c r="AJ28" s="3">
        <v>32686000</v>
      </c>
      <c r="AK28" s="3">
        <v>196249000</v>
      </c>
      <c r="AL28" s="3">
        <v>93453000</v>
      </c>
      <c r="AM28" s="3">
        <v>322388000</v>
      </c>
      <c r="AN28" s="3">
        <v>32686000</v>
      </c>
      <c r="AO28" s="3">
        <v>196249000</v>
      </c>
      <c r="AP28" s="3">
        <v>93453000</v>
      </c>
      <c r="AQ28" s="3">
        <v>322388000</v>
      </c>
      <c r="AR28" s="3"/>
      <c r="AS28" s="3"/>
      <c r="AT28" s="3"/>
      <c r="AU28" s="3"/>
      <c r="AV28" s="3"/>
      <c r="AW28" s="3"/>
      <c r="AX28" s="3"/>
      <c r="AY28" s="3"/>
      <c r="AZ28" s="3"/>
      <c r="BA28" s="3"/>
      <c r="BB28" s="3"/>
      <c r="BC28" s="3"/>
      <c r="BD28" s="3"/>
      <c r="BE28" s="3"/>
      <c r="BF28" s="3"/>
      <c r="BG28" s="3"/>
      <c r="BH28" s="3"/>
      <c r="BI28" s="3"/>
      <c r="BJ28" s="3"/>
      <c r="BK28" s="3"/>
      <c r="BL28" s="3">
        <v>32010000</v>
      </c>
      <c r="BM28" s="3">
        <v>175874000</v>
      </c>
      <c r="BN28" s="3">
        <v>46228000</v>
      </c>
      <c r="BO28" s="3">
        <v>254112000</v>
      </c>
      <c r="BP28" s="3">
        <v>32010000</v>
      </c>
      <c r="BQ28" s="3">
        <v>178226000</v>
      </c>
      <c r="BR28" s="3">
        <v>46228000</v>
      </c>
      <c r="BS28" s="3">
        <v>256464000</v>
      </c>
      <c r="BT28" s="3"/>
      <c r="BU28" s="3"/>
      <c r="BV28" s="3"/>
      <c r="BW28" s="3"/>
      <c r="BX28" s="3"/>
      <c r="BY28" s="3"/>
      <c r="BZ28" s="3"/>
      <c r="CA28" s="3"/>
      <c r="CB28" s="3"/>
      <c r="CC28" s="3"/>
      <c r="CD28" s="3"/>
      <c r="CE28" s="6"/>
      <c r="CF28" s="3"/>
      <c r="CG28" s="3"/>
      <c r="CH28" s="3"/>
      <c r="CI28" s="3"/>
      <c r="CJ28" s="3"/>
      <c r="CK28" s="3"/>
      <c r="CL28" s="3"/>
      <c r="CM28" s="3"/>
      <c r="CN28" s="3">
        <v>33147000</v>
      </c>
      <c r="CO28" s="3">
        <v>232497000</v>
      </c>
      <c r="CP28" s="3">
        <v>80373000</v>
      </c>
      <c r="CQ28" s="3">
        <v>346017000</v>
      </c>
      <c r="CR28" s="3">
        <v>33147000</v>
      </c>
      <c r="CS28" s="3">
        <v>232497000</v>
      </c>
      <c r="CT28" s="3">
        <v>80373000</v>
      </c>
      <c r="CU28" s="3">
        <v>346017000</v>
      </c>
      <c r="CV28" s="3"/>
      <c r="CW28" s="3"/>
      <c r="CX28" s="3"/>
      <c r="CY28" s="3"/>
      <c r="CZ28" s="3"/>
      <c r="DA28" s="3"/>
      <c r="DB28" s="3"/>
      <c r="DC28" s="3"/>
      <c r="DD28" s="3"/>
      <c r="DE28" s="3"/>
      <c r="DF28" s="3"/>
      <c r="DG28" s="3"/>
      <c r="DH28" s="3"/>
      <c r="DI28" s="3"/>
      <c r="DJ28" s="3"/>
      <c r="DK28" s="3"/>
      <c r="DL28" s="3"/>
      <c r="DM28" s="3"/>
      <c r="DN28" s="3"/>
      <c r="DO28" s="3"/>
      <c r="DP28" s="3">
        <v>34586000</v>
      </c>
      <c r="DQ28" s="3">
        <v>109772000</v>
      </c>
      <c r="DR28" s="3">
        <v>0</v>
      </c>
      <c r="DS28" s="3">
        <v>144358000</v>
      </c>
      <c r="DT28" s="3">
        <v>34586000</v>
      </c>
      <c r="DU28" s="3">
        <v>109772000</v>
      </c>
      <c r="DV28" s="3">
        <v>0</v>
      </c>
      <c r="DW28" s="3">
        <v>144358000</v>
      </c>
      <c r="DX28" s="3"/>
      <c r="DY28" s="3"/>
      <c r="DZ28" s="3"/>
      <c r="EA28" s="3"/>
      <c r="EB28" s="3"/>
      <c r="EC28" s="3"/>
      <c r="ED28" s="3"/>
      <c r="EE28" s="3"/>
      <c r="EF28" s="3"/>
      <c r="EG28" s="3"/>
      <c r="EH28" s="3"/>
      <c r="EI28" s="3"/>
      <c r="EJ28" s="3"/>
      <c r="EK28" s="3"/>
      <c r="EL28" s="3"/>
      <c r="EM28" s="3"/>
      <c r="EN28" s="3"/>
      <c r="EO28" s="3"/>
      <c r="EP28" s="3"/>
      <c r="EQ28" s="3"/>
      <c r="ER28" s="3">
        <v>39567000</v>
      </c>
      <c r="ES28" s="3">
        <v>109772000</v>
      </c>
      <c r="ET28" s="3">
        <v>0</v>
      </c>
      <c r="EU28" s="3">
        <v>149339000</v>
      </c>
      <c r="EV28" s="3">
        <v>39567000</v>
      </c>
      <c r="EW28" s="3">
        <v>109772000</v>
      </c>
      <c r="EX28" s="3">
        <v>0</v>
      </c>
      <c r="EY28" s="3">
        <v>149339000</v>
      </c>
      <c r="EZ28" s="3"/>
      <c r="FA28" s="3"/>
      <c r="FB28" s="3"/>
      <c r="FC28" s="3"/>
      <c r="FD28" s="3"/>
      <c r="FE28" s="3"/>
      <c r="FF28" s="3"/>
      <c r="FG28" s="3"/>
      <c r="FH28" s="6"/>
      <c r="FI28" s="3"/>
      <c r="FJ28" s="3"/>
      <c r="FK28" s="3"/>
      <c r="FL28" s="3"/>
      <c r="FM28" s="3"/>
      <c r="FN28" s="3"/>
      <c r="FO28" s="3"/>
      <c r="FP28" s="3"/>
      <c r="FQ28" s="3"/>
      <c r="FR28" s="3"/>
      <c r="FS28" s="3"/>
      <c r="FT28" s="3">
        <v>35433000</v>
      </c>
      <c r="FU28" s="3">
        <v>223151000</v>
      </c>
      <c r="FV28" s="3">
        <v>10000000</v>
      </c>
      <c r="FW28" s="3">
        <v>268584000</v>
      </c>
      <c r="FX28" s="3">
        <v>35433000</v>
      </c>
      <c r="FY28" s="3">
        <v>233202000</v>
      </c>
      <c r="FZ28" s="3">
        <v>14000000</v>
      </c>
      <c r="GA28" s="3">
        <v>282635000</v>
      </c>
      <c r="GB28" s="3"/>
      <c r="GC28" s="3"/>
      <c r="GD28" s="3"/>
      <c r="GE28" s="3"/>
      <c r="GF28" s="3"/>
      <c r="GG28" s="3"/>
      <c r="GH28" s="3"/>
      <c r="GI28" s="3"/>
      <c r="GJ28" s="3"/>
      <c r="GK28" s="3"/>
      <c r="GL28" s="3"/>
      <c r="GM28" s="3"/>
      <c r="GN28" s="3"/>
      <c r="GO28" s="3"/>
      <c r="GP28" s="3"/>
      <c r="GQ28" s="3"/>
      <c r="GR28" s="3"/>
      <c r="GS28" s="6"/>
      <c r="GT28" s="3"/>
      <c r="GU28" s="3"/>
      <c r="GV28" s="3">
        <v>35658000</v>
      </c>
      <c r="GW28" s="3">
        <v>204686000</v>
      </c>
      <c r="GX28" s="3">
        <v>3500000</v>
      </c>
      <c r="GY28" s="3">
        <v>243844000</v>
      </c>
      <c r="GZ28" s="3">
        <v>35658000</v>
      </c>
      <c r="HA28" s="3">
        <v>204686000</v>
      </c>
      <c r="HB28" s="3">
        <v>10000000</v>
      </c>
      <c r="HC28" s="3">
        <v>250344000</v>
      </c>
      <c r="HD28" s="3"/>
      <c r="HE28" s="3"/>
      <c r="HF28" s="3"/>
      <c r="HG28" s="3"/>
      <c r="HH28" s="3"/>
      <c r="HI28" s="3"/>
      <c r="HJ28" s="3"/>
      <c r="HK28" s="3"/>
      <c r="HL28" s="3"/>
      <c r="HM28" s="3"/>
      <c r="HN28" s="3"/>
      <c r="HO28" s="3"/>
      <c r="HP28" s="3"/>
      <c r="HQ28" s="3"/>
      <c r="HR28" s="3"/>
      <c r="HS28" s="3"/>
      <c r="HT28" s="3"/>
      <c r="HU28" s="3"/>
      <c r="HV28" s="3"/>
      <c r="HW28" s="3"/>
      <c r="HX28" s="3">
        <v>42644000</v>
      </c>
      <c r="HY28" s="3">
        <v>328840000</v>
      </c>
      <c r="HZ28" s="3">
        <v>9560000</v>
      </c>
      <c r="IA28" s="3">
        <v>381044000</v>
      </c>
      <c r="IB28" s="3">
        <v>42644000</v>
      </c>
      <c r="IC28" s="3">
        <v>342340000</v>
      </c>
      <c r="ID28" s="3">
        <v>9560000</v>
      </c>
      <c r="IE28" s="3">
        <v>394544000</v>
      </c>
      <c r="IF28" s="3"/>
      <c r="IG28" s="3"/>
      <c r="IH28" s="3"/>
      <c r="II28" s="3"/>
      <c r="IJ28" s="3"/>
      <c r="IK28" s="3"/>
      <c r="IL28" s="3"/>
      <c r="IM28" s="3"/>
      <c r="IN28" s="3"/>
      <c r="IO28" s="3"/>
      <c r="IP28" s="3"/>
      <c r="IQ28" s="3"/>
      <c r="IR28" s="3"/>
      <c r="IS28" s="3"/>
      <c r="IT28" s="3"/>
      <c r="IU28" s="3"/>
      <c r="IV28" s="3"/>
      <c r="IW28" s="3"/>
      <c r="IX28" s="3"/>
      <c r="IY28" s="3"/>
      <c r="IZ28" s="3">
        <v>45480000</v>
      </c>
      <c r="JA28" s="3">
        <v>278611000</v>
      </c>
      <c r="JB28" s="3">
        <v>0</v>
      </c>
      <c r="JC28" s="3">
        <v>324091000</v>
      </c>
      <c r="JD28" s="3"/>
      <c r="JE28" s="3"/>
      <c r="JF28" s="3"/>
      <c r="JG28" s="3"/>
    </row>
    <row r="29" spans="1:267" x14ac:dyDescent="0.25">
      <c r="A29" t="s">
        <v>1153</v>
      </c>
      <c r="B29" t="s">
        <v>1154</v>
      </c>
      <c r="C29" t="s">
        <v>555</v>
      </c>
      <c r="D29" t="s">
        <v>1163</v>
      </c>
      <c r="E29" t="s">
        <v>208</v>
      </c>
      <c r="F29" t="s">
        <v>211</v>
      </c>
      <c r="G29" t="s">
        <v>1212</v>
      </c>
      <c r="H29" s="3">
        <v>20530000</v>
      </c>
      <c r="I29" s="3">
        <v>12118000</v>
      </c>
      <c r="J29" s="3">
        <v>0</v>
      </c>
      <c r="K29" s="3">
        <v>32648000</v>
      </c>
      <c r="L29" s="3">
        <v>20530000</v>
      </c>
      <c r="M29" s="3">
        <v>12118000</v>
      </c>
      <c r="N29" s="3">
        <v>0</v>
      </c>
      <c r="O29" s="3">
        <v>32648000</v>
      </c>
      <c r="P29" s="3"/>
      <c r="Q29" s="3"/>
      <c r="R29" s="3"/>
      <c r="S29" s="3"/>
      <c r="T29" s="3"/>
      <c r="U29" s="3"/>
      <c r="V29" s="3"/>
      <c r="W29" s="3"/>
      <c r="X29" s="6"/>
      <c r="Y29" s="3"/>
      <c r="Z29" s="3"/>
      <c r="AA29" s="3"/>
      <c r="AB29" s="3"/>
      <c r="AC29" s="3"/>
      <c r="AD29" s="3"/>
      <c r="AE29" s="3"/>
      <c r="AF29" s="3"/>
      <c r="AG29" s="3"/>
      <c r="AH29" s="3"/>
      <c r="AI29" s="3"/>
      <c r="AJ29" s="3">
        <v>27287000</v>
      </c>
      <c r="AK29" s="3">
        <v>9996000</v>
      </c>
      <c r="AL29" s="3">
        <v>0</v>
      </c>
      <c r="AM29" s="3">
        <v>37283000</v>
      </c>
      <c r="AN29" s="3">
        <v>27287000</v>
      </c>
      <c r="AO29" s="3">
        <v>9996000</v>
      </c>
      <c r="AP29" s="3">
        <v>0</v>
      </c>
      <c r="AQ29" s="3">
        <v>37283000</v>
      </c>
      <c r="AR29" s="3"/>
      <c r="AS29" s="3"/>
      <c r="AT29" s="3"/>
      <c r="AU29" s="3"/>
      <c r="AV29" s="3"/>
      <c r="AW29" s="3"/>
      <c r="AX29" s="3"/>
      <c r="AY29" s="3"/>
      <c r="AZ29" s="3"/>
      <c r="BA29" s="3"/>
      <c r="BB29" s="3"/>
      <c r="BC29" s="3"/>
      <c r="BD29" s="3"/>
      <c r="BE29" s="3"/>
      <c r="BF29" s="3"/>
      <c r="BG29" s="3"/>
      <c r="BH29" s="3"/>
      <c r="BI29" s="3"/>
      <c r="BJ29" s="3"/>
      <c r="BK29" s="3"/>
      <c r="BL29" s="3">
        <v>31327000</v>
      </c>
      <c r="BM29" s="3">
        <v>10176000</v>
      </c>
      <c r="BN29" s="3">
        <v>0</v>
      </c>
      <c r="BO29" s="3">
        <v>41503000</v>
      </c>
      <c r="BP29" s="3">
        <v>31327000</v>
      </c>
      <c r="BQ29" s="3">
        <v>10176000</v>
      </c>
      <c r="BR29" s="3">
        <v>0</v>
      </c>
      <c r="BS29" s="3">
        <v>41503000</v>
      </c>
      <c r="BT29" s="3"/>
      <c r="BU29" s="3"/>
      <c r="BV29" s="3"/>
      <c r="BW29" s="3"/>
      <c r="BX29" s="3"/>
      <c r="BY29" s="3"/>
      <c r="BZ29" s="3"/>
      <c r="CA29" s="3"/>
      <c r="CB29" s="3"/>
      <c r="CC29" s="3"/>
      <c r="CD29" s="3"/>
      <c r="CE29" s="6"/>
      <c r="CF29" s="3"/>
      <c r="CG29" s="3"/>
      <c r="CH29" s="3"/>
      <c r="CI29" s="3"/>
      <c r="CJ29" s="3"/>
      <c r="CK29" s="3"/>
      <c r="CL29" s="3"/>
      <c r="CM29" s="3"/>
      <c r="CN29" s="3">
        <v>37591000</v>
      </c>
      <c r="CO29" s="3">
        <v>13305000</v>
      </c>
      <c r="CP29" s="3">
        <v>0</v>
      </c>
      <c r="CQ29" s="3">
        <v>50896000</v>
      </c>
      <c r="CR29" s="3">
        <v>37591000</v>
      </c>
      <c r="CS29" s="3">
        <v>13305000</v>
      </c>
      <c r="CT29" s="3">
        <v>0</v>
      </c>
      <c r="CU29" s="3">
        <v>50896000</v>
      </c>
      <c r="CV29" s="3"/>
      <c r="CW29" s="3"/>
      <c r="CX29" s="3"/>
      <c r="CY29" s="3"/>
      <c r="CZ29" s="3"/>
      <c r="DA29" s="3"/>
      <c r="DB29" s="3"/>
      <c r="DC29" s="3"/>
      <c r="DD29" s="3"/>
      <c r="DE29" s="3"/>
      <c r="DF29" s="3"/>
      <c r="DG29" s="3"/>
      <c r="DH29" s="3"/>
      <c r="DI29" s="3"/>
      <c r="DJ29" s="3"/>
      <c r="DK29" s="3"/>
      <c r="DL29" s="3"/>
      <c r="DM29" s="3"/>
      <c r="DN29" s="3"/>
      <c r="DO29" s="3"/>
      <c r="DP29" s="3">
        <v>38499000</v>
      </c>
      <c r="DQ29" s="3">
        <v>13305000</v>
      </c>
      <c r="DR29" s="3">
        <v>0</v>
      </c>
      <c r="DS29" s="3">
        <v>51804000</v>
      </c>
      <c r="DT29" s="3">
        <v>38499000</v>
      </c>
      <c r="DU29" s="3">
        <v>13305000</v>
      </c>
      <c r="DV29" s="3">
        <v>0</v>
      </c>
      <c r="DW29" s="3">
        <v>51804000</v>
      </c>
      <c r="DX29" s="3"/>
      <c r="DY29" s="3"/>
      <c r="DZ29" s="3"/>
      <c r="EA29" s="3"/>
      <c r="EB29" s="3"/>
      <c r="EC29" s="3"/>
      <c r="ED29" s="3"/>
      <c r="EE29" s="3"/>
      <c r="EF29" s="3"/>
      <c r="EG29" s="3"/>
      <c r="EH29" s="3"/>
      <c r="EI29" s="3"/>
      <c r="EJ29" s="3"/>
      <c r="EK29" s="3"/>
      <c r="EL29" s="3"/>
      <c r="EM29" s="3"/>
      <c r="EN29" s="3"/>
      <c r="EO29" s="3"/>
      <c r="EP29" s="3"/>
      <c r="EQ29" s="3"/>
      <c r="ER29" s="3">
        <v>38739000</v>
      </c>
      <c r="ES29" s="3">
        <v>13305000</v>
      </c>
      <c r="ET29" s="3">
        <v>0</v>
      </c>
      <c r="EU29" s="3">
        <v>52044000</v>
      </c>
      <c r="EV29" s="3">
        <v>38739000</v>
      </c>
      <c r="EW29" s="3">
        <v>13305000</v>
      </c>
      <c r="EX29" s="3">
        <v>0</v>
      </c>
      <c r="EY29" s="3">
        <v>52044000</v>
      </c>
      <c r="EZ29" s="3"/>
      <c r="FA29" s="3"/>
      <c r="FB29" s="3"/>
      <c r="FC29" s="3"/>
      <c r="FD29" s="3"/>
      <c r="FE29" s="3"/>
      <c r="FF29" s="3"/>
      <c r="FG29" s="3"/>
      <c r="FH29" s="6"/>
      <c r="FI29" s="3"/>
      <c r="FJ29" s="3"/>
      <c r="FK29" s="3"/>
      <c r="FL29" s="3"/>
      <c r="FM29" s="3"/>
      <c r="FN29" s="3"/>
      <c r="FO29" s="3"/>
      <c r="FP29" s="3"/>
      <c r="FQ29" s="3"/>
      <c r="FR29" s="3"/>
      <c r="FS29" s="3"/>
      <c r="FT29" s="3">
        <v>41251000</v>
      </c>
      <c r="FU29" s="3">
        <v>13545000</v>
      </c>
      <c r="FV29" s="3">
        <v>0</v>
      </c>
      <c r="FW29" s="3">
        <v>54796000</v>
      </c>
      <c r="FX29" s="3">
        <v>41251000</v>
      </c>
      <c r="FY29" s="3">
        <v>13545000</v>
      </c>
      <c r="FZ29" s="3">
        <v>0</v>
      </c>
      <c r="GA29" s="3">
        <v>54796000</v>
      </c>
      <c r="GB29" s="3"/>
      <c r="GC29" s="3"/>
      <c r="GD29" s="3"/>
      <c r="GE29" s="3"/>
      <c r="GF29" s="3"/>
      <c r="GG29" s="3"/>
      <c r="GH29" s="3"/>
      <c r="GI29" s="3"/>
      <c r="GJ29" s="3"/>
      <c r="GK29" s="3"/>
      <c r="GL29" s="3"/>
      <c r="GM29" s="3"/>
      <c r="GN29" s="3"/>
      <c r="GO29" s="3"/>
      <c r="GP29" s="3"/>
      <c r="GQ29" s="3"/>
      <c r="GR29" s="3"/>
      <c r="GS29" s="6"/>
      <c r="GT29" s="3"/>
      <c r="GU29" s="3"/>
      <c r="GV29" s="3">
        <v>41456000</v>
      </c>
      <c r="GW29" s="3">
        <v>13789000</v>
      </c>
      <c r="GX29" s="3">
        <v>0</v>
      </c>
      <c r="GY29" s="3">
        <v>55245000</v>
      </c>
      <c r="GZ29" s="3">
        <v>41456000</v>
      </c>
      <c r="HA29" s="3">
        <v>13789000</v>
      </c>
      <c r="HB29" s="3">
        <v>0</v>
      </c>
      <c r="HC29" s="3">
        <v>55245000</v>
      </c>
      <c r="HD29" s="3"/>
      <c r="HE29" s="3"/>
      <c r="HF29" s="3"/>
      <c r="HG29" s="3"/>
      <c r="HH29" s="3"/>
      <c r="HI29" s="3"/>
      <c r="HJ29" s="3"/>
      <c r="HK29" s="3"/>
      <c r="HL29" s="3"/>
      <c r="HM29" s="3"/>
      <c r="HN29" s="3"/>
      <c r="HO29" s="3"/>
      <c r="HP29" s="3"/>
      <c r="HQ29" s="3"/>
      <c r="HR29" s="3"/>
      <c r="HS29" s="3"/>
      <c r="HT29" s="3"/>
      <c r="HU29" s="3"/>
      <c r="HV29" s="3"/>
      <c r="HW29" s="3"/>
      <c r="HX29" s="3">
        <v>45009000</v>
      </c>
      <c r="HY29" s="3">
        <v>14038000</v>
      </c>
      <c r="HZ29" s="3">
        <v>0</v>
      </c>
      <c r="IA29" s="3">
        <v>59047000</v>
      </c>
      <c r="IB29" s="3">
        <v>45009000</v>
      </c>
      <c r="IC29" s="3">
        <v>14038000</v>
      </c>
      <c r="ID29" s="3">
        <v>0</v>
      </c>
      <c r="IE29" s="3">
        <v>59047000</v>
      </c>
      <c r="IF29" s="3"/>
      <c r="IG29" s="3"/>
      <c r="IH29" s="3"/>
      <c r="II29" s="3"/>
      <c r="IJ29" s="3"/>
      <c r="IK29" s="3"/>
      <c r="IL29" s="3"/>
      <c r="IM29" s="3"/>
      <c r="IN29" s="3"/>
      <c r="IO29" s="3"/>
      <c r="IP29" s="3"/>
      <c r="IQ29" s="3"/>
      <c r="IR29" s="3"/>
      <c r="IS29" s="3"/>
      <c r="IT29" s="3"/>
      <c r="IU29" s="3"/>
      <c r="IV29" s="3"/>
      <c r="IW29" s="3"/>
      <c r="IX29" s="3"/>
      <c r="IY29" s="3"/>
      <c r="IZ29" s="3">
        <v>45848000</v>
      </c>
      <c r="JA29" s="3">
        <v>14291000</v>
      </c>
      <c r="JB29" s="3">
        <v>0</v>
      </c>
      <c r="JC29" s="3">
        <v>60139000</v>
      </c>
      <c r="JD29" s="3"/>
      <c r="JE29" s="3"/>
      <c r="JF29" s="3"/>
      <c r="JG29" s="3"/>
    </row>
    <row r="30" spans="1:267" x14ac:dyDescent="0.25">
      <c r="A30" t="s">
        <v>1153</v>
      </c>
      <c r="B30" t="s">
        <v>1154</v>
      </c>
      <c r="C30" t="s">
        <v>555</v>
      </c>
      <c r="D30" t="s">
        <v>1163</v>
      </c>
      <c r="E30" t="s">
        <v>217</v>
      </c>
      <c r="F30" t="s">
        <v>218</v>
      </c>
      <c r="G30" t="s">
        <v>1213</v>
      </c>
      <c r="H30" s="3">
        <v>30898000</v>
      </c>
      <c r="I30" s="3">
        <v>61553000</v>
      </c>
      <c r="J30" s="3">
        <v>55144000</v>
      </c>
      <c r="K30" s="3">
        <v>147595000</v>
      </c>
      <c r="L30" s="3">
        <v>30898000</v>
      </c>
      <c r="M30" s="3">
        <v>61553000</v>
      </c>
      <c r="N30" s="3">
        <v>55144000</v>
      </c>
      <c r="O30" s="3">
        <v>147595000</v>
      </c>
      <c r="P30" s="3"/>
      <c r="Q30" s="3"/>
      <c r="R30" s="3"/>
      <c r="S30" s="3"/>
      <c r="T30" s="3"/>
      <c r="U30" s="3"/>
      <c r="V30" s="3"/>
      <c r="W30" s="3"/>
      <c r="X30" s="6"/>
      <c r="Y30" s="3"/>
      <c r="Z30" s="3"/>
      <c r="AA30" s="3"/>
      <c r="AB30" s="3"/>
      <c r="AC30" s="3"/>
      <c r="AD30" s="3"/>
      <c r="AE30" s="3"/>
      <c r="AF30" s="3"/>
      <c r="AG30" s="3"/>
      <c r="AH30" s="3"/>
      <c r="AI30" s="3"/>
      <c r="AJ30" s="3">
        <v>30727000</v>
      </c>
      <c r="AK30" s="3">
        <v>50770000</v>
      </c>
      <c r="AL30" s="3">
        <v>78323000</v>
      </c>
      <c r="AM30" s="3">
        <v>159820000</v>
      </c>
      <c r="AN30" s="3">
        <v>30727000</v>
      </c>
      <c r="AO30" s="3">
        <v>53122000</v>
      </c>
      <c r="AP30" s="3">
        <v>78323000</v>
      </c>
      <c r="AQ30" s="3">
        <v>162172000</v>
      </c>
      <c r="AR30" s="3"/>
      <c r="AS30" s="3"/>
      <c r="AT30" s="3"/>
      <c r="AU30" s="3"/>
      <c r="AV30" s="3"/>
      <c r="AW30" s="3"/>
      <c r="AX30" s="3"/>
      <c r="AY30" s="3"/>
      <c r="AZ30" s="3"/>
      <c r="BA30" s="3"/>
      <c r="BB30" s="3"/>
      <c r="BC30" s="3"/>
      <c r="BD30" s="3"/>
      <c r="BE30" s="3"/>
      <c r="BF30" s="3"/>
      <c r="BG30" s="3"/>
      <c r="BH30" s="3"/>
      <c r="BI30" s="3"/>
      <c r="BJ30" s="3"/>
      <c r="BK30" s="3"/>
      <c r="BL30" s="3">
        <v>32517000</v>
      </c>
      <c r="BM30" s="3">
        <v>60906000</v>
      </c>
      <c r="BN30" s="3">
        <v>103816000</v>
      </c>
      <c r="BO30" s="3">
        <v>197239000</v>
      </c>
      <c r="BP30" s="3">
        <v>32517000</v>
      </c>
      <c r="BQ30" s="3">
        <v>60906000</v>
      </c>
      <c r="BR30" s="3">
        <v>103816000</v>
      </c>
      <c r="BS30" s="3">
        <v>197239000</v>
      </c>
      <c r="BT30" s="3"/>
      <c r="BU30" s="3"/>
      <c r="BV30" s="3"/>
      <c r="BW30" s="3"/>
      <c r="BX30" s="3"/>
      <c r="BY30" s="3"/>
      <c r="BZ30" s="3"/>
      <c r="CA30" s="3"/>
      <c r="CB30" s="3"/>
      <c r="CC30" s="3"/>
      <c r="CD30" s="3"/>
      <c r="CE30" s="6"/>
      <c r="CF30" s="3"/>
      <c r="CG30" s="3"/>
      <c r="CH30" s="3"/>
      <c r="CI30" s="3"/>
      <c r="CJ30" s="3"/>
      <c r="CK30" s="3"/>
      <c r="CL30" s="3"/>
      <c r="CM30" s="3"/>
      <c r="CN30" s="3">
        <v>34084000</v>
      </c>
      <c r="CO30" s="3">
        <v>72187000</v>
      </c>
      <c r="CP30" s="3">
        <v>47782000</v>
      </c>
      <c r="CQ30" s="3">
        <v>154053000</v>
      </c>
      <c r="CR30" s="3">
        <v>34084000</v>
      </c>
      <c r="CS30" s="3">
        <v>72187000</v>
      </c>
      <c r="CT30" s="3">
        <v>47782000</v>
      </c>
      <c r="CU30" s="3">
        <v>154053000</v>
      </c>
      <c r="CV30" s="3"/>
      <c r="CW30" s="3"/>
      <c r="CX30" s="3"/>
      <c r="CY30" s="3"/>
      <c r="CZ30" s="3"/>
      <c r="DA30" s="3"/>
      <c r="DB30" s="3"/>
      <c r="DC30" s="3"/>
      <c r="DD30" s="3"/>
      <c r="DE30" s="3"/>
      <c r="DF30" s="3"/>
      <c r="DG30" s="3"/>
      <c r="DH30" s="3"/>
      <c r="DI30" s="3"/>
      <c r="DJ30" s="3"/>
      <c r="DK30" s="3"/>
      <c r="DL30" s="3"/>
      <c r="DM30" s="3"/>
      <c r="DN30" s="3"/>
      <c r="DO30" s="3"/>
      <c r="DP30" s="3">
        <v>35254000</v>
      </c>
      <c r="DQ30" s="3">
        <v>72187000</v>
      </c>
      <c r="DR30" s="3">
        <v>0</v>
      </c>
      <c r="DS30" s="3">
        <v>107441000</v>
      </c>
      <c r="DT30" s="3">
        <v>35254000</v>
      </c>
      <c r="DU30" s="3">
        <v>72187000</v>
      </c>
      <c r="DV30" s="3">
        <v>0</v>
      </c>
      <c r="DW30" s="3">
        <v>107441000</v>
      </c>
      <c r="DX30" s="3"/>
      <c r="DY30" s="3"/>
      <c r="DZ30" s="3"/>
      <c r="EA30" s="3"/>
      <c r="EB30" s="3"/>
      <c r="EC30" s="3"/>
      <c r="ED30" s="3"/>
      <c r="EE30" s="3"/>
      <c r="EF30" s="3"/>
      <c r="EG30" s="3"/>
      <c r="EH30" s="3"/>
      <c r="EI30" s="3"/>
      <c r="EJ30" s="3"/>
      <c r="EK30" s="3"/>
      <c r="EL30" s="3"/>
      <c r="EM30" s="3"/>
      <c r="EN30" s="3"/>
      <c r="EO30" s="3"/>
      <c r="EP30" s="3"/>
      <c r="EQ30" s="3"/>
      <c r="ER30" s="3">
        <v>36830000</v>
      </c>
      <c r="ES30" s="3">
        <v>72187000</v>
      </c>
      <c r="ET30" s="3">
        <v>130075000</v>
      </c>
      <c r="EU30" s="3">
        <v>239092000</v>
      </c>
      <c r="EV30" s="3">
        <v>36830000</v>
      </c>
      <c r="EW30" s="3">
        <v>72187000</v>
      </c>
      <c r="EX30" s="3">
        <v>130075000</v>
      </c>
      <c r="EY30" s="3">
        <v>239092000</v>
      </c>
      <c r="EZ30" s="3"/>
      <c r="FA30" s="3"/>
      <c r="FB30" s="3"/>
      <c r="FC30" s="3"/>
      <c r="FD30" s="3"/>
      <c r="FE30" s="3"/>
      <c r="FF30" s="3"/>
      <c r="FG30" s="3"/>
      <c r="FH30" s="6"/>
      <c r="FI30" s="3"/>
      <c r="FJ30" s="3"/>
      <c r="FK30" s="3"/>
      <c r="FL30" s="3"/>
      <c r="FM30" s="3"/>
      <c r="FN30" s="3"/>
      <c r="FO30" s="3"/>
      <c r="FP30" s="3"/>
      <c r="FQ30" s="3"/>
      <c r="FR30" s="3"/>
      <c r="FS30" s="3"/>
      <c r="FT30" s="3">
        <v>38008000</v>
      </c>
      <c r="FU30" s="3">
        <v>73487000</v>
      </c>
      <c r="FV30" s="3">
        <v>130360000</v>
      </c>
      <c r="FW30" s="3">
        <v>241855000</v>
      </c>
      <c r="FX30" s="3">
        <v>38008000</v>
      </c>
      <c r="FY30" s="3">
        <v>73487000</v>
      </c>
      <c r="FZ30" s="3">
        <v>143764000</v>
      </c>
      <c r="GA30" s="3">
        <v>255259000</v>
      </c>
      <c r="GB30" s="3"/>
      <c r="GC30" s="3"/>
      <c r="GD30" s="3"/>
      <c r="GE30" s="3"/>
      <c r="GF30" s="3"/>
      <c r="GG30" s="3"/>
      <c r="GH30" s="3"/>
      <c r="GI30" s="3"/>
      <c r="GJ30" s="3"/>
      <c r="GK30" s="3"/>
      <c r="GL30" s="3"/>
      <c r="GM30" s="3"/>
      <c r="GN30" s="3"/>
      <c r="GO30" s="3"/>
      <c r="GP30" s="3"/>
      <c r="GQ30" s="3"/>
      <c r="GR30" s="3"/>
      <c r="GS30" s="6"/>
      <c r="GT30" s="3"/>
      <c r="GU30" s="3"/>
      <c r="GV30" s="3">
        <v>38308000</v>
      </c>
      <c r="GW30" s="3">
        <v>74810000</v>
      </c>
      <c r="GX30" s="3">
        <v>0</v>
      </c>
      <c r="GY30" s="3">
        <v>113118000</v>
      </c>
      <c r="GZ30" s="3">
        <v>38308000</v>
      </c>
      <c r="HA30" s="3">
        <v>83555000</v>
      </c>
      <c r="HB30" s="3">
        <v>33730000</v>
      </c>
      <c r="HC30" s="3">
        <v>155593000</v>
      </c>
      <c r="HD30" s="3"/>
      <c r="HE30" s="3"/>
      <c r="HF30" s="3"/>
      <c r="HG30" s="3"/>
      <c r="HH30" s="3"/>
      <c r="HI30" s="3"/>
      <c r="HJ30" s="3"/>
      <c r="HK30" s="3"/>
      <c r="HL30" s="3"/>
      <c r="HM30" s="3"/>
      <c r="HN30" s="3"/>
      <c r="HO30" s="3"/>
      <c r="HP30" s="3"/>
      <c r="HQ30" s="3"/>
      <c r="HR30" s="3"/>
      <c r="HS30" s="3"/>
      <c r="HT30" s="3"/>
      <c r="HU30" s="3"/>
      <c r="HV30" s="3"/>
      <c r="HW30" s="3"/>
      <c r="HX30" s="3">
        <v>46091000</v>
      </c>
      <c r="HY30" s="3">
        <v>76846000</v>
      </c>
      <c r="HZ30" s="3">
        <v>138097000</v>
      </c>
      <c r="IA30" s="3">
        <v>261034000</v>
      </c>
      <c r="IB30" s="3">
        <v>46091000</v>
      </c>
      <c r="IC30" s="3">
        <v>76846000</v>
      </c>
      <c r="ID30" s="3">
        <v>138097000</v>
      </c>
      <c r="IE30" s="3">
        <v>261034000</v>
      </c>
      <c r="IF30" s="3"/>
      <c r="IG30" s="3"/>
      <c r="IH30" s="3"/>
      <c r="II30" s="3"/>
      <c r="IJ30" s="3"/>
      <c r="IK30" s="3"/>
      <c r="IL30" s="3"/>
      <c r="IM30" s="3"/>
      <c r="IN30" s="3"/>
      <c r="IO30" s="3"/>
      <c r="IP30" s="3"/>
      <c r="IQ30" s="3"/>
      <c r="IR30" s="3"/>
      <c r="IS30" s="3"/>
      <c r="IT30" s="3"/>
      <c r="IU30" s="3"/>
      <c r="IV30" s="3"/>
      <c r="IW30" s="3"/>
      <c r="IX30" s="3"/>
      <c r="IY30" s="3"/>
      <c r="IZ30" s="3">
        <v>51862000</v>
      </c>
      <c r="JA30" s="3">
        <v>77528000</v>
      </c>
      <c r="JB30" s="3">
        <v>57671000</v>
      </c>
      <c r="JC30" s="3">
        <v>187061000</v>
      </c>
      <c r="JD30" s="3"/>
      <c r="JE30" s="3"/>
      <c r="JF30" s="3"/>
      <c r="JG30" s="3"/>
    </row>
    <row r="31" spans="1:267" x14ac:dyDescent="0.25">
      <c r="A31" t="s">
        <v>1153</v>
      </c>
      <c r="B31" t="s">
        <v>1154</v>
      </c>
      <c r="C31" t="s">
        <v>555</v>
      </c>
      <c r="D31" t="s">
        <v>1163</v>
      </c>
      <c r="E31" t="s">
        <v>217</v>
      </c>
      <c r="F31" t="s">
        <v>220</v>
      </c>
      <c r="G31" t="s">
        <v>1214</v>
      </c>
      <c r="H31" s="3">
        <v>25548000</v>
      </c>
      <c r="I31" s="3">
        <v>20243000</v>
      </c>
      <c r="J31" s="3">
        <v>0</v>
      </c>
      <c r="K31" s="3">
        <v>45791000</v>
      </c>
      <c r="L31" s="3">
        <v>25548000</v>
      </c>
      <c r="M31" s="3">
        <v>20243000</v>
      </c>
      <c r="N31" s="3">
        <v>0</v>
      </c>
      <c r="O31" s="3">
        <v>45791000</v>
      </c>
      <c r="P31" s="3"/>
      <c r="Q31" s="3"/>
      <c r="R31" s="3"/>
      <c r="S31" s="3"/>
      <c r="T31" s="3"/>
      <c r="U31" s="3"/>
      <c r="V31" s="3"/>
      <c r="W31" s="3"/>
      <c r="X31" s="6"/>
      <c r="Y31" s="3"/>
      <c r="Z31" s="3"/>
      <c r="AA31" s="3"/>
      <c r="AB31" s="3"/>
      <c r="AC31" s="3"/>
      <c r="AD31" s="3"/>
      <c r="AE31" s="3"/>
      <c r="AF31" s="3"/>
      <c r="AG31" s="3"/>
      <c r="AH31" s="3"/>
      <c r="AI31" s="3"/>
      <c r="AJ31" s="3">
        <v>28403000</v>
      </c>
      <c r="AK31" s="3">
        <v>16697000</v>
      </c>
      <c r="AL31" s="3">
        <v>0</v>
      </c>
      <c r="AM31" s="3">
        <v>45100000</v>
      </c>
      <c r="AN31" s="3">
        <v>28403000</v>
      </c>
      <c r="AO31" s="3">
        <v>16697000</v>
      </c>
      <c r="AP31" s="3">
        <v>0</v>
      </c>
      <c r="AQ31" s="3">
        <v>45100000</v>
      </c>
      <c r="AR31" s="3"/>
      <c r="AS31" s="3"/>
      <c r="AT31" s="3"/>
      <c r="AU31" s="3"/>
      <c r="AV31" s="3"/>
      <c r="AW31" s="3"/>
      <c r="AX31" s="3"/>
      <c r="AY31" s="3"/>
      <c r="AZ31" s="3"/>
      <c r="BA31" s="3"/>
      <c r="BB31" s="3"/>
      <c r="BC31" s="3"/>
      <c r="BD31" s="3"/>
      <c r="BE31" s="3"/>
      <c r="BF31" s="3"/>
      <c r="BG31" s="3"/>
      <c r="BH31" s="3"/>
      <c r="BI31" s="3"/>
      <c r="BJ31" s="3"/>
      <c r="BK31" s="3"/>
      <c r="BL31" s="3">
        <v>27407000</v>
      </c>
      <c r="BM31" s="3">
        <v>16998000</v>
      </c>
      <c r="BN31" s="3">
        <v>0</v>
      </c>
      <c r="BO31" s="3">
        <v>44405000</v>
      </c>
      <c r="BP31" s="3">
        <v>27407000</v>
      </c>
      <c r="BQ31" s="3">
        <v>16998000</v>
      </c>
      <c r="BR31" s="3">
        <v>0</v>
      </c>
      <c r="BS31" s="3">
        <v>44405000</v>
      </c>
      <c r="BT31" s="3"/>
      <c r="BU31" s="3"/>
      <c r="BV31" s="3"/>
      <c r="BW31" s="3"/>
      <c r="BX31" s="3"/>
      <c r="BY31" s="3"/>
      <c r="BZ31" s="3"/>
      <c r="CA31" s="3"/>
      <c r="CB31" s="3"/>
      <c r="CC31" s="3"/>
      <c r="CD31" s="3"/>
      <c r="CE31" s="6"/>
      <c r="CF31" s="3"/>
      <c r="CG31" s="3"/>
      <c r="CH31" s="3"/>
      <c r="CI31" s="3"/>
      <c r="CJ31" s="3"/>
      <c r="CK31" s="3"/>
      <c r="CL31" s="3"/>
      <c r="CM31" s="3"/>
      <c r="CN31" s="3">
        <v>32745000</v>
      </c>
      <c r="CO31" s="3">
        <v>21369000</v>
      </c>
      <c r="CP31" s="3">
        <v>0</v>
      </c>
      <c r="CQ31" s="3">
        <v>54114000</v>
      </c>
      <c r="CR31" s="3">
        <v>32745000</v>
      </c>
      <c r="CS31" s="3">
        <v>21369000</v>
      </c>
      <c r="CT31" s="3">
        <v>0</v>
      </c>
      <c r="CU31" s="3">
        <v>54114000</v>
      </c>
      <c r="CV31" s="3"/>
      <c r="CW31" s="3"/>
      <c r="CX31" s="3"/>
      <c r="CY31" s="3"/>
      <c r="CZ31" s="3"/>
      <c r="DA31" s="3"/>
      <c r="DB31" s="3"/>
      <c r="DC31" s="3"/>
      <c r="DD31" s="3"/>
      <c r="DE31" s="3"/>
      <c r="DF31" s="3"/>
      <c r="DG31" s="3"/>
      <c r="DH31" s="3"/>
      <c r="DI31" s="3"/>
      <c r="DJ31" s="3"/>
      <c r="DK31" s="3"/>
      <c r="DL31" s="3"/>
      <c r="DM31" s="3"/>
      <c r="DN31" s="3"/>
      <c r="DO31" s="3"/>
      <c r="DP31" s="3">
        <v>32734000</v>
      </c>
      <c r="DQ31" s="3">
        <v>21369000</v>
      </c>
      <c r="DR31" s="3">
        <v>0</v>
      </c>
      <c r="DS31" s="3">
        <v>54103000</v>
      </c>
      <c r="DT31" s="3">
        <v>32734000</v>
      </c>
      <c r="DU31" s="3">
        <v>21369000</v>
      </c>
      <c r="DV31" s="3">
        <v>0</v>
      </c>
      <c r="DW31" s="3">
        <v>54103000</v>
      </c>
      <c r="DX31" s="3"/>
      <c r="DY31" s="3"/>
      <c r="DZ31" s="3"/>
      <c r="EA31" s="3"/>
      <c r="EB31" s="3"/>
      <c r="EC31" s="3"/>
      <c r="ED31" s="3"/>
      <c r="EE31" s="3"/>
      <c r="EF31" s="3"/>
      <c r="EG31" s="3"/>
      <c r="EH31" s="3"/>
      <c r="EI31" s="3"/>
      <c r="EJ31" s="3"/>
      <c r="EK31" s="3"/>
      <c r="EL31" s="3"/>
      <c r="EM31" s="3"/>
      <c r="EN31" s="3"/>
      <c r="EO31" s="3"/>
      <c r="EP31" s="3"/>
      <c r="EQ31" s="3"/>
      <c r="ER31" s="3">
        <v>34014000</v>
      </c>
      <c r="ES31" s="3">
        <v>21369000</v>
      </c>
      <c r="ET31" s="3">
        <v>0</v>
      </c>
      <c r="EU31" s="3">
        <v>55383000</v>
      </c>
      <c r="EV31" s="3">
        <v>34014000</v>
      </c>
      <c r="EW31" s="3">
        <v>21369000</v>
      </c>
      <c r="EX31" s="3">
        <v>0</v>
      </c>
      <c r="EY31" s="3">
        <v>55383000</v>
      </c>
      <c r="EZ31" s="3"/>
      <c r="FA31" s="3"/>
      <c r="FB31" s="3"/>
      <c r="FC31" s="3"/>
      <c r="FD31" s="3"/>
      <c r="FE31" s="3"/>
      <c r="FF31" s="3"/>
      <c r="FG31" s="3"/>
      <c r="FH31" s="6"/>
      <c r="FI31" s="3"/>
      <c r="FJ31" s="3"/>
      <c r="FK31" s="3"/>
      <c r="FL31" s="3"/>
      <c r="FM31" s="3"/>
      <c r="FN31" s="3"/>
      <c r="FO31" s="3"/>
      <c r="FP31" s="3"/>
      <c r="FQ31" s="3"/>
      <c r="FR31" s="3"/>
      <c r="FS31" s="3"/>
      <c r="FT31" s="3">
        <v>30769000</v>
      </c>
      <c r="FU31" s="3">
        <v>21754000</v>
      </c>
      <c r="FV31" s="3">
        <v>0</v>
      </c>
      <c r="FW31" s="3">
        <v>52523000</v>
      </c>
      <c r="FX31" s="3">
        <v>30769000</v>
      </c>
      <c r="FY31" s="3">
        <v>22954000</v>
      </c>
      <c r="FZ31" s="3">
        <v>0</v>
      </c>
      <c r="GA31" s="3">
        <v>53723000</v>
      </c>
      <c r="GB31" s="3"/>
      <c r="GC31" s="3"/>
      <c r="GD31" s="3"/>
      <c r="GE31" s="3"/>
      <c r="GF31" s="3"/>
      <c r="GG31" s="3"/>
      <c r="GH31" s="3"/>
      <c r="GI31" s="3"/>
      <c r="GJ31" s="3"/>
      <c r="GK31" s="3"/>
      <c r="GL31" s="3"/>
      <c r="GM31" s="3"/>
      <c r="GN31" s="3"/>
      <c r="GO31" s="3"/>
      <c r="GP31" s="3"/>
      <c r="GQ31" s="3"/>
      <c r="GR31" s="3"/>
      <c r="GS31" s="6"/>
      <c r="GT31" s="3"/>
      <c r="GU31" s="3"/>
      <c r="GV31" s="3">
        <v>34371000</v>
      </c>
      <c r="GW31" s="3">
        <v>22146000</v>
      </c>
      <c r="GX31" s="3">
        <v>0</v>
      </c>
      <c r="GY31" s="3">
        <v>56517000</v>
      </c>
      <c r="GZ31" s="3">
        <v>34371000</v>
      </c>
      <c r="HA31" s="3">
        <v>22146000</v>
      </c>
      <c r="HB31" s="3">
        <v>0</v>
      </c>
      <c r="HC31" s="3">
        <v>56517000</v>
      </c>
      <c r="HD31" s="3"/>
      <c r="HE31" s="3"/>
      <c r="HF31" s="3"/>
      <c r="HG31" s="3"/>
      <c r="HH31" s="3"/>
      <c r="HI31" s="3"/>
      <c r="HJ31" s="3"/>
      <c r="HK31" s="3"/>
      <c r="HL31" s="3"/>
      <c r="HM31" s="3"/>
      <c r="HN31" s="3"/>
      <c r="HO31" s="3"/>
      <c r="HP31" s="3"/>
      <c r="HQ31" s="3"/>
      <c r="HR31" s="3"/>
      <c r="HS31" s="3"/>
      <c r="HT31" s="3"/>
      <c r="HU31" s="3"/>
      <c r="HV31" s="3"/>
      <c r="HW31" s="3"/>
      <c r="HX31" s="3">
        <v>38998000</v>
      </c>
      <c r="HY31" s="3">
        <v>22545000</v>
      </c>
      <c r="HZ31" s="3">
        <v>0</v>
      </c>
      <c r="IA31" s="3">
        <v>61543000</v>
      </c>
      <c r="IB31" s="3">
        <v>38998000</v>
      </c>
      <c r="IC31" s="3">
        <v>22545000</v>
      </c>
      <c r="ID31" s="3">
        <v>0</v>
      </c>
      <c r="IE31" s="3">
        <v>61543000</v>
      </c>
      <c r="IF31" s="3"/>
      <c r="IG31" s="3"/>
      <c r="IH31" s="3"/>
      <c r="II31" s="3"/>
      <c r="IJ31" s="3"/>
      <c r="IK31" s="3"/>
      <c r="IL31" s="3"/>
      <c r="IM31" s="3"/>
      <c r="IN31" s="3"/>
      <c r="IO31" s="3"/>
      <c r="IP31" s="3"/>
      <c r="IQ31" s="3"/>
      <c r="IR31" s="3"/>
      <c r="IS31" s="3"/>
      <c r="IT31" s="3"/>
      <c r="IU31" s="3"/>
      <c r="IV31" s="3"/>
      <c r="IW31" s="3"/>
      <c r="IX31" s="3"/>
      <c r="IY31" s="3"/>
      <c r="IZ31" s="3">
        <v>40945000</v>
      </c>
      <c r="JA31" s="3">
        <v>22951000</v>
      </c>
      <c r="JB31" s="3">
        <v>0</v>
      </c>
      <c r="JC31" s="3">
        <v>63896000</v>
      </c>
      <c r="JD31" s="3"/>
      <c r="JE31" s="3"/>
      <c r="JF31" s="3"/>
      <c r="JG31" s="3"/>
    </row>
    <row r="32" spans="1:267" x14ac:dyDescent="0.25">
      <c r="A32" t="s">
        <v>1153</v>
      </c>
      <c r="B32" t="s">
        <v>1154</v>
      </c>
      <c r="C32" t="s">
        <v>555</v>
      </c>
      <c r="D32" t="s">
        <v>1163</v>
      </c>
      <c r="E32" t="s">
        <v>217</v>
      </c>
      <c r="F32" t="s">
        <v>222</v>
      </c>
      <c r="G32" t="s">
        <v>1215</v>
      </c>
      <c r="H32" s="3">
        <v>111685000</v>
      </c>
      <c r="I32" s="3">
        <v>39201000</v>
      </c>
      <c r="J32" s="3">
        <v>0</v>
      </c>
      <c r="K32" s="3">
        <v>150886000</v>
      </c>
      <c r="L32" s="3">
        <v>111685000</v>
      </c>
      <c r="M32" s="3">
        <v>39201000</v>
      </c>
      <c r="N32" s="3">
        <v>0</v>
      </c>
      <c r="O32" s="3">
        <v>150886000</v>
      </c>
      <c r="P32" s="3"/>
      <c r="Q32" s="3"/>
      <c r="R32" s="3"/>
      <c r="S32" s="3"/>
      <c r="T32" s="3"/>
      <c r="U32" s="3"/>
      <c r="V32" s="3"/>
      <c r="W32" s="3"/>
      <c r="X32" s="6"/>
      <c r="Y32" s="3"/>
      <c r="Z32" s="3"/>
      <c r="AA32" s="3"/>
      <c r="AB32" s="3"/>
      <c r="AC32" s="3"/>
      <c r="AD32" s="3"/>
      <c r="AE32" s="3"/>
      <c r="AF32" s="3"/>
      <c r="AG32" s="3"/>
      <c r="AH32" s="3"/>
      <c r="AI32" s="3"/>
      <c r="AJ32" s="3">
        <v>136971000</v>
      </c>
      <c r="AK32" s="3">
        <v>32334000</v>
      </c>
      <c r="AL32" s="3">
        <v>0</v>
      </c>
      <c r="AM32" s="3">
        <v>169305000</v>
      </c>
      <c r="AN32" s="3">
        <v>136971000</v>
      </c>
      <c r="AO32" s="3">
        <v>32334000</v>
      </c>
      <c r="AP32" s="3">
        <v>0</v>
      </c>
      <c r="AQ32" s="3">
        <v>169305000</v>
      </c>
      <c r="AR32" s="3"/>
      <c r="AS32" s="3"/>
      <c r="AT32" s="3"/>
      <c r="AU32" s="3"/>
      <c r="AV32" s="3"/>
      <c r="AW32" s="3"/>
      <c r="AX32" s="3"/>
      <c r="AY32" s="3"/>
      <c r="AZ32" s="3"/>
      <c r="BA32" s="3"/>
      <c r="BB32" s="3"/>
      <c r="BC32" s="3"/>
      <c r="BD32" s="3"/>
      <c r="BE32" s="3"/>
      <c r="BF32" s="3"/>
      <c r="BG32" s="3"/>
      <c r="BH32" s="3"/>
      <c r="BI32" s="3"/>
      <c r="BJ32" s="3"/>
      <c r="BK32" s="3"/>
      <c r="BL32" s="3">
        <v>146057000</v>
      </c>
      <c r="BM32" s="3">
        <v>32719000</v>
      </c>
      <c r="BN32" s="3">
        <v>0</v>
      </c>
      <c r="BO32" s="3">
        <v>178776000</v>
      </c>
      <c r="BP32" s="3">
        <v>146057000</v>
      </c>
      <c r="BQ32" s="3">
        <v>32719000</v>
      </c>
      <c r="BR32" s="3">
        <v>0</v>
      </c>
      <c r="BS32" s="3">
        <v>178776000</v>
      </c>
      <c r="BT32" s="3"/>
      <c r="BU32" s="3"/>
      <c r="BV32" s="3"/>
      <c r="BW32" s="3"/>
      <c r="BX32" s="3"/>
      <c r="BY32" s="3"/>
      <c r="BZ32" s="3"/>
      <c r="CA32" s="3"/>
      <c r="CB32" s="3"/>
      <c r="CC32" s="3"/>
      <c r="CD32" s="3"/>
      <c r="CE32" s="6"/>
      <c r="CF32" s="3"/>
      <c r="CG32" s="3"/>
      <c r="CH32" s="3"/>
      <c r="CI32" s="3"/>
      <c r="CJ32" s="3"/>
      <c r="CK32" s="3"/>
      <c r="CL32" s="3"/>
      <c r="CM32" s="3"/>
      <c r="CN32" s="3">
        <v>161676000</v>
      </c>
      <c r="CO32" s="3">
        <v>38096000</v>
      </c>
      <c r="CP32" s="3">
        <v>0</v>
      </c>
      <c r="CQ32" s="3">
        <v>199772000</v>
      </c>
      <c r="CR32" s="3">
        <v>161676000</v>
      </c>
      <c r="CS32" s="3">
        <v>38096000</v>
      </c>
      <c r="CT32" s="3">
        <v>0</v>
      </c>
      <c r="CU32" s="3">
        <v>199772000</v>
      </c>
      <c r="CV32" s="3"/>
      <c r="CW32" s="3"/>
      <c r="CX32" s="3"/>
      <c r="CY32" s="3"/>
      <c r="CZ32" s="3"/>
      <c r="DA32" s="3"/>
      <c r="DB32" s="3"/>
      <c r="DC32" s="3"/>
      <c r="DD32" s="3"/>
      <c r="DE32" s="3"/>
      <c r="DF32" s="3"/>
      <c r="DG32" s="3"/>
      <c r="DH32" s="3"/>
      <c r="DI32" s="3"/>
      <c r="DJ32" s="3"/>
      <c r="DK32" s="3"/>
      <c r="DL32" s="3"/>
      <c r="DM32" s="3"/>
      <c r="DN32" s="3"/>
      <c r="DO32" s="3"/>
      <c r="DP32" s="3">
        <v>167705000</v>
      </c>
      <c r="DQ32" s="3">
        <v>38096000</v>
      </c>
      <c r="DR32" s="3">
        <v>0</v>
      </c>
      <c r="DS32" s="3">
        <v>205801000</v>
      </c>
      <c r="DT32" s="3">
        <v>167705000</v>
      </c>
      <c r="DU32" s="3">
        <v>38096000</v>
      </c>
      <c r="DV32" s="3">
        <v>0</v>
      </c>
      <c r="DW32" s="3">
        <v>205801000</v>
      </c>
      <c r="DX32" s="3"/>
      <c r="DY32" s="3"/>
      <c r="DZ32" s="3"/>
      <c r="EA32" s="3"/>
      <c r="EB32" s="3"/>
      <c r="EC32" s="3"/>
      <c r="ED32" s="3"/>
      <c r="EE32" s="3"/>
      <c r="EF32" s="3"/>
      <c r="EG32" s="3"/>
      <c r="EH32" s="3"/>
      <c r="EI32" s="3"/>
      <c r="EJ32" s="3"/>
      <c r="EK32" s="3"/>
      <c r="EL32" s="3"/>
      <c r="EM32" s="3"/>
      <c r="EN32" s="3"/>
      <c r="EO32" s="3"/>
      <c r="EP32" s="3"/>
      <c r="EQ32" s="3"/>
      <c r="ER32" s="3">
        <v>180395000</v>
      </c>
      <c r="ES32" s="3">
        <v>38099000</v>
      </c>
      <c r="ET32" s="3">
        <v>0</v>
      </c>
      <c r="EU32" s="3">
        <v>218494000</v>
      </c>
      <c r="EV32" s="3">
        <v>180395000</v>
      </c>
      <c r="EW32" s="3">
        <v>38099000</v>
      </c>
      <c r="EX32" s="3">
        <v>0</v>
      </c>
      <c r="EY32" s="3">
        <v>218494000</v>
      </c>
      <c r="EZ32" s="3"/>
      <c r="FA32" s="3"/>
      <c r="FB32" s="3"/>
      <c r="FC32" s="3"/>
      <c r="FD32" s="3"/>
      <c r="FE32" s="3"/>
      <c r="FF32" s="3"/>
      <c r="FG32" s="3"/>
      <c r="FH32" s="6"/>
      <c r="FI32" s="3"/>
      <c r="FJ32" s="3"/>
      <c r="FK32" s="3"/>
      <c r="FL32" s="3"/>
      <c r="FM32" s="3"/>
      <c r="FN32" s="3"/>
      <c r="FO32" s="3"/>
      <c r="FP32" s="3"/>
      <c r="FQ32" s="3"/>
      <c r="FR32" s="3"/>
      <c r="FS32" s="3"/>
      <c r="FT32" s="3">
        <v>175747000</v>
      </c>
      <c r="FU32" s="3">
        <v>38785000</v>
      </c>
      <c r="FV32" s="3">
        <v>0</v>
      </c>
      <c r="FW32" s="3">
        <v>214532000</v>
      </c>
      <c r="FX32" s="3">
        <v>175747000</v>
      </c>
      <c r="FY32" s="3">
        <v>38785000</v>
      </c>
      <c r="FZ32" s="3">
        <v>0</v>
      </c>
      <c r="GA32" s="3">
        <v>214532000</v>
      </c>
      <c r="GB32" s="3"/>
      <c r="GC32" s="3"/>
      <c r="GD32" s="3"/>
      <c r="GE32" s="3"/>
      <c r="GF32" s="3"/>
      <c r="GG32" s="3"/>
      <c r="GH32" s="3"/>
      <c r="GI32" s="3"/>
      <c r="GJ32" s="3"/>
      <c r="GK32" s="3"/>
      <c r="GL32" s="3"/>
      <c r="GM32" s="3"/>
      <c r="GN32" s="3"/>
      <c r="GO32" s="3"/>
      <c r="GP32" s="3"/>
      <c r="GQ32" s="3"/>
      <c r="GR32" s="3"/>
      <c r="GS32" s="6"/>
      <c r="GT32" s="3"/>
      <c r="GU32" s="3"/>
      <c r="GV32" s="3">
        <v>175753000</v>
      </c>
      <c r="GW32" s="3">
        <v>39484000</v>
      </c>
      <c r="GX32" s="3">
        <v>0</v>
      </c>
      <c r="GY32" s="3">
        <v>215237000</v>
      </c>
      <c r="GZ32" s="3">
        <v>175753000</v>
      </c>
      <c r="HA32" s="3">
        <v>39484000</v>
      </c>
      <c r="HB32" s="3">
        <v>0</v>
      </c>
      <c r="HC32" s="3">
        <v>215237000</v>
      </c>
      <c r="HD32" s="3"/>
      <c r="HE32" s="3"/>
      <c r="HF32" s="3"/>
      <c r="HG32" s="3"/>
      <c r="HH32" s="3"/>
      <c r="HI32" s="3"/>
      <c r="HJ32" s="3"/>
      <c r="HK32" s="3"/>
      <c r="HL32" s="3"/>
      <c r="HM32" s="3"/>
      <c r="HN32" s="3"/>
      <c r="HO32" s="3"/>
      <c r="HP32" s="3"/>
      <c r="HQ32" s="3"/>
      <c r="HR32" s="3"/>
      <c r="HS32" s="3"/>
      <c r="HT32" s="3"/>
      <c r="HU32" s="3"/>
      <c r="HV32" s="3"/>
      <c r="HW32" s="3"/>
      <c r="HX32" s="3">
        <v>208967000</v>
      </c>
      <c r="HY32" s="3">
        <v>40195000</v>
      </c>
      <c r="HZ32" s="3">
        <v>0</v>
      </c>
      <c r="IA32" s="3">
        <v>249162000</v>
      </c>
      <c r="IB32" s="3">
        <v>208967000</v>
      </c>
      <c r="IC32" s="3">
        <v>40195000</v>
      </c>
      <c r="ID32" s="3">
        <v>0</v>
      </c>
      <c r="IE32" s="3">
        <v>249162000</v>
      </c>
      <c r="IF32" s="3"/>
      <c r="IG32" s="3"/>
      <c r="IH32" s="3"/>
      <c r="II32" s="3"/>
      <c r="IJ32" s="3"/>
      <c r="IK32" s="3"/>
      <c r="IL32" s="3"/>
      <c r="IM32" s="3"/>
      <c r="IN32" s="3"/>
      <c r="IO32" s="3"/>
      <c r="IP32" s="3"/>
      <c r="IQ32" s="3"/>
      <c r="IR32" s="3"/>
      <c r="IS32" s="3"/>
      <c r="IT32" s="3"/>
      <c r="IU32" s="3"/>
      <c r="IV32" s="3"/>
      <c r="IW32" s="3"/>
      <c r="IX32" s="3"/>
      <c r="IY32" s="3"/>
      <c r="IZ32" s="3">
        <v>210607000</v>
      </c>
      <c r="JA32" s="3">
        <v>40919000</v>
      </c>
      <c r="JB32" s="3">
        <v>0</v>
      </c>
      <c r="JC32" s="3">
        <v>251526000</v>
      </c>
      <c r="JD32" s="3"/>
      <c r="JE32" s="3"/>
      <c r="JF32" s="3"/>
      <c r="JG32" s="3"/>
    </row>
    <row r="33" spans="1:267" x14ac:dyDescent="0.25">
      <c r="A33" t="s">
        <v>1153</v>
      </c>
      <c r="B33" t="s">
        <v>1154</v>
      </c>
      <c r="C33" t="s">
        <v>555</v>
      </c>
      <c r="D33" t="s">
        <v>1163</v>
      </c>
      <c r="E33" t="s">
        <v>224</v>
      </c>
      <c r="F33" t="s">
        <v>520</v>
      </c>
      <c r="G33" s="3" t="s">
        <v>1216</v>
      </c>
      <c r="H33" s="3">
        <v>119656000</v>
      </c>
      <c r="I33" s="3">
        <v>135341000</v>
      </c>
      <c r="J33" s="3">
        <v>17100000</v>
      </c>
      <c r="K33" s="3">
        <v>272097000</v>
      </c>
      <c r="L33" s="3">
        <v>119656000</v>
      </c>
      <c r="M33" s="3">
        <v>135341000</v>
      </c>
      <c r="N33" s="3">
        <v>17100000</v>
      </c>
      <c r="O33" s="3">
        <v>272097000</v>
      </c>
      <c r="P33" s="3"/>
      <c r="Q33" s="3"/>
      <c r="R33" s="3"/>
      <c r="S33" s="3"/>
      <c r="T33" s="3"/>
      <c r="U33" s="3"/>
      <c r="V33" s="3"/>
      <c r="W33" s="3"/>
      <c r="X33" s="6"/>
      <c r="Y33" s="3"/>
      <c r="Z33" s="3"/>
      <c r="AA33" s="3"/>
      <c r="AB33" s="3"/>
      <c r="AC33" s="3"/>
      <c r="AD33" s="3"/>
      <c r="AE33" s="3"/>
      <c r="AF33" s="3"/>
      <c r="AG33" s="3"/>
      <c r="AH33" s="3"/>
      <c r="AI33" s="3"/>
      <c r="AJ33" s="3">
        <v>139250000</v>
      </c>
      <c r="AK33" s="3">
        <v>111632000</v>
      </c>
      <c r="AL33" s="3">
        <v>0</v>
      </c>
      <c r="AM33" s="3">
        <v>250882000</v>
      </c>
      <c r="AN33" s="3">
        <v>139250000</v>
      </c>
      <c r="AO33" s="3">
        <v>111632000</v>
      </c>
      <c r="AP33" s="3">
        <v>0</v>
      </c>
      <c r="AQ33" s="3">
        <v>250882000</v>
      </c>
      <c r="AR33" s="3"/>
      <c r="AS33" s="3"/>
      <c r="AT33" s="3"/>
      <c r="AU33" s="3"/>
      <c r="AV33" s="3"/>
      <c r="AW33" s="3"/>
      <c r="AX33" s="3"/>
      <c r="AY33" s="3"/>
      <c r="AZ33" s="3"/>
      <c r="BA33" s="3"/>
      <c r="BB33" s="3"/>
      <c r="BC33" s="3"/>
      <c r="BD33" s="3"/>
      <c r="BE33" s="3"/>
      <c r="BF33" s="3"/>
      <c r="BG33" s="3"/>
      <c r="BH33" s="3"/>
      <c r="BI33" s="3"/>
      <c r="BJ33" s="3"/>
      <c r="BK33" s="3"/>
      <c r="BL33" s="3">
        <v>159389000</v>
      </c>
      <c r="BM33" s="3">
        <v>144208000</v>
      </c>
      <c r="BN33" s="3">
        <v>8000000</v>
      </c>
      <c r="BO33" s="3">
        <v>311597000</v>
      </c>
      <c r="BP33" s="3">
        <v>159389000</v>
      </c>
      <c r="BQ33" s="3">
        <v>144208000</v>
      </c>
      <c r="BR33" s="3">
        <v>8000000</v>
      </c>
      <c r="BS33" s="3">
        <v>311597000</v>
      </c>
      <c r="BT33" s="3"/>
      <c r="BU33" s="3"/>
      <c r="BV33" s="3"/>
      <c r="BW33" s="3"/>
      <c r="BX33" s="3"/>
      <c r="BY33" s="3"/>
      <c r="BZ33" s="3"/>
      <c r="CA33" s="3"/>
      <c r="CB33" s="3"/>
      <c r="CC33" s="3"/>
      <c r="CD33" s="3"/>
      <c r="CE33" s="6"/>
      <c r="CF33" s="3"/>
      <c r="CG33" s="3"/>
      <c r="CH33" s="3"/>
      <c r="CI33" s="3"/>
      <c r="CJ33" s="3"/>
      <c r="CK33" s="3"/>
      <c r="CL33" s="3"/>
      <c r="CM33" s="3"/>
      <c r="CN33" s="3">
        <v>181586000</v>
      </c>
      <c r="CO33" s="3">
        <v>143010000</v>
      </c>
      <c r="CP33" s="3">
        <v>0</v>
      </c>
      <c r="CQ33" s="3">
        <v>324596000</v>
      </c>
      <c r="CR33" s="3">
        <v>181586000</v>
      </c>
      <c r="CS33" s="3">
        <v>143010000</v>
      </c>
      <c r="CT33" s="3">
        <v>0</v>
      </c>
      <c r="CU33" s="3">
        <v>324596000</v>
      </c>
      <c r="CV33" s="3"/>
      <c r="CW33" s="3"/>
      <c r="CX33" s="3"/>
      <c r="CY33" s="3"/>
      <c r="CZ33" s="3"/>
      <c r="DA33" s="3"/>
      <c r="DB33" s="3"/>
      <c r="DC33" s="3"/>
      <c r="DD33" s="3"/>
      <c r="DE33" s="3"/>
      <c r="DF33" s="3"/>
      <c r="DG33" s="3"/>
      <c r="DH33" s="3"/>
      <c r="DI33" s="3"/>
      <c r="DJ33" s="3"/>
      <c r="DK33" s="3"/>
      <c r="DL33" s="3"/>
      <c r="DM33" s="3"/>
      <c r="DN33" s="3"/>
      <c r="DO33" s="3"/>
      <c r="DP33" s="3">
        <v>190799000</v>
      </c>
      <c r="DQ33" s="3">
        <v>143010000</v>
      </c>
      <c r="DR33" s="3">
        <v>0</v>
      </c>
      <c r="DS33" s="3">
        <v>333809000</v>
      </c>
      <c r="DT33" s="3">
        <v>190799000</v>
      </c>
      <c r="DU33" s="3">
        <v>143010000</v>
      </c>
      <c r="DV33" s="3">
        <v>0</v>
      </c>
      <c r="DW33" s="3">
        <v>333809000</v>
      </c>
      <c r="DX33" s="3"/>
      <c r="DY33" s="3"/>
      <c r="DZ33" s="3"/>
      <c r="EA33" s="3"/>
      <c r="EB33" s="3"/>
      <c r="EC33" s="3"/>
      <c r="ED33" s="3"/>
      <c r="EE33" s="3"/>
      <c r="EF33" s="3"/>
      <c r="EG33" s="3"/>
      <c r="EH33" s="3"/>
      <c r="EI33" s="3"/>
      <c r="EJ33" s="3"/>
      <c r="EK33" s="3"/>
      <c r="EL33" s="3"/>
      <c r="EM33" s="3"/>
      <c r="EN33" s="3"/>
      <c r="EO33" s="3"/>
      <c r="EP33" s="3"/>
      <c r="EQ33" s="3"/>
      <c r="ER33" s="3">
        <v>204528000</v>
      </c>
      <c r="ES33" s="3">
        <v>143010000</v>
      </c>
      <c r="ET33" s="3">
        <v>0</v>
      </c>
      <c r="EU33" s="3">
        <v>347538000</v>
      </c>
      <c r="EV33" s="3">
        <v>204528000</v>
      </c>
      <c r="EW33" s="3">
        <v>143010000</v>
      </c>
      <c r="EX33" s="3">
        <v>0</v>
      </c>
      <c r="EY33" s="3">
        <v>347538000</v>
      </c>
      <c r="EZ33" s="3"/>
      <c r="FA33" s="3"/>
      <c r="FB33" s="3"/>
      <c r="FC33" s="3"/>
      <c r="FD33" s="3"/>
      <c r="FE33" s="3"/>
      <c r="FF33" s="3"/>
      <c r="FG33" s="3"/>
      <c r="FH33" s="6"/>
      <c r="FI33" s="3"/>
      <c r="FJ33" s="3"/>
      <c r="FK33" s="3"/>
      <c r="FL33" s="3"/>
      <c r="FM33" s="3"/>
      <c r="FN33" s="3"/>
      <c r="FO33" s="3"/>
      <c r="FP33" s="3"/>
      <c r="FQ33" s="3"/>
      <c r="FR33" s="3"/>
      <c r="FS33" s="3"/>
      <c r="FT33" s="3">
        <v>206536000</v>
      </c>
      <c r="FU33" s="3">
        <v>145585000</v>
      </c>
      <c r="FV33" s="3">
        <v>0</v>
      </c>
      <c r="FW33" s="3">
        <v>352121000</v>
      </c>
      <c r="FX33" s="3">
        <v>206536000</v>
      </c>
      <c r="FY33" s="3">
        <v>145585000</v>
      </c>
      <c r="FZ33" s="3">
        <v>0</v>
      </c>
      <c r="GA33" s="3">
        <v>352121000</v>
      </c>
      <c r="GB33" s="3"/>
      <c r="GC33" s="3"/>
      <c r="GD33" s="3"/>
      <c r="GE33" s="3"/>
      <c r="GF33" s="3"/>
      <c r="GG33" s="3"/>
      <c r="GH33" s="3"/>
      <c r="GI33" s="3"/>
      <c r="GJ33" s="3"/>
      <c r="GK33" s="3"/>
      <c r="GL33" s="3"/>
      <c r="GM33" s="3"/>
      <c r="GN33" s="3"/>
      <c r="GO33" s="3"/>
      <c r="GP33" s="3"/>
      <c r="GQ33" s="3"/>
      <c r="GR33" s="3"/>
      <c r="GS33" s="6"/>
      <c r="GT33" s="3"/>
      <c r="GU33" s="3"/>
      <c r="GV33" s="3">
        <v>201398000</v>
      </c>
      <c r="GW33" s="3">
        <v>148206000</v>
      </c>
      <c r="GX33" s="3">
        <v>260000000</v>
      </c>
      <c r="GY33" s="3">
        <v>609604000</v>
      </c>
      <c r="GZ33" s="3">
        <v>201398000</v>
      </c>
      <c r="HA33" s="3">
        <v>148206000</v>
      </c>
      <c r="HB33" s="3">
        <v>269350000</v>
      </c>
      <c r="HC33" s="3">
        <v>618954000</v>
      </c>
      <c r="HD33" s="3"/>
      <c r="HE33" s="3"/>
      <c r="HF33" s="3"/>
      <c r="HG33" s="3"/>
      <c r="HH33" s="3"/>
      <c r="HI33" s="3"/>
      <c r="HJ33" s="3"/>
      <c r="HK33" s="3"/>
      <c r="HL33" s="3"/>
      <c r="HM33" s="3"/>
      <c r="HN33" s="3"/>
      <c r="HO33" s="3"/>
      <c r="HP33" s="3"/>
      <c r="HQ33" s="3"/>
      <c r="HR33" s="3"/>
      <c r="HS33" s="3"/>
      <c r="HT33" s="3"/>
      <c r="HU33" s="3"/>
      <c r="HV33" s="3"/>
      <c r="HW33" s="3"/>
      <c r="HX33" s="3">
        <v>229516000</v>
      </c>
      <c r="HY33" s="3">
        <v>152874000</v>
      </c>
      <c r="HZ33" s="3">
        <v>249000000</v>
      </c>
      <c r="IA33" s="3">
        <v>631390000</v>
      </c>
      <c r="IB33" s="3">
        <v>229516000</v>
      </c>
      <c r="IC33" s="3">
        <v>152874000</v>
      </c>
      <c r="ID33" s="3">
        <v>249000000</v>
      </c>
      <c r="IE33" s="3">
        <v>631390000</v>
      </c>
      <c r="IF33" s="3"/>
      <c r="IG33" s="3"/>
      <c r="IH33" s="3"/>
      <c r="II33" s="3"/>
      <c r="IJ33" s="3"/>
      <c r="IK33" s="3"/>
      <c r="IL33" s="3"/>
      <c r="IM33" s="3"/>
      <c r="IN33" s="3"/>
      <c r="IO33" s="3"/>
      <c r="IP33" s="3"/>
      <c r="IQ33" s="3"/>
      <c r="IR33" s="3"/>
      <c r="IS33" s="3"/>
      <c r="IT33" s="3"/>
      <c r="IU33" s="3"/>
      <c r="IV33" s="3"/>
      <c r="IW33" s="3"/>
      <c r="IX33" s="3"/>
      <c r="IY33" s="3"/>
      <c r="IZ33" s="3">
        <v>246985000</v>
      </c>
      <c r="JA33" s="3">
        <v>153590000</v>
      </c>
      <c r="JB33" s="3">
        <v>225000000</v>
      </c>
      <c r="JC33" s="3">
        <v>625575000</v>
      </c>
      <c r="JD33" s="3"/>
      <c r="JE33" s="3"/>
      <c r="JF33" s="3"/>
      <c r="JG33" s="3"/>
    </row>
    <row r="34" spans="1:267" x14ac:dyDescent="0.25">
      <c r="A34" t="s">
        <v>1153</v>
      </c>
      <c r="B34" t="s">
        <v>1154</v>
      </c>
      <c r="C34" t="s">
        <v>555</v>
      </c>
      <c r="D34" t="s">
        <v>1163</v>
      </c>
      <c r="E34" t="s">
        <v>224</v>
      </c>
      <c r="F34" t="s">
        <v>521</v>
      </c>
      <c r="G34" t="s">
        <v>1217</v>
      </c>
      <c r="H34" s="3">
        <v>93300000</v>
      </c>
      <c r="I34" s="3">
        <v>239079000</v>
      </c>
      <c r="J34" s="3">
        <v>0</v>
      </c>
      <c r="K34" s="3">
        <v>332379000</v>
      </c>
      <c r="L34" s="3">
        <v>93300000</v>
      </c>
      <c r="M34" s="3">
        <v>239079000</v>
      </c>
      <c r="N34" s="3">
        <v>0</v>
      </c>
      <c r="O34" s="3">
        <v>332379000</v>
      </c>
      <c r="P34" s="3"/>
      <c r="Q34" s="3"/>
      <c r="R34" s="3"/>
      <c r="S34" s="3"/>
      <c r="T34" s="3"/>
      <c r="U34" s="3"/>
      <c r="V34" s="3"/>
      <c r="W34" s="3"/>
      <c r="X34" s="6"/>
      <c r="Y34" s="3"/>
      <c r="Z34" s="3"/>
      <c r="AA34" s="3"/>
      <c r="AB34" s="3"/>
      <c r="AC34" s="3"/>
      <c r="AD34" s="3"/>
      <c r="AE34" s="3"/>
      <c r="AF34" s="3"/>
      <c r="AG34" s="3"/>
      <c r="AH34" s="3"/>
      <c r="AI34" s="3"/>
      <c r="AJ34" s="3">
        <v>101154000</v>
      </c>
      <c r="AK34" s="3">
        <v>201428000</v>
      </c>
      <c r="AL34" s="3">
        <v>0</v>
      </c>
      <c r="AM34" s="3">
        <v>302582000</v>
      </c>
      <c r="AN34" s="3">
        <v>101154000</v>
      </c>
      <c r="AO34" s="3">
        <v>201428000</v>
      </c>
      <c r="AP34" s="3">
        <v>0</v>
      </c>
      <c r="AQ34" s="3">
        <v>302582000</v>
      </c>
      <c r="AR34" s="3"/>
      <c r="AS34" s="3"/>
      <c r="AT34" s="3"/>
      <c r="AU34" s="3"/>
      <c r="AV34" s="3"/>
      <c r="AW34" s="3"/>
      <c r="AX34" s="3"/>
      <c r="AY34" s="3"/>
      <c r="AZ34" s="3"/>
      <c r="BA34" s="3"/>
      <c r="BB34" s="3"/>
      <c r="BC34" s="3"/>
      <c r="BD34" s="3"/>
      <c r="BE34" s="3"/>
      <c r="BF34" s="3"/>
      <c r="BG34" s="3"/>
      <c r="BH34" s="3"/>
      <c r="BI34" s="3"/>
      <c r="BJ34" s="3"/>
      <c r="BK34" s="3"/>
      <c r="BL34" s="3">
        <v>101485000</v>
      </c>
      <c r="BM34" s="3">
        <v>270170000</v>
      </c>
      <c r="BN34" s="3">
        <v>12000000</v>
      </c>
      <c r="BO34" s="3">
        <v>383655000</v>
      </c>
      <c r="BP34" s="3">
        <v>101485000</v>
      </c>
      <c r="BQ34" s="3">
        <v>270170000</v>
      </c>
      <c r="BR34" s="3">
        <v>12000000</v>
      </c>
      <c r="BS34" s="3">
        <v>383655000</v>
      </c>
      <c r="BT34" s="3"/>
      <c r="BU34" s="3"/>
      <c r="BV34" s="3"/>
      <c r="BW34" s="3"/>
      <c r="BX34" s="3"/>
      <c r="BY34" s="3"/>
      <c r="BZ34" s="3"/>
      <c r="CA34" s="3"/>
      <c r="CB34" s="3"/>
      <c r="CC34" s="3"/>
      <c r="CD34" s="3"/>
      <c r="CE34" s="6"/>
      <c r="CF34" s="3"/>
      <c r="CG34" s="3"/>
      <c r="CH34" s="3"/>
      <c r="CI34" s="3"/>
      <c r="CJ34" s="3"/>
      <c r="CK34" s="3"/>
      <c r="CL34" s="3"/>
      <c r="CM34" s="3"/>
      <c r="CN34" s="3">
        <v>112529000</v>
      </c>
      <c r="CO34" s="3">
        <v>315499000</v>
      </c>
      <c r="CP34" s="3">
        <v>35350000</v>
      </c>
      <c r="CQ34" s="3">
        <v>463378000</v>
      </c>
      <c r="CR34" s="3">
        <v>112529000</v>
      </c>
      <c r="CS34" s="3">
        <v>315499000</v>
      </c>
      <c r="CT34" s="3">
        <v>84678000</v>
      </c>
      <c r="CU34" s="3">
        <v>512706000</v>
      </c>
      <c r="CV34" s="3"/>
      <c r="CW34" s="3"/>
      <c r="CX34" s="3"/>
      <c r="CY34" s="3"/>
      <c r="CZ34" s="3"/>
      <c r="DA34" s="3"/>
      <c r="DB34" s="3"/>
      <c r="DC34" s="3"/>
      <c r="DD34" s="3"/>
      <c r="DE34" s="3"/>
      <c r="DF34" s="3"/>
      <c r="DG34" s="3"/>
      <c r="DH34" s="3"/>
      <c r="DI34" s="3"/>
      <c r="DJ34" s="3"/>
      <c r="DK34" s="3"/>
      <c r="DL34" s="3"/>
      <c r="DM34" s="3"/>
      <c r="DN34" s="3"/>
      <c r="DO34" s="3"/>
      <c r="DP34" s="3">
        <v>117895000</v>
      </c>
      <c r="DQ34" s="3">
        <v>315499000</v>
      </c>
      <c r="DR34" s="3">
        <v>0</v>
      </c>
      <c r="DS34" s="3">
        <v>433394000</v>
      </c>
      <c r="DT34" s="3">
        <v>117895000</v>
      </c>
      <c r="DU34" s="3">
        <v>365499000</v>
      </c>
      <c r="DV34" s="3">
        <v>0</v>
      </c>
      <c r="DW34" s="3">
        <v>483394000</v>
      </c>
      <c r="DX34" s="3"/>
      <c r="DY34" s="3"/>
      <c r="DZ34" s="3"/>
      <c r="EA34" s="3"/>
      <c r="EB34" s="3"/>
      <c r="EC34" s="3"/>
      <c r="ED34" s="3"/>
      <c r="EE34" s="3"/>
      <c r="EF34" s="3"/>
      <c r="EG34" s="3"/>
      <c r="EH34" s="3"/>
      <c r="EI34" s="3"/>
      <c r="EJ34" s="3"/>
      <c r="EK34" s="3"/>
      <c r="EL34" s="3"/>
      <c r="EM34" s="3"/>
      <c r="EN34" s="3"/>
      <c r="EO34" s="3"/>
      <c r="EP34" s="3"/>
      <c r="EQ34" s="3"/>
      <c r="ER34" s="3">
        <v>123925000</v>
      </c>
      <c r="ES34" s="3">
        <v>313042000</v>
      </c>
      <c r="ET34" s="3">
        <v>0</v>
      </c>
      <c r="EU34" s="3">
        <v>436967000</v>
      </c>
      <c r="EV34" s="3">
        <v>123925000</v>
      </c>
      <c r="EW34" s="3">
        <v>313042000</v>
      </c>
      <c r="EX34" s="3">
        <v>0</v>
      </c>
      <c r="EY34" s="3">
        <v>436967000</v>
      </c>
      <c r="EZ34" s="3"/>
      <c r="FA34" s="3"/>
      <c r="FB34" s="3"/>
      <c r="FC34" s="3"/>
      <c r="FD34" s="3"/>
      <c r="FE34" s="3"/>
      <c r="FF34" s="3"/>
      <c r="FG34" s="3"/>
      <c r="FH34" s="6"/>
      <c r="FI34" s="3"/>
      <c r="FJ34" s="3"/>
      <c r="FK34" s="3"/>
      <c r="FL34" s="3"/>
      <c r="FM34" s="3"/>
      <c r="FN34" s="3"/>
      <c r="FO34" s="3"/>
      <c r="FP34" s="3"/>
      <c r="FQ34" s="3"/>
      <c r="FR34" s="3"/>
      <c r="FS34" s="3"/>
      <c r="FT34" s="3">
        <v>128318000</v>
      </c>
      <c r="FU34" s="3">
        <v>318677000</v>
      </c>
      <c r="FV34" s="3">
        <v>0</v>
      </c>
      <c r="FW34" s="3">
        <v>446995000</v>
      </c>
      <c r="FX34" s="3">
        <v>128318000</v>
      </c>
      <c r="FY34" s="3">
        <v>318677000</v>
      </c>
      <c r="FZ34" s="3">
        <v>0</v>
      </c>
      <c r="GA34" s="3">
        <v>446995000</v>
      </c>
      <c r="GB34" s="3"/>
      <c r="GC34" s="3"/>
      <c r="GD34" s="3"/>
      <c r="GE34" s="3"/>
      <c r="GF34" s="3"/>
      <c r="GG34" s="3"/>
      <c r="GH34" s="3"/>
      <c r="GI34" s="3"/>
      <c r="GJ34" s="3"/>
      <c r="GK34" s="3"/>
      <c r="GL34" s="3"/>
      <c r="GM34" s="3"/>
      <c r="GN34" s="3"/>
      <c r="GO34" s="3"/>
      <c r="GP34" s="3"/>
      <c r="GQ34" s="3"/>
      <c r="GR34" s="3"/>
      <c r="GS34" s="6"/>
      <c r="GT34" s="3"/>
      <c r="GU34" s="3"/>
      <c r="GV34" s="3">
        <v>128111000</v>
      </c>
      <c r="GW34" s="3">
        <v>324414000</v>
      </c>
      <c r="GX34" s="3">
        <v>50000000</v>
      </c>
      <c r="GY34" s="3">
        <v>502525000</v>
      </c>
      <c r="GZ34" s="3">
        <v>128111000</v>
      </c>
      <c r="HA34" s="3">
        <v>324414000</v>
      </c>
      <c r="HB34" s="3">
        <v>50000000</v>
      </c>
      <c r="HC34" s="3">
        <v>502525000</v>
      </c>
      <c r="HD34" s="3"/>
      <c r="HE34" s="3"/>
      <c r="HF34" s="3"/>
      <c r="HG34" s="3"/>
      <c r="HH34" s="3"/>
      <c r="HI34" s="3"/>
      <c r="HJ34" s="3"/>
      <c r="HK34" s="3"/>
      <c r="HL34" s="3"/>
      <c r="HM34" s="3"/>
      <c r="HN34" s="3"/>
      <c r="HO34" s="3"/>
      <c r="HP34" s="3"/>
      <c r="HQ34" s="3"/>
      <c r="HR34" s="3"/>
      <c r="HS34" s="3"/>
      <c r="HT34" s="3"/>
      <c r="HU34" s="3"/>
      <c r="HV34" s="3"/>
      <c r="HW34" s="3"/>
      <c r="HX34" s="3">
        <v>144380000</v>
      </c>
      <c r="HY34" s="3">
        <v>330254000</v>
      </c>
      <c r="HZ34" s="3">
        <v>66515000</v>
      </c>
      <c r="IA34" s="3">
        <v>541149000</v>
      </c>
      <c r="IB34" s="3">
        <v>144380000</v>
      </c>
      <c r="IC34" s="3">
        <v>330254000</v>
      </c>
      <c r="ID34" s="3">
        <v>113015000</v>
      </c>
      <c r="IE34" s="3">
        <v>587649000</v>
      </c>
      <c r="IF34" s="3"/>
      <c r="IG34" s="3"/>
      <c r="IH34" s="3"/>
      <c r="II34" s="3"/>
      <c r="IJ34" s="3"/>
      <c r="IK34" s="3"/>
      <c r="IL34" s="3"/>
      <c r="IM34" s="3"/>
      <c r="IN34" s="3"/>
      <c r="IO34" s="3"/>
      <c r="IP34" s="3"/>
      <c r="IQ34" s="3"/>
      <c r="IR34" s="3"/>
      <c r="IS34" s="3"/>
      <c r="IT34" s="3"/>
      <c r="IU34" s="3"/>
      <c r="IV34" s="3"/>
      <c r="IW34" s="3"/>
      <c r="IX34" s="3"/>
      <c r="IY34" s="3"/>
      <c r="IZ34" s="3">
        <v>153217000</v>
      </c>
      <c r="JA34" s="3">
        <v>371689000</v>
      </c>
      <c r="JB34" s="3">
        <v>0</v>
      </c>
      <c r="JC34" s="3">
        <v>524906000</v>
      </c>
      <c r="JD34" s="3"/>
      <c r="JE34" s="3"/>
      <c r="JF34" s="3"/>
      <c r="JG34" s="3"/>
    </row>
    <row r="35" spans="1:267" x14ac:dyDescent="0.25">
      <c r="A35" t="s">
        <v>1153</v>
      </c>
      <c r="B35" t="s">
        <v>1154</v>
      </c>
      <c r="C35" t="s">
        <v>555</v>
      </c>
      <c r="D35" t="s">
        <v>1163</v>
      </c>
      <c r="E35" t="s">
        <v>224</v>
      </c>
      <c r="F35" t="s">
        <v>522</v>
      </c>
      <c r="G35" t="s">
        <v>1218</v>
      </c>
      <c r="H35" s="3">
        <v>50213000</v>
      </c>
      <c r="I35" s="3">
        <v>759883000</v>
      </c>
      <c r="J35" s="3">
        <v>100000000</v>
      </c>
      <c r="K35" s="3">
        <v>910096000</v>
      </c>
      <c r="L35" s="3">
        <v>50213000</v>
      </c>
      <c r="M35" s="3">
        <v>759883000</v>
      </c>
      <c r="N35" s="3">
        <v>100000000</v>
      </c>
      <c r="O35" s="3">
        <v>910096000</v>
      </c>
      <c r="P35" s="3"/>
      <c r="Q35" s="3"/>
      <c r="R35" s="3"/>
      <c r="S35" s="3"/>
      <c r="T35" s="3"/>
      <c r="U35" s="3"/>
      <c r="V35" s="3"/>
      <c r="W35" s="3"/>
      <c r="X35" s="6"/>
      <c r="Y35" s="3"/>
      <c r="Z35" s="3"/>
      <c r="AA35" s="3"/>
      <c r="AB35" s="3"/>
      <c r="AC35" s="3"/>
      <c r="AD35" s="3"/>
      <c r="AE35" s="3"/>
      <c r="AF35" s="3"/>
      <c r="AG35" s="3"/>
      <c r="AH35" s="3"/>
      <c r="AI35" s="3"/>
      <c r="AJ35" s="3">
        <v>56377000</v>
      </c>
      <c r="AK35" s="3">
        <v>656765000</v>
      </c>
      <c r="AL35" s="3">
        <v>0</v>
      </c>
      <c r="AM35" s="3">
        <v>713142000</v>
      </c>
      <c r="AN35" s="3">
        <v>56377000</v>
      </c>
      <c r="AO35" s="3">
        <v>656765000</v>
      </c>
      <c r="AP35" s="3">
        <v>20000000</v>
      </c>
      <c r="AQ35" s="3">
        <v>733142000</v>
      </c>
      <c r="AR35" s="3"/>
      <c r="AS35" s="3"/>
      <c r="AT35" s="3"/>
      <c r="AU35" s="3"/>
      <c r="AV35" s="3"/>
      <c r="AW35" s="3"/>
      <c r="AX35" s="3"/>
      <c r="AY35" s="3"/>
      <c r="AZ35" s="3"/>
      <c r="BA35" s="3"/>
      <c r="BB35" s="3"/>
      <c r="BC35" s="3"/>
      <c r="BD35" s="3"/>
      <c r="BE35" s="3"/>
      <c r="BF35" s="3"/>
      <c r="BG35" s="3"/>
      <c r="BH35" s="3"/>
      <c r="BI35" s="3"/>
      <c r="BJ35" s="3"/>
      <c r="BK35" s="3"/>
      <c r="BL35" s="3">
        <v>52339000</v>
      </c>
      <c r="BM35" s="3">
        <v>566139000</v>
      </c>
      <c r="BN35" s="3">
        <v>0</v>
      </c>
      <c r="BO35" s="3">
        <v>618478000</v>
      </c>
      <c r="BP35" s="3">
        <v>52339000</v>
      </c>
      <c r="BQ35" s="3">
        <v>278139000</v>
      </c>
      <c r="BR35" s="3">
        <v>1141500000</v>
      </c>
      <c r="BS35" s="3">
        <v>1471978000</v>
      </c>
      <c r="BT35" s="3"/>
      <c r="BU35" s="3"/>
      <c r="BV35" s="3"/>
      <c r="BW35" s="3"/>
      <c r="BX35" s="3"/>
      <c r="BY35" s="3"/>
      <c r="BZ35" s="3"/>
      <c r="CA35" s="3"/>
      <c r="CB35" s="3"/>
      <c r="CC35" s="3"/>
      <c r="CD35" s="3"/>
      <c r="CE35" s="6"/>
      <c r="CF35" s="3"/>
      <c r="CG35" s="3"/>
      <c r="CH35" s="3"/>
      <c r="CI35" s="3"/>
      <c r="CJ35" s="3"/>
      <c r="CK35" s="3"/>
      <c r="CL35" s="3"/>
      <c r="CM35" s="3"/>
      <c r="CN35" s="3">
        <v>56472000</v>
      </c>
      <c r="CO35" s="3">
        <v>256450000</v>
      </c>
      <c r="CP35" s="3">
        <v>320000000</v>
      </c>
      <c r="CQ35" s="3">
        <v>632922000</v>
      </c>
      <c r="CR35" s="3">
        <v>56472000</v>
      </c>
      <c r="CS35" s="3">
        <v>256450000</v>
      </c>
      <c r="CT35" s="3">
        <v>320000000</v>
      </c>
      <c r="CU35" s="3">
        <v>632922000</v>
      </c>
      <c r="CV35" s="3"/>
      <c r="CW35" s="3"/>
      <c r="CX35" s="3"/>
      <c r="CY35" s="3"/>
      <c r="CZ35" s="3"/>
      <c r="DA35" s="3"/>
      <c r="DB35" s="3"/>
      <c r="DC35" s="3"/>
      <c r="DD35" s="3"/>
      <c r="DE35" s="3"/>
      <c r="DF35" s="3"/>
      <c r="DG35" s="3"/>
      <c r="DH35" s="3"/>
      <c r="DI35" s="3"/>
      <c r="DJ35" s="3"/>
      <c r="DK35" s="3"/>
      <c r="DL35" s="3"/>
      <c r="DM35" s="3"/>
      <c r="DN35" s="3"/>
      <c r="DO35" s="3"/>
      <c r="DP35" s="3">
        <v>60249000</v>
      </c>
      <c r="DQ35" s="3">
        <v>256450000</v>
      </c>
      <c r="DR35" s="3">
        <v>0</v>
      </c>
      <c r="DS35" s="3">
        <v>316699000</v>
      </c>
      <c r="DT35" s="3">
        <v>60249000</v>
      </c>
      <c r="DU35" s="3">
        <v>328450000</v>
      </c>
      <c r="DV35" s="3">
        <v>470400000</v>
      </c>
      <c r="DW35" s="3">
        <v>859099000</v>
      </c>
      <c r="DX35" s="3"/>
      <c r="DY35" s="3"/>
      <c r="DZ35" s="3"/>
      <c r="EA35" s="3"/>
      <c r="EB35" s="3"/>
      <c r="EC35" s="3"/>
      <c r="ED35" s="3"/>
      <c r="EE35" s="3"/>
      <c r="EF35" s="3"/>
      <c r="EG35" s="3"/>
      <c r="EH35" s="3"/>
      <c r="EI35" s="3"/>
      <c r="EJ35" s="3"/>
      <c r="EK35" s="3"/>
      <c r="EL35" s="3"/>
      <c r="EM35" s="3"/>
      <c r="EN35" s="3"/>
      <c r="EO35" s="3"/>
      <c r="EP35" s="3"/>
      <c r="EQ35" s="3"/>
      <c r="ER35" s="3">
        <v>64462000</v>
      </c>
      <c r="ES35" s="3">
        <v>256450000</v>
      </c>
      <c r="ET35" s="3">
        <v>0</v>
      </c>
      <c r="EU35" s="3">
        <v>320912000</v>
      </c>
      <c r="EV35" s="3">
        <v>64462000</v>
      </c>
      <c r="EW35" s="3">
        <v>261450000</v>
      </c>
      <c r="EX35" s="3">
        <v>0</v>
      </c>
      <c r="EY35" s="3">
        <v>325912000</v>
      </c>
      <c r="EZ35" s="3"/>
      <c r="FA35" s="3"/>
      <c r="FB35" s="3"/>
      <c r="FC35" s="3"/>
      <c r="FD35" s="3"/>
      <c r="FE35" s="3"/>
      <c r="FF35" s="3"/>
      <c r="FG35" s="3"/>
      <c r="FH35" s="6"/>
      <c r="FI35" s="3"/>
      <c r="FJ35" s="3"/>
      <c r="FK35" s="3"/>
      <c r="FL35" s="3"/>
      <c r="FM35" s="3"/>
      <c r="FN35" s="3"/>
      <c r="FO35" s="3"/>
      <c r="FP35" s="3"/>
      <c r="FQ35" s="3"/>
      <c r="FR35" s="3"/>
      <c r="FS35" s="3"/>
      <c r="FT35" s="3">
        <v>68040000</v>
      </c>
      <c r="FU35" s="3">
        <v>261067000</v>
      </c>
      <c r="FV35" s="3">
        <v>0</v>
      </c>
      <c r="FW35" s="3">
        <v>329107000</v>
      </c>
      <c r="FX35" s="3">
        <v>68040000</v>
      </c>
      <c r="FY35" s="3">
        <v>266667000</v>
      </c>
      <c r="FZ35" s="3">
        <v>0</v>
      </c>
      <c r="GA35" s="3">
        <v>334707000</v>
      </c>
      <c r="GB35" s="3"/>
      <c r="GC35" s="3"/>
      <c r="GD35" s="3"/>
      <c r="GE35" s="3"/>
      <c r="GF35" s="3"/>
      <c r="GG35" s="3"/>
      <c r="GH35" s="3"/>
      <c r="GI35" s="3"/>
      <c r="GJ35" s="3"/>
      <c r="GK35" s="3"/>
      <c r="GL35" s="3"/>
      <c r="GM35" s="3"/>
      <c r="GN35" s="3"/>
      <c r="GO35" s="3"/>
      <c r="GP35" s="3"/>
      <c r="GQ35" s="3"/>
      <c r="GR35" s="3"/>
      <c r="GS35" s="6"/>
      <c r="GT35" s="3"/>
      <c r="GU35" s="3"/>
      <c r="GV35" s="3">
        <v>57656000</v>
      </c>
      <c r="GW35" s="3">
        <v>275608000</v>
      </c>
      <c r="GX35" s="3">
        <v>11000000</v>
      </c>
      <c r="GY35" s="3">
        <v>344264000</v>
      </c>
      <c r="GZ35" s="3">
        <v>57656000</v>
      </c>
      <c r="HA35" s="3">
        <v>275608000</v>
      </c>
      <c r="HB35" s="3">
        <v>11000000</v>
      </c>
      <c r="HC35" s="3">
        <v>344264000</v>
      </c>
      <c r="HD35" s="3"/>
      <c r="HE35" s="3"/>
      <c r="HF35" s="3"/>
      <c r="HG35" s="3"/>
      <c r="HH35" s="3"/>
      <c r="HI35" s="3"/>
      <c r="HJ35" s="3"/>
      <c r="HK35" s="3"/>
      <c r="HL35" s="3"/>
      <c r="HM35" s="3"/>
      <c r="HN35" s="3"/>
      <c r="HO35" s="3"/>
      <c r="HP35" s="3"/>
      <c r="HQ35" s="3"/>
      <c r="HR35" s="3"/>
      <c r="HS35" s="3"/>
      <c r="HT35" s="3"/>
      <c r="HU35" s="3"/>
      <c r="HV35" s="3"/>
      <c r="HW35" s="3"/>
      <c r="HX35" s="3">
        <v>68239000</v>
      </c>
      <c r="HY35" s="3">
        <v>280569000</v>
      </c>
      <c r="HZ35" s="3">
        <v>0</v>
      </c>
      <c r="IA35" s="3">
        <v>348808000</v>
      </c>
      <c r="IB35" s="3">
        <v>68239000</v>
      </c>
      <c r="IC35" s="3">
        <v>314569000</v>
      </c>
      <c r="ID35" s="3">
        <v>60000000</v>
      </c>
      <c r="IE35" s="3">
        <v>442808000</v>
      </c>
      <c r="IF35" s="3"/>
      <c r="IG35" s="3"/>
      <c r="IH35" s="3"/>
      <c r="II35" s="3"/>
      <c r="IJ35" s="3"/>
      <c r="IK35" s="3"/>
      <c r="IL35" s="3"/>
      <c r="IM35" s="3"/>
      <c r="IN35" s="3"/>
      <c r="IO35" s="3"/>
      <c r="IP35" s="3"/>
      <c r="IQ35" s="3"/>
      <c r="IR35" s="3"/>
      <c r="IS35" s="3"/>
      <c r="IT35" s="3"/>
      <c r="IU35" s="3"/>
      <c r="IV35" s="3"/>
      <c r="IW35" s="3"/>
      <c r="IX35" s="3"/>
      <c r="IY35" s="3"/>
      <c r="IZ35" s="3">
        <v>76082000</v>
      </c>
      <c r="JA35" s="3">
        <v>285619000</v>
      </c>
      <c r="JB35" s="3">
        <v>3000000</v>
      </c>
      <c r="JC35" s="3">
        <v>364701000</v>
      </c>
      <c r="JD35" s="3"/>
      <c r="JE35" s="3"/>
      <c r="JF35" s="3"/>
      <c r="JG35" s="3"/>
    </row>
    <row r="36" spans="1:267" x14ac:dyDescent="0.25">
      <c r="A36" t="s">
        <v>1153</v>
      </c>
      <c r="B36" t="s">
        <v>1154</v>
      </c>
      <c r="C36" t="s">
        <v>555</v>
      </c>
      <c r="D36" t="s">
        <v>1163</v>
      </c>
      <c r="E36" t="s">
        <v>224</v>
      </c>
      <c r="F36" t="s">
        <v>523</v>
      </c>
      <c r="G36" t="s">
        <v>1219</v>
      </c>
      <c r="H36" s="3">
        <v>55388000</v>
      </c>
      <c r="I36" s="3">
        <v>46897000</v>
      </c>
      <c r="J36" s="3">
        <v>0</v>
      </c>
      <c r="K36" s="3">
        <v>102285000</v>
      </c>
      <c r="L36" s="3">
        <v>55388000</v>
      </c>
      <c r="M36" s="3">
        <v>46897000</v>
      </c>
      <c r="N36" s="3">
        <v>0</v>
      </c>
      <c r="O36" s="3">
        <v>102285000</v>
      </c>
      <c r="P36" s="3"/>
      <c r="Q36" s="3"/>
      <c r="R36" s="3"/>
      <c r="S36" s="3"/>
      <c r="T36" s="3"/>
      <c r="U36" s="3"/>
      <c r="V36" s="3"/>
      <c r="W36" s="3"/>
      <c r="X36" s="6"/>
      <c r="Y36" s="3"/>
      <c r="Z36" s="3"/>
      <c r="AA36" s="3"/>
      <c r="AB36" s="3"/>
      <c r="AC36" s="3"/>
      <c r="AD36" s="3"/>
      <c r="AE36" s="3"/>
      <c r="AF36" s="3"/>
      <c r="AG36" s="3"/>
      <c r="AH36" s="3"/>
      <c r="AI36" s="3"/>
      <c r="AJ36" s="3">
        <v>58562000</v>
      </c>
      <c r="AK36" s="3">
        <v>38681000</v>
      </c>
      <c r="AL36" s="3">
        <v>0</v>
      </c>
      <c r="AM36" s="3">
        <v>97243000</v>
      </c>
      <c r="AN36" s="3">
        <v>58562000</v>
      </c>
      <c r="AO36" s="3">
        <v>38681000</v>
      </c>
      <c r="AP36" s="3">
        <v>0</v>
      </c>
      <c r="AQ36" s="3">
        <v>97243000</v>
      </c>
      <c r="AR36" s="3"/>
      <c r="AS36" s="3"/>
      <c r="AT36" s="3"/>
      <c r="AU36" s="3"/>
      <c r="AV36" s="3"/>
      <c r="AW36" s="3"/>
      <c r="AX36" s="3"/>
      <c r="AY36" s="3"/>
      <c r="AZ36" s="3"/>
      <c r="BA36" s="3"/>
      <c r="BB36" s="3"/>
      <c r="BC36" s="3"/>
      <c r="BD36" s="3"/>
      <c r="BE36" s="3"/>
      <c r="BF36" s="3"/>
      <c r="BG36" s="3"/>
      <c r="BH36" s="3"/>
      <c r="BI36" s="3"/>
      <c r="BJ36" s="3"/>
      <c r="BK36" s="3"/>
      <c r="BL36" s="3">
        <v>60325000</v>
      </c>
      <c r="BM36" s="3">
        <v>39240000</v>
      </c>
      <c r="BN36" s="3">
        <v>0</v>
      </c>
      <c r="BO36" s="3">
        <v>99565000</v>
      </c>
      <c r="BP36" s="3">
        <v>60325000</v>
      </c>
      <c r="BQ36" s="3">
        <v>39240000</v>
      </c>
      <c r="BR36" s="3">
        <v>0</v>
      </c>
      <c r="BS36" s="3">
        <v>99565000</v>
      </c>
      <c r="BT36" s="3"/>
      <c r="BU36" s="3"/>
      <c r="BV36" s="3"/>
      <c r="BW36" s="3"/>
      <c r="BX36" s="3"/>
      <c r="BY36" s="3"/>
      <c r="BZ36" s="3"/>
      <c r="CA36" s="3"/>
      <c r="CB36" s="3"/>
      <c r="CC36" s="3"/>
      <c r="CD36" s="3"/>
      <c r="CE36" s="6"/>
      <c r="CF36" s="3"/>
      <c r="CG36" s="3"/>
      <c r="CH36" s="3"/>
      <c r="CI36" s="3"/>
      <c r="CJ36" s="3"/>
      <c r="CK36" s="3"/>
      <c r="CL36" s="3"/>
      <c r="CM36" s="3"/>
      <c r="CN36" s="3">
        <v>64019000</v>
      </c>
      <c r="CO36" s="3">
        <v>42642000</v>
      </c>
      <c r="CP36" s="3">
        <v>0</v>
      </c>
      <c r="CQ36" s="3">
        <v>106661000</v>
      </c>
      <c r="CR36" s="3">
        <v>64019000</v>
      </c>
      <c r="CS36" s="3">
        <v>42642000</v>
      </c>
      <c r="CT36" s="3">
        <v>0</v>
      </c>
      <c r="CU36" s="3">
        <v>106661000</v>
      </c>
      <c r="CV36" s="3"/>
      <c r="CW36" s="3"/>
      <c r="CX36" s="3"/>
      <c r="CY36" s="3"/>
      <c r="CZ36" s="3"/>
      <c r="DA36" s="3"/>
      <c r="DB36" s="3"/>
      <c r="DC36" s="3"/>
      <c r="DD36" s="3"/>
      <c r="DE36" s="3"/>
      <c r="DF36" s="3"/>
      <c r="DG36" s="3"/>
      <c r="DH36" s="3"/>
      <c r="DI36" s="3"/>
      <c r="DJ36" s="3"/>
      <c r="DK36" s="3"/>
      <c r="DL36" s="3"/>
      <c r="DM36" s="3"/>
      <c r="DN36" s="3"/>
      <c r="DO36" s="3"/>
      <c r="DP36" s="3">
        <v>69510000</v>
      </c>
      <c r="DQ36" s="3">
        <v>42642000</v>
      </c>
      <c r="DR36" s="3">
        <v>0</v>
      </c>
      <c r="DS36" s="3">
        <v>112152000</v>
      </c>
      <c r="DT36" s="3">
        <v>69510000</v>
      </c>
      <c r="DU36" s="3">
        <v>42642000</v>
      </c>
      <c r="DV36" s="3">
        <v>181600000</v>
      </c>
      <c r="DW36" s="3">
        <v>293752000</v>
      </c>
      <c r="DX36" s="3"/>
      <c r="DY36" s="3"/>
      <c r="DZ36" s="3"/>
      <c r="EA36" s="3"/>
      <c r="EB36" s="3"/>
      <c r="EC36" s="3"/>
      <c r="ED36" s="3"/>
      <c r="EE36" s="3"/>
      <c r="EF36" s="3"/>
      <c r="EG36" s="3"/>
      <c r="EH36" s="3"/>
      <c r="EI36" s="3"/>
      <c r="EJ36" s="3"/>
      <c r="EK36" s="3"/>
      <c r="EL36" s="3"/>
      <c r="EM36" s="3"/>
      <c r="EN36" s="3"/>
      <c r="EO36" s="3"/>
      <c r="EP36" s="3"/>
      <c r="EQ36" s="3"/>
      <c r="ER36" s="3">
        <v>68498000</v>
      </c>
      <c r="ES36" s="3">
        <v>42642000</v>
      </c>
      <c r="ET36" s="3">
        <v>0</v>
      </c>
      <c r="EU36" s="3">
        <v>111140000</v>
      </c>
      <c r="EV36" s="3">
        <v>68498000</v>
      </c>
      <c r="EW36" s="3">
        <v>42642000</v>
      </c>
      <c r="EX36" s="3">
        <v>0</v>
      </c>
      <c r="EY36" s="3">
        <v>111140000</v>
      </c>
      <c r="EZ36" s="3"/>
      <c r="FA36" s="3"/>
      <c r="FB36" s="3"/>
      <c r="FC36" s="3"/>
      <c r="FD36" s="3"/>
      <c r="FE36" s="3"/>
      <c r="FF36" s="3"/>
      <c r="FG36" s="3"/>
      <c r="FH36" s="6"/>
      <c r="FI36" s="3"/>
      <c r="FJ36" s="3"/>
      <c r="FK36" s="3"/>
      <c r="FL36" s="3"/>
      <c r="FM36" s="3"/>
      <c r="FN36" s="3"/>
      <c r="FO36" s="3"/>
      <c r="FP36" s="3"/>
      <c r="FQ36" s="3"/>
      <c r="FR36" s="3"/>
      <c r="FS36" s="3"/>
      <c r="FT36" s="3">
        <v>68086000</v>
      </c>
      <c r="FU36" s="3">
        <v>43410000</v>
      </c>
      <c r="FV36" s="3">
        <v>0</v>
      </c>
      <c r="FW36" s="3">
        <v>111496000</v>
      </c>
      <c r="FX36" s="3">
        <v>68086000</v>
      </c>
      <c r="FY36" s="3">
        <v>43410000</v>
      </c>
      <c r="FZ36" s="3">
        <v>0</v>
      </c>
      <c r="GA36" s="3">
        <v>111496000</v>
      </c>
      <c r="GB36" s="3"/>
      <c r="GC36" s="3"/>
      <c r="GD36" s="3"/>
      <c r="GE36" s="3"/>
      <c r="GF36" s="3"/>
      <c r="GG36" s="3"/>
      <c r="GH36" s="3"/>
      <c r="GI36" s="3"/>
      <c r="GJ36" s="3"/>
      <c r="GK36" s="3"/>
      <c r="GL36" s="3"/>
      <c r="GM36" s="3"/>
      <c r="GN36" s="3"/>
      <c r="GO36" s="3"/>
      <c r="GP36" s="3"/>
      <c r="GQ36" s="3"/>
      <c r="GR36" s="3"/>
      <c r="GS36" s="6"/>
      <c r="GT36" s="3"/>
      <c r="GU36" s="3"/>
      <c r="GV36" s="3">
        <v>69952000</v>
      </c>
      <c r="GW36" s="3">
        <v>44192000</v>
      </c>
      <c r="GX36" s="3">
        <v>0</v>
      </c>
      <c r="GY36" s="3">
        <v>114144000</v>
      </c>
      <c r="GZ36" s="3">
        <v>69952000</v>
      </c>
      <c r="HA36" s="3">
        <v>44192000</v>
      </c>
      <c r="HB36" s="3">
        <v>0</v>
      </c>
      <c r="HC36" s="3">
        <v>114144000</v>
      </c>
      <c r="HD36" s="3"/>
      <c r="HE36" s="3"/>
      <c r="HF36" s="3"/>
      <c r="HG36" s="3"/>
      <c r="HH36" s="3"/>
      <c r="HI36" s="3"/>
      <c r="HJ36" s="3"/>
      <c r="HK36" s="3"/>
      <c r="HL36" s="3"/>
      <c r="HM36" s="3"/>
      <c r="HN36" s="3"/>
      <c r="HO36" s="3"/>
      <c r="HP36" s="3"/>
      <c r="HQ36" s="3"/>
      <c r="HR36" s="3"/>
      <c r="HS36" s="3"/>
      <c r="HT36" s="3"/>
      <c r="HU36" s="3"/>
      <c r="HV36" s="3"/>
      <c r="HW36" s="3"/>
      <c r="HX36" s="3">
        <v>86063000</v>
      </c>
      <c r="HY36" s="3">
        <v>44988000</v>
      </c>
      <c r="HZ36" s="3">
        <v>0</v>
      </c>
      <c r="IA36" s="3">
        <v>131051000</v>
      </c>
      <c r="IB36" s="3">
        <v>86063000</v>
      </c>
      <c r="IC36" s="3">
        <v>44988000</v>
      </c>
      <c r="ID36" s="3">
        <v>0</v>
      </c>
      <c r="IE36" s="3">
        <v>131051000</v>
      </c>
      <c r="IF36" s="3"/>
      <c r="IG36" s="3"/>
      <c r="IH36" s="3"/>
      <c r="II36" s="3"/>
      <c r="IJ36" s="3"/>
      <c r="IK36" s="3"/>
      <c r="IL36" s="3"/>
      <c r="IM36" s="3"/>
      <c r="IN36" s="3"/>
      <c r="IO36" s="3"/>
      <c r="IP36" s="3"/>
      <c r="IQ36" s="3"/>
      <c r="IR36" s="3"/>
      <c r="IS36" s="3"/>
      <c r="IT36" s="3"/>
      <c r="IU36" s="3"/>
      <c r="IV36" s="3"/>
      <c r="IW36" s="3"/>
      <c r="IX36" s="3"/>
      <c r="IY36" s="3"/>
      <c r="IZ36" s="3">
        <v>86227000</v>
      </c>
      <c r="JA36" s="3">
        <v>45798000</v>
      </c>
      <c r="JB36" s="3">
        <v>0</v>
      </c>
      <c r="JC36" s="3">
        <v>132025000</v>
      </c>
      <c r="JD36" s="3"/>
      <c r="JE36" s="3"/>
      <c r="JF36" s="3"/>
      <c r="JG36" s="3"/>
    </row>
    <row r="37" spans="1:267" x14ac:dyDescent="0.25">
      <c r="A37" t="s">
        <v>1153</v>
      </c>
      <c r="B37" t="s">
        <v>1154</v>
      </c>
      <c r="C37" t="s">
        <v>555</v>
      </c>
      <c r="D37" t="s">
        <v>1163</v>
      </c>
      <c r="E37" t="s">
        <v>224</v>
      </c>
      <c r="F37" t="s">
        <v>530</v>
      </c>
      <c r="H37" s="3"/>
      <c r="I37" s="3"/>
      <c r="J37" s="3"/>
      <c r="K37" s="3"/>
      <c r="L37" s="3"/>
      <c r="M37" s="3"/>
      <c r="N37" s="3"/>
      <c r="O37" s="3"/>
      <c r="P37" s="3"/>
      <c r="Q37" s="3"/>
      <c r="R37" s="3"/>
      <c r="S37" s="3"/>
      <c r="T37" s="3"/>
      <c r="U37" s="3"/>
      <c r="V37" s="3"/>
      <c r="W37" s="3"/>
      <c r="X37" s="6"/>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6"/>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v>0</v>
      </c>
      <c r="DQ37" s="3">
        <v>0</v>
      </c>
      <c r="DR37" s="3">
        <v>774670000</v>
      </c>
      <c r="DS37" s="3">
        <v>774670000</v>
      </c>
      <c r="DT37" s="3">
        <v>0</v>
      </c>
      <c r="DU37" s="3">
        <v>0</v>
      </c>
      <c r="DV37" s="3">
        <v>774670000</v>
      </c>
      <c r="DW37" s="3">
        <v>774670000</v>
      </c>
      <c r="DX37" s="3"/>
      <c r="DY37" s="3"/>
      <c r="DZ37" s="3"/>
      <c r="EA37" s="3"/>
      <c r="EB37" s="3"/>
      <c r="EC37" s="3"/>
      <c r="ED37" s="3"/>
      <c r="EE37" s="3"/>
      <c r="EF37" s="3"/>
      <c r="EG37" s="3"/>
      <c r="EH37" s="3"/>
      <c r="EI37" s="3"/>
      <c r="EJ37" s="3"/>
      <c r="EK37" s="3"/>
      <c r="EL37" s="3"/>
      <c r="EM37" s="3"/>
      <c r="EN37" s="3"/>
      <c r="EO37" s="3"/>
      <c r="EP37" s="3"/>
      <c r="EQ37" s="3"/>
      <c r="ER37" s="3">
        <v>0</v>
      </c>
      <c r="ES37" s="3">
        <v>0</v>
      </c>
      <c r="ET37" s="3">
        <v>0</v>
      </c>
      <c r="EU37" s="3">
        <v>0</v>
      </c>
      <c r="EV37" s="3"/>
      <c r="EW37" s="3"/>
      <c r="EX37" s="3"/>
      <c r="EY37" s="3"/>
      <c r="EZ37" s="3"/>
      <c r="FA37" s="3"/>
      <c r="FB37" s="3"/>
      <c r="FC37" s="3"/>
      <c r="FD37" s="3"/>
      <c r="FE37" s="3"/>
      <c r="FF37" s="3"/>
      <c r="FG37" s="3"/>
      <c r="FH37" s="6"/>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6"/>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row>
    <row r="38" spans="1:267" x14ac:dyDescent="0.25">
      <c r="A38" t="s">
        <v>1153</v>
      </c>
      <c r="B38" t="s">
        <v>1154</v>
      </c>
      <c r="C38" t="s">
        <v>555</v>
      </c>
      <c r="D38" t="s">
        <v>1163</v>
      </c>
      <c r="E38" t="s">
        <v>224</v>
      </c>
      <c r="F38" t="s">
        <v>985</v>
      </c>
      <c r="H38" s="3"/>
      <c r="I38" s="3"/>
      <c r="J38" s="3"/>
      <c r="K38" s="3"/>
      <c r="L38" s="3"/>
      <c r="M38" s="3"/>
      <c r="N38" s="3"/>
      <c r="O38" s="3"/>
      <c r="P38" s="3"/>
      <c r="Q38" s="3"/>
      <c r="R38" s="3"/>
      <c r="S38" s="3"/>
      <c r="T38" s="3"/>
      <c r="U38" s="3"/>
      <c r="V38" s="3"/>
      <c r="W38" s="3"/>
      <c r="X38" s="6"/>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6"/>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v>0</v>
      </c>
      <c r="DU38" s="3">
        <v>0</v>
      </c>
      <c r="DV38" s="3">
        <v>3000000</v>
      </c>
      <c r="DW38" s="3">
        <v>3000000</v>
      </c>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6"/>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6"/>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row>
    <row r="39" spans="1:267" x14ac:dyDescent="0.25">
      <c r="A39" t="s">
        <v>1153</v>
      </c>
      <c r="B39" t="s">
        <v>1154</v>
      </c>
      <c r="C39" t="s">
        <v>556</v>
      </c>
      <c r="D39" t="s">
        <v>1164</v>
      </c>
      <c r="E39" t="s">
        <v>201</v>
      </c>
      <c r="F39" t="s">
        <v>202</v>
      </c>
      <c r="G39" t="s">
        <v>203</v>
      </c>
      <c r="H39" s="3">
        <v>177273000</v>
      </c>
      <c r="I39" s="3">
        <v>78101000</v>
      </c>
      <c r="J39" s="3">
        <v>0</v>
      </c>
      <c r="K39" s="3">
        <v>255374000</v>
      </c>
      <c r="L39" s="3">
        <v>177273000</v>
      </c>
      <c r="M39" s="3">
        <v>78101000</v>
      </c>
      <c r="N39" s="3">
        <v>0</v>
      </c>
      <c r="O39" s="3">
        <v>255374000</v>
      </c>
      <c r="P39" s="3"/>
      <c r="Q39" s="3"/>
      <c r="R39" s="3"/>
      <c r="S39" s="3"/>
      <c r="T39" s="3"/>
      <c r="U39" s="3"/>
      <c r="V39" s="3"/>
      <c r="W39" s="3"/>
      <c r="X39" s="6"/>
      <c r="Y39" s="3"/>
      <c r="Z39" s="3"/>
      <c r="AA39" s="3"/>
      <c r="AB39" s="3"/>
      <c r="AC39" s="3"/>
      <c r="AD39" s="3"/>
      <c r="AE39" s="3"/>
      <c r="AF39" s="3"/>
      <c r="AG39" s="3"/>
      <c r="AH39" s="3"/>
      <c r="AI39" s="3"/>
      <c r="AJ39" s="3">
        <v>180014000</v>
      </c>
      <c r="AK39" s="3">
        <v>65598000</v>
      </c>
      <c r="AL39" s="3">
        <v>23604000</v>
      </c>
      <c r="AM39" s="3">
        <v>269216000</v>
      </c>
      <c r="AN39" s="3">
        <v>180014000</v>
      </c>
      <c r="AO39" s="3">
        <v>65598000</v>
      </c>
      <c r="AP39" s="3">
        <v>23604000</v>
      </c>
      <c r="AQ39" s="3">
        <v>269216000</v>
      </c>
      <c r="AR39" s="3"/>
      <c r="AS39" s="3"/>
      <c r="AT39" s="3"/>
      <c r="AU39" s="3"/>
      <c r="AV39" s="3"/>
      <c r="AW39" s="3"/>
      <c r="AX39" s="3"/>
      <c r="AY39" s="3"/>
      <c r="AZ39" s="3"/>
      <c r="BA39" s="3"/>
      <c r="BB39" s="3"/>
      <c r="BC39" s="3"/>
      <c r="BD39" s="3"/>
      <c r="BE39" s="3"/>
      <c r="BF39" s="3"/>
      <c r="BG39" s="3"/>
      <c r="BH39" s="3"/>
      <c r="BI39" s="3"/>
      <c r="BJ39" s="3"/>
      <c r="BK39" s="3"/>
      <c r="BL39" s="3">
        <v>207894000</v>
      </c>
      <c r="BM39" s="3">
        <v>67090000</v>
      </c>
      <c r="BN39" s="3">
        <v>27011000</v>
      </c>
      <c r="BO39" s="3">
        <v>301995000</v>
      </c>
      <c r="BP39" s="3">
        <v>207894000</v>
      </c>
      <c r="BQ39" s="3">
        <v>67090000</v>
      </c>
      <c r="BR39" s="3">
        <v>27011000</v>
      </c>
      <c r="BS39" s="3">
        <v>301995000</v>
      </c>
      <c r="BT39" s="3"/>
      <c r="BU39" s="3"/>
      <c r="BV39" s="3"/>
      <c r="BW39" s="3"/>
      <c r="BX39" s="3"/>
      <c r="BY39" s="3"/>
      <c r="BZ39" s="3"/>
      <c r="CA39" s="3"/>
      <c r="CB39" s="3"/>
      <c r="CC39" s="3"/>
      <c r="CD39" s="3"/>
      <c r="CE39" s="6"/>
      <c r="CF39" s="3"/>
      <c r="CG39" s="3"/>
      <c r="CH39" s="3"/>
      <c r="CI39" s="3"/>
      <c r="CJ39" s="3"/>
      <c r="CK39" s="3"/>
      <c r="CL39" s="3"/>
      <c r="CM39" s="3"/>
      <c r="CN39" s="3">
        <v>231905000</v>
      </c>
      <c r="CO39" s="3">
        <v>66784000</v>
      </c>
      <c r="CP39" s="3">
        <v>16129000</v>
      </c>
      <c r="CQ39" s="3">
        <v>314818000</v>
      </c>
      <c r="CR39" s="3">
        <v>231905000</v>
      </c>
      <c r="CS39" s="3">
        <v>66784000</v>
      </c>
      <c r="CT39" s="3">
        <v>16129000</v>
      </c>
      <c r="CU39" s="3">
        <v>314818000</v>
      </c>
      <c r="CV39" s="3"/>
      <c r="CW39" s="3"/>
      <c r="CX39" s="3"/>
      <c r="CY39" s="3"/>
      <c r="CZ39" s="3"/>
      <c r="DA39" s="3"/>
      <c r="DB39" s="3"/>
      <c r="DC39" s="3"/>
      <c r="DD39" s="3"/>
      <c r="DE39" s="3"/>
      <c r="DF39" s="3"/>
      <c r="DG39" s="3"/>
      <c r="DH39" s="3"/>
      <c r="DI39" s="3"/>
      <c r="DJ39" s="3"/>
      <c r="DK39" s="3"/>
      <c r="DL39" s="3"/>
      <c r="DM39" s="3"/>
      <c r="DN39" s="3"/>
      <c r="DO39" s="3"/>
      <c r="DP39" s="3">
        <v>230022000</v>
      </c>
      <c r="DQ39" s="3">
        <v>66784000</v>
      </c>
      <c r="DR39" s="3">
        <v>0</v>
      </c>
      <c r="DS39" s="3">
        <v>296806000</v>
      </c>
      <c r="DT39" s="3">
        <v>230022000</v>
      </c>
      <c r="DU39" s="3">
        <v>66784000</v>
      </c>
      <c r="DV39" s="3">
        <v>0</v>
      </c>
      <c r="DW39" s="3">
        <v>296806000</v>
      </c>
      <c r="DX39" s="3"/>
      <c r="DY39" s="3"/>
      <c r="DZ39" s="3"/>
      <c r="EA39" s="3"/>
      <c r="EB39" s="3"/>
      <c r="EC39" s="3"/>
      <c r="ED39" s="3"/>
      <c r="EE39" s="3"/>
      <c r="EF39" s="3"/>
      <c r="EG39" s="3"/>
      <c r="EH39" s="3"/>
      <c r="EI39" s="3"/>
      <c r="EJ39" s="3"/>
      <c r="EK39" s="3"/>
      <c r="EL39" s="3"/>
      <c r="EM39" s="3"/>
      <c r="EN39" s="3"/>
      <c r="EO39" s="3"/>
      <c r="EP39" s="3"/>
      <c r="EQ39" s="3"/>
      <c r="ER39" s="3">
        <v>249145000</v>
      </c>
      <c r="ES39" s="3">
        <v>64322000</v>
      </c>
      <c r="ET39" s="3">
        <v>0</v>
      </c>
      <c r="EU39" s="3">
        <v>313467000</v>
      </c>
      <c r="EV39" s="3">
        <v>249145000</v>
      </c>
      <c r="EW39" s="3">
        <v>64322000</v>
      </c>
      <c r="EX39" s="3">
        <v>0</v>
      </c>
      <c r="EY39" s="3">
        <v>313467000</v>
      </c>
      <c r="EZ39" s="3"/>
      <c r="FA39" s="3"/>
      <c r="FB39" s="3"/>
      <c r="FC39" s="3"/>
      <c r="FD39" s="3"/>
      <c r="FE39" s="3"/>
      <c r="FF39" s="3"/>
      <c r="FG39" s="3"/>
      <c r="FH39" s="6"/>
      <c r="FI39" s="3"/>
      <c r="FJ39" s="3"/>
      <c r="FK39" s="3"/>
      <c r="FL39" s="3"/>
      <c r="FM39" s="3"/>
      <c r="FN39" s="3"/>
      <c r="FO39" s="3"/>
      <c r="FP39" s="3"/>
      <c r="FQ39" s="3"/>
      <c r="FR39" s="3"/>
      <c r="FS39" s="3"/>
      <c r="FT39" s="3">
        <v>245032000</v>
      </c>
      <c r="FU39" s="3">
        <v>68676000</v>
      </c>
      <c r="FV39" s="3">
        <v>68060000</v>
      </c>
      <c r="FW39" s="3">
        <v>381768000</v>
      </c>
      <c r="FX39" s="3">
        <v>245032000</v>
      </c>
      <c r="FY39" s="3">
        <v>82093000</v>
      </c>
      <c r="FZ39" s="3">
        <v>68060000</v>
      </c>
      <c r="GA39" s="3">
        <v>395185000</v>
      </c>
      <c r="GB39" s="3"/>
      <c r="GC39" s="3"/>
      <c r="GD39" s="3"/>
      <c r="GE39" s="3"/>
      <c r="GF39" s="3"/>
      <c r="GG39" s="3"/>
      <c r="GH39" s="3"/>
      <c r="GI39" s="3"/>
      <c r="GJ39" s="3"/>
      <c r="GK39" s="3"/>
      <c r="GL39" s="3"/>
      <c r="GM39" s="3"/>
      <c r="GN39" s="3"/>
      <c r="GO39" s="3"/>
      <c r="GP39" s="3"/>
      <c r="GQ39" s="3"/>
      <c r="GR39" s="3"/>
      <c r="GS39" s="6"/>
      <c r="GT39" s="3"/>
      <c r="GU39" s="3"/>
      <c r="GV39" s="3">
        <v>243758000</v>
      </c>
      <c r="GW39" s="3">
        <v>101390000</v>
      </c>
      <c r="GX39" s="3">
        <v>35900000</v>
      </c>
      <c r="GY39" s="3">
        <v>381048000</v>
      </c>
      <c r="GZ39" s="3">
        <v>243758000</v>
      </c>
      <c r="HA39" s="3">
        <v>101390000</v>
      </c>
      <c r="HB39" s="3">
        <v>35900000</v>
      </c>
      <c r="HC39" s="3">
        <v>381048000</v>
      </c>
      <c r="HD39" s="3"/>
      <c r="HE39" s="3"/>
      <c r="HF39" s="3"/>
      <c r="HG39" s="3"/>
      <c r="HH39" s="3"/>
      <c r="HI39" s="3"/>
      <c r="HJ39" s="3"/>
      <c r="HK39" s="3"/>
      <c r="HL39" s="3"/>
      <c r="HM39" s="3"/>
      <c r="HN39" s="3"/>
      <c r="HO39" s="3"/>
      <c r="HP39" s="3"/>
      <c r="HQ39" s="3"/>
      <c r="HR39" s="3"/>
      <c r="HS39" s="3"/>
      <c r="HT39" s="3"/>
      <c r="HU39" s="3"/>
      <c r="HV39" s="3"/>
      <c r="HW39" s="3"/>
      <c r="HX39" s="3">
        <v>264763000</v>
      </c>
      <c r="HY39" s="3">
        <v>104310000</v>
      </c>
      <c r="HZ39" s="3">
        <v>73300000</v>
      </c>
      <c r="IA39" s="3">
        <v>442373000</v>
      </c>
      <c r="IB39" s="3">
        <v>264763000</v>
      </c>
      <c r="IC39" s="3">
        <v>104310000</v>
      </c>
      <c r="ID39" s="3">
        <v>73300000</v>
      </c>
      <c r="IE39" s="3">
        <v>442373000</v>
      </c>
      <c r="IF39" s="3"/>
      <c r="IG39" s="3"/>
      <c r="IH39" s="3"/>
      <c r="II39" s="3"/>
      <c r="IJ39" s="3"/>
      <c r="IK39" s="3"/>
      <c r="IL39" s="3"/>
      <c r="IM39" s="3"/>
      <c r="IN39" s="3"/>
      <c r="IO39" s="3"/>
      <c r="IP39" s="3"/>
      <c r="IQ39" s="3"/>
      <c r="IR39" s="3"/>
      <c r="IS39" s="3"/>
      <c r="IT39" s="3"/>
      <c r="IU39" s="3"/>
      <c r="IV39" s="3"/>
      <c r="IW39" s="3"/>
      <c r="IX39" s="3"/>
      <c r="IY39" s="3"/>
      <c r="IZ39" s="3">
        <v>275860000</v>
      </c>
      <c r="JA39" s="3">
        <v>119934000</v>
      </c>
      <c r="JB39" s="3">
        <v>3580000</v>
      </c>
      <c r="JC39" s="3">
        <v>399374000</v>
      </c>
      <c r="JD39" s="3"/>
      <c r="JE39" s="3"/>
      <c r="JF39" s="3"/>
      <c r="JG39" s="3"/>
    </row>
    <row r="40" spans="1:267" x14ac:dyDescent="0.25">
      <c r="A40" t="s">
        <v>1153</v>
      </c>
      <c r="B40" t="s">
        <v>1154</v>
      </c>
      <c r="C40" t="s">
        <v>556</v>
      </c>
      <c r="D40" t="s">
        <v>1164</v>
      </c>
      <c r="E40" t="s">
        <v>201</v>
      </c>
      <c r="F40" t="s">
        <v>204</v>
      </c>
      <c r="G40" t="s">
        <v>625</v>
      </c>
      <c r="H40" s="3">
        <v>327000</v>
      </c>
      <c r="I40" s="3">
        <v>3638000</v>
      </c>
      <c r="J40" s="3">
        <v>0</v>
      </c>
      <c r="K40" s="3">
        <v>3965000</v>
      </c>
      <c r="L40" s="3">
        <v>327000</v>
      </c>
      <c r="M40" s="3">
        <v>3638000</v>
      </c>
      <c r="N40" s="3">
        <v>0</v>
      </c>
      <c r="O40" s="3">
        <v>3965000</v>
      </c>
      <c r="P40" s="3"/>
      <c r="Q40" s="3"/>
      <c r="R40" s="3"/>
      <c r="S40" s="3"/>
      <c r="T40" s="3"/>
      <c r="U40" s="3"/>
      <c r="V40" s="3"/>
      <c r="W40" s="3"/>
      <c r="X40" s="6"/>
      <c r="Y40" s="3"/>
      <c r="Z40" s="3"/>
      <c r="AA40" s="3"/>
      <c r="AB40" s="3"/>
      <c r="AC40" s="3"/>
      <c r="AD40" s="3"/>
      <c r="AE40" s="3"/>
      <c r="AF40" s="3"/>
      <c r="AG40" s="3"/>
      <c r="AH40" s="3"/>
      <c r="AI40" s="3"/>
      <c r="AJ40" s="3">
        <v>811000</v>
      </c>
      <c r="AK40" s="3">
        <v>3056000</v>
      </c>
      <c r="AL40" s="3">
        <v>0</v>
      </c>
      <c r="AM40" s="3">
        <v>3867000</v>
      </c>
      <c r="AN40" s="3">
        <v>811000</v>
      </c>
      <c r="AO40" s="3">
        <v>3056000</v>
      </c>
      <c r="AP40" s="3">
        <v>0</v>
      </c>
      <c r="AQ40" s="3">
        <v>3867000</v>
      </c>
      <c r="AR40" s="3"/>
      <c r="AS40" s="3"/>
      <c r="AT40" s="3"/>
      <c r="AU40" s="3"/>
      <c r="AV40" s="3"/>
      <c r="AW40" s="3"/>
      <c r="AX40" s="3"/>
      <c r="AY40" s="3"/>
      <c r="AZ40" s="3"/>
      <c r="BA40" s="3"/>
      <c r="BB40" s="3"/>
      <c r="BC40" s="3"/>
      <c r="BD40" s="3"/>
      <c r="BE40" s="3"/>
      <c r="BF40" s="3"/>
      <c r="BG40" s="3"/>
      <c r="BH40" s="3"/>
      <c r="BI40" s="3"/>
      <c r="BJ40" s="3"/>
      <c r="BK40" s="3"/>
      <c r="BL40" s="3">
        <v>337000</v>
      </c>
      <c r="BM40" s="3">
        <v>2018000</v>
      </c>
      <c r="BN40" s="3">
        <v>0</v>
      </c>
      <c r="BO40" s="3">
        <v>2355000</v>
      </c>
      <c r="BP40" s="3">
        <v>337000</v>
      </c>
      <c r="BQ40" s="3">
        <v>2018000</v>
      </c>
      <c r="BR40" s="3">
        <v>0</v>
      </c>
      <c r="BS40" s="3">
        <v>2355000</v>
      </c>
      <c r="BT40" s="3"/>
      <c r="BU40" s="3"/>
      <c r="BV40" s="3"/>
      <c r="BW40" s="3"/>
      <c r="BX40" s="3"/>
      <c r="BY40" s="3"/>
      <c r="BZ40" s="3"/>
      <c r="CA40" s="3"/>
      <c r="CB40" s="3"/>
      <c r="CC40" s="3"/>
      <c r="CD40" s="3"/>
      <c r="CE40" s="6"/>
      <c r="CF40" s="3"/>
      <c r="CG40" s="3"/>
      <c r="CH40" s="3"/>
      <c r="CI40" s="3"/>
      <c r="CJ40" s="3"/>
      <c r="CK40" s="3"/>
      <c r="CL40" s="3"/>
      <c r="CM40" s="3"/>
      <c r="CN40" s="3">
        <v>520000</v>
      </c>
      <c r="CO40" s="3">
        <v>2054000</v>
      </c>
      <c r="CP40" s="3">
        <v>0</v>
      </c>
      <c r="CQ40" s="3">
        <v>2574000</v>
      </c>
      <c r="CR40" s="3">
        <v>520000</v>
      </c>
      <c r="CS40" s="3">
        <v>2054000</v>
      </c>
      <c r="CT40" s="3">
        <v>0</v>
      </c>
      <c r="CU40" s="3">
        <v>2574000</v>
      </c>
      <c r="CV40" s="3"/>
      <c r="CW40" s="3"/>
      <c r="CX40" s="3"/>
      <c r="CY40" s="3"/>
      <c r="CZ40" s="3"/>
      <c r="DA40" s="3"/>
      <c r="DB40" s="3"/>
      <c r="DC40" s="3"/>
      <c r="DD40" s="3"/>
      <c r="DE40" s="3"/>
      <c r="DF40" s="3"/>
      <c r="DG40" s="3"/>
      <c r="DH40" s="3"/>
      <c r="DI40" s="3"/>
      <c r="DJ40" s="3"/>
      <c r="DK40" s="3"/>
      <c r="DL40" s="3"/>
      <c r="DM40" s="3"/>
      <c r="DN40" s="3"/>
      <c r="DO40" s="3"/>
      <c r="DP40" s="3">
        <v>947000</v>
      </c>
      <c r="DQ40" s="3">
        <v>2054000</v>
      </c>
      <c r="DR40" s="3">
        <v>0</v>
      </c>
      <c r="DS40" s="3">
        <v>3001000</v>
      </c>
      <c r="DT40" s="3">
        <v>947000</v>
      </c>
      <c r="DU40" s="3">
        <v>2054000</v>
      </c>
      <c r="DV40" s="3">
        <v>0</v>
      </c>
      <c r="DW40" s="3">
        <v>3001000</v>
      </c>
      <c r="DX40" s="3"/>
      <c r="DY40" s="3"/>
      <c r="DZ40" s="3"/>
      <c r="EA40" s="3"/>
      <c r="EB40" s="3"/>
      <c r="EC40" s="3"/>
      <c r="ED40" s="3"/>
      <c r="EE40" s="3"/>
      <c r="EF40" s="3"/>
      <c r="EG40" s="3"/>
      <c r="EH40" s="3"/>
      <c r="EI40" s="3"/>
      <c r="EJ40" s="3"/>
      <c r="EK40" s="3"/>
      <c r="EL40" s="3"/>
      <c r="EM40" s="3"/>
      <c r="EN40" s="3"/>
      <c r="EO40" s="3"/>
      <c r="EP40" s="3"/>
      <c r="EQ40" s="3"/>
      <c r="ER40" s="3">
        <v>994000</v>
      </c>
      <c r="ES40" s="3">
        <v>1949000</v>
      </c>
      <c r="ET40" s="3">
        <v>0</v>
      </c>
      <c r="EU40" s="3">
        <v>2943000</v>
      </c>
      <c r="EV40" s="3">
        <v>994000</v>
      </c>
      <c r="EW40" s="3">
        <v>1949000</v>
      </c>
      <c r="EX40" s="3">
        <v>0</v>
      </c>
      <c r="EY40" s="3">
        <v>2943000</v>
      </c>
      <c r="EZ40" s="3"/>
      <c r="FA40" s="3"/>
      <c r="FB40" s="3"/>
      <c r="FC40" s="3"/>
      <c r="FD40" s="3"/>
      <c r="FE40" s="3"/>
      <c r="FF40" s="3"/>
      <c r="FG40" s="3"/>
      <c r="FH40" s="6"/>
      <c r="FI40" s="3"/>
      <c r="FJ40" s="3"/>
      <c r="FK40" s="3"/>
      <c r="FL40" s="3"/>
      <c r="FM40" s="3"/>
      <c r="FN40" s="3"/>
      <c r="FO40" s="3"/>
      <c r="FP40" s="3"/>
      <c r="FQ40" s="3"/>
      <c r="FR40" s="3"/>
      <c r="FS40" s="3"/>
      <c r="FT40" s="3">
        <v>999000</v>
      </c>
      <c r="FU40" s="3">
        <v>1985000</v>
      </c>
      <c r="FV40" s="3">
        <v>150000</v>
      </c>
      <c r="FW40" s="3">
        <v>3134000</v>
      </c>
      <c r="FX40" s="3">
        <v>999000</v>
      </c>
      <c r="FY40" s="3">
        <v>1985000</v>
      </c>
      <c r="FZ40" s="3">
        <v>150000</v>
      </c>
      <c r="GA40" s="3">
        <v>3134000</v>
      </c>
      <c r="GB40" s="3"/>
      <c r="GC40" s="3"/>
      <c r="GD40" s="3"/>
      <c r="GE40" s="3"/>
      <c r="GF40" s="3"/>
      <c r="GG40" s="3"/>
      <c r="GH40" s="3"/>
      <c r="GI40" s="3"/>
      <c r="GJ40" s="3"/>
      <c r="GK40" s="3"/>
      <c r="GL40" s="3"/>
      <c r="GM40" s="3"/>
      <c r="GN40" s="3"/>
      <c r="GO40" s="3"/>
      <c r="GP40" s="3"/>
      <c r="GQ40" s="3"/>
      <c r="GR40" s="3"/>
      <c r="GS40" s="6"/>
      <c r="GT40" s="3"/>
      <c r="GU40" s="3"/>
      <c r="GV40" s="3">
        <v>1009000</v>
      </c>
      <c r="GW40" s="3">
        <v>2225000</v>
      </c>
      <c r="GX40" s="3">
        <v>0</v>
      </c>
      <c r="GY40" s="3">
        <v>3234000</v>
      </c>
      <c r="GZ40" s="3">
        <v>1009000</v>
      </c>
      <c r="HA40" s="3">
        <v>2225000</v>
      </c>
      <c r="HB40" s="3">
        <v>0</v>
      </c>
      <c r="HC40" s="3">
        <v>3234000</v>
      </c>
      <c r="HD40" s="3"/>
      <c r="HE40" s="3"/>
      <c r="HF40" s="3"/>
      <c r="HG40" s="3"/>
      <c r="HH40" s="3"/>
      <c r="HI40" s="3"/>
      <c r="HJ40" s="3"/>
      <c r="HK40" s="3"/>
      <c r="HL40" s="3"/>
      <c r="HM40" s="3"/>
      <c r="HN40" s="3"/>
      <c r="HO40" s="3"/>
      <c r="HP40" s="3"/>
      <c r="HQ40" s="3"/>
      <c r="HR40" s="3"/>
      <c r="HS40" s="3"/>
      <c r="HT40" s="3"/>
      <c r="HU40" s="3"/>
      <c r="HV40" s="3"/>
      <c r="HW40" s="3"/>
      <c r="HX40" s="3">
        <v>0</v>
      </c>
      <c r="HY40" s="3">
        <v>2129000</v>
      </c>
      <c r="HZ40" s="3">
        <v>0</v>
      </c>
      <c r="IA40" s="3">
        <v>2129000</v>
      </c>
      <c r="IB40" s="3">
        <v>0</v>
      </c>
      <c r="IC40" s="3">
        <v>2129000</v>
      </c>
      <c r="ID40" s="3">
        <v>0</v>
      </c>
      <c r="IE40" s="3">
        <v>2129000</v>
      </c>
      <c r="IF40" s="3"/>
      <c r="IG40" s="3"/>
      <c r="IH40" s="3"/>
      <c r="II40" s="3"/>
      <c r="IJ40" s="3"/>
      <c r="IK40" s="3"/>
      <c r="IL40" s="3"/>
      <c r="IM40" s="3"/>
      <c r="IN40" s="3"/>
      <c r="IO40" s="3"/>
      <c r="IP40" s="3"/>
      <c r="IQ40" s="3"/>
      <c r="IR40" s="3"/>
      <c r="IS40" s="3"/>
      <c r="IT40" s="3"/>
      <c r="IU40" s="3"/>
      <c r="IV40" s="3"/>
      <c r="IW40" s="3"/>
      <c r="IX40" s="3"/>
      <c r="IY40" s="3"/>
      <c r="IZ40" s="3">
        <v>1214000</v>
      </c>
      <c r="JA40" s="3">
        <v>2167000</v>
      </c>
      <c r="JB40" s="3">
        <v>0</v>
      </c>
      <c r="JC40" s="3">
        <v>3381000</v>
      </c>
      <c r="JD40" s="3"/>
      <c r="JE40" s="3"/>
      <c r="JF40" s="3"/>
      <c r="JG40" s="3"/>
    </row>
    <row r="41" spans="1:267" x14ac:dyDescent="0.25">
      <c r="A41" t="s">
        <v>1153</v>
      </c>
      <c r="B41" t="s">
        <v>1154</v>
      </c>
      <c r="C41" t="s">
        <v>556</v>
      </c>
      <c r="D41" t="s">
        <v>1164</v>
      </c>
      <c r="E41" t="s">
        <v>201</v>
      </c>
      <c r="F41" t="s">
        <v>206</v>
      </c>
      <c r="G41" t="s">
        <v>1220</v>
      </c>
      <c r="H41" s="3">
        <v>5413000</v>
      </c>
      <c r="I41" s="3">
        <v>0</v>
      </c>
      <c r="J41" s="3">
        <v>0</v>
      </c>
      <c r="K41" s="3">
        <v>5413000</v>
      </c>
      <c r="L41" s="3">
        <v>5413000</v>
      </c>
      <c r="M41" s="3">
        <v>0</v>
      </c>
      <c r="N41" s="3">
        <v>0</v>
      </c>
      <c r="O41" s="3">
        <v>5413000</v>
      </c>
      <c r="P41" s="3"/>
      <c r="Q41" s="3"/>
      <c r="R41" s="3"/>
      <c r="S41" s="3"/>
      <c r="T41" s="3"/>
      <c r="U41" s="3"/>
      <c r="V41" s="3"/>
      <c r="W41" s="3"/>
      <c r="X41" s="6"/>
      <c r="Y41" s="3"/>
      <c r="Z41" s="3"/>
      <c r="AA41" s="3"/>
      <c r="AB41" s="3"/>
      <c r="AC41" s="3"/>
      <c r="AD41" s="3"/>
      <c r="AE41" s="3"/>
      <c r="AF41" s="3"/>
      <c r="AG41" s="3"/>
      <c r="AH41" s="3"/>
      <c r="AI41" s="3"/>
      <c r="AJ41" s="3">
        <v>5270000</v>
      </c>
      <c r="AK41" s="3">
        <v>0</v>
      </c>
      <c r="AL41" s="3">
        <v>0</v>
      </c>
      <c r="AM41" s="3">
        <v>5270000</v>
      </c>
      <c r="AN41" s="3">
        <v>5270000</v>
      </c>
      <c r="AO41" s="3">
        <v>0</v>
      </c>
      <c r="AP41" s="3">
        <v>0</v>
      </c>
      <c r="AQ41" s="3">
        <v>5270000</v>
      </c>
      <c r="AR41" s="3"/>
      <c r="AS41" s="3"/>
      <c r="AT41" s="3"/>
      <c r="AU41" s="3"/>
      <c r="AV41" s="3"/>
      <c r="AW41" s="3"/>
      <c r="AX41" s="3"/>
      <c r="AY41" s="3"/>
      <c r="AZ41" s="3"/>
      <c r="BA41" s="3"/>
      <c r="BB41" s="3"/>
      <c r="BC41" s="3"/>
      <c r="BD41" s="3"/>
      <c r="BE41" s="3"/>
      <c r="BF41" s="3"/>
      <c r="BG41" s="3"/>
      <c r="BH41" s="3"/>
      <c r="BI41" s="3"/>
      <c r="BJ41" s="3"/>
      <c r="BK41" s="3"/>
      <c r="BL41" s="3">
        <v>23735000</v>
      </c>
      <c r="BM41" s="3">
        <v>0</v>
      </c>
      <c r="BN41" s="3">
        <v>0</v>
      </c>
      <c r="BO41" s="3">
        <v>23735000</v>
      </c>
      <c r="BP41" s="3">
        <v>23735000</v>
      </c>
      <c r="BQ41" s="3">
        <v>0</v>
      </c>
      <c r="BR41" s="3">
        <v>0</v>
      </c>
      <c r="BS41" s="3">
        <v>23735000</v>
      </c>
      <c r="BT41" s="3"/>
      <c r="BU41" s="3"/>
      <c r="BV41" s="3"/>
      <c r="BW41" s="3"/>
      <c r="BX41" s="3"/>
      <c r="BY41" s="3"/>
      <c r="BZ41" s="3"/>
      <c r="CA41" s="3"/>
      <c r="CB41" s="3"/>
      <c r="CC41" s="3"/>
      <c r="CD41" s="3"/>
      <c r="CE41" s="6"/>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v>9092000</v>
      </c>
      <c r="DQ41" s="3">
        <v>0</v>
      </c>
      <c r="DR41" s="3">
        <v>0</v>
      </c>
      <c r="DS41" s="3">
        <v>9092000</v>
      </c>
      <c r="DT41" s="3">
        <v>9092000</v>
      </c>
      <c r="DU41" s="3">
        <v>0</v>
      </c>
      <c r="DV41" s="3">
        <v>0</v>
      </c>
      <c r="DW41" s="3">
        <v>9092000</v>
      </c>
      <c r="DX41" s="3"/>
      <c r="DY41" s="3"/>
      <c r="DZ41" s="3"/>
      <c r="EA41" s="3"/>
      <c r="EB41" s="3"/>
      <c r="EC41" s="3"/>
      <c r="ED41" s="3"/>
      <c r="EE41" s="3"/>
      <c r="EF41" s="3"/>
      <c r="EG41" s="3"/>
      <c r="EH41" s="3"/>
      <c r="EI41" s="3"/>
      <c r="EJ41" s="3"/>
      <c r="EK41" s="3"/>
      <c r="EL41" s="3"/>
      <c r="EM41" s="3"/>
      <c r="EN41" s="3"/>
      <c r="EO41" s="3"/>
      <c r="EP41" s="3"/>
      <c r="EQ41" s="3"/>
      <c r="ER41" s="3">
        <v>9031000</v>
      </c>
      <c r="ES41" s="3">
        <v>0</v>
      </c>
      <c r="ET41" s="3">
        <v>0</v>
      </c>
      <c r="EU41" s="3">
        <v>9031000</v>
      </c>
      <c r="EV41" s="3"/>
      <c r="EW41" s="3"/>
      <c r="EX41" s="3"/>
      <c r="EY41" s="3"/>
      <c r="EZ41" s="3"/>
      <c r="FA41" s="3"/>
      <c r="FB41" s="3"/>
      <c r="FC41" s="3"/>
      <c r="FD41" s="3"/>
      <c r="FE41" s="3"/>
      <c r="FF41" s="3"/>
      <c r="FG41" s="3"/>
      <c r="FH41" s="6"/>
      <c r="FI41" s="3"/>
      <c r="FJ41" s="3"/>
      <c r="FK41" s="3"/>
      <c r="FL41" s="3"/>
      <c r="FM41" s="3"/>
      <c r="FN41" s="3"/>
      <c r="FO41" s="3"/>
      <c r="FP41" s="3"/>
      <c r="FQ41" s="3"/>
      <c r="FR41" s="3"/>
      <c r="FS41" s="3"/>
      <c r="FT41" s="3">
        <v>7070000</v>
      </c>
      <c r="FU41" s="3">
        <v>0</v>
      </c>
      <c r="FV41" s="3">
        <v>0</v>
      </c>
      <c r="FW41" s="3">
        <v>7070000</v>
      </c>
      <c r="FX41" s="3">
        <v>7070000</v>
      </c>
      <c r="FY41" s="3">
        <v>0</v>
      </c>
      <c r="FZ41" s="3">
        <v>0</v>
      </c>
      <c r="GA41" s="3">
        <v>7070000</v>
      </c>
      <c r="GB41" s="3"/>
      <c r="GC41" s="3"/>
      <c r="GD41" s="3"/>
      <c r="GE41" s="3"/>
      <c r="GF41" s="3"/>
      <c r="GG41" s="3"/>
      <c r="GH41" s="3"/>
      <c r="GI41" s="3"/>
      <c r="GJ41" s="3"/>
      <c r="GK41" s="3"/>
      <c r="GL41" s="3"/>
      <c r="GM41" s="3"/>
      <c r="GN41" s="3"/>
      <c r="GO41" s="3"/>
      <c r="GP41" s="3"/>
      <c r="GQ41" s="3"/>
      <c r="GR41" s="3"/>
      <c r="GS41" s="6"/>
      <c r="GT41" s="3"/>
      <c r="GU41" s="3"/>
      <c r="GV41" s="3">
        <v>23397000</v>
      </c>
      <c r="GW41" s="3">
        <v>0</v>
      </c>
      <c r="GX41" s="3">
        <v>0</v>
      </c>
      <c r="GY41" s="3">
        <v>23397000</v>
      </c>
      <c r="GZ41" s="3">
        <v>23397000</v>
      </c>
      <c r="HA41" s="3">
        <v>0</v>
      </c>
      <c r="HB41" s="3">
        <v>0</v>
      </c>
      <c r="HC41" s="3">
        <v>23397000</v>
      </c>
      <c r="HD41" s="3"/>
      <c r="HE41" s="3"/>
      <c r="HF41" s="3"/>
      <c r="HG41" s="3"/>
      <c r="HH41" s="3"/>
      <c r="HI41" s="3"/>
      <c r="HJ41" s="3"/>
      <c r="HK41" s="3"/>
      <c r="HL41" s="3"/>
      <c r="HM41" s="3"/>
      <c r="HN41" s="3"/>
      <c r="HO41" s="3"/>
      <c r="HP41" s="3"/>
      <c r="HQ41" s="3"/>
      <c r="HR41" s="3"/>
      <c r="HS41" s="3"/>
      <c r="HT41" s="3"/>
      <c r="HU41" s="3"/>
      <c r="HV41" s="3"/>
      <c r="HW41" s="3"/>
      <c r="HX41" s="3">
        <v>33379000</v>
      </c>
      <c r="HY41" s="3">
        <v>0</v>
      </c>
      <c r="HZ41" s="3">
        <v>0</v>
      </c>
      <c r="IA41" s="3">
        <v>33379000</v>
      </c>
      <c r="IB41" s="3">
        <v>33379000</v>
      </c>
      <c r="IC41" s="3">
        <v>0</v>
      </c>
      <c r="ID41" s="3">
        <v>0</v>
      </c>
      <c r="IE41" s="3">
        <v>33379000</v>
      </c>
      <c r="IF41" s="3"/>
      <c r="IG41" s="3"/>
      <c r="IH41" s="3"/>
      <c r="II41" s="3"/>
      <c r="IJ41" s="3"/>
      <c r="IK41" s="3"/>
      <c r="IL41" s="3"/>
      <c r="IM41" s="3"/>
      <c r="IN41" s="3"/>
      <c r="IO41" s="3"/>
      <c r="IP41" s="3"/>
      <c r="IQ41" s="3"/>
      <c r="IR41" s="3"/>
      <c r="IS41" s="3"/>
      <c r="IT41" s="3"/>
      <c r="IU41" s="3"/>
      <c r="IV41" s="3"/>
      <c r="IW41" s="3"/>
      <c r="IX41" s="3"/>
      <c r="IY41" s="3"/>
      <c r="IZ41" s="3">
        <v>45276000</v>
      </c>
      <c r="JA41" s="3">
        <v>0</v>
      </c>
      <c r="JB41" s="3">
        <v>0</v>
      </c>
      <c r="JC41" s="3">
        <v>45276000</v>
      </c>
      <c r="JD41" s="3"/>
      <c r="JE41" s="3"/>
      <c r="JF41" s="3"/>
      <c r="JG41" s="3"/>
    </row>
    <row r="42" spans="1:267" x14ac:dyDescent="0.25">
      <c r="A42" t="s">
        <v>1153</v>
      </c>
      <c r="B42" t="s">
        <v>1154</v>
      </c>
      <c r="C42" t="s">
        <v>556</v>
      </c>
      <c r="D42" t="s">
        <v>1164</v>
      </c>
      <c r="E42" t="s">
        <v>201</v>
      </c>
      <c r="F42" t="s">
        <v>1165</v>
      </c>
      <c r="H42" s="3"/>
      <c r="I42" s="3"/>
      <c r="J42" s="3"/>
      <c r="K42" s="3"/>
      <c r="L42" s="3"/>
      <c r="M42" s="3"/>
      <c r="N42" s="3"/>
      <c r="O42" s="3"/>
      <c r="P42" s="3"/>
      <c r="Q42" s="3"/>
      <c r="R42" s="3"/>
      <c r="S42" s="3"/>
      <c r="T42" s="3"/>
      <c r="U42" s="3"/>
      <c r="V42" s="3"/>
      <c r="W42" s="3"/>
      <c r="X42" s="6"/>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6"/>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v>9031000</v>
      </c>
      <c r="EW42" s="3">
        <v>0</v>
      </c>
      <c r="EX42" s="3">
        <v>0</v>
      </c>
      <c r="EY42" s="3">
        <v>9031000</v>
      </c>
      <c r="EZ42" s="3"/>
      <c r="FA42" s="3"/>
      <c r="FB42" s="3"/>
      <c r="FC42" s="3"/>
      <c r="FD42" s="3"/>
      <c r="FE42" s="3"/>
      <c r="FF42" s="3"/>
      <c r="FG42" s="3"/>
      <c r="FH42" s="6"/>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6"/>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row>
    <row r="43" spans="1:267" x14ac:dyDescent="0.25">
      <c r="A43" t="s">
        <v>1153</v>
      </c>
      <c r="B43" t="s">
        <v>1154</v>
      </c>
      <c r="C43" t="s">
        <v>556</v>
      </c>
      <c r="D43" t="s">
        <v>1164</v>
      </c>
      <c r="E43" t="s">
        <v>208</v>
      </c>
      <c r="F43" t="s">
        <v>209</v>
      </c>
      <c r="G43" t="s">
        <v>1221</v>
      </c>
      <c r="H43" s="3">
        <v>6814000</v>
      </c>
      <c r="I43" s="3">
        <v>17494000</v>
      </c>
      <c r="J43" s="3">
        <v>6660000</v>
      </c>
      <c r="K43" s="3">
        <v>30968000</v>
      </c>
      <c r="L43" s="3">
        <v>6814000</v>
      </c>
      <c r="M43" s="3">
        <v>17494000</v>
      </c>
      <c r="N43" s="3">
        <v>6660000</v>
      </c>
      <c r="O43" s="3">
        <v>30968000</v>
      </c>
      <c r="P43" s="3"/>
      <c r="Q43" s="3"/>
      <c r="R43" s="3"/>
      <c r="S43" s="3"/>
      <c r="T43" s="3"/>
      <c r="U43" s="3"/>
      <c r="V43" s="3"/>
      <c r="W43" s="3"/>
      <c r="X43" s="6"/>
      <c r="Y43" s="3"/>
      <c r="Z43" s="3"/>
      <c r="AA43" s="3"/>
      <c r="AB43" s="3"/>
      <c r="AC43" s="3"/>
      <c r="AD43" s="3"/>
      <c r="AE43" s="3"/>
      <c r="AF43" s="3"/>
      <c r="AG43" s="3"/>
      <c r="AH43" s="3"/>
      <c r="AI43" s="3"/>
      <c r="AJ43" s="3">
        <v>9082000</v>
      </c>
      <c r="AK43" s="3">
        <v>113027000</v>
      </c>
      <c r="AL43" s="3">
        <v>7480000</v>
      </c>
      <c r="AM43" s="3">
        <v>129589000</v>
      </c>
      <c r="AN43" s="3">
        <v>9082000</v>
      </c>
      <c r="AO43" s="3">
        <v>113027000</v>
      </c>
      <c r="AP43" s="3">
        <v>7480000</v>
      </c>
      <c r="AQ43" s="3">
        <v>129589000</v>
      </c>
      <c r="AR43" s="3"/>
      <c r="AS43" s="3"/>
      <c r="AT43" s="3"/>
      <c r="AU43" s="3"/>
      <c r="AV43" s="3"/>
      <c r="AW43" s="3"/>
      <c r="AX43" s="3"/>
      <c r="AY43" s="3"/>
      <c r="AZ43" s="3"/>
      <c r="BA43" s="3"/>
      <c r="BB43" s="3"/>
      <c r="BC43" s="3"/>
      <c r="BD43" s="3"/>
      <c r="BE43" s="3"/>
      <c r="BF43" s="3"/>
      <c r="BG43" s="3"/>
      <c r="BH43" s="3"/>
      <c r="BI43" s="3"/>
      <c r="BJ43" s="3"/>
      <c r="BK43" s="3"/>
      <c r="BL43" s="3">
        <v>11300000</v>
      </c>
      <c r="BM43" s="3">
        <v>123621000</v>
      </c>
      <c r="BN43" s="3">
        <v>51459000</v>
      </c>
      <c r="BO43" s="3">
        <v>186380000</v>
      </c>
      <c r="BP43" s="3">
        <v>11300000</v>
      </c>
      <c r="BQ43" s="3">
        <v>123621000</v>
      </c>
      <c r="BR43" s="3">
        <v>51459000</v>
      </c>
      <c r="BS43" s="3">
        <v>186380000</v>
      </c>
      <c r="BT43" s="3"/>
      <c r="BU43" s="3"/>
      <c r="BV43" s="3"/>
      <c r="BW43" s="3"/>
      <c r="BX43" s="3"/>
      <c r="BY43" s="3"/>
      <c r="BZ43" s="3"/>
      <c r="CA43" s="3"/>
      <c r="CB43" s="3"/>
      <c r="CC43" s="3"/>
      <c r="CD43" s="3"/>
      <c r="CE43" s="6"/>
      <c r="CF43" s="3"/>
      <c r="CG43" s="3"/>
      <c r="CH43" s="3"/>
      <c r="CI43" s="3"/>
      <c r="CJ43" s="3"/>
      <c r="CK43" s="3"/>
      <c r="CL43" s="3"/>
      <c r="CM43" s="3"/>
      <c r="CN43" s="3">
        <v>10753000</v>
      </c>
      <c r="CO43" s="3">
        <v>83057000</v>
      </c>
      <c r="CP43" s="3">
        <v>32015000</v>
      </c>
      <c r="CQ43" s="3">
        <v>125825000</v>
      </c>
      <c r="CR43" s="3">
        <v>10753000</v>
      </c>
      <c r="CS43" s="3">
        <v>83057000</v>
      </c>
      <c r="CT43" s="3">
        <v>32015000</v>
      </c>
      <c r="CU43" s="3">
        <v>125825000</v>
      </c>
      <c r="CV43" s="3"/>
      <c r="CW43" s="3"/>
      <c r="CX43" s="3"/>
      <c r="CY43" s="3"/>
      <c r="CZ43" s="3"/>
      <c r="DA43" s="3"/>
      <c r="DB43" s="3"/>
      <c r="DC43" s="3"/>
      <c r="DD43" s="3"/>
      <c r="DE43" s="3"/>
      <c r="DF43" s="3"/>
      <c r="DG43" s="3"/>
      <c r="DH43" s="3"/>
      <c r="DI43" s="3"/>
      <c r="DJ43" s="3"/>
      <c r="DK43" s="3"/>
      <c r="DL43" s="3"/>
      <c r="DM43" s="3"/>
      <c r="DN43" s="3"/>
      <c r="DO43" s="3"/>
      <c r="DP43" s="3">
        <v>13594000</v>
      </c>
      <c r="DQ43" s="3">
        <v>71972000</v>
      </c>
      <c r="DR43" s="3">
        <v>64572000</v>
      </c>
      <c r="DS43" s="3">
        <v>150138000</v>
      </c>
      <c r="DT43" s="3">
        <v>13594000</v>
      </c>
      <c r="DU43" s="3">
        <v>71972000</v>
      </c>
      <c r="DV43" s="3">
        <v>64572000</v>
      </c>
      <c r="DW43" s="3">
        <v>150138000</v>
      </c>
      <c r="DX43" s="3"/>
      <c r="DY43" s="3"/>
      <c r="DZ43" s="3"/>
      <c r="EA43" s="3"/>
      <c r="EB43" s="3"/>
      <c r="EC43" s="3"/>
      <c r="ED43" s="3"/>
      <c r="EE43" s="3"/>
      <c r="EF43" s="3"/>
      <c r="EG43" s="3"/>
      <c r="EH43" s="3"/>
      <c r="EI43" s="3"/>
      <c r="EJ43" s="3"/>
      <c r="EK43" s="3"/>
      <c r="EL43" s="3"/>
      <c r="EM43" s="3"/>
      <c r="EN43" s="3"/>
      <c r="EO43" s="3"/>
      <c r="EP43" s="3"/>
      <c r="EQ43" s="3"/>
      <c r="ER43" s="3">
        <v>15029000</v>
      </c>
      <c r="ES43" s="3">
        <v>32596000</v>
      </c>
      <c r="ET43" s="3">
        <v>0</v>
      </c>
      <c r="EU43" s="3">
        <v>47625000</v>
      </c>
      <c r="EV43" s="3">
        <v>15029000</v>
      </c>
      <c r="EW43" s="3">
        <v>32596000</v>
      </c>
      <c r="EX43" s="3">
        <v>0</v>
      </c>
      <c r="EY43" s="3">
        <v>47625000</v>
      </c>
      <c r="EZ43" s="3"/>
      <c r="FA43" s="3"/>
      <c r="FB43" s="3"/>
      <c r="FC43" s="3"/>
      <c r="FD43" s="3"/>
      <c r="FE43" s="3"/>
      <c r="FF43" s="3"/>
      <c r="FG43" s="3"/>
      <c r="FH43" s="6"/>
      <c r="FI43" s="3"/>
      <c r="FJ43" s="3"/>
      <c r="FK43" s="3"/>
      <c r="FL43" s="3"/>
      <c r="FM43" s="3"/>
      <c r="FN43" s="3"/>
      <c r="FO43" s="3"/>
      <c r="FP43" s="3"/>
      <c r="FQ43" s="3"/>
      <c r="FR43" s="3"/>
      <c r="FS43" s="3"/>
      <c r="FT43" s="3">
        <v>14428000</v>
      </c>
      <c r="FU43" s="3">
        <v>151818000</v>
      </c>
      <c r="FV43" s="3">
        <v>20065000</v>
      </c>
      <c r="FW43" s="3">
        <v>186311000</v>
      </c>
      <c r="FX43" s="3">
        <v>14428000</v>
      </c>
      <c r="FY43" s="3">
        <v>151818000</v>
      </c>
      <c r="FZ43" s="3">
        <v>20065000</v>
      </c>
      <c r="GA43" s="3">
        <v>186311000</v>
      </c>
      <c r="GB43" s="3"/>
      <c r="GC43" s="3"/>
      <c r="GD43" s="3"/>
      <c r="GE43" s="3"/>
      <c r="GF43" s="3"/>
      <c r="GG43" s="3"/>
      <c r="GH43" s="3"/>
      <c r="GI43" s="3"/>
      <c r="GJ43" s="3"/>
      <c r="GK43" s="3"/>
      <c r="GL43" s="3"/>
      <c r="GM43" s="3"/>
      <c r="GN43" s="3"/>
      <c r="GO43" s="3"/>
      <c r="GP43" s="3"/>
      <c r="GQ43" s="3"/>
      <c r="GR43" s="3"/>
      <c r="GS43" s="6"/>
      <c r="GT43" s="3"/>
      <c r="GU43" s="3"/>
      <c r="GV43" s="3">
        <v>11200000</v>
      </c>
      <c r="GW43" s="3">
        <v>143639000</v>
      </c>
      <c r="GX43" s="3">
        <v>21430000</v>
      </c>
      <c r="GY43" s="3">
        <v>176269000</v>
      </c>
      <c r="GZ43" s="3">
        <v>11200000</v>
      </c>
      <c r="HA43" s="3">
        <v>143639000</v>
      </c>
      <c r="HB43" s="3">
        <v>21430000</v>
      </c>
      <c r="HC43" s="3">
        <v>176269000</v>
      </c>
      <c r="HD43" s="3"/>
      <c r="HE43" s="3"/>
      <c r="HF43" s="3"/>
      <c r="HG43" s="3"/>
      <c r="HH43" s="3"/>
      <c r="HI43" s="3"/>
      <c r="HJ43" s="3"/>
      <c r="HK43" s="3"/>
      <c r="HL43" s="3"/>
      <c r="HM43" s="3"/>
      <c r="HN43" s="3"/>
      <c r="HO43" s="3"/>
      <c r="HP43" s="3"/>
      <c r="HQ43" s="3"/>
      <c r="HR43" s="3"/>
      <c r="HS43" s="3"/>
      <c r="HT43" s="3"/>
      <c r="HU43" s="3"/>
      <c r="HV43" s="3"/>
      <c r="HW43" s="3"/>
      <c r="HX43" s="3">
        <v>12087000</v>
      </c>
      <c r="HY43" s="3">
        <v>161285000</v>
      </c>
      <c r="HZ43" s="3">
        <v>68530000</v>
      </c>
      <c r="IA43" s="3">
        <v>241902000</v>
      </c>
      <c r="IB43" s="3">
        <v>12087000</v>
      </c>
      <c r="IC43" s="3">
        <v>161285000</v>
      </c>
      <c r="ID43" s="3">
        <v>68530000</v>
      </c>
      <c r="IE43" s="3">
        <v>241902000</v>
      </c>
      <c r="IF43" s="3"/>
      <c r="IG43" s="3"/>
      <c r="IH43" s="3"/>
      <c r="II43" s="3"/>
      <c r="IJ43" s="3"/>
      <c r="IK43" s="3"/>
      <c r="IL43" s="3"/>
      <c r="IM43" s="3"/>
      <c r="IN43" s="3"/>
      <c r="IO43" s="3"/>
      <c r="IP43" s="3"/>
      <c r="IQ43" s="3"/>
      <c r="IR43" s="3"/>
      <c r="IS43" s="3"/>
      <c r="IT43" s="3"/>
      <c r="IU43" s="3"/>
      <c r="IV43" s="3"/>
      <c r="IW43" s="3"/>
      <c r="IX43" s="3"/>
      <c r="IY43" s="3"/>
      <c r="IZ43" s="3">
        <v>12097000</v>
      </c>
      <c r="JA43" s="3">
        <v>131641000</v>
      </c>
      <c r="JB43" s="3">
        <v>0</v>
      </c>
      <c r="JC43" s="3">
        <v>143738000</v>
      </c>
      <c r="JD43" s="3"/>
      <c r="JE43" s="3"/>
      <c r="JF43" s="3"/>
      <c r="JG43" s="3"/>
    </row>
    <row r="44" spans="1:267" x14ac:dyDescent="0.25">
      <c r="A44" t="s">
        <v>1153</v>
      </c>
      <c r="B44" t="s">
        <v>1154</v>
      </c>
      <c r="C44" t="s">
        <v>556</v>
      </c>
      <c r="D44" t="s">
        <v>1164</v>
      </c>
      <c r="E44" t="s">
        <v>208</v>
      </c>
      <c r="F44" t="s">
        <v>211</v>
      </c>
      <c r="G44" t="s">
        <v>1222</v>
      </c>
      <c r="H44" s="3">
        <v>9094000</v>
      </c>
      <c r="I44" s="3">
        <v>7953000</v>
      </c>
      <c r="J44" s="3">
        <v>0</v>
      </c>
      <c r="K44" s="3">
        <v>17047000</v>
      </c>
      <c r="L44" s="3">
        <v>9094000</v>
      </c>
      <c r="M44" s="3">
        <v>7953000</v>
      </c>
      <c r="N44" s="3">
        <v>0</v>
      </c>
      <c r="O44" s="3">
        <v>17047000</v>
      </c>
      <c r="P44" s="3"/>
      <c r="Q44" s="3"/>
      <c r="R44" s="3"/>
      <c r="S44" s="3"/>
      <c r="T44" s="3"/>
      <c r="U44" s="3"/>
      <c r="V44" s="3"/>
      <c r="W44" s="3"/>
      <c r="X44" s="6"/>
      <c r="Y44" s="3"/>
      <c r="Z44" s="3"/>
      <c r="AA44" s="3"/>
      <c r="AB44" s="3"/>
      <c r="AC44" s="3"/>
      <c r="AD44" s="3"/>
      <c r="AE44" s="3"/>
      <c r="AF44" s="3"/>
      <c r="AG44" s="3"/>
      <c r="AH44" s="3"/>
      <c r="AI44" s="3"/>
      <c r="AJ44" s="3">
        <v>9389000</v>
      </c>
      <c r="AK44" s="3">
        <v>6680000</v>
      </c>
      <c r="AL44" s="3">
        <v>0</v>
      </c>
      <c r="AM44" s="3">
        <v>16069000</v>
      </c>
      <c r="AN44" s="3">
        <v>9389000</v>
      </c>
      <c r="AO44" s="3">
        <v>6680000</v>
      </c>
      <c r="AP44" s="3">
        <v>0</v>
      </c>
      <c r="AQ44" s="3">
        <v>16069000</v>
      </c>
      <c r="AR44" s="3"/>
      <c r="AS44" s="3"/>
      <c r="AT44" s="3"/>
      <c r="AU44" s="3"/>
      <c r="AV44" s="3"/>
      <c r="AW44" s="3"/>
      <c r="AX44" s="3"/>
      <c r="AY44" s="3"/>
      <c r="AZ44" s="3"/>
      <c r="BA44" s="3"/>
      <c r="BB44" s="3"/>
      <c r="BC44" s="3"/>
      <c r="BD44" s="3"/>
      <c r="BE44" s="3"/>
      <c r="BF44" s="3"/>
      <c r="BG44" s="3"/>
      <c r="BH44" s="3"/>
      <c r="BI44" s="3"/>
      <c r="BJ44" s="3"/>
      <c r="BK44" s="3"/>
      <c r="BL44" s="3">
        <v>6606000</v>
      </c>
      <c r="BM44" s="3">
        <v>5380000</v>
      </c>
      <c r="BN44" s="3">
        <v>0</v>
      </c>
      <c r="BO44" s="3">
        <v>11986000</v>
      </c>
      <c r="BP44" s="3">
        <v>6606000</v>
      </c>
      <c r="BQ44" s="3">
        <v>5380000</v>
      </c>
      <c r="BR44" s="3">
        <v>0</v>
      </c>
      <c r="BS44" s="3">
        <v>11986000</v>
      </c>
      <c r="BT44" s="3"/>
      <c r="BU44" s="3"/>
      <c r="BV44" s="3"/>
      <c r="BW44" s="3"/>
      <c r="BX44" s="3"/>
      <c r="BY44" s="3"/>
      <c r="BZ44" s="3"/>
      <c r="CA44" s="3"/>
      <c r="CB44" s="3"/>
      <c r="CC44" s="3"/>
      <c r="CD44" s="3"/>
      <c r="CE44" s="6"/>
      <c r="CF44" s="3"/>
      <c r="CG44" s="3"/>
      <c r="CH44" s="3"/>
      <c r="CI44" s="3"/>
      <c r="CJ44" s="3"/>
      <c r="CK44" s="3"/>
      <c r="CL44" s="3"/>
      <c r="CM44" s="3"/>
      <c r="CN44" s="3">
        <v>7100000</v>
      </c>
      <c r="CO44" s="3">
        <v>5478000</v>
      </c>
      <c r="CP44" s="3">
        <v>0</v>
      </c>
      <c r="CQ44" s="3">
        <v>12578000</v>
      </c>
      <c r="CR44" s="3">
        <v>7100000</v>
      </c>
      <c r="CS44" s="3">
        <v>5478000</v>
      </c>
      <c r="CT44" s="3">
        <v>0</v>
      </c>
      <c r="CU44" s="3">
        <v>12578000</v>
      </c>
      <c r="CV44" s="3"/>
      <c r="CW44" s="3"/>
      <c r="CX44" s="3"/>
      <c r="CY44" s="3"/>
      <c r="CZ44" s="3"/>
      <c r="DA44" s="3"/>
      <c r="DB44" s="3"/>
      <c r="DC44" s="3"/>
      <c r="DD44" s="3"/>
      <c r="DE44" s="3"/>
      <c r="DF44" s="3"/>
      <c r="DG44" s="3"/>
      <c r="DH44" s="3"/>
      <c r="DI44" s="3"/>
      <c r="DJ44" s="3"/>
      <c r="DK44" s="3"/>
      <c r="DL44" s="3"/>
      <c r="DM44" s="3"/>
      <c r="DN44" s="3"/>
      <c r="DO44" s="3"/>
      <c r="DP44" s="3">
        <v>9810000</v>
      </c>
      <c r="DQ44" s="3">
        <v>5478000</v>
      </c>
      <c r="DR44" s="3">
        <v>0</v>
      </c>
      <c r="DS44" s="3">
        <v>15288000</v>
      </c>
      <c r="DT44" s="3">
        <v>9810000</v>
      </c>
      <c r="DU44" s="3">
        <v>5478000</v>
      </c>
      <c r="DV44" s="3">
        <v>0</v>
      </c>
      <c r="DW44" s="3">
        <v>15288000</v>
      </c>
      <c r="DX44" s="3"/>
      <c r="DY44" s="3"/>
      <c r="DZ44" s="3"/>
      <c r="EA44" s="3"/>
      <c r="EB44" s="3"/>
      <c r="EC44" s="3"/>
      <c r="ED44" s="3"/>
      <c r="EE44" s="3"/>
      <c r="EF44" s="3"/>
      <c r="EG44" s="3"/>
      <c r="EH44" s="3"/>
      <c r="EI44" s="3"/>
      <c r="EJ44" s="3"/>
      <c r="EK44" s="3"/>
      <c r="EL44" s="3"/>
      <c r="EM44" s="3"/>
      <c r="EN44" s="3"/>
      <c r="EO44" s="3"/>
      <c r="EP44" s="3"/>
      <c r="EQ44" s="3"/>
      <c r="ER44" s="3">
        <v>11115000</v>
      </c>
      <c r="ES44" s="3">
        <v>3443000</v>
      </c>
      <c r="ET44" s="3">
        <v>0</v>
      </c>
      <c r="EU44" s="3">
        <v>14558000</v>
      </c>
      <c r="EV44" s="3">
        <v>11115000</v>
      </c>
      <c r="EW44" s="3">
        <v>3443000</v>
      </c>
      <c r="EX44" s="3">
        <v>0</v>
      </c>
      <c r="EY44" s="3">
        <v>14558000</v>
      </c>
      <c r="EZ44" s="3"/>
      <c r="FA44" s="3"/>
      <c r="FB44" s="3"/>
      <c r="FC44" s="3"/>
      <c r="FD44" s="3"/>
      <c r="FE44" s="3"/>
      <c r="FF44" s="3"/>
      <c r="FG44" s="3"/>
      <c r="FH44" s="6"/>
      <c r="FI44" s="3"/>
      <c r="FJ44" s="3"/>
      <c r="FK44" s="3"/>
      <c r="FL44" s="3"/>
      <c r="FM44" s="3"/>
      <c r="FN44" s="3"/>
      <c r="FO44" s="3"/>
      <c r="FP44" s="3"/>
      <c r="FQ44" s="3"/>
      <c r="FR44" s="3"/>
      <c r="FS44" s="3"/>
      <c r="FT44" s="3">
        <v>12411000</v>
      </c>
      <c r="FU44" s="3">
        <v>4846000</v>
      </c>
      <c r="FV44" s="3">
        <v>180000</v>
      </c>
      <c r="FW44" s="3">
        <v>17437000</v>
      </c>
      <c r="FX44" s="3">
        <v>12411000</v>
      </c>
      <c r="FY44" s="3">
        <v>4846000</v>
      </c>
      <c r="FZ44" s="3">
        <v>180000</v>
      </c>
      <c r="GA44" s="3">
        <v>17437000</v>
      </c>
      <c r="GB44" s="3"/>
      <c r="GC44" s="3"/>
      <c r="GD44" s="3"/>
      <c r="GE44" s="3"/>
      <c r="GF44" s="3"/>
      <c r="GG44" s="3"/>
      <c r="GH44" s="3"/>
      <c r="GI44" s="3"/>
      <c r="GJ44" s="3"/>
      <c r="GK44" s="3"/>
      <c r="GL44" s="3"/>
      <c r="GM44" s="3"/>
      <c r="GN44" s="3"/>
      <c r="GO44" s="3"/>
      <c r="GP44" s="3"/>
      <c r="GQ44" s="3"/>
      <c r="GR44" s="3"/>
      <c r="GS44" s="6"/>
      <c r="GT44" s="3"/>
      <c r="GU44" s="3"/>
      <c r="GV44" s="3">
        <v>12266000</v>
      </c>
      <c r="GW44" s="3">
        <v>5514000</v>
      </c>
      <c r="GX44" s="3">
        <v>0</v>
      </c>
      <c r="GY44" s="3">
        <v>17780000</v>
      </c>
      <c r="GZ44" s="3">
        <v>12266000</v>
      </c>
      <c r="HA44" s="3">
        <v>5514000</v>
      </c>
      <c r="HB44" s="3">
        <v>0</v>
      </c>
      <c r="HC44" s="3">
        <v>17780000</v>
      </c>
      <c r="HD44" s="3"/>
      <c r="HE44" s="3"/>
      <c r="HF44" s="3"/>
      <c r="HG44" s="3"/>
      <c r="HH44" s="3"/>
      <c r="HI44" s="3"/>
      <c r="HJ44" s="3"/>
      <c r="HK44" s="3"/>
      <c r="HL44" s="3"/>
      <c r="HM44" s="3"/>
      <c r="HN44" s="3"/>
      <c r="HO44" s="3"/>
      <c r="HP44" s="3"/>
      <c r="HQ44" s="3"/>
      <c r="HR44" s="3"/>
      <c r="HS44" s="3"/>
      <c r="HT44" s="3"/>
      <c r="HU44" s="3"/>
      <c r="HV44" s="3"/>
      <c r="HW44" s="3"/>
      <c r="HX44" s="3">
        <v>12883000</v>
      </c>
      <c r="HY44" s="3">
        <v>7031000</v>
      </c>
      <c r="HZ44" s="3">
        <v>0</v>
      </c>
      <c r="IA44" s="3">
        <v>19914000</v>
      </c>
      <c r="IB44" s="3">
        <v>12883000</v>
      </c>
      <c r="IC44" s="3">
        <v>7031000</v>
      </c>
      <c r="ID44" s="3">
        <v>0</v>
      </c>
      <c r="IE44" s="3">
        <v>19914000</v>
      </c>
      <c r="IF44" s="3"/>
      <c r="IG44" s="3"/>
      <c r="IH44" s="3"/>
      <c r="II44" s="3"/>
      <c r="IJ44" s="3"/>
      <c r="IK44" s="3"/>
      <c r="IL44" s="3"/>
      <c r="IM44" s="3"/>
      <c r="IN44" s="3"/>
      <c r="IO44" s="3"/>
      <c r="IP44" s="3"/>
      <c r="IQ44" s="3"/>
      <c r="IR44" s="3"/>
      <c r="IS44" s="3"/>
      <c r="IT44" s="3"/>
      <c r="IU44" s="3"/>
      <c r="IV44" s="3"/>
      <c r="IW44" s="3"/>
      <c r="IX44" s="3"/>
      <c r="IY44" s="3"/>
      <c r="IZ44" s="3">
        <v>15317000</v>
      </c>
      <c r="JA44" s="3">
        <v>7158000</v>
      </c>
      <c r="JB44" s="3">
        <v>0</v>
      </c>
      <c r="JC44" s="3">
        <v>22475000</v>
      </c>
      <c r="JD44" s="3"/>
      <c r="JE44" s="3"/>
      <c r="JF44" s="3"/>
      <c r="JG44" s="3"/>
    </row>
    <row r="45" spans="1:267" x14ac:dyDescent="0.25">
      <c r="A45" t="s">
        <v>1153</v>
      </c>
      <c r="B45" t="s">
        <v>1154</v>
      </c>
      <c r="C45" t="s">
        <v>556</v>
      </c>
      <c r="D45" t="s">
        <v>1164</v>
      </c>
      <c r="E45" t="s">
        <v>208</v>
      </c>
      <c r="F45" t="s">
        <v>213</v>
      </c>
      <c r="G45" t="s">
        <v>1078</v>
      </c>
      <c r="H45" s="3">
        <v>21580000</v>
      </c>
      <c r="I45" s="3">
        <v>7003000</v>
      </c>
      <c r="J45" s="3">
        <v>0</v>
      </c>
      <c r="K45" s="3">
        <v>28583000</v>
      </c>
      <c r="L45" s="3">
        <v>21580000</v>
      </c>
      <c r="M45" s="3">
        <v>7003000</v>
      </c>
      <c r="N45" s="3">
        <v>0</v>
      </c>
      <c r="O45" s="3">
        <v>28583000</v>
      </c>
      <c r="P45" s="3"/>
      <c r="Q45" s="3"/>
      <c r="R45" s="3"/>
      <c r="S45" s="3"/>
      <c r="T45" s="3"/>
      <c r="U45" s="3"/>
      <c r="V45" s="3"/>
      <c r="W45" s="3"/>
      <c r="X45" s="6"/>
      <c r="Y45" s="3"/>
      <c r="Z45" s="3"/>
      <c r="AA45" s="3"/>
      <c r="AB45" s="3"/>
      <c r="AC45" s="3"/>
      <c r="AD45" s="3"/>
      <c r="AE45" s="3"/>
      <c r="AF45" s="3"/>
      <c r="AG45" s="3"/>
      <c r="AH45" s="3"/>
      <c r="AI45" s="3"/>
      <c r="AJ45" s="3">
        <v>23656000</v>
      </c>
      <c r="AK45" s="3">
        <v>5882000</v>
      </c>
      <c r="AL45" s="3">
        <v>0</v>
      </c>
      <c r="AM45" s="3">
        <v>29538000</v>
      </c>
      <c r="AN45" s="3">
        <v>23656000</v>
      </c>
      <c r="AO45" s="3">
        <v>5882000</v>
      </c>
      <c r="AP45" s="3">
        <v>0</v>
      </c>
      <c r="AQ45" s="3">
        <v>29538000</v>
      </c>
      <c r="AR45" s="3"/>
      <c r="AS45" s="3"/>
      <c r="AT45" s="3"/>
      <c r="AU45" s="3"/>
      <c r="AV45" s="3"/>
      <c r="AW45" s="3"/>
      <c r="AX45" s="3"/>
      <c r="AY45" s="3"/>
      <c r="AZ45" s="3"/>
      <c r="BA45" s="3"/>
      <c r="BB45" s="3"/>
      <c r="BC45" s="3"/>
      <c r="BD45" s="3"/>
      <c r="BE45" s="3"/>
      <c r="BF45" s="3"/>
      <c r="BG45" s="3"/>
      <c r="BH45" s="3"/>
      <c r="BI45" s="3"/>
      <c r="BJ45" s="3"/>
      <c r="BK45" s="3"/>
      <c r="BL45" s="3">
        <v>19750000</v>
      </c>
      <c r="BM45" s="3">
        <v>5283000</v>
      </c>
      <c r="BN45" s="3">
        <v>0</v>
      </c>
      <c r="BO45" s="3">
        <v>25033000</v>
      </c>
      <c r="BP45" s="3">
        <v>19750000</v>
      </c>
      <c r="BQ45" s="3">
        <v>5283000</v>
      </c>
      <c r="BR45" s="3">
        <v>0</v>
      </c>
      <c r="BS45" s="3">
        <v>25033000</v>
      </c>
      <c r="BT45" s="3"/>
      <c r="BU45" s="3"/>
      <c r="BV45" s="3"/>
      <c r="BW45" s="3"/>
      <c r="BX45" s="3"/>
      <c r="BY45" s="3"/>
      <c r="BZ45" s="3"/>
      <c r="CA45" s="3"/>
      <c r="CB45" s="3"/>
      <c r="CC45" s="3"/>
      <c r="CD45" s="3"/>
      <c r="CE45" s="6"/>
      <c r="CF45" s="3"/>
      <c r="CG45" s="3"/>
      <c r="CH45" s="3"/>
      <c r="CI45" s="3"/>
      <c r="CJ45" s="3"/>
      <c r="CK45" s="3"/>
      <c r="CL45" s="3"/>
      <c r="CM45" s="3"/>
      <c r="CN45" s="3">
        <v>21403000</v>
      </c>
      <c r="CO45" s="3">
        <v>5380000</v>
      </c>
      <c r="CP45" s="3">
        <v>0</v>
      </c>
      <c r="CQ45" s="3">
        <v>26783000</v>
      </c>
      <c r="CR45" s="3">
        <v>21403000</v>
      </c>
      <c r="CS45" s="3">
        <v>5380000</v>
      </c>
      <c r="CT45" s="3">
        <v>0</v>
      </c>
      <c r="CU45" s="3">
        <v>26783000</v>
      </c>
      <c r="CV45" s="3"/>
      <c r="CW45" s="3"/>
      <c r="CX45" s="3"/>
      <c r="CY45" s="3"/>
      <c r="CZ45" s="3"/>
      <c r="DA45" s="3"/>
      <c r="DB45" s="3"/>
      <c r="DC45" s="3"/>
      <c r="DD45" s="3"/>
      <c r="DE45" s="3"/>
      <c r="DF45" s="3"/>
      <c r="DG45" s="3"/>
      <c r="DH45" s="3"/>
      <c r="DI45" s="3"/>
      <c r="DJ45" s="3"/>
      <c r="DK45" s="3"/>
      <c r="DL45" s="3"/>
      <c r="DM45" s="3"/>
      <c r="DN45" s="3"/>
      <c r="DO45" s="3"/>
      <c r="DP45" s="3">
        <v>24135000</v>
      </c>
      <c r="DQ45" s="3">
        <v>5380000</v>
      </c>
      <c r="DR45" s="3">
        <v>0</v>
      </c>
      <c r="DS45" s="3">
        <v>29515000</v>
      </c>
      <c r="DT45" s="3">
        <v>24135000</v>
      </c>
      <c r="DU45" s="3">
        <v>5380000</v>
      </c>
      <c r="DV45" s="3">
        <v>0</v>
      </c>
      <c r="DW45" s="3">
        <v>29515000</v>
      </c>
      <c r="DX45" s="3"/>
      <c r="DY45" s="3"/>
      <c r="DZ45" s="3"/>
      <c r="EA45" s="3"/>
      <c r="EB45" s="3"/>
      <c r="EC45" s="3"/>
      <c r="ED45" s="3"/>
      <c r="EE45" s="3"/>
      <c r="EF45" s="3"/>
      <c r="EG45" s="3"/>
      <c r="EH45" s="3"/>
      <c r="EI45" s="3"/>
      <c r="EJ45" s="3"/>
      <c r="EK45" s="3"/>
      <c r="EL45" s="3"/>
      <c r="EM45" s="3"/>
      <c r="EN45" s="3"/>
      <c r="EO45" s="3"/>
      <c r="EP45" s="3"/>
      <c r="EQ45" s="3"/>
      <c r="ER45" s="3">
        <v>26269000</v>
      </c>
      <c r="ES45" s="3">
        <v>4968000</v>
      </c>
      <c r="ET45" s="3">
        <v>0</v>
      </c>
      <c r="EU45" s="3">
        <v>31237000</v>
      </c>
      <c r="EV45" s="3">
        <v>26269000</v>
      </c>
      <c r="EW45" s="3">
        <v>4968000</v>
      </c>
      <c r="EX45" s="3">
        <v>0</v>
      </c>
      <c r="EY45" s="3">
        <v>31237000</v>
      </c>
      <c r="EZ45" s="3"/>
      <c r="FA45" s="3"/>
      <c r="FB45" s="3"/>
      <c r="FC45" s="3"/>
      <c r="FD45" s="3"/>
      <c r="FE45" s="3"/>
      <c r="FF45" s="3"/>
      <c r="FG45" s="3"/>
      <c r="FH45" s="6"/>
      <c r="FI45" s="3"/>
      <c r="FJ45" s="3"/>
      <c r="FK45" s="3"/>
      <c r="FL45" s="3"/>
      <c r="FM45" s="3"/>
      <c r="FN45" s="3"/>
      <c r="FO45" s="3"/>
      <c r="FP45" s="3"/>
      <c r="FQ45" s="3"/>
      <c r="FR45" s="3"/>
      <c r="FS45" s="3"/>
      <c r="FT45" s="3">
        <v>22381000</v>
      </c>
      <c r="FU45" s="3">
        <v>5058000</v>
      </c>
      <c r="FV45" s="3">
        <v>0</v>
      </c>
      <c r="FW45" s="3">
        <v>27439000</v>
      </c>
      <c r="FX45" s="3">
        <v>22381000</v>
      </c>
      <c r="FY45" s="3">
        <v>5058000</v>
      </c>
      <c r="FZ45" s="3">
        <v>0</v>
      </c>
      <c r="GA45" s="3">
        <v>27439000</v>
      </c>
      <c r="GB45" s="3"/>
      <c r="GC45" s="3"/>
      <c r="GD45" s="3"/>
      <c r="GE45" s="3"/>
      <c r="GF45" s="3"/>
      <c r="GG45" s="3"/>
      <c r="GH45" s="3"/>
      <c r="GI45" s="3"/>
      <c r="GJ45" s="3"/>
      <c r="GK45" s="3"/>
      <c r="GL45" s="3"/>
      <c r="GM45" s="3"/>
      <c r="GN45" s="3"/>
      <c r="GO45" s="3"/>
      <c r="GP45" s="3"/>
      <c r="GQ45" s="3"/>
      <c r="GR45" s="3"/>
      <c r="GS45" s="6"/>
      <c r="GT45" s="3"/>
      <c r="GU45" s="3"/>
      <c r="GV45" s="3">
        <v>22206000</v>
      </c>
      <c r="GW45" s="3">
        <v>157334000</v>
      </c>
      <c r="GX45" s="3">
        <v>0</v>
      </c>
      <c r="GY45" s="3">
        <v>179540000</v>
      </c>
      <c r="GZ45" s="3">
        <v>22206000</v>
      </c>
      <c r="HA45" s="3">
        <v>157334000</v>
      </c>
      <c r="HB45" s="3">
        <v>0</v>
      </c>
      <c r="HC45" s="3">
        <v>179540000</v>
      </c>
      <c r="HD45" s="3"/>
      <c r="HE45" s="3"/>
      <c r="HF45" s="3"/>
      <c r="HG45" s="3"/>
      <c r="HH45" s="3"/>
      <c r="HI45" s="3"/>
      <c r="HJ45" s="3"/>
      <c r="HK45" s="3"/>
      <c r="HL45" s="3"/>
      <c r="HM45" s="3"/>
      <c r="HN45" s="3"/>
      <c r="HO45" s="3"/>
      <c r="HP45" s="3"/>
      <c r="HQ45" s="3"/>
      <c r="HR45" s="3"/>
      <c r="HS45" s="3"/>
      <c r="HT45" s="3"/>
      <c r="HU45" s="3"/>
      <c r="HV45" s="3"/>
      <c r="HW45" s="3"/>
      <c r="HX45" s="3">
        <v>29976000</v>
      </c>
      <c r="HY45" s="3">
        <v>18078000</v>
      </c>
      <c r="HZ45" s="3">
        <v>0</v>
      </c>
      <c r="IA45" s="3">
        <v>48054000</v>
      </c>
      <c r="IB45" s="3">
        <v>29976000</v>
      </c>
      <c r="IC45" s="3">
        <v>18078000</v>
      </c>
      <c r="ID45" s="3">
        <v>0</v>
      </c>
      <c r="IE45" s="3">
        <v>48054000</v>
      </c>
      <c r="IF45" s="3"/>
      <c r="IG45" s="3"/>
      <c r="IH45" s="3"/>
      <c r="II45" s="3"/>
      <c r="IJ45" s="3"/>
      <c r="IK45" s="3"/>
      <c r="IL45" s="3"/>
      <c r="IM45" s="3"/>
      <c r="IN45" s="3"/>
      <c r="IO45" s="3"/>
      <c r="IP45" s="3"/>
      <c r="IQ45" s="3"/>
      <c r="IR45" s="3"/>
      <c r="IS45" s="3"/>
      <c r="IT45" s="3"/>
      <c r="IU45" s="3"/>
      <c r="IV45" s="3"/>
      <c r="IW45" s="3"/>
      <c r="IX45" s="3"/>
      <c r="IY45" s="3"/>
      <c r="IZ45" s="3">
        <v>30765000</v>
      </c>
      <c r="JA45" s="3">
        <v>9296000</v>
      </c>
      <c r="JB45" s="3">
        <v>0</v>
      </c>
      <c r="JC45" s="3">
        <v>40061000</v>
      </c>
      <c r="JD45" s="3"/>
      <c r="JE45" s="3"/>
      <c r="JF45" s="3"/>
      <c r="JG45" s="3"/>
    </row>
    <row r="46" spans="1:267" x14ac:dyDescent="0.25">
      <c r="A46" t="s">
        <v>1153</v>
      </c>
      <c r="B46" t="s">
        <v>1154</v>
      </c>
      <c r="C46" t="s">
        <v>556</v>
      </c>
      <c r="D46" t="s">
        <v>1164</v>
      </c>
      <c r="E46" t="s">
        <v>217</v>
      </c>
      <c r="F46" t="s">
        <v>218</v>
      </c>
      <c r="G46" t="s">
        <v>1223</v>
      </c>
      <c r="H46" s="3">
        <v>222627000</v>
      </c>
      <c r="I46" s="3">
        <v>56966000</v>
      </c>
      <c r="J46" s="3">
        <v>10000000</v>
      </c>
      <c r="K46" s="3">
        <v>289593000</v>
      </c>
      <c r="L46" s="3">
        <v>222627000</v>
      </c>
      <c r="M46" s="3">
        <v>56966000</v>
      </c>
      <c r="N46" s="3">
        <v>10000000</v>
      </c>
      <c r="O46" s="3">
        <v>289593000</v>
      </c>
      <c r="P46" s="3"/>
      <c r="Q46" s="3"/>
      <c r="R46" s="3"/>
      <c r="S46" s="3"/>
      <c r="T46" s="3"/>
      <c r="U46" s="3"/>
      <c r="V46" s="3"/>
      <c r="W46" s="3"/>
      <c r="X46" s="6"/>
      <c r="Y46" s="3"/>
      <c r="Z46" s="3"/>
      <c r="AA46" s="3"/>
      <c r="AB46" s="3"/>
      <c r="AC46" s="3"/>
      <c r="AD46" s="3"/>
      <c r="AE46" s="3"/>
      <c r="AF46" s="3"/>
      <c r="AG46" s="3"/>
      <c r="AH46" s="3"/>
      <c r="AI46" s="3"/>
      <c r="AJ46" s="3">
        <v>254431000</v>
      </c>
      <c r="AK46" s="3">
        <v>57848000</v>
      </c>
      <c r="AL46" s="3">
        <v>0</v>
      </c>
      <c r="AM46" s="3">
        <v>312279000</v>
      </c>
      <c r="AN46" s="3">
        <v>254431000</v>
      </c>
      <c r="AO46" s="3">
        <v>57848000</v>
      </c>
      <c r="AP46" s="3">
        <v>0</v>
      </c>
      <c r="AQ46" s="3">
        <v>312279000</v>
      </c>
      <c r="AR46" s="3"/>
      <c r="AS46" s="3"/>
      <c r="AT46" s="3"/>
      <c r="AU46" s="3"/>
      <c r="AV46" s="3"/>
      <c r="AW46" s="3"/>
      <c r="AX46" s="3"/>
      <c r="AY46" s="3"/>
      <c r="AZ46" s="3"/>
      <c r="BA46" s="3"/>
      <c r="BB46" s="3"/>
      <c r="BC46" s="3"/>
      <c r="BD46" s="3"/>
      <c r="BE46" s="3"/>
      <c r="BF46" s="3"/>
      <c r="BG46" s="3"/>
      <c r="BH46" s="3"/>
      <c r="BI46" s="3"/>
      <c r="BJ46" s="3"/>
      <c r="BK46" s="3"/>
      <c r="BL46" s="3">
        <v>264748000</v>
      </c>
      <c r="BM46" s="3">
        <v>57574000</v>
      </c>
      <c r="BN46" s="3">
        <v>0</v>
      </c>
      <c r="BO46" s="3">
        <v>322322000</v>
      </c>
      <c r="BP46" s="3">
        <v>264748000</v>
      </c>
      <c r="BQ46" s="3">
        <v>57574000</v>
      </c>
      <c r="BR46" s="3">
        <v>0</v>
      </c>
      <c r="BS46" s="3">
        <v>322322000</v>
      </c>
      <c r="BT46" s="3"/>
      <c r="BU46" s="3"/>
      <c r="BV46" s="3"/>
      <c r="BW46" s="3"/>
      <c r="BX46" s="3"/>
      <c r="BY46" s="3"/>
      <c r="BZ46" s="3"/>
      <c r="CA46" s="3"/>
      <c r="CB46" s="3"/>
      <c r="CC46" s="3"/>
      <c r="CD46" s="3"/>
      <c r="CE46" s="6"/>
      <c r="CF46" s="3"/>
      <c r="CG46" s="3"/>
      <c r="CH46" s="3"/>
      <c r="CI46" s="3"/>
      <c r="CJ46" s="3"/>
      <c r="CK46" s="3"/>
      <c r="CL46" s="3"/>
      <c r="CM46" s="3"/>
      <c r="CN46" s="3">
        <v>271830000</v>
      </c>
      <c r="CO46" s="3">
        <v>48441000</v>
      </c>
      <c r="CP46" s="3">
        <v>0</v>
      </c>
      <c r="CQ46" s="3">
        <v>320271000</v>
      </c>
      <c r="CR46" s="3">
        <v>271830000</v>
      </c>
      <c r="CS46" s="3">
        <v>48441000</v>
      </c>
      <c r="CT46" s="3">
        <v>0</v>
      </c>
      <c r="CU46" s="3">
        <v>320271000</v>
      </c>
      <c r="CV46" s="3"/>
      <c r="CW46" s="3"/>
      <c r="CX46" s="3"/>
      <c r="CY46" s="3"/>
      <c r="CZ46" s="3"/>
      <c r="DA46" s="3"/>
      <c r="DB46" s="3"/>
      <c r="DC46" s="3"/>
      <c r="DD46" s="3"/>
      <c r="DE46" s="3"/>
      <c r="DF46" s="3"/>
      <c r="DG46" s="3"/>
      <c r="DH46" s="3"/>
      <c r="DI46" s="3"/>
      <c r="DJ46" s="3"/>
      <c r="DK46" s="3"/>
      <c r="DL46" s="3"/>
      <c r="DM46" s="3"/>
      <c r="DN46" s="3"/>
      <c r="DO46" s="3"/>
      <c r="DP46" s="3">
        <v>280300000</v>
      </c>
      <c r="DQ46" s="3">
        <v>95331000</v>
      </c>
      <c r="DR46" s="3">
        <v>0</v>
      </c>
      <c r="DS46" s="3">
        <v>375631000</v>
      </c>
      <c r="DT46" s="3">
        <v>280300000</v>
      </c>
      <c r="DU46" s="3">
        <v>95331000</v>
      </c>
      <c r="DV46" s="3">
        <v>0</v>
      </c>
      <c r="DW46" s="3">
        <v>375631000</v>
      </c>
      <c r="DX46" s="3"/>
      <c r="DY46" s="3"/>
      <c r="DZ46" s="3"/>
      <c r="EA46" s="3"/>
      <c r="EB46" s="3"/>
      <c r="EC46" s="3"/>
      <c r="ED46" s="3"/>
      <c r="EE46" s="3"/>
      <c r="EF46" s="3"/>
      <c r="EG46" s="3"/>
      <c r="EH46" s="3"/>
      <c r="EI46" s="3"/>
      <c r="EJ46" s="3"/>
      <c r="EK46" s="3"/>
      <c r="EL46" s="3"/>
      <c r="EM46" s="3"/>
      <c r="EN46" s="3"/>
      <c r="EO46" s="3"/>
      <c r="EP46" s="3"/>
      <c r="EQ46" s="3"/>
      <c r="ER46" s="3">
        <v>293712000</v>
      </c>
      <c r="ES46" s="3">
        <v>93953000</v>
      </c>
      <c r="ET46" s="3">
        <v>0</v>
      </c>
      <c r="EU46" s="3">
        <v>387665000</v>
      </c>
      <c r="EV46" s="3">
        <v>293712000</v>
      </c>
      <c r="EW46" s="3">
        <v>93953000</v>
      </c>
      <c r="EX46" s="3">
        <v>0</v>
      </c>
      <c r="EY46" s="3">
        <v>387665000</v>
      </c>
      <c r="EZ46" s="3"/>
      <c r="FA46" s="3"/>
      <c r="FB46" s="3"/>
      <c r="FC46" s="3"/>
      <c r="FD46" s="3"/>
      <c r="FE46" s="3"/>
      <c r="FF46" s="3"/>
      <c r="FG46" s="3"/>
      <c r="FH46" s="6"/>
      <c r="FI46" s="3"/>
      <c r="FJ46" s="3"/>
      <c r="FK46" s="3"/>
      <c r="FL46" s="3"/>
      <c r="FM46" s="3"/>
      <c r="FN46" s="3"/>
      <c r="FO46" s="3"/>
      <c r="FP46" s="3"/>
      <c r="FQ46" s="3"/>
      <c r="FR46" s="3"/>
      <c r="FS46" s="3"/>
      <c r="FT46" s="3">
        <v>293951000</v>
      </c>
      <c r="FU46" s="3">
        <v>97263000</v>
      </c>
      <c r="FV46" s="3">
        <v>10220000</v>
      </c>
      <c r="FW46" s="3">
        <v>401434000</v>
      </c>
      <c r="FX46" s="3">
        <v>293951000</v>
      </c>
      <c r="FY46" s="3">
        <v>97263000</v>
      </c>
      <c r="FZ46" s="3">
        <v>10220000</v>
      </c>
      <c r="GA46" s="3">
        <v>401434000</v>
      </c>
      <c r="GB46" s="3"/>
      <c r="GC46" s="3"/>
      <c r="GD46" s="3"/>
      <c r="GE46" s="3"/>
      <c r="GF46" s="3"/>
      <c r="GG46" s="3"/>
      <c r="GH46" s="3"/>
      <c r="GI46" s="3"/>
      <c r="GJ46" s="3"/>
      <c r="GK46" s="3"/>
      <c r="GL46" s="3"/>
      <c r="GM46" s="3"/>
      <c r="GN46" s="3"/>
      <c r="GO46" s="3"/>
      <c r="GP46" s="3"/>
      <c r="GQ46" s="3"/>
      <c r="GR46" s="3"/>
      <c r="GS46" s="6"/>
      <c r="GT46" s="3"/>
      <c r="GU46" s="3"/>
      <c r="GV46" s="3">
        <v>307708000</v>
      </c>
      <c r="GW46" s="3">
        <v>167002000</v>
      </c>
      <c r="GX46" s="3">
        <v>0</v>
      </c>
      <c r="GY46" s="3">
        <v>474710000</v>
      </c>
      <c r="GZ46" s="3">
        <v>307708000</v>
      </c>
      <c r="HA46" s="3">
        <v>167002000</v>
      </c>
      <c r="HB46" s="3">
        <v>0</v>
      </c>
      <c r="HC46" s="3">
        <v>474710000</v>
      </c>
      <c r="HD46" s="3"/>
      <c r="HE46" s="3"/>
      <c r="HF46" s="3"/>
      <c r="HG46" s="3"/>
      <c r="HH46" s="3"/>
      <c r="HI46" s="3"/>
      <c r="HJ46" s="3"/>
      <c r="HK46" s="3"/>
      <c r="HL46" s="3"/>
      <c r="HM46" s="3"/>
      <c r="HN46" s="3"/>
      <c r="HO46" s="3"/>
      <c r="HP46" s="3"/>
      <c r="HQ46" s="3"/>
      <c r="HR46" s="3"/>
      <c r="HS46" s="3"/>
      <c r="HT46" s="3"/>
      <c r="HU46" s="3"/>
      <c r="HV46" s="3"/>
      <c r="HW46" s="3"/>
      <c r="HX46" s="3">
        <v>358688000</v>
      </c>
      <c r="HY46" s="3">
        <v>201672000</v>
      </c>
      <c r="HZ46" s="3">
        <v>0</v>
      </c>
      <c r="IA46" s="3">
        <v>560360000</v>
      </c>
      <c r="IB46" s="3">
        <v>358688000</v>
      </c>
      <c r="IC46" s="3">
        <v>201672000</v>
      </c>
      <c r="ID46" s="3">
        <v>0</v>
      </c>
      <c r="IE46" s="3">
        <v>560360000</v>
      </c>
      <c r="IF46" s="3"/>
      <c r="IG46" s="3"/>
      <c r="IH46" s="3"/>
      <c r="II46" s="3"/>
      <c r="IJ46" s="3"/>
      <c r="IK46" s="3"/>
      <c r="IL46" s="3"/>
      <c r="IM46" s="3"/>
      <c r="IN46" s="3"/>
      <c r="IO46" s="3"/>
      <c r="IP46" s="3"/>
      <c r="IQ46" s="3"/>
      <c r="IR46" s="3"/>
      <c r="IS46" s="3"/>
      <c r="IT46" s="3"/>
      <c r="IU46" s="3"/>
      <c r="IV46" s="3"/>
      <c r="IW46" s="3"/>
      <c r="IX46" s="3"/>
      <c r="IY46" s="3"/>
      <c r="IZ46" s="3">
        <v>378393000</v>
      </c>
      <c r="JA46" s="3">
        <v>228645000</v>
      </c>
      <c r="JB46" s="3">
        <v>30000000</v>
      </c>
      <c r="JC46" s="3">
        <v>637038000</v>
      </c>
      <c r="JD46" s="3"/>
      <c r="JE46" s="3"/>
      <c r="JF46" s="3"/>
      <c r="JG46" s="3"/>
    </row>
    <row r="47" spans="1:267" x14ac:dyDescent="0.25">
      <c r="A47" t="s">
        <v>1153</v>
      </c>
      <c r="B47" t="s">
        <v>1154</v>
      </c>
      <c r="C47" t="s">
        <v>556</v>
      </c>
      <c r="D47" t="s">
        <v>1164</v>
      </c>
      <c r="E47" t="s">
        <v>224</v>
      </c>
      <c r="F47" t="s">
        <v>520</v>
      </c>
      <c r="G47" t="s">
        <v>1224</v>
      </c>
      <c r="H47" s="3">
        <v>31220000</v>
      </c>
      <c r="I47" s="3">
        <v>43223000</v>
      </c>
      <c r="J47" s="3">
        <v>0</v>
      </c>
      <c r="K47" s="3">
        <v>74443000</v>
      </c>
      <c r="L47" s="3">
        <v>31220000</v>
      </c>
      <c r="M47" s="3">
        <v>43223000</v>
      </c>
      <c r="N47" s="3">
        <v>0</v>
      </c>
      <c r="O47" s="3">
        <v>74443000</v>
      </c>
      <c r="P47" s="3"/>
      <c r="Q47" s="3"/>
      <c r="R47" s="3"/>
      <c r="S47" s="3"/>
      <c r="T47" s="3"/>
      <c r="U47" s="3"/>
      <c r="V47" s="3"/>
      <c r="W47" s="3"/>
      <c r="X47" s="6"/>
      <c r="Y47" s="3"/>
      <c r="Z47" s="3"/>
      <c r="AA47" s="3"/>
      <c r="AB47" s="3"/>
      <c r="AC47" s="3"/>
      <c r="AD47" s="3"/>
      <c r="AE47" s="3"/>
      <c r="AF47" s="3"/>
      <c r="AG47" s="3"/>
      <c r="AH47" s="3"/>
      <c r="AI47" s="3"/>
      <c r="AJ47" s="3">
        <v>34372000</v>
      </c>
      <c r="AK47" s="3">
        <v>36304000</v>
      </c>
      <c r="AL47" s="3">
        <v>0</v>
      </c>
      <c r="AM47" s="3">
        <v>70676000</v>
      </c>
      <c r="AN47" s="3">
        <v>34372000</v>
      </c>
      <c r="AO47" s="3">
        <v>36304000</v>
      </c>
      <c r="AP47" s="3">
        <v>0</v>
      </c>
      <c r="AQ47" s="3">
        <v>70676000</v>
      </c>
      <c r="AR47" s="3"/>
      <c r="AS47" s="3"/>
      <c r="AT47" s="3"/>
      <c r="AU47" s="3"/>
      <c r="AV47" s="3"/>
      <c r="AW47" s="3"/>
      <c r="AX47" s="3"/>
      <c r="AY47" s="3"/>
      <c r="AZ47" s="3"/>
      <c r="BA47" s="3"/>
      <c r="BB47" s="3"/>
      <c r="BC47" s="3"/>
      <c r="BD47" s="3"/>
      <c r="BE47" s="3"/>
      <c r="BF47" s="3"/>
      <c r="BG47" s="3"/>
      <c r="BH47" s="3"/>
      <c r="BI47" s="3"/>
      <c r="BJ47" s="3"/>
      <c r="BK47" s="3"/>
      <c r="BL47" s="3">
        <v>34649000</v>
      </c>
      <c r="BM47" s="3">
        <v>24739000</v>
      </c>
      <c r="BN47" s="3">
        <v>0</v>
      </c>
      <c r="BO47" s="3">
        <v>59388000</v>
      </c>
      <c r="BP47" s="3">
        <v>34649000</v>
      </c>
      <c r="BQ47" s="3">
        <v>24739000</v>
      </c>
      <c r="BR47" s="3">
        <v>0</v>
      </c>
      <c r="BS47" s="3">
        <v>59388000</v>
      </c>
      <c r="BT47" s="3"/>
      <c r="BU47" s="3"/>
      <c r="BV47" s="3"/>
      <c r="BW47" s="3"/>
      <c r="BX47" s="3"/>
      <c r="BY47" s="3"/>
      <c r="BZ47" s="3"/>
      <c r="CA47" s="3"/>
      <c r="CB47" s="3"/>
      <c r="CC47" s="3"/>
      <c r="CD47" s="3"/>
      <c r="CE47" s="6"/>
      <c r="CF47" s="3"/>
      <c r="CG47" s="3"/>
      <c r="CH47" s="3"/>
      <c r="CI47" s="3"/>
      <c r="CJ47" s="3"/>
      <c r="CK47" s="3"/>
      <c r="CL47" s="3"/>
      <c r="CM47" s="3"/>
      <c r="CN47" s="3">
        <v>30927000</v>
      </c>
      <c r="CO47" s="3">
        <v>87254000</v>
      </c>
      <c r="CP47" s="3">
        <v>0</v>
      </c>
      <c r="CQ47" s="3">
        <v>118181000</v>
      </c>
      <c r="CR47" s="3">
        <v>30927000</v>
      </c>
      <c r="CS47" s="3">
        <v>87254000</v>
      </c>
      <c r="CT47" s="3">
        <v>0</v>
      </c>
      <c r="CU47" s="3">
        <v>118181000</v>
      </c>
      <c r="CV47" s="3"/>
      <c r="CW47" s="3"/>
      <c r="CX47" s="3"/>
      <c r="CY47" s="3"/>
      <c r="CZ47" s="3"/>
      <c r="DA47" s="3"/>
      <c r="DB47" s="3"/>
      <c r="DC47" s="3"/>
      <c r="DD47" s="3"/>
      <c r="DE47" s="3"/>
      <c r="DF47" s="3"/>
      <c r="DG47" s="3"/>
      <c r="DH47" s="3"/>
      <c r="DI47" s="3"/>
      <c r="DJ47" s="3"/>
      <c r="DK47" s="3"/>
      <c r="DL47" s="3"/>
      <c r="DM47" s="3"/>
      <c r="DN47" s="3"/>
      <c r="DO47" s="3"/>
      <c r="DP47" s="3">
        <v>30260000</v>
      </c>
      <c r="DQ47" s="3">
        <v>87254000</v>
      </c>
      <c r="DR47" s="3">
        <v>0</v>
      </c>
      <c r="DS47" s="3">
        <v>117514000</v>
      </c>
      <c r="DT47" s="3">
        <v>30260000</v>
      </c>
      <c r="DU47" s="3">
        <v>87254000</v>
      </c>
      <c r="DV47" s="3">
        <v>0</v>
      </c>
      <c r="DW47" s="3">
        <v>117514000</v>
      </c>
      <c r="DX47" s="3"/>
      <c r="DY47" s="3"/>
      <c r="DZ47" s="3"/>
      <c r="EA47" s="3"/>
      <c r="EB47" s="3"/>
      <c r="EC47" s="3"/>
      <c r="ED47" s="3"/>
      <c r="EE47" s="3"/>
      <c r="EF47" s="3"/>
      <c r="EG47" s="3"/>
      <c r="EH47" s="3"/>
      <c r="EI47" s="3"/>
      <c r="EJ47" s="3"/>
      <c r="EK47" s="3"/>
      <c r="EL47" s="3"/>
      <c r="EM47" s="3"/>
      <c r="EN47" s="3"/>
      <c r="EO47" s="3"/>
      <c r="EP47" s="3"/>
      <c r="EQ47" s="3"/>
      <c r="ER47" s="3">
        <v>33765000</v>
      </c>
      <c r="ES47" s="3">
        <v>55754000</v>
      </c>
      <c r="ET47" s="3">
        <v>0</v>
      </c>
      <c r="EU47" s="3">
        <v>89519000</v>
      </c>
      <c r="EV47" s="3">
        <v>33765000</v>
      </c>
      <c r="EW47" s="3">
        <v>55754000</v>
      </c>
      <c r="EX47" s="3">
        <v>0</v>
      </c>
      <c r="EY47" s="3">
        <v>89519000</v>
      </c>
      <c r="EZ47" s="3"/>
      <c r="FA47" s="3"/>
      <c r="FB47" s="3"/>
      <c r="FC47" s="3"/>
      <c r="FD47" s="3"/>
      <c r="FE47" s="3"/>
      <c r="FF47" s="3"/>
      <c r="FG47" s="3"/>
      <c r="FH47" s="6"/>
      <c r="FI47" s="3"/>
      <c r="FJ47" s="3"/>
      <c r="FK47" s="3"/>
      <c r="FL47" s="3"/>
      <c r="FM47" s="3"/>
      <c r="FN47" s="3"/>
      <c r="FO47" s="3"/>
      <c r="FP47" s="3"/>
      <c r="FQ47" s="3"/>
      <c r="FR47" s="3"/>
      <c r="FS47" s="3"/>
      <c r="FT47" s="3">
        <v>33010000</v>
      </c>
      <c r="FU47" s="3">
        <v>56758000</v>
      </c>
      <c r="FV47" s="3">
        <v>0</v>
      </c>
      <c r="FW47" s="3">
        <v>89768000</v>
      </c>
      <c r="FX47" s="3">
        <v>33010000</v>
      </c>
      <c r="FY47" s="3">
        <v>56758000</v>
      </c>
      <c r="FZ47" s="3">
        <v>0</v>
      </c>
      <c r="GA47" s="3">
        <v>89768000</v>
      </c>
      <c r="GB47" s="3"/>
      <c r="GC47" s="3"/>
      <c r="GD47" s="3"/>
      <c r="GE47" s="3"/>
      <c r="GF47" s="3"/>
      <c r="GG47" s="3"/>
      <c r="GH47" s="3"/>
      <c r="GI47" s="3"/>
      <c r="GJ47" s="3"/>
      <c r="GK47" s="3"/>
      <c r="GL47" s="3"/>
      <c r="GM47" s="3"/>
      <c r="GN47" s="3"/>
      <c r="GO47" s="3"/>
      <c r="GP47" s="3"/>
      <c r="GQ47" s="3"/>
      <c r="GR47" s="3"/>
      <c r="GS47" s="6"/>
      <c r="GT47" s="3"/>
      <c r="GU47" s="3"/>
      <c r="GV47" s="3">
        <v>30573000</v>
      </c>
      <c r="GW47" s="3">
        <v>61832000</v>
      </c>
      <c r="GX47" s="3">
        <v>51480000</v>
      </c>
      <c r="GY47" s="3">
        <v>143885000</v>
      </c>
      <c r="GZ47" s="3">
        <v>30573000</v>
      </c>
      <c r="HA47" s="3">
        <v>61832000</v>
      </c>
      <c r="HB47" s="3">
        <v>51480000</v>
      </c>
      <c r="HC47" s="3">
        <v>143885000</v>
      </c>
      <c r="HD47" s="3"/>
      <c r="HE47" s="3"/>
      <c r="HF47" s="3"/>
      <c r="HG47" s="3"/>
      <c r="HH47" s="3"/>
      <c r="HI47" s="3"/>
      <c r="HJ47" s="3"/>
      <c r="HK47" s="3"/>
      <c r="HL47" s="3"/>
      <c r="HM47" s="3"/>
      <c r="HN47" s="3"/>
      <c r="HO47" s="3"/>
      <c r="HP47" s="3"/>
      <c r="HQ47" s="3"/>
      <c r="HR47" s="3"/>
      <c r="HS47" s="3"/>
      <c r="HT47" s="3"/>
      <c r="HU47" s="3"/>
      <c r="HV47" s="3"/>
      <c r="HW47" s="3"/>
      <c r="HX47" s="3">
        <v>38565000</v>
      </c>
      <c r="HY47" s="3">
        <v>81285000</v>
      </c>
      <c r="HZ47" s="3">
        <v>0</v>
      </c>
      <c r="IA47" s="3">
        <v>119850000</v>
      </c>
      <c r="IB47" s="3">
        <v>38565000</v>
      </c>
      <c r="IC47" s="3">
        <v>81285000</v>
      </c>
      <c r="ID47" s="3">
        <v>0</v>
      </c>
      <c r="IE47" s="3">
        <v>119850000</v>
      </c>
      <c r="IF47" s="3"/>
      <c r="IG47" s="3"/>
      <c r="IH47" s="3"/>
      <c r="II47" s="3"/>
      <c r="IJ47" s="3"/>
      <c r="IK47" s="3"/>
      <c r="IL47" s="3"/>
      <c r="IM47" s="3"/>
      <c r="IN47" s="3"/>
      <c r="IO47" s="3"/>
      <c r="IP47" s="3"/>
      <c r="IQ47" s="3"/>
      <c r="IR47" s="3"/>
      <c r="IS47" s="3"/>
      <c r="IT47" s="3"/>
      <c r="IU47" s="3"/>
      <c r="IV47" s="3"/>
      <c r="IW47" s="3"/>
      <c r="IX47" s="3"/>
      <c r="IY47" s="3"/>
      <c r="IZ47" s="3">
        <v>41680000</v>
      </c>
      <c r="JA47" s="3">
        <v>75034000</v>
      </c>
      <c r="JB47" s="3">
        <v>35492000</v>
      </c>
      <c r="JC47" s="3">
        <v>152206000</v>
      </c>
      <c r="JD47" s="3"/>
      <c r="JE47" s="3"/>
      <c r="JF47" s="3"/>
      <c r="JG47" s="3"/>
    </row>
    <row r="48" spans="1:267" x14ac:dyDescent="0.25">
      <c r="A48" t="s">
        <v>1153</v>
      </c>
      <c r="B48" t="s">
        <v>1154</v>
      </c>
      <c r="C48" t="s">
        <v>556</v>
      </c>
      <c r="D48" t="s">
        <v>1164</v>
      </c>
      <c r="E48" t="s">
        <v>729</v>
      </c>
      <c r="F48" t="s">
        <v>730</v>
      </c>
      <c r="G48" t="s">
        <v>1225</v>
      </c>
      <c r="H48" s="3">
        <v>70423000</v>
      </c>
      <c r="I48" s="3">
        <v>403386000</v>
      </c>
      <c r="J48" s="3">
        <v>8950000</v>
      </c>
      <c r="K48" s="3">
        <v>482759000</v>
      </c>
      <c r="L48" s="3">
        <v>70423000</v>
      </c>
      <c r="M48" s="3">
        <v>403386000</v>
      </c>
      <c r="N48" s="3">
        <v>8950000</v>
      </c>
      <c r="O48" s="3">
        <v>482759000</v>
      </c>
      <c r="P48" s="3"/>
      <c r="Q48" s="3"/>
      <c r="R48" s="3"/>
      <c r="S48" s="3"/>
      <c r="T48" s="3"/>
      <c r="U48" s="3"/>
      <c r="V48" s="3"/>
      <c r="W48" s="3"/>
      <c r="X48" s="6"/>
      <c r="Y48" s="3"/>
      <c r="Z48" s="3"/>
      <c r="AA48" s="3"/>
      <c r="AB48" s="3"/>
      <c r="AC48" s="3"/>
      <c r="AD48" s="3"/>
      <c r="AE48" s="3"/>
      <c r="AF48" s="3"/>
      <c r="AG48" s="3"/>
      <c r="AH48" s="3"/>
      <c r="AI48" s="3"/>
      <c r="AJ48" s="3">
        <v>89845000</v>
      </c>
      <c r="AK48" s="3">
        <v>338817000</v>
      </c>
      <c r="AL48" s="3">
        <v>35100000</v>
      </c>
      <c r="AM48" s="3">
        <v>463762000</v>
      </c>
      <c r="AN48" s="3">
        <v>89845000</v>
      </c>
      <c r="AO48" s="3">
        <v>338817000</v>
      </c>
      <c r="AP48" s="3">
        <v>35100000</v>
      </c>
      <c r="AQ48" s="3">
        <v>463762000</v>
      </c>
      <c r="AR48" s="3"/>
      <c r="AS48" s="3"/>
      <c r="AT48" s="3"/>
      <c r="AU48" s="3"/>
      <c r="AV48" s="3"/>
      <c r="AW48" s="3"/>
      <c r="AX48" s="3"/>
      <c r="AY48" s="3"/>
      <c r="AZ48" s="3"/>
      <c r="BA48" s="3"/>
      <c r="BB48" s="3"/>
      <c r="BC48" s="3"/>
      <c r="BD48" s="3"/>
      <c r="BE48" s="3"/>
      <c r="BF48" s="3"/>
      <c r="BG48" s="3"/>
      <c r="BH48" s="3"/>
      <c r="BI48" s="3"/>
      <c r="BJ48" s="3"/>
      <c r="BK48" s="3"/>
      <c r="BL48" s="3">
        <v>99098000</v>
      </c>
      <c r="BM48" s="3">
        <v>328044000</v>
      </c>
      <c r="BN48" s="3">
        <v>0</v>
      </c>
      <c r="BO48" s="3">
        <v>427142000</v>
      </c>
      <c r="BP48" s="3">
        <v>99098000</v>
      </c>
      <c r="BQ48" s="3">
        <v>328044000</v>
      </c>
      <c r="BR48" s="3">
        <v>0</v>
      </c>
      <c r="BS48" s="3">
        <v>427142000</v>
      </c>
      <c r="BT48" s="3"/>
      <c r="BU48" s="3"/>
      <c r="BV48" s="3"/>
      <c r="BW48" s="3"/>
      <c r="BX48" s="3"/>
      <c r="BY48" s="3"/>
      <c r="BZ48" s="3"/>
      <c r="CA48" s="3"/>
      <c r="CB48" s="3"/>
      <c r="CC48" s="3"/>
      <c r="CD48" s="3"/>
      <c r="CE48" s="6"/>
      <c r="CF48" s="3"/>
      <c r="CG48" s="3"/>
      <c r="CH48" s="3"/>
      <c r="CI48" s="3"/>
      <c r="CJ48" s="3"/>
      <c r="CK48" s="3"/>
      <c r="CL48" s="3"/>
      <c r="CM48" s="3"/>
      <c r="CN48" s="3">
        <v>112035000</v>
      </c>
      <c r="CO48" s="3">
        <v>271955000</v>
      </c>
      <c r="CP48" s="3">
        <v>0</v>
      </c>
      <c r="CQ48" s="3">
        <v>383990000</v>
      </c>
      <c r="CR48" s="3">
        <v>112035000</v>
      </c>
      <c r="CS48" s="3">
        <v>271955000</v>
      </c>
      <c r="CT48" s="3">
        <v>0</v>
      </c>
      <c r="CU48" s="3">
        <v>383990000</v>
      </c>
      <c r="CV48" s="3"/>
      <c r="CW48" s="3"/>
      <c r="CX48" s="3"/>
      <c r="CY48" s="3"/>
      <c r="CZ48" s="3"/>
      <c r="DA48" s="3"/>
      <c r="DB48" s="3"/>
      <c r="DC48" s="3"/>
      <c r="DD48" s="3"/>
      <c r="DE48" s="3"/>
      <c r="DF48" s="3"/>
      <c r="DG48" s="3"/>
      <c r="DH48" s="3"/>
      <c r="DI48" s="3"/>
      <c r="DJ48" s="3"/>
      <c r="DK48" s="3"/>
      <c r="DL48" s="3"/>
      <c r="DM48" s="3"/>
      <c r="DN48" s="3"/>
      <c r="DO48" s="3"/>
      <c r="DP48" s="3">
        <v>119475000</v>
      </c>
      <c r="DQ48" s="3">
        <v>225065000</v>
      </c>
      <c r="DR48" s="3">
        <v>0</v>
      </c>
      <c r="DS48" s="3">
        <v>344540000</v>
      </c>
      <c r="DT48" s="3">
        <v>119475000</v>
      </c>
      <c r="DU48" s="3">
        <v>225065000</v>
      </c>
      <c r="DV48" s="3">
        <v>0</v>
      </c>
      <c r="DW48" s="3">
        <v>344540000</v>
      </c>
      <c r="DX48" s="3"/>
      <c r="DY48" s="3"/>
      <c r="DZ48" s="3"/>
      <c r="EA48" s="3"/>
      <c r="EB48" s="3"/>
      <c r="EC48" s="3"/>
      <c r="ED48" s="3"/>
      <c r="EE48" s="3"/>
      <c r="EF48" s="3"/>
      <c r="EG48" s="3"/>
      <c r="EH48" s="3"/>
      <c r="EI48" s="3"/>
      <c r="EJ48" s="3"/>
      <c r="EK48" s="3"/>
      <c r="EL48" s="3"/>
      <c r="EM48" s="3"/>
      <c r="EN48" s="3"/>
      <c r="EO48" s="3"/>
      <c r="EP48" s="3"/>
      <c r="EQ48" s="3"/>
      <c r="ER48" s="3">
        <v>128211000</v>
      </c>
      <c r="ES48" s="3">
        <v>214972000</v>
      </c>
      <c r="ET48" s="3">
        <v>0</v>
      </c>
      <c r="EU48" s="3">
        <v>343183000</v>
      </c>
      <c r="EV48" s="3">
        <v>128211000</v>
      </c>
      <c r="EW48" s="3">
        <v>217052000</v>
      </c>
      <c r="EX48" s="3">
        <v>7920000</v>
      </c>
      <c r="EY48" s="3">
        <v>353183000</v>
      </c>
      <c r="EZ48" s="3"/>
      <c r="FA48" s="3"/>
      <c r="FB48" s="3"/>
      <c r="FC48" s="3"/>
      <c r="FD48" s="3"/>
      <c r="FE48" s="3"/>
      <c r="FF48" s="3"/>
      <c r="FG48" s="3"/>
      <c r="FH48" s="6"/>
      <c r="FI48" s="3"/>
      <c r="FJ48" s="3"/>
      <c r="FK48" s="3"/>
      <c r="FL48" s="3"/>
      <c r="FM48" s="3"/>
      <c r="FN48" s="3"/>
      <c r="FO48" s="3"/>
      <c r="FP48" s="3"/>
      <c r="FQ48" s="3"/>
      <c r="FR48" s="3"/>
      <c r="FS48" s="3"/>
      <c r="FT48" s="3">
        <v>126162000</v>
      </c>
      <c r="FU48" s="3">
        <v>223466000</v>
      </c>
      <c r="FV48" s="3">
        <v>7460000</v>
      </c>
      <c r="FW48" s="3">
        <v>357088000</v>
      </c>
      <c r="FX48" s="3">
        <v>126162000</v>
      </c>
      <c r="FY48" s="3">
        <v>237694000</v>
      </c>
      <c r="FZ48" s="3">
        <v>7460000</v>
      </c>
      <c r="GA48" s="3">
        <v>371316000</v>
      </c>
      <c r="GB48" s="3"/>
      <c r="GC48" s="3"/>
      <c r="GD48" s="3"/>
      <c r="GE48" s="3"/>
      <c r="GF48" s="3"/>
      <c r="GG48" s="3"/>
      <c r="GH48" s="3"/>
      <c r="GI48" s="3"/>
      <c r="GJ48" s="3"/>
      <c r="GK48" s="3"/>
      <c r="GL48" s="3"/>
      <c r="GM48" s="3"/>
      <c r="GN48" s="3"/>
      <c r="GO48" s="3"/>
      <c r="GP48" s="3"/>
      <c r="GQ48" s="3"/>
      <c r="GR48" s="3"/>
      <c r="GS48" s="6"/>
      <c r="GT48" s="3"/>
      <c r="GU48" s="3"/>
      <c r="GV48" s="3">
        <v>133618000</v>
      </c>
      <c r="GW48" s="3">
        <v>182364000</v>
      </c>
      <c r="GX48" s="3">
        <v>0</v>
      </c>
      <c r="GY48" s="3">
        <v>315982000</v>
      </c>
      <c r="GZ48" s="3">
        <v>133618000</v>
      </c>
      <c r="HA48" s="3">
        <v>182364000</v>
      </c>
      <c r="HB48" s="3">
        <v>0</v>
      </c>
      <c r="HC48" s="3">
        <v>315982000</v>
      </c>
      <c r="HD48" s="3"/>
      <c r="HE48" s="3"/>
      <c r="HF48" s="3"/>
      <c r="HG48" s="3"/>
      <c r="HH48" s="3"/>
      <c r="HI48" s="3"/>
      <c r="HJ48" s="3"/>
      <c r="HK48" s="3"/>
      <c r="HL48" s="3"/>
      <c r="HM48" s="3"/>
      <c r="HN48" s="3"/>
      <c r="HO48" s="3"/>
      <c r="HP48" s="3"/>
      <c r="HQ48" s="3"/>
      <c r="HR48" s="3"/>
      <c r="HS48" s="3"/>
      <c r="HT48" s="3"/>
      <c r="HU48" s="3"/>
      <c r="HV48" s="3"/>
      <c r="HW48" s="3"/>
      <c r="HX48" s="3">
        <v>153305000</v>
      </c>
      <c r="HY48" s="3">
        <v>195145000</v>
      </c>
      <c r="HZ48" s="3">
        <v>20000000</v>
      </c>
      <c r="IA48" s="3">
        <v>368450000</v>
      </c>
      <c r="IB48" s="3">
        <v>153305000</v>
      </c>
      <c r="IC48" s="3">
        <v>195145000</v>
      </c>
      <c r="ID48" s="3">
        <v>20000000</v>
      </c>
      <c r="IE48" s="3">
        <v>368450000</v>
      </c>
      <c r="IF48" s="3"/>
      <c r="IG48" s="3"/>
      <c r="IH48" s="3"/>
      <c r="II48" s="3"/>
      <c r="IJ48" s="3"/>
      <c r="IK48" s="3"/>
      <c r="IL48" s="3"/>
      <c r="IM48" s="3"/>
      <c r="IN48" s="3"/>
      <c r="IO48" s="3"/>
      <c r="IP48" s="3"/>
      <c r="IQ48" s="3"/>
      <c r="IR48" s="3"/>
      <c r="IS48" s="3"/>
      <c r="IT48" s="3"/>
      <c r="IU48" s="3"/>
      <c r="IV48" s="3"/>
      <c r="IW48" s="3"/>
      <c r="IX48" s="3"/>
      <c r="IY48" s="3"/>
      <c r="IZ48" s="3">
        <v>163096000</v>
      </c>
      <c r="JA48" s="3">
        <v>213367000</v>
      </c>
      <c r="JB48" s="3">
        <v>60670000</v>
      </c>
      <c r="JC48" s="3">
        <v>437133000</v>
      </c>
      <c r="JD48" s="3"/>
      <c r="JE48" s="3"/>
      <c r="JF48" s="3"/>
      <c r="JG48" s="3"/>
    </row>
    <row r="49" spans="1:267" x14ac:dyDescent="0.25">
      <c r="A49" t="s">
        <v>1153</v>
      </c>
      <c r="B49" t="s">
        <v>1154</v>
      </c>
      <c r="C49" t="s">
        <v>556</v>
      </c>
      <c r="D49" t="s">
        <v>1164</v>
      </c>
      <c r="E49" t="s">
        <v>729</v>
      </c>
      <c r="F49" t="s">
        <v>1166</v>
      </c>
      <c r="G49" t="s">
        <v>299</v>
      </c>
      <c r="H49" s="3"/>
      <c r="I49" s="3"/>
      <c r="J49" s="3"/>
      <c r="K49" s="3"/>
      <c r="L49" s="3"/>
      <c r="M49" s="3"/>
      <c r="N49" s="3"/>
      <c r="O49" s="3"/>
      <c r="P49" s="3"/>
      <c r="Q49" s="3"/>
      <c r="R49" s="3"/>
      <c r="S49" s="3"/>
      <c r="T49" s="3"/>
      <c r="U49" s="3"/>
      <c r="V49" s="3"/>
      <c r="W49" s="3"/>
      <c r="X49" s="6"/>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6"/>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6"/>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6"/>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v>0</v>
      </c>
      <c r="IC49" s="3">
        <v>10000000</v>
      </c>
      <c r="ID49" s="3">
        <v>0</v>
      </c>
      <c r="IE49" s="3">
        <v>10000000</v>
      </c>
      <c r="IF49" s="3"/>
      <c r="IG49" s="3"/>
      <c r="IH49" s="3"/>
      <c r="II49" s="3"/>
      <c r="IJ49" s="3"/>
      <c r="IK49" s="3"/>
      <c r="IL49" s="3"/>
      <c r="IM49" s="3"/>
      <c r="IN49" s="3"/>
      <c r="IO49" s="3"/>
      <c r="IP49" s="3"/>
      <c r="IQ49" s="3"/>
      <c r="IR49" s="3"/>
      <c r="IS49" s="3"/>
      <c r="IT49" s="3"/>
      <c r="IU49" s="3"/>
      <c r="IV49" s="3"/>
      <c r="IW49" s="3"/>
      <c r="IX49" s="3"/>
      <c r="IY49" s="3"/>
      <c r="IZ49" s="3">
        <v>0</v>
      </c>
      <c r="JA49" s="3">
        <v>10000000</v>
      </c>
      <c r="JB49" s="3">
        <v>0</v>
      </c>
      <c r="JC49" s="3">
        <v>10000000</v>
      </c>
      <c r="JD49" s="3"/>
      <c r="JE49" s="3"/>
      <c r="JF49" s="3"/>
      <c r="JG49" s="3"/>
    </row>
    <row r="50" spans="1:267" x14ac:dyDescent="0.25">
      <c r="A50" t="s">
        <v>1153</v>
      </c>
      <c r="B50" t="s">
        <v>1154</v>
      </c>
      <c r="C50" t="s">
        <v>557</v>
      </c>
      <c r="D50" t="s">
        <v>1167</v>
      </c>
      <c r="E50" t="s">
        <v>201</v>
      </c>
      <c r="F50" t="s">
        <v>202</v>
      </c>
      <c r="G50" t="s">
        <v>203</v>
      </c>
      <c r="H50" s="3">
        <v>47573000</v>
      </c>
      <c r="I50" s="3">
        <v>98087000</v>
      </c>
      <c r="J50" s="3">
        <v>0</v>
      </c>
      <c r="K50" s="3">
        <v>145660000</v>
      </c>
      <c r="L50" s="3">
        <v>47573000</v>
      </c>
      <c r="M50" s="3">
        <v>98087000</v>
      </c>
      <c r="N50" s="3">
        <v>0</v>
      </c>
      <c r="O50" s="3">
        <v>145660000</v>
      </c>
      <c r="P50" s="3"/>
      <c r="Q50" s="3"/>
      <c r="R50" s="3"/>
      <c r="S50" s="3"/>
      <c r="T50" s="3"/>
      <c r="U50" s="3"/>
      <c r="V50" s="3"/>
      <c r="W50" s="3"/>
      <c r="X50" s="6"/>
      <c r="Y50" s="3"/>
      <c r="Z50" s="3"/>
      <c r="AA50" s="3"/>
      <c r="AB50" s="3"/>
      <c r="AC50" s="3"/>
      <c r="AD50" s="3"/>
      <c r="AE50" s="3"/>
      <c r="AF50" s="3"/>
      <c r="AG50" s="3"/>
      <c r="AH50" s="3"/>
      <c r="AI50" s="3"/>
      <c r="AJ50" s="3">
        <v>52725000</v>
      </c>
      <c r="AK50" s="3">
        <v>91324000</v>
      </c>
      <c r="AL50" s="3">
        <v>8300000</v>
      </c>
      <c r="AM50" s="3">
        <v>152349000</v>
      </c>
      <c r="AN50" s="3">
        <v>52725000</v>
      </c>
      <c r="AO50" s="3">
        <v>91324000</v>
      </c>
      <c r="AP50" s="3">
        <v>8300000</v>
      </c>
      <c r="AQ50" s="3">
        <v>152349000</v>
      </c>
      <c r="AR50" s="3"/>
      <c r="AS50" s="3"/>
      <c r="AT50" s="3"/>
      <c r="AU50" s="3"/>
      <c r="AV50" s="3"/>
      <c r="AW50" s="3"/>
      <c r="AX50" s="3"/>
      <c r="AY50" s="3"/>
      <c r="AZ50" s="3"/>
      <c r="BA50" s="3"/>
      <c r="BB50" s="3"/>
      <c r="BC50" s="3"/>
      <c r="BD50" s="3"/>
      <c r="BE50" s="3"/>
      <c r="BF50" s="3"/>
      <c r="BG50" s="3"/>
      <c r="BH50" s="3"/>
      <c r="BI50" s="3"/>
      <c r="BJ50" s="3"/>
      <c r="BK50" s="3"/>
      <c r="BL50" s="3">
        <v>54029000</v>
      </c>
      <c r="BM50" s="3">
        <v>95240000</v>
      </c>
      <c r="BN50" s="3">
        <v>1563000</v>
      </c>
      <c r="BO50" s="3">
        <v>150832000</v>
      </c>
      <c r="BP50" s="3">
        <v>54029000</v>
      </c>
      <c r="BQ50" s="3">
        <v>95240000</v>
      </c>
      <c r="BR50" s="3">
        <v>1563000</v>
      </c>
      <c r="BS50" s="3">
        <v>150832000</v>
      </c>
      <c r="BT50" s="3"/>
      <c r="BU50" s="3"/>
      <c r="BV50" s="3"/>
      <c r="BW50" s="3"/>
      <c r="BX50" s="3"/>
      <c r="BY50" s="3"/>
      <c r="BZ50" s="3"/>
      <c r="CA50" s="3"/>
      <c r="CB50" s="3"/>
      <c r="CC50" s="3"/>
      <c r="CD50" s="3"/>
      <c r="CE50" s="6"/>
      <c r="CF50" s="3"/>
      <c r="CG50" s="3"/>
      <c r="CH50" s="3"/>
      <c r="CI50" s="3"/>
      <c r="CJ50" s="3"/>
      <c r="CK50" s="3"/>
      <c r="CL50" s="3"/>
      <c r="CM50" s="3"/>
      <c r="CN50" s="3">
        <v>56132000</v>
      </c>
      <c r="CO50" s="3">
        <v>104341000</v>
      </c>
      <c r="CP50" s="3">
        <v>0</v>
      </c>
      <c r="CQ50" s="3">
        <v>160473000</v>
      </c>
      <c r="CR50" s="3">
        <v>56132000</v>
      </c>
      <c r="CS50" s="3">
        <v>104341000</v>
      </c>
      <c r="CT50" s="3">
        <v>0</v>
      </c>
      <c r="CU50" s="3">
        <v>160473000</v>
      </c>
      <c r="CV50" s="3"/>
      <c r="CW50" s="3"/>
      <c r="CX50" s="3"/>
      <c r="CY50" s="3"/>
      <c r="CZ50" s="3"/>
      <c r="DA50" s="3"/>
      <c r="DB50" s="3"/>
      <c r="DC50" s="3"/>
      <c r="DD50" s="3"/>
      <c r="DE50" s="3"/>
      <c r="DF50" s="3"/>
      <c r="DG50" s="3"/>
      <c r="DH50" s="3"/>
      <c r="DI50" s="3"/>
      <c r="DJ50" s="3"/>
      <c r="DK50" s="3"/>
      <c r="DL50" s="3"/>
      <c r="DM50" s="3"/>
      <c r="DN50" s="3"/>
      <c r="DO50" s="3"/>
      <c r="DP50" s="3">
        <v>55902000</v>
      </c>
      <c r="DQ50" s="3">
        <v>97406000</v>
      </c>
      <c r="DR50" s="3">
        <v>0</v>
      </c>
      <c r="DS50" s="3">
        <v>153308000</v>
      </c>
      <c r="DT50" s="3">
        <v>55902000</v>
      </c>
      <c r="DU50" s="3">
        <v>97406000</v>
      </c>
      <c r="DV50" s="3">
        <v>0</v>
      </c>
      <c r="DW50" s="3">
        <v>153308000</v>
      </c>
      <c r="DX50" s="3"/>
      <c r="DY50" s="3"/>
      <c r="DZ50" s="3"/>
      <c r="EA50" s="3"/>
      <c r="EB50" s="3"/>
      <c r="EC50" s="3"/>
      <c r="ED50" s="3"/>
      <c r="EE50" s="3"/>
      <c r="EF50" s="3"/>
      <c r="EG50" s="3"/>
      <c r="EH50" s="3"/>
      <c r="EI50" s="3"/>
      <c r="EJ50" s="3"/>
      <c r="EK50" s="3"/>
      <c r="EL50" s="3"/>
      <c r="EM50" s="3"/>
      <c r="EN50" s="3"/>
      <c r="EO50" s="3"/>
      <c r="EP50" s="3"/>
      <c r="EQ50" s="3"/>
      <c r="ER50" s="3">
        <v>52785000</v>
      </c>
      <c r="ES50" s="3">
        <v>107337000</v>
      </c>
      <c r="ET50" s="3">
        <v>0</v>
      </c>
      <c r="EU50" s="3">
        <v>160122000</v>
      </c>
      <c r="EV50" s="3">
        <v>52785000</v>
      </c>
      <c r="EW50" s="3">
        <v>107337000</v>
      </c>
      <c r="EX50" s="3">
        <v>0</v>
      </c>
      <c r="EY50" s="3">
        <v>160122000</v>
      </c>
      <c r="EZ50" s="3"/>
      <c r="FA50" s="3"/>
      <c r="FB50" s="3"/>
      <c r="FC50" s="3"/>
      <c r="FD50" s="3"/>
      <c r="FE50" s="3"/>
      <c r="FF50" s="3"/>
      <c r="FG50" s="3"/>
      <c r="FH50" s="6"/>
      <c r="FI50" s="3"/>
      <c r="FJ50" s="3"/>
      <c r="FK50" s="3"/>
      <c r="FL50" s="3"/>
      <c r="FM50" s="3"/>
      <c r="FN50" s="3"/>
      <c r="FO50" s="3"/>
      <c r="FP50" s="3"/>
      <c r="FQ50" s="3"/>
      <c r="FR50" s="3"/>
      <c r="FS50" s="3"/>
      <c r="FT50" s="3">
        <v>52873000</v>
      </c>
      <c r="FU50" s="3">
        <v>109269000</v>
      </c>
      <c r="FV50" s="3">
        <v>0</v>
      </c>
      <c r="FW50" s="3">
        <v>162142000</v>
      </c>
      <c r="FX50" s="3">
        <v>52873000</v>
      </c>
      <c r="FY50" s="3">
        <v>109269000</v>
      </c>
      <c r="FZ50" s="3">
        <v>0</v>
      </c>
      <c r="GA50" s="3">
        <v>162142000</v>
      </c>
      <c r="GB50" s="3"/>
      <c r="GC50" s="3"/>
      <c r="GD50" s="3"/>
      <c r="GE50" s="3"/>
      <c r="GF50" s="3"/>
      <c r="GG50" s="3"/>
      <c r="GH50" s="3"/>
      <c r="GI50" s="3"/>
      <c r="GJ50" s="3"/>
      <c r="GK50" s="3"/>
      <c r="GL50" s="3"/>
      <c r="GM50" s="3"/>
      <c r="GN50" s="3"/>
      <c r="GO50" s="3"/>
      <c r="GP50" s="3"/>
      <c r="GQ50" s="3"/>
      <c r="GR50" s="3"/>
      <c r="GS50" s="6"/>
      <c r="GT50" s="3"/>
      <c r="GU50" s="3"/>
      <c r="GV50" s="3">
        <v>51972000</v>
      </c>
      <c r="GW50" s="3">
        <v>111236000</v>
      </c>
      <c r="GX50" s="3">
        <v>0</v>
      </c>
      <c r="GY50" s="3">
        <v>163208000</v>
      </c>
      <c r="GZ50" s="3">
        <v>51972000</v>
      </c>
      <c r="HA50" s="3">
        <v>111236000</v>
      </c>
      <c r="HB50" s="3">
        <v>0</v>
      </c>
      <c r="HC50" s="3">
        <v>163208000</v>
      </c>
      <c r="HD50" s="3"/>
      <c r="HE50" s="3"/>
      <c r="HF50" s="3"/>
      <c r="HG50" s="3"/>
      <c r="HH50" s="3"/>
      <c r="HI50" s="3"/>
      <c r="HJ50" s="3"/>
      <c r="HK50" s="3"/>
      <c r="HL50" s="3"/>
      <c r="HM50" s="3"/>
      <c r="HN50" s="3"/>
      <c r="HO50" s="3"/>
      <c r="HP50" s="3"/>
      <c r="HQ50" s="3"/>
      <c r="HR50" s="3"/>
      <c r="HS50" s="3"/>
      <c r="HT50" s="3"/>
      <c r="HU50" s="3"/>
      <c r="HV50" s="3"/>
      <c r="HW50" s="3"/>
      <c r="HX50" s="3">
        <v>63672000</v>
      </c>
      <c r="HY50" s="3">
        <v>113238000</v>
      </c>
      <c r="HZ50" s="3">
        <v>0</v>
      </c>
      <c r="IA50" s="3">
        <v>176910000</v>
      </c>
      <c r="IB50" s="3">
        <v>63672000</v>
      </c>
      <c r="IC50" s="3">
        <v>113238000</v>
      </c>
      <c r="ID50" s="3">
        <v>0</v>
      </c>
      <c r="IE50" s="3">
        <v>176910000</v>
      </c>
      <c r="IF50" s="3"/>
      <c r="IG50" s="3"/>
      <c r="IH50" s="3"/>
      <c r="II50" s="3"/>
      <c r="IJ50" s="3"/>
      <c r="IK50" s="3"/>
      <c r="IL50" s="3"/>
      <c r="IM50" s="3"/>
      <c r="IN50" s="3"/>
      <c r="IO50" s="3"/>
      <c r="IP50" s="3"/>
      <c r="IQ50" s="3"/>
      <c r="IR50" s="3"/>
      <c r="IS50" s="3"/>
      <c r="IT50" s="3"/>
      <c r="IU50" s="3"/>
      <c r="IV50" s="3"/>
      <c r="IW50" s="3"/>
      <c r="IX50" s="3"/>
      <c r="IY50" s="3"/>
      <c r="IZ50" s="3">
        <v>67755000</v>
      </c>
      <c r="JA50" s="3">
        <v>115276000</v>
      </c>
      <c r="JB50" s="3">
        <v>0</v>
      </c>
      <c r="JC50" s="3">
        <v>183031000</v>
      </c>
      <c r="JD50" s="3"/>
      <c r="JE50" s="3"/>
      <c r="JF50" s="3"/>
      <c r="JG50" s="3"/>
    </row>
    <row r="51" spans="1:267" x14ac:dyDescent="0.25">
      <c r="A51" t="s">
        <v>1153</v>
      </c>
      <c r="B51" t="s">
        <v>1154</v>
      </c>
      <c r="C51" t="s">
        <v>557</v>
      </c>
      <c r="D51" t="s">
        <v>1167</v>
      </c>
      <c r="E51" t="s">
        <v>201</v>
      </c>
      <c r="F51" t="s">
        <v>204</v>
      </c>
      <c r="G51" t="s">
        <v>625</v>
      </c>
      <c r="H51" s="3">
        <v>0</v>
      </c>
      <c r="I51" s="3">
        <v>1303000</v>
      </c>
      <c r="J51" s="3">
        <v>4950000</v>
      </c>
      <c r="K51" s="3">
        <v>6253000</v>
      </c>
      <c r="L51" s="3">
        <v>0</v>
      </c>
      <c r="M51" s="3">
        <v>1303000</v>
      </c>
      <c r="N51" s="3">
        <v>4950000</v>
      </c>
      <c r="O51" s="3">
        <v>6253000</v>
      </c>
      <c r="P51" s="3"/>
      <c r="Q51" s="3"/>
      <c r="R51" s="3"/>
      <c r="S51" s="3"/>
      <c r="T51" s="3"/>
      <c r="U51" s="3"/>
      <c r="V51" s="3"/>
      <c r="W51" s="3"/>
      <c r="X51" s="6"/>
      <c r="Y51" s="3"/>
      <c r="Z51" s="3"/>
      <c r="AA51" s="3"/>
      <c r="AB51" s="3"/>
      <c r="AC51" s="3"/>
      <c r="AD51" s="3"/>
      <c r="AE51" s="3"/>
      <c r="AF51" s="3"/>
      <c r="AG51" s="3"/>
      <c r="AH51" s="3"/>
      <c r="AI51" s="3"/>
      <c r="AJ51" s="3">
        <v>0</v>
      </c>
      <c r="AK51" s="3">
        <v>1014000</v>
      </c>
      <c r="AL51" s="3">
        <v>0</v>
      </c>
      <c r="AM51" s="3">
        <v>1014000</v>
      </c>
      <c r="AN51" s="3">
        <v>0</v>
      </c>
      <c r="AO51" s="3">
        <v>1014000</v>
      </c>
      <c r="AP51" s="3">
        <v>0</v>
      </c>
      <c r="AQ51" s="3">
        <v>1014000</v>
      </c>
      <c r="AR51" s="3"/>
      <c r="AS51" s="3"/>
      <c r="AT51" s="3"/>
      <c r="AU51" s="3"/>
      <c r="AV51" s="3"/>
      <c r="AW51" s="3"/>
      <c r="AX51" s="3"/>
      <c r="AY51" s="3"/>
      <c r="AZ51" s="3"/>
      <c r="BA51" s="3"/>
      <c r="BB51" s="3"/>
      <c r="BC51" s="3"/>
      <c r="BD51" s="3"/>
      <c r="BE51" s="3"/>
      <c r="BF51" s="3"/>
      <c r="BG51" s="3"/>
      <c r="BH51" s="3"/>
      <c r="BI51" s="3"/>
      <c r="BJ51" s="3"/>
      <c r="BK51" s="3"/>
      <c r="BL51" s="3">
        <v>0</v>
      </c>
      <c r="BM51" s="3">
        <v>1032000</v>
      </c>
      <c r="BN51" s="3">
        <v>0</v>
      </c>
      <c r="BO51" s="3">
        <v>1032000</v>
      </c>
      <c r="BP51" s="3">
        <v>0</v>
      </c>
      <c r="BQ51" s="3">
        <v>1032000</v>
      </c>
      <c r="BR51" s="3">
        <v>0</v>
      </c>
      <c r="BS51" s="3">
        <v>1032000</v>
      </c>
      <c r="BT51" s="3"/>
      <c r="BU51" s="3"/>
      <c r="BV51" s="3"/>
      <c r="BW51" s="3"/>
      <c r="BX51" s="3"/>
      <c r="BY51" s="3"/>
      <c r="BZ51" s="3"/>
      <c r="CA51" s="3"/>
      <c r="CB51" s="3"/>
      <c r="CC51" s="3"/>
      <c r="CD51" s="3"/>
      <c r="CE51" s="6"/>
      <c r="CF51" s="3"/>
      <c r="CG51" s="3"/>
      <c r="CH51" s="3"/>
      <c r="CI51" s="3"/>
      <c r="CJ51" s="3"/>
      <c r="CK51" s="3"/>
      <c r="CL51" s="3"/>
      <c r="CM51" s="3"/>
      <c r="CN51" s="3">
        <v>0</v>
      </c>
      <c r="CO51" s="3">
        <v>1154000</v>
      </c>
      <c r="CP51" s="3">
        <v>0</v>
      </c>
      <c r="CQ51" s="3">
        <v>1154000</v>
      </c>
      <c r="CR51" s="3">
        <v>0</v>
      </c>
      <c r="CS51" s="3">
        <v>1154000</v>
      </c>
      <c r="CT51" s="3">
        <v>0</v>
      </c>
      <c r="CU51" s="3">
        <v>1154000</v>
      </c>
      <c r="CV51" s="3"/>
      <c r="CW51" s="3"/>
      <c r="CX51" s="3"/>
      <c r="CY51" s="3"/>
      <c r="CZ51" s="3"/>
      <c r="DA51" s="3"/>
      <c r="DB51" s="3"/>
      <c r="DC51" s="3"/>
      <c r="DD51" s="3"/>
      <c r="DE51" s="3"/>
      <c r="DF51" s="3"/>
      <c r="DG51" s="3"/>
      <c r="DH51" s="3"/>
      <c r="DI51" s="3"/>
      <c r="DJ51" s="3"/>
      <c r="DK51" s="3"/>
      <c r="DL51" s="3"/>
      <c r="DM51" s="3"/>
      <c r="DN51" s="3"/>
      <c r="DO51" s="3"/>
      <c r="DP51" s="3">
        <v>0</v>
      </c>
      <c r="DQ51" s="3">
        <v>1070000</v>
      </c>
      <c r="DR51" s="3">
        <v>0</v>
      </c>
      <c r="DS51" s="3">
        <v>1070000</v>
      </c>
      <c r="DT51" s="3">
        <v>0</v>
      </c>
      <c r="DU51" s="3">
        <v>1070000</v>
      </c>
      <c r="DV51" s="3">
        <v>0</v>
      </c>
      <c r="DW51" s="3">
        <v>1070000</v>
      </c>
      <c r="DX51" s="3"/>
      <c r="DY51" s="3"/>
      <c r="DZ51" s="3"/>
      <c r="EA51" s="3"/>
      <c r="EB51" s="3"/>
      <c r="EC51" s="3"/>
      <c r="ED51" s="3"/>
      <c r="EE51" s="3"/>
      <c r="EF51" s="3"/>
      <c r="EG51" s="3"/>
      <c r="EH51" s="3"/>
      <c r="EI51" s="3"/>
      <c r="EJ51" s="3"/>
      <c r="EK51" s="3"/>
      <c r="EL51" s="3"/>
      <c r="EM51" s="3"/>
      <c r="EN51" s="3"/>
      <c r="EO51" s="3"/>
      <c r="EP51" s="3"/>
      <c r="EQ51" s="3"/>
      <c r="ER51" s="3">
        <v>0</v>
      </c>
      <c r="ES51" s="3">
        <v>1194000</v>
      </c>
      <c r="ET51" s="3">
        <v>0</v>
      </c>
      <c r="EU51" s="3">
        <v>1194000</v>
      </c>
      <c r="EV51" s="3">
        <v>0</v>
      </c>
      <c r="EW51" s="3">
        <v>1194000</v>
      </c>
      <c r="EX51" s="3">
        <v>0</v>
      </c>
      <c r="EY51" s="3">
        <v>1194000</v>
      </c>
      <c r="EZ51" s="3"/>
      <c r="FA51" s="3"/>
      <c r="FB51" s="3"/>
      <c r="FC51" s="3"/>
      <c r="FD51" s="3"/>
      <c r="FE51" s="3"/>
      <c r="FF51" s="3"/>
      <c r="FG51" s="3"/>
      <c r="FH51" s="6"/>
      <c r="FI51" s="3"/>
      <c r="FJ51" s="3"/>
      <c r="FK51" s="3"/>
      <c r="FL51" s="3"/>
      <c r="FM51" s="3"/>
      <c r="FN51" s="3"/>
      <c r="FO51" s="3"/>
      <c r="FP51" s="3"/>
      <c r="FQ51" s="3"/>
      <c r="FR51" s="3"/>
      <c r="FS51" s="3"/>
      <c r="FT51" s="3">
        <v>0</v>
      </c>
      <c r="FU51" s="3">
        <v>1215000</v>
      </c>
      <c r="FV51" s="3">
        <v>0</v>
      </c>
      <c r="FW51" s="3">
        <v>1215000</v>
      </c>
      <c r="FX51" s="3">
        <v>0</v>
      </c>
      <c r="FY51" s="3">
        <v>1215000</v>
      </c>
      <c r="FZ51" s="3">
        <v>0</v>
      </c>
      <c r="GA51" s="3">
        <v>1215000</v>
      </c>
      <c r="GB51" s="3"/>
      <c r="GC51" s="3"/>
      <c r="GD51" s="3"/>
      <c r="GE51" s="3"/>
      <c r="GF51" s="3"/>
      <c r="GG51" s="3"/>
      <c r="GH51" s="3"/>
      <c r="GI51" s="3"/>
      <c r="GJ51" s="3"/>
      <c r="GK51" s="3"/>
      <c r="GL51" s="3"/>
      <c r="GM51" s="3"/>
      <c r="GN51" s="3"/>
      <c r="GO51" s="3"/>
      <c r="GP51" s="3"/>
      <c r="GQ51" s="3"/>
      <c r="GR51" s="3"/>
      <c r="GS51" s="6"/>
      <c r="GT51" s="3"/>
      <c r="GU51" s="3"/>
      <c r="GV51" s="3">
        <v>0</v>
      </c>
      <c r="GW51" s="3">
        <v>1237000</v>
      </c>
      <c r="GX51" s="3">
        <v>0</v>
      </c>
      <c r="GY51" s="3">
        <v>1237000</v>
      </c>
      <c r="GZ51" s="3">
        <v>0</v>
      </c>
      <c r="HA51" s="3">
        <v>1237000</v>
      </c>
      <c r="HB51" s="3">
        <v>0</v>
      </c>
      <c r="HC51" s="3">
        <v>1237000</v>
      </c>
      <c r="HD51" s="3"/>
      <c r="HE51" s="3"/>
      <c r="HF51" s="3"/>
      <c r="HG51" s="3"/>
      <c r="HH51" s="3"/>
      <c r="HI51" s="3"/>
      <c r="HJ51" s="3"/>
      <c r="HK51" s="3"/>
      <c r="HL51" s="3"/>
      <c r="HM51" s="3"/>
      <c r="HN51" s="3"/>
      <c r="HO51" s="3"/>
      <c r="HP51" s="3"/>
      <c r="HQ51" s="3"/>
      <c r="HR51" s="3"/>
      <c r="HS51" s="3"/>
      <c r="HT51" s="3"/>
      <c r="HU51" s="3"/>
      <c r="HV51" s="3"/>
      <c r="HW51" s="3"/>
      <c r="HX51" s="3">
        <v>0</v>
      </c>
      <c r="HY51" s="3">
        <v>1259000</v>
      </c>
      <c r="HZ51" s="3">
        <v>0</v>
      </c>
      <c r="IA51" s="3">
        <v>1259000</v>
      </c>
      <c r="IB51" s="3">
        <v>0</v>
      </c>
      <c r="IC51" s="3">
        <v>1259000</v>
      </c>
      <c r="ID51" s="3">
        <v>0</v>
      </c>
      <c r="IE51" s="3">
        <v>1259000</v>
      </c>
      <c r="IF51" s="3"/>
      <c r="IG51" s="3"/>
      <c r="IH51" s="3"/>
      <c r="II51" s="3"/>
      <c r="IJ51" s="3"/>
      <c r="IK51" s="3"/>
      <c r="IL51" s="3"/>
      <c r="IM51" s="3"/>
      <c r="IN51" s="3"/>
      <c r="IO51" s="3"/>
      <c r="IP51" s="3"/>
      <c r="IQ51" s="3"/>
      <c r="IR51" s="3"/>
      <c r="IS51" s="3"/>
      <c r="IT51" s="3"/>
      <c r="IU51" s="3"/>
      <c r="IV51" s="3"/>
      <c r="IW51" s="3"/>
      <c r="IX51" s="3"/>
      <c r="IY51" s="3"/>
      <c r="IZ51" s="3">
        <v>0</v>
      </c>
      <c r="JA51" s="3">
        <v>1282000</v>
      </c>
      <c r="JB51" s="3">
        <v>0</v>
      </c>
      <c r="JC51" s="3">
        <v>1282000</v>
      </c>
      <c r="JD51" s="3"/>
      <c r="JE51" s="3"/>
      <c r="JF51" s="3"/>
      <c r="JG51" s="3"/>
    </row>
    <row r="52" spans="1:267" x14ac:dyDescent="0.25">
      <c r="A52" t="s">
        <v>1153</v>
      </c>
      <c r="B52" t="s">
        <v>1154</v>
      </c>
      <c r="C52" t="s">
        <v>557</v>
      </c>
      <c r="D52" t="s">
        <v>1167</v>
      </c>
      <c r="E52" t="s">
        <v>201</v>
      </c>
      <c r="F52" t="s">
        <v>206</v>
      </c>
      <c r="G52" t="s">
        <v>205</v>
      </c>
      <c r="H52" s="3">
        <v>5462000</v>
      </c>
      <c r="I52" s="3">
        <v>0</v>
      </c>
      <c r="J52" s="3">
        <v>0</v>
      </c>
      <c r="K52" s="3">
        <v>5462000</v>
      </c>
      <c r="L52" s="3">
        <v>5462000</v>
      </c>
      <c r="M52" s="3">
        <v>0</v>
      </c>
      <c r="N52" s="3">
        <v>0</v>
      </c>
      <c r="O52" s="3">
        <v>5462000</v>
      </c>
      <c r="P52" s="3"/>
      <c r="Q52" s="3"/>
      <c r="R52" s="3"/>
      <c r="S52" s="3"/>
      <c r="T52" s="3"/>
      <c r="U52" s="3"/>
      <c r="V52" s="3"/>
      <c r="W52" s="3"/>
      <c r="X52" s="6"/>
      <c r="Y52" s="3"/>
      <c r="Z52" s="3"/>
      <c r="AA52" s="3"/>
      <c r="AB52" s="3"/>
      <c r="AC52" s="3"/>
      <c r="AD52" s="3"/>
      <c r="AE52" s="3"/>
      <c r="AF52" s="3"/>
      <c r="AG52" s="3"/>
      <c r="AH52" s="3"/>
      <c r="AI52" s="3"/>
      <c r="AJ52" s="3">
        <v>41062000</v>
      </c>
      <c r="AK52" s="3">
        <v>0</v>
      </c>
      <c r="AL52" s="3">
        <v>0</v>
      </c>
      <c r="AM52" s="3">
        <v>41062000</v>
      </c>
      <c r="AN52" s="3">
        <v>41062000</v>
      </c>
      <c r="AO52" s="3">
        <v>0</v>
      </c>
      <c r="AP52" s="3">
        <v>0</v>
      </c>
      <c r="AQ52" s="3">
        <v>41062000</v>
      </c>
      <c r="AR52" s="3"/>
      <c r="AS52" s="3"/>
      <c r="AT52" s="3"/>
      <c r="AU52" s="3"/>
      <c r="AV52" s="3"/>
      <c r="AW52" s="3"/>
      <c r="AX52" s="3"/>
      <c r="AY52" s="3"/>
      <c r="AZ52" s="3"/>
      <c r="BA52" s="3"/>
      <c r="BB52" s="3"/>
      <c r="BC52" s="3"/>
      <c r="BD52" s="3"/>
      <c r="BE52" s="3"/>
      <c r="BF52" s="3"/>
      <c r="BG52" s="3"/>
      <c r="BH52" s="3"/>
      <c r="BI52" s="3"/>
      <c r="BJ52" s="3"/>
      <c r="BK52" s="3"/>
      <c r="BL52" s="3">
        <v>9672000</v>
      </c>
      <c r="BM52" s="3">
        <v>0</v>
      </c>
      <c r="BN52" s="3">
        <v>0</v>
      </c>
      <c r="BO52" s="3">
        <v>9672000</v>
      </c>
      <c r="BP52" s="3">
        <v>9672000</v>
      </c>
      <c r="BQ52" s="3">
        <v>0</v>
      </c>
      <c r="BR52" s="3">
        <v>0</v>
      </c>
      <c r="BS52" s="3">
        <v>9672000</v>
      </c>
      <c r="BT52" s="3"/>
      <c r="BU52" s="3"/>
      <c r="BV52" s="3"/>
      <c r="BW52" s="3"/>
      <c r="BX52" s="3"/>
      <c r="BY52" s="3"/>
      <c r="BZ52" s="3"/>
      <c r="CA52" s="3"/>
      <c r="CB52" s="3"/>
      <c r="CC52" s="3"/>
      <c r="CD52" s="3"/>
      <c r="CE52" s="6"/>
      <c r="CF52" s="3"/>
      <c r="CG52" s="3"/>
      <c r="CH52" s="3"/>
      <c r="CI52" s="3"/>
      <c r="CJ52" s="3"/>
      <c r="CK52" s="3"/>
      <c r="CL52" s="3"/>
      <c r="CM52" s="3"/>
      <c r="CN52" s="3">
        <v>12495000</v>
      </c>
      <c r="CO52" s="3">
        <v>0</v>
      </c>
      <c r="CP52" s="3">
        <v>0</v>
      </c>
      <c r="CQ52" s="3">
        <v>12495000</v>
      </c>
      <c r="CR52" s="3">
        <v>12495000</v>
      </c>
      <c r="CS52" s="3">
        <v>0</v>
      </c>
      <c r="CT52" s="3">
        <v>0</v>
      </c>
      <c r="CU52" s="3">
        <v>12495000</v>
      </c>
      <c r="CV52" s="3"/>
      <c r="CW52" s="3"/>
      <c r="CX52" s="3"/>
      <c r="CY52" s="3"/>
      <c r="CZ52" s="3"/>
      <c r="DA52" s="3"/>
      <c r="DB52" s="3"/>
      <c r="DC52" s="3"/>
      <c r="DD52" s="3"/>
      <c r="DE52" s="3"/>
      <c r="DF52" s="3"/>
      <c r="DG52" s="3"/>
      <c r="DH52" s="3"/>
      <c r="DI52" s="3"/>
      <c r="DJ52" s="3"/>
      <c r="DK52" s="3"/>
      <c r="DL52" s="3"/>
      <c r="DM52" s="3"/>
      <c r="DN52" s="3"/>
      <c r="DO52" s="3"/>
      <c r="DP52" s="3">
        <v>7185000</v>
      </c>
      <c r="DQ52" s="3">
        <v>0</v>
      </c>
      <c r="DR52" s="3">
        <v>0</v>
      </c>
      <c r="DS52" s="3">
        <v>7185000</v>
      </c>
      <c r="DT52" s="3">
        <v>7185000</v>
      </c>
      <c r="DU52" s="3">
        <v>0</v>
      </c>
      <c r="DV52" s="3">
        <v>0</v>
      </c>
      <c r="DW52" s="3">
        <v>7185000</v>
      </c>
      <c r="DX52" s="3"/>
      <c r="DY52" s="3"/>
      <c r="DZ52" s="3"/>
      <c r="EA52" s="3"/>
      <c r="EB52" s="3"/>
      <c r="EC52" s="3"/>
      <c r="ED52" s="3"/>
      <c r="EE52" s="3"/>
      <c r="EF52" s="3"/>
      <c r="EG52" s="3"/>
      <c r="EH52" s="3"/>
      <c r="EI52" s="3"/>
      <c r="EJ52" s="3"/>
      <c r="EK52" s="3"/>
      <c r="EL52" s="3"/>
      <c r="EM52" s="3"/>
      <c r="EN52" s="3"/>
      <c r="EO52" s="3"/>
      <c r="EP52" s="3"/>
      <c r="EQ52" s="3"/>
      <c r="ER52" s="3">
        <v>3695000</v>
      </c>
      <c r="ES52" s="3">
        <v>0</v>
      </c>
      <c r="ET52" s="3">
        <v>0</v>
      </c>
      <c r="EU52" s="3">
        <v>3695000</v>
      </c>
      <c r="EV52" s="3">
        <v>3695000</v>
      </c>
      <c r="EW52" s="3">
        <v>0</v>
      </c>
      <c r="EX52" s="3">
        <v>0</v>
      </c>
      <c r="EY52" s="3">
        <v>3695000</v>
      </c>
      <c r="EZ52" s="3"/>
      <c r="FA52" s="3"/>
      <c r="FB52" s="3"/>
      <c r="FC52" s="3"/>
      <c r="FD52" s="3"/>
      <c r="FE52" s="3"/>
      <c r="FF52" s="3"/>
      <c r="FG52" s="3"/>
      <c r="FH52" s="6"/>
      <c r="FI52" s="3"/>
      <c r="FJ52" s="3"/>
      <c r="FK52" s="3"/>
      <c r="FL52" s="3"/>
      <c r="FM52" s="3"/>
      <c r="FN52" s="3"/>
      <c r="FO52" s="3"/>
      <c r="FP52" s="3"/>
      <c r="FQ52" s="3"/>
      <c r="FR52" s="3"/>
      <c r="FS52" s="3"/>
      <c r="FT52" s="3">
        <v>9937000</v>
      </c>
      <c r="FU52" s="3">
        <v>0</v>
      </c>
      <c r="FV52" s="3">
        <v>0</v>
      </c>
      <c r="FW52" s="3">
        <v>9937000</v>
      </c>
      <c r="FX52" s="3">
        <v>9937000</v>
      </c>
      <c r="FY52" s="3">
        <v>0</v>
      </c>
      <c r="FZ52" s="3">
        <v>0</v>
      </c>
      <c r="GA52" s="3">
        <v>9937000</v>
      </c>
      <c r="GB52" s="3"/>
      <c r="GC52" s="3"/>
      <c r="GD52" s="3"/>
      <c r="GE52" s="3"/>
      <c r="GF52" s="3"/>
      <c r="GG52" s="3"/>
      <c r="GH52" s="3"/>
      <c r="GI52" s="3"/>
      <c r="GJ52" s="3"/>
      <c r="GK52" s="3"/>
      <c r="GL52" s="3"/>
      <c r="GM52" s="3"/>
      <c r="GN52" s="3"/>
      <c r="GO52" s="3"/>
      <c r="GP52" s="3"/>
      <c r="GQ52" s="3"/>
      <c r="GR52" s="3"/>
      <c r="GS52" s="6"/>
      <c r="GT52" s="3"/>
      <c r="GU52" s="3"/>
      <c r="GV52" s="3">
        <v>8637000</v>
      </c>
      <c r="GW52" s="3">
        <v>0</v>
      </c>
      <c r="GX52" s="3">
        <v>0</v>
      </c>
      <c r="GY52" s="3">
        <v>8637000</v>
      </c>
      <c r="GZ52" s="3">
        <v>8637000</v>
      </c>
      <c r="HA52" s="3">
        <v>0</v>
      </c>
      <c r="HB52" s="3">
        <v>0</v>
      </c>
      <c r="HC52" s="3">
        <v>8637000</v>
      </c>
      <c r="HD52" s="3"/>
      <c r="HE52" s="3"/>
      <c r="HF52" s="3"/>
      <c r="HG52" s="3"/>
      <c r="HH52" s="3"/>
      <c r="HI52" s="3"/>
      <c r="HJ52" s="3"/>
      <c r="HK52" s="3"/>
      <c r="HL52" s="3"/>
      <c r="HM52" s="3"/>
      <c r="HN52" s="3"/>
      <c r="HO52" s="3"/>
      <c r="HP52" s="3"/>
      <c r="HQ52" s="3"/>
      <c r="HR52" s="3"/>
      <c r="HS52" s="3"/>
      <c r="HT52" s="3"/>
      <c r="HU52" s="3"/>
      <c r="HV52" s="3"/>
      <c r="HW52" s="3"/>
      <c r="HX52" s="3">
        <v>15986000</v>
      </c>
      <c r="HY52" s="3">
        <v>0</v>
      </c>
      <c r="HZ52" s="3">
        <v>0</v>
      </c>
      <c r="IA52" s="3">
        <v>15986000</v>
      </c>
      <c r="IB52" s="3">
        <v>15986000</v>
      </c>
      <c r="IC52" s="3">
        <v>0</v>
      </c>
      <c r="ID52" s="3">
        <v>0</v>
      </c>
      <c r="IE52" s="3">
        <v>15986000</v>
      </c>
      <c r="IF52" s="3"/>
      <c r="IG52" s="3"/>
      <c r="IH52" s="3"/>
      <c r="II52" s="3"/>
      <c r="IJ52" s="3"/>
      <c r="IK52" s="3"/>
      <c r="IL52" s="3"/>
      <c r="IM52" s="3"/>
      <c r="IN52" s="3"/>
      <c r="IO52" s="3"/>
      <c r="IP52" s="3"/>
      <c r="IQ52" s="3"/>
      <c r="IR52" s="3"/>
      <c r="IS52" s="3"/>
      <c r="IT52" s="3"/>
      <c r="IU52" s="3"/>
      <c r="IV52" s="3"/>
      <c r="IW52" s="3"/>
      <c r="IX52" s="3"/>
      <c r="IY52" s="3"/>
      <c r="IZ52" s="3">
        <v>6132000</v>
      </c>
      <c r="JA52" s="3">
        <v>0</v>
      </c>
      <c r="JB52" s="3">
        <v>0</v>
      </c>
      <c r="JC52" s="3">
        <v>6132000</v>
      </c>
      <c r="JD52" s="3"/>
      <c r="JE52" s="3"/>
      <c r="JF52" s="3"/>
      <c r="JG52" s="3"/>
    </row>
    <row r="53" spans="1:267" x14ac:dyDescent="0.25">
      <c r="A53" t="s">
        <v>1153</v>
      </c>
      <c r="B53" t="s">
        <v>1154</v>
      </c>
      <c r="C53" t="s">
        <v>557</v>
      </c>
      <c r="D53" t="s">
        <v>1167</v>
      </c>
      <c r="E53" t="s">
        <v>217</v>
      </c>
      <c r="F53" t="s">
        <v>218</v>
      </c>
      <c r="G53" t="s">
        <v>1226</v>
      </c>
      <c r="H53" s="3">
        <v>171225000</v>
      </c>
      <c r="I53" s="3">
        <v>166584000</v>
      </c>
      <c r="J53" s="3">
        <v>77200000</v>
      </c>
      <c r="K53" s="3">
        <v>415009000</v>
      </c>
      <c r="L53" s="3">
        <v>171225000</v>
      </c>
      <c r="M53" s="3">
        <v>166584000</v>
      </c>
      <c r="N53" s="3">
        <v>77200000</v>
      </c>
      <c r="O53" s="3">
        <v>415009000</v>
      </c>
      <c r="P53" s="3"/>
      <c r="Q53" s="3"/>
      <c r="R53" s="3"/>
      <c r="S53" s="3"/>
      <c r="T53" s="3"/>
      <c r="U53" s="3"/>
      <c r="V53" s="3"/>
      <c r="W53" s="3"/>
      <c r="X53" s="6"/>
      <c r="Y53" s="3"/>
      <c r="Z53" s="3"/>
      <c r="AA53" s="3"/>
      <c r="AB53" s="3"/>
      <c r="AC53" s="3"/>
      <c r="AD53" s="3"/>
      <c r="AE53" s="3"/>
      <c r="AF53" s="3"/>
      <c r="AG53" s="3"/>
      <c r="AH53" s="3"/>
      <c r="AI53" s="3"/>
      <c r="AJ53" s="3">
        <v>193944000</v>
      </c>
      <c r="AK53" s="3">
        <v>172973000</v>
      </c>
      <c r="AL53" s="3">
        <v>68350000</v>
      </c>
      <c r="AM53" s="3">
        <v>435267000</v>
      </c>
      <c r="AN53" s="3">
        <v>193944000</v>
      </c>
      <c r="AO53" s="3">
        <v>172973000</v>
      </c>
      <c r="AP53" s="3">
        <v>68350000</v>
      </c>
      <c r="AQ53" s="3">
        <v>435267000</v>
      </c>
      <c r="AR53" s="3"/>
      <c r="AS53" s="3"/>
      <c r="AT53" s="3"/>
      <c r="AU53" s="3"/>
      <c r="AV53" s="3"/>
      <c r="AW53" s="3"/>
      <c r="AX53" s="3"/>
      <c r="AY53" s="3"/>
      <c r="AZ53" s="3"/>
      <c r="BA53" s="3"/>
      <c r="BB53" s="3"/>
      <c r="BC53" s="3"/>
      <c r="BD53" s="3"/>
      <c r="BE53" s="3"/>
      <c r="BF53" s="3"/>
      <c r="BG53" s="3"/>
      <c r="BH53" s="3"/>
      <c r="BI53" s="3"/>
      <c r="BJ53" s="3"/>
      <c r="BK53" s="3"/>
      <c r="BL53" s="3">
        <v>228426000</v>
      </c>
      <c r="BM53" s="3">
        <v>183638000</v>
      </c>
      <c r="BN53" s="3">
        <v>113575000</v>
      </c>
      <c r="BO53" s="3">
        <v>525639000</v>
      </c>
      <c r="BP53" s="3">
        <v>228426000</v>
      </c>
      <c r="BQ53" s="3">
        <v>183638000</v>
      </c>
      <c r="BR53" s="3">
        <v>113575000</v>
      </c>
      <c r="BS53" s="3">
        <v>525639000</v>
      </c>
      <c r="BT53" s="3"/>
      <c r="BU53" s="3"/>
      <c r="BV53" s="3"/>
      <c r="BW53" s="3"/>
      <c r="BX53" s="3"/>
      <c r="BY53" s="3"/>
      <c r="BZ53" s="3"/>
      <c r="CA53" s="3"/>
      <c r="CB53" s="3"/>
      <c r="CC53" s="3"/>
      <c r="CD53" s="3"/>
      <c r="CE53" s="6"/>
      <c r="CF53" s="3"/>
      <c r="CG53" s="3"/>
      <c r="CH53" s="3"/>
      <c r="CI53" s="3"/>
      <c r="CJ53" s="3"/>
      <c r="CK53" s="3"/>
      <c r="CL53" s="3"/>
      <c r="CM53" s="3"/>
      <c r="CN53" s="3">
        <v>234025000</v>
      </c>
      <c r="CO53" s="3">
        <v>147680000</v>
      </c>
      <c r="CP53" s="3">
        <v>40481000</v>
      </c>
      <c r="CQ53" s="3">
        <v>422186000</v>
      </c>
      <c r="CR53" s="3">
        <v>234025000</v>
      </c>
      <c r="CS53" s="3">
        <v>147680000</v>
      </c>
      <c r="CT53" s="3">
        <v>40481000</v>
      </c>
      <c r="CU53" s="3">
        <v>422186000</v>
      </c>
      <c r="CV53" s="3"/>
      <c r="CW53" s="3"/>
      <c r="CX53" s="3"/>
      <c r="CY53" s="3"/>
      <c r="CZ53" s="3"/>
      <c r="DA53" s="3"/>
      <c r="DB53" s="3"/>
      <c r="DC53" s="3"/>
      <c r="DD53" s="3"/>
      <c r="DE53" s="3"/>
      <c r="DF53" s="3"/>
      <c r="DG53" s="3"/>
      <c r="DH53" s="3"/>
      <c r="DI53" s="3"/>
      <c r="DJ53" s="3"/>
      <c r="DK53" s="3"/>
      <c r="DL53" s="3"/>
      <c r="DM53" s="3"/>
      <c r="DN53" s="3"/>
      <c r="DO53" s="3"/>
      <c r="DP53" s="3">
        <v>239930000</v>
      </c>
      <c r="DQ53" s="3">
        <v>135835000</v>
      </c>
      <c r="DR53" s="3">
        <v>0</v>
      </c>
      <c r="DS53" s="3">
        <v>375765000</v>
      </c>
      <c r="DT53" s="3">
        <v>239930000</v>
      </c>
      <c r="DU53" s="3">
        <v>135835000</v>
      </c>
      <c r="DV53" s="3">
        <v>0</v>
      </c>
      <c r="DW53" s="3">
        <v>375765000</v>
      </c>
      <c r="DX53" s="3"/>
      <c r="DY53" s="3"/>
      <c r="DZ53" s="3"/>
      <c r="EA53" s="3"/>
      <c r="EB53" s="3"/>
      <c r="EC53" s="3"/>
      <c r="ED53" s="3"/>
      <c r="EE53" s="3"/>
      <c r="EF53" s="3"/>
      <c r="EG53" s="3"/>
      <c r="EH53" s="3"/>
      <c r="EI53" s="3"/>
      <c r="EJ53" s="3"/>
      <c r="EK53" s="3"/>
      <c r="EL53" s="3"/>
      <c r="EM53" s="3"/>
      <c r="EN53" s="3"/>
      <c r="EO53" s="3"/>
      <c r="EP53" s="3"/>
      <c r="EQ53" s="3"/>
      <c r="ER53" s="3">
        <v>248964000</v>
      </c>
      <c r="ES53" s="3">
        <v>217281000</v>
      </c>
      <c r="ET53" s="3">
        <v>0</v>
      </c>
      <c r="EU53" s="3">
        <v>466245000</v>
      </c>
      <c r="EV53" s="3">
        <v>248964000</v>
      </c>
      <c r="EW53" s="3">
        <v>217281000</v>
      </c>
      <c r="EX53" s="3">
        <v>0</v>
      </c>
      <c r="EY53" s="3">
        <v>466245000</v>
      </c>
      <c r="EZ53" s="3"/>
      <c r="FA53" s="3"/>
      <c r="FB53" s="3"/>
      <c r="FC53" s="3"/>
      <c r="FD53" s="3"/>
      <c r="FE53" s="3"/>
      <c r="FF53" s="3"/>
      <c r="FG53" s="3"/>
      <c r="FH53" s="6"/>
      <c r="FI53" s="3"/>
      <c r="FJ53" s="3"/>
      <c r="FK53" s="3"/>
      <c r="FL53" s="3"/>
      <c r="FM53" s="3"/>
      <c r="FN53" s="3"/>
      <c r="FO53" s="3"/>
      <c r="FP53" s="3"/>
      <c r="FQ53" s="3"/>
      <c r="FR53" s="3"/>
      <c r="FS53" s="3"/>
      <c r="FT53" s="3">
        <v>233687000</v>
      </c>
      <c r="FU53" s="3">
        <v>312500000</v>
      </c>
      <c r="FV53" s="3">
        <v>16755000</v>
      </c>
      <c r="FW53" s="3">
        <v>562942000</v>
      </c>
      <c r="FX53" s="3">
        <v>233687000</v>
      </c>
      <c r="FY53" s="3">
        <v>312500000</v>
      </c>
      <c r="FZ53" s="3">
        <v>16755000</v>
      </c>
      <c r="GA53" s="3">
        <v>562942000</v>
      </c>
      <c r="GB53" s="3"/>
      <c r="GC53" s="3"/>
      <c r="GD53" s="3"/>
      <c r="GE53" s="3"/>
      <c r="GF53" s="3"/>
      <c r="GG53" s="3"/>
      <c r="GH53" s="3"/>
      <c r="GI53" s="3"/>
      <c r="GJ53" s="3"/>
      <c r="GK53" s="3"/>
      <c r="GL53" s="3"/>
      <c r="GM53" s="3"/>
      <c r="GN53" s="3"/>
      <c r="GO53" s="3"/>
      <c r="GP53" s="3"/>
      <c r="GQ53" s="3"/>
      <c r="GR53" s="3"/>
      <c r="GS53" s="6"/>
      <c r="GT53" s="3"/>
      <c r="GU53" s="3"/>
      <c r="GV53" s="3">
        <v>233744000</v>
      </c>
      <c r="GW53" s="3">
        <v>376431000</v>
      </c>
      <c r="GX53" s="3">
        <v>110031000</v>
      </c>
      <c r="GY53" s="3">
        <v>720206000</v>
      </c>
      <c r="GZ53" s="3">
        <v>233744000</v>
      </c>
      <c r="HA53" s="3">
        <v>376431000</v>
      </c>
      <c r="HB53" s="3">
        <v>110031000</v>
      </c>
      <c r="HC53" s="3">
        <v>720206000</v>
      </c>
      <c r="HD53" s="3"/>
      <c r="HE53" s="3"/>
      <c r="HF53" s="3"/>
      <c r="HG53" s="3"/>
      <c r="HH53" s="3"/>
      <c r="HI53" s="3"/>
      <c r="HJ53" s="3"/>
      <c r="HK53" s="3"/>
      <c r="HL53" s="3"/>
      <c r="HM53" s="3"/>
      <c r="HN53" s="3"/>
      <c r="HO53" s="3"/>
      <c r="HP53" s="3"/>
      <c r="HQ53" s="3"/>
      <c r="HR53" s="3"/>
      <c r="HS53" s="3"/>
      <c r="HT53" s="3"/>
      <c r="HU53" s="3"/>
      <c r="HV53" s="3"/>
      <c r="HW53" s="3"/>
      <c r="HX53" s="3">
        <v>230317000</v>
      </c>
      <c r="HY53" s="3">
        <v>544591000</v>
      </c>
      <c r="HZ53" s="3">
        <v>59212000</v>
      </c>
      <c r="IA53" s="3">
        <v>834120000</v>
      </c>
      <c r="IB53" s="3">
        <v>244552000</v>
      </c>
      <c r="IC53" s="3">
        <v>544591000</v>
      </c>
      <c r="ID53" s="3">
        <v>59212000</v>
      </c>
      <c r="IE53" s="3">
        <v>848355000</v>
      </c>
      <c r="IF53" s="3"/>
      <c r="IG53" s="3"/>
      <c r="IH53" s="3"/>
      <c r="II53" s="3"/>
      <c r="IJ53" s="3"/>
      <c r="IK53" s="3"/>
      <c r="IL53" s="3"/>
      <c r="IM53" s="3"/>
      <c r="IN53" s="3"/>
      <c r="IO53" s="3"/>
      <c r="IP53" s="3"/>
      <c r="IQ53" s="3"/>
      <c r="IR53" s="3"/>
      <c r="IS53" s="3"/>
      <c r="IT53" s="3"/>
      <c r="IU53" s="3"/>
      <c r="IV53" s="3"/>
      <c r="IW53" s="3"/>
      <c r="IX53" s="3"/>
      <c r="IY53" s="3"/>
      <c r="IZ53" s="3">
        <v>266189000</v>
      </c>
      <c r="JA53" s="3">
        <v>310036000</v>
      </c>
      <c r="JB53" s="3">
        <v>6200000</v>
      </c>
      <c r="JC53" s="3">
        <v>582425000</v>
      </c>
      <c r="JD53" s="3"/>
      <c r="JE53" s="3"/>
      <c r="JF53" s="3"/>
      <c r="JG53" s="3"/>
    </row>
    <row r="54" spans="1:267" x14ac:dyDescent="0.25">
      <c r="A54" t="s">
        <v>1153</v>
      </c>
      <c r="B54" t="s">
        <v>1154</v>
      </c>
      <c r="C54" t="s">
        <v>557</v>
      </c>
      <c r="D54" t="s">
        <v>1167</v>
      </c>
      <c r="E54" t="s">
        <v>217</v>
      </c>
      <c r="F54" t="s">
        <v>220</v>
      </c>
      <c r="G54" t="s">
        <v>1227</v>
      </c>
      <c r="H54" s="3">
        <v>50284000</v>
      </c>
      <c r="I54" s="3">
        <v>568829000</v>
      </c>
      <c r="J54" s="3">
        <v>0</v>
      </c>
      <c r="K54" s="3">
        <v>619113000</v>
      </c>
      <c r="L54" s="3">
        <v>50284000</v>
      </c>
      <c r="M54" s="3">
        <v>568829000</v>
      </c>
      <c r="N54" s="3">
        <v>0</v>
      </c>
      <c r="O54" s="3">
        <v>619113000</v>
      </c>
      <c r="P54" s="3"/>
      <c r="Q54" s="3"/>
      <c r="R54" s="3"/>
      <c r="S54" s="3"/>
      <c r="T54" s="3"/>
      <c r="U54" s="3"/>
      <c r="V54" s="3"/>
      <c r="W54" s="3"/>
      <c r="X54" s="6"/>
      <c r="Y54" s="3"/>
      <c r="Z54" s="3"/>
      <c r="AA54" s="3"/>
      <c r="AB54" s="3"/>
      <c r="AC54" s="3"/>
      <c r="AD54" s="3"/>
      <c r="AE54" s="3"/>
      <c r="AF54" s="3"/>
      <c r="AG54" s="3"/>
      <c r="AH54" s="3"/>
      <c r="AI54" s="3"/>
      <c r="AJ54" s="3">
        <v>51750000</v>
      </c>
      <c r="AK54" s="3">
        <v>467618000</v>
      </c>
      <c r="AL54" s="3">
        <v>0</v>
      </c>
      <c r="AM54" s="3">
        <v>519368000</v>
      </c>
      <c r="AN54" s="3">
        <v>51750000</v>
      </c>
      <c r="AO54" s="3">
        <v>467618000</v>
      </c>
      <c r="AP54" s="3">
        <v>0</v>
      </c>
      <c r="AQ54" s="3">
        <v>519368000</v>
      </c>
      <c r="AR54" s="3"/>
      <c r="AS54" s="3"/>
      <c r="AT54" s="3"/>
      <c r="AU54" s="3"/>
      <c r="AV54" s="3"/>
      <c r="AW54" s="3"/>
      <c r="AX54" s="3"/>
      <c r="AY54" s="3"/>
      <c r="AZ54" s="3"/>
      <c r="BA54" s="3"/>
      <c r="BB54" s="3"/>
      <c r="BC54" s="3"/>
      <c r="BD54" s="3"/>
      <c r="BE54" s="3"/>
      <c r="BF54" s="3"/>
      <c r="BG54" s="3"/>
      <c r="BH54" s="3"/>
      <c r="BI54" s="3"/>
      <c r="BJ54" s="3"/>
      <c r="BK54" s="3"/>
      <c r="BL54" s="3">
        <v>54074000</v>
      </c>
      <c r="BM54" s="3">
        <v>482698000</v>
      </c>
      <c r="BN54" s="3">
        <v>26614000</v>
      </c>
      <c r="BO54" s="3">
        <v>563386000</v>
      </c>
      <c r="BP54" s="3">
        <v>54074000</v>
      </c>
      <c r="BQ54" s="3">
        <v>662698000</v>
      </c>
      <c r="BR54" s="3">
        <v>46614000</v>
      </c>
      <c r="BS54" s="3">
        <v>763386000</v>
      </c>
      <c r="BT54" s="3"/>
      <c r="BU54" s="3"/>
      <c r="BV54" s="3"/>
      <c r="BW54" s="3"/>
      <c r="BX54" s="3"/>
      <c r="BY54" s="3"/>
      <c r="BZ54" s="3"/>
      <c r="CA54" s="3"/>
      <c r="CB54" s="3"/>
      <c r="CC54" s="3"/>
      <c r="CD54" s="3"/>
      <c r="CE54" s="6"/>
      <c r="CF54" s="3"/>
      <c r="CG54" s="3"/>
      <c r="CH54" s="3"/>
      <c r="CI54" s="3"/>
      <c r="CJ54" s="3"/>
      <c r="CK54" s="3"/>
      <c r="CL54" s="3"/>
      <c r="CM54" s="3"/>
      <c r="CN54" s="3">
        <v>60604000</v>
      </c>
      <c r="CO54" s="3">
        <v>505956000</v>
      </c>
      <c r="CP54" s="3">
        <v>35942000</v>
      </c>
      <c r="CQ54" s="3">
        <v>602502000</v>
      </c>
      <c r="CR54" s="3">
        <v>60604000</v>
      </c>
      <c r="CS54" s="3">
        <v>505956000</v>
      </c>
      <c r="CT54" s="3">
        <v>35942000</v>
      </c>
      <c r="CU54" s="3">
        <v>602502000</v>
      </c>
      <c r="CV54" s="3"/>
      <c r="CW54" s="3"/>
      <c r="CX54" s="3"/>
      <c r="CY54" s="3"/>
      <c r="CZ54" s="3"/>
      <c r="DA54" s="3"/>
      <c r="DB54" s="3"/>
      <c r="DC54" s="3"/>
      <c r="DD54" s="3"/>
      <c r="DE54" s="3"/>
      <c r="DF54" s="3"/>
      <c r="DG54" s="3"/>
      <c r="DH54" s="3"/>
      <c r="DI54" s="3"/>
      <c r="DJ54" s="3"/>
      <c r="DK54" s="3"/>
      <c r="DL54" s="3"/>
      <c r="DM54" s="3"/>
      <c r="DN54" s="3"/>
      <c r="DO54" s="3"/>
      <c r="DP54" s="3">
        <v>64189000</v>
      </c>
      <c r="DQ54" s="3">
        <v>468214000</v>
      </c>
      <c r="DR54" s="3">
        <v>0</v>
      </c>
      <c r="DS54" s="3">
        <v>532403000</v>
      </c>
      <c r="DT54" s="3">
        <v>64189000</v>
      </c>
      <c r="DU54" s="3">
        <v>468214000</v>
      </c>
      <c r="DV54" s="3">
        <v>0</v>
      </c>
      <c r="DW54" s="3">
        <v>532403000</v>
      </c>
      <c r="DX54" s="3"/>
      <c r="DY54" s="3"/>
      <c r="DZ54" s="3"/>
      <c r="EA54" s="3"/>
      <c r="EB54" s="3"/>
      <c r="EC54" s="3"/>
      <c r="ED54" s="3"/>
      <c r="EE54" s="3"/>
      <c r="EF54" s="3"/>
      <c r="EG54" s="3"/>
      <c r="EH54" s="3"/>
      <c r="EI54" s="3"/>
      <c r="EJ54" s="3"/>
      <c r="EK54" s="3"/>
      <c r="EL54" s="3"/>
      <c r="EM54" s="3"/>
      <c r="EN54" s="3"/>
      <c r="EO54" s="3"/>
      <c r="EP54" s="3"/>
      <c r="EQ54" s="3"/>
      <c r="ER54" s="3">
        <v>65146000</v>
      </c>
      <c r="ES54" s="3">
        <v>511060000</v>
      </c>
      <c r="ET54" s="3">
        <v>0</v>
      </c>
      <c r="EU54" s="3">
        <v>576206000</v>
      </c>
      <c r="EV54" s="3">
        <v>65146000</v>
      </c>
      <c r="EW54" s="3">
        <v>511060000</v>
      </c>
      <c r="EX54" s="3">
        <v>0</v>
      </c>
      <c r="EY54" s="3">
        <v>576206000</v>
      </c>
      <c r="EZ54" s="3"/>
      <c r="FA54" s="3"/>
      <c r="FB54" s="3"/>
      <c r="FC54" s="3"/>
      <c r="FD54" s="3"/>
      <c r="FE54" s="3"/>
      <c r="FF54" s="3"/>
      <c r="FG54" s="3"/>
      <c r="FH54" s="6"/>
      <c r="FI54" s="3"/>
      <c r="FJ54" s="3"/>
      <c r="FK54" s="3"/>
      <c r="FL54" s="3"/>
      <c r="FM54" s="3"/>
      <c r="FN54" s="3"/>
      <c r="FO54" s="3"/>
      <c r="FP54" s="3"/>
      <c r="FQ54" s="3"/>
      <c r="FR54" s="3"/>
      <c r="FS54" s="3"/>
      <c r="FT54" s="3">
        <v>66978000</v>
      </c>
      <c r="FU54" s="3">
        <v>520259000</v>
      </c>
      <c r="FV54" s="3">
        <v>0</v>
      </c>
      <c r="FW54" s="3">
        <v>587237000</v>
      </c>
      <c r="FX54" s="3">
        <v>66978000</v>
      </c>
      <c r="FY54" s="3">
        <v>520259000</v>
      </c>
      <c r="FZ54" s="3">
        <v>0</v>
      </c>
      <c r="GA54" s="3">
        <v>587237000</v>
      </c>
      <c r="GB54" s="3"/>
      <c r="GC54" s="3"/>
      <c r="GD54" s="3"/>
      <c r="GE54" s="3"/>
      <c r="GF54" s="3"/>
      <c r="GG54" s="3"/>
      <c r="GH54" s="3"/>
      <c r="GI54" s="3"/>
      <c r="GJ54" s="3"/>
      <c r="GK54" s="3"/>
      <c r="GL54" s="3"/>
      <c r="GM54" s="3"/>
      <c r="GN54" s="3"/>
      <c r="GO54" s="3"/>
      <c r="GP54" s="3"/>
      <c r="GQ54" s="3"/>
      <c r="GR54" s="3"/>
      <c r="GS54" s="6"/>
      <c r="GT54" s="3"/>
      <c r="GU54" s="3"/>
      <c r="GV54" s="3">
        <v>70019000</v>
      </c>
      <c r="GW54" s="3">
        <v>529624000</v>
      </c>
      <c r="GX54" s="3">
        <v>0</v>
      </c>
      <c r="GY54" s="3">
        <v>599643000</v>
      </c>
      <c r="GZ54" s="3">
        <v>70019000</v>
      </c>
      <c r="HA54" s="3">
        <v>529624000</v>
      </c>
      <c r="HB54" s="3">
        <v>0</v>
      </c>
      <c r="HC54" s="3">
        <v>599643000</v>
      </c>
      <c r="HD54" s="3"/>
      <c r="HE54" s="3"/>
      <c r="HF54" s="3"/>
      <c r="HG54" s="3"/>
      <c r="HH54" s="3"/>
      <c r="HI54" s="3"/>
      <c r="HJ54" s="3"/>
      <c r="HK54" s="3"/>
      <c r="HL54" s="3"/>
      <c r="HM54" s="3"/>
      <c r="HN54" s="3"/>
      <c r="HO54" s="3"/>
      <c r="HP54" s="3"/>
      <c r="HQ54" s="3"/>
      <c r="HR54" s="3"/>
      <c r="HS54" s="3"/>
      <c r="HT54" s="3"/>
      <c r="HU54" s="3"/>
      <c r="HV54" s="3"/>
      <c r="HW54" s="3"/>
      <c r="HX54" s="3">
        <v>78019000</v>
      </c>
      <c r="HY54" s="3">
        <v>539157000</v>
      </c>
      <c r="HZ54" s="3">
        <v>0</v>
      </c>
      <c r="IA54" s="3">
        <v>617176000</v>
      </c>
      <c r="IB54" s="3">
        <v>78019000</v>
      </c>
      <c r="IC54" s="3">
        <v>539157000</v>
      </c>
      <c r="ID54" s="3">
        <v>0</v>
      </c>
      <c r="IE54" s="3">
        <v>617176000</v>
      </c>
      <c r="IF54" s="3"/>
      <c r="IG54" s="3"/>
      <c r="IH54" s="3"/>
      <c r="II54" s="3"/>
      <c r="IJ54" s="3"/>
      <c r="IK54" s="3"/>
      <c r="IL54" s="3"/>
      <c r="IM54" s="3"/>
      <c r="IN54" s="3"/>
      <c r="IO54" s="3"/>
      <c r="IP54" s="3"/>
      <c r="IQ54" s="3"/>
      <c r="IR54" s="3"/>
      <c r="IS54" s="3"/>
      <c r="IT54" s="3"/>
      <c r="IU54" s="3"/>
      <c r="IV54" s="3"/>
      <c r="IW54" s="3"/>
      <c r="IX54" s="3"/>
      <c r="IY54" s="3"/>
      <c r="IZ54" s="3">
        <v>84631000</v>
      </c>
      <c r="JA54" s="3">
        <v>548862000</v>
      </c>
      <c r="JB54" s="3">
        <v>0</v>
      </c>
      <c r="JC54" s="3">
        <v>633493000</v>
      </c>
      <c r="JD54" s="3"/>
      <c r="JE54" s="3"/>
      <c r="JF54" s="3"/>
      <c r="JG54" s="3"/>
    </row>
    <row r="55" spans="1:267" x14ac:dyDescent="0.25">
      <c r="A55" t="s">
        <v>1153</v>
      </c>
      <c r="B55" t="s">
        <v>1154</v>
      </c>
      <c r="C55" t="s">
        <v>557</v>
      </c>
      <c r="D55" t="s">
        <v>1167</v>
      </c>
      <c r="E55" t="s">
        <v>217</v>
      </c>
      <c r="F55" t="s">
        <v>222</v>
      </c>
      <c r="G55" t="s">
        <v>1228</v>
      </c>
      <c r="H55" s="3">
        <v>45185000</v>
      </c>
      <c r="I55" s="3">
        <v>28091000</v>
      </c>
      <c r="J55" s="3">
        <v>20409000</v>
      </c>
      <c r="K55" s="3">
        <v>93685000</v>
      </c>
      <c r="L55" s="3">
        <v>45185000</v>
      </c>
      <c r="M55" s="3">
        <v>28091000</v>
      </c>
      <c r="N55" s="3">
        <v>20409000</v>
      </c>
      <c r="O55" s="3">
        <v>93685000</v>
      </c>
      <c r="P55" s="3"/>
      <c r="Q55" s="3"/>
      <c r="R55" s="3"/>
      <c r="S55" s="3"/>
      <c r="T55" s="3"/>
      <c r="U55" s="3"/>
      <c r="V55" s="3"/>
      <c r="W55" s="3"/>
      <c r="X55" s="6"/>
      <c r="Y55" s="3"/>
      <c r="Z55" s="3"/>
      <c r="AA55" s="3"/>
      <c r="AB55" s="3"/>
      <c r="AC55" s="3"/>
      <c r="AD55" s="3"/>
      <c r="AE55" s="3"/>
      <c r="AF55" s="3"/>
      <c r="AG55" s="3"/>
      <c r="AH55" s="3"/>
      <c r="AI55" s="3"/>
      <c r="AJ55" s="3">
        <v>51678000</v>
      </c>
      <c r="AK55" s="3">
        <v>25858000</v>
      </c>
      <c r="AL55" s="3">
        <v>0</v>
      </c>
      <c r="AM55" s="3">
        <v>77536000</v>
      </c>
      <c r="AN55" s="3">
        <v>51678000</v>
      </c>
      <c r="AO55" s="3">
        <v>25858000</v>
      </c>
      <c r="AP55" s="3">
        <v>0</v>
      </c>
      <c r="AQ55" s="3">
        <v>77536000</v>
      </c>
      <c r="AR55" s="3"/>
      <c r="AS55" s="3"/>
      <c r="AT55" s="3"/>
      <c r="AU55" s="3"/>
      <c r="AV55" s="3"/>
      <c r="AW55" s="3"/>
      <c r="AX55" s="3"/>
      <c r="AY55" s="3"/>
      <c r="AZ55" s="3"/>
      <c r="BA55" s="3"/>
      <c r="BB55" s="3"/>
      <c r="BC55" s="3"/>
      <c r="BD55" s="3"/>
      <c r="BE55" s="3"/>
      <c r="BF55" s="3"/>
      <c r="BG55" s="3"/>
      <c r="BH55" s="3"/>
      <c r="BI55" s="3"/>
      <c r="BJ55" s="3"/>
      <c r="BK55" s="3"/>
      <c r="BL55" s="3">
        <v>53421000</v>
      </c>
      <c r="BM55" s="3">
        <v>39705000</v>
      </c>
      <c r="BN55" s="3">
        <v>12521000</v>
      </c>
      <c r="BO55" s="3">
        <v>105647000</v>
      </c>
      <c r="BP55" s="3">
        <v>53421000</v>
      </c>
      <c r="BQ55" s="3">
        <v>39705000</v>
      </c>
      <c r="BR55" s="3">
        <v>12521000</v>
      </c>
      <c r="BS55" s="3">
        <v>105647000</v>
      </c>
      <c r="BT55" s="3"/>
      <c r="BU55" s="3"/>
      <c r="BV55" s="3"/>
      <c r="BW55" s="3"/>
      <c r="BX55" s="3"/>
      <c r="BY55" s="3"/>
      <c r="BZ55" s="3"/>
      <c r="CA55" s="3"/>
      <c r="CB55" s="3"/>
      <c r="CC55" s="3"/>
      <c r="CD55" s="3"/>
      <c r="CE55" s="6"/>
      <c r="CF55" s="3"/>
      <c r="CG55" s="3"/>
      <c r="CH55" s="3"/>
      <c r="CI55" s="3"/>
      <c r="CJ55" s="3"/>
      <c r="CK55" s="3"/>
      <c r="CL55" s="3"/>
      <c r="CM55" s="3"/>
      <c r="CN55" s="3">
        <v>59099000</v>
      </c>
      <c r="CO55" s="3">
        <v>26628000</v>
      </c>
      <c r="CP55" s="3">
        <v>2472000</v>
      </c>
      <c r="CQ55" s="3">
        <v>88199000</v>
      </c>
      <c r="CR55" s="3">
        <v>59099000</v>
      </c>
      <c r="CS55" s="3">
        <v>26628000</v>
      </c>
      <c r="CT55" s="3">
        <v>2472000</v>
      </c>
      <c r="CU55" s="3">
        <v>88199000</v>
      </c>
      <c r="CV55" s="3"/>
      <c r="CW55" s="3"/>
      <c r="CX55" s="3"/>
      <c r="CY55" s="3"/>
      <c r="CZ55" s="3"/>
      <c r="DA55" s="3"/>
      <c r="DB55" s="3"/>
      <c r="DC55" s="3"/>
      <c r="DD55" s="3"/>
      <c r="DE55" s="3"/>
      <c r="DF55" s="3"/>
      <c r="DG55" s="3"/>
      <c r="DH55" s="3"/>
      <c r="DI55" s="3"/>
      <c r="DJ55" s="3"/>
      <c r="DK55" s="3"/>
      <c r="DL55" s="3"/>
      <c r="DM55" s="3"/>
      <c r="DN55" s="3"/>
      <c r="DO55" s="3"/>
      <c r="DP55" s="3">
        <v>59970000</v>
      </c>
      <c r="DQ55" s="3">
        <v>23074000</v>
      </c>
      <c r="DR55" s="3">
        <v>0</v>
      </c>
      <c r="DS55" s="3">
        <v>83044000</v>
      </c>
      <c r="DT55" s="3">
        <v>59970000</v>
      </c>
      <c r="DU55" s="3">
        <v>23074000</v>
      </c>
      <c r="DV55" s="3">
        <v>0</v>
      </c>
      <c r="DW55" s="3">
        <v>83044000</v>
      </c>
      <c r="DX55" s="3"/>
      <c r="DY55" s="3"/>
      <c r="DZ55" s="3"/>
      <c r="EA55" s="3"/>
      <c r="EB55" s="3"/>
      <c r="EC55" s="3"/>
      <c r="ED55" s="3"/>
      <c r="EE55" s="3"/>
      <c r="EF55" s="3"/>
      <c r="EG55" s="3"/>
      <c r="EH55" s="3"/>
      <c r="EI55" s="3"/>
      <c r="EJ55" s="3"/>
      <c r="EK55" s="3"/>
      <c r="EL55" s="3"/>
      <c r="EM55" s="3"/>
      <c r="EN55" s="3"/>
      <c r="EO55" s="3"/>
      <c r="EP55" s="3"/>
      <c r="EQ55" s="3"/>
      <c r="ER55" s="3">
        <v>59624000</v>
      </c>
      <c r="ES55" s="3">
        <v>25263000</v>
      </c>
      <c r="ET55" s="3">
        <v>0</v>
      </c>
      <c r="EU55" s="3">
        <v>84887000</v>
      </c>
      <c r="EV55" s="3">
        <v>59624000</v>
      </c>
      <c r="EW55" s="3">
        <v>25263000</v>
      </c>
      <c r="EX55" s="3">
        <v>0</v>
      </c>
      <c r="EY55" s="3">
        <v>84887000</v>
      </c>
      <c r="EZ55" s="3"/>
      <c r="FA55" s="3"/>
      <c r="FB55" s="3"/>
      <c r="FC55" s="3"/>
      <c r="FD55" s="3"/>
      <c r="FE55" s="3"/>
      <c r="FF55" s="3"/>
      <c r="FG55" s="3"/>
      <c r="FH55" s="6"/>
      <c r="FI55" s="3"/>
      <c r="FJ55" s="3"/>
      <c r="FK55" s="3"/>
      <c r="FL55" s="3"/>
      <c r="FM55" s="3"/>
      <c r="FN55" s="3"/>
      <c r="FO55" s="3"/>
      <c r="FP55" s="3"/>
      <c r="FQ55" s="3"/>
      <c r="FR55" s="3"/>
      <c r="FS55" s="3"/>
      <c r="FT55" s="3">
        <v>61815000</v>
      </c>
      <c r="FU55" s="3">
        <v>55718000</v>
      </c>
      <c r="FV55" s="3">
        <v>20000000</v>
      </c>
      <c r="FW55" s="3">
        <v>137533000</v>
      </c>
      <c r="FX55" s="3">
        <v>61815000</v>
      </c>
      <c r="FY55" s="3">
        <v>55718000</v>
      </c>
      <c r="FZ55" s="3">
        <v>20000000</v>
      </c>
      <c r="GA55" s="3">
        <v>137533000</v>
      </c>
      <c r="GB55" s="3"/>
      <c r="GC55" s="3"/>
      <c r="GD55" s="3"/>
      <c r="GE55" s="3"/>
      <c r="GF55" s="3"/>
      <c r="GG55" s="3"/>
      <c r="GH55" s="3"/>
      <c r="GI55" s="3"/>
      <c r="GJ55" s="3"/>
      <c r="GK55" s="3"/>
      <c r="GL55" s="3"/>
      <c r="GM55" s="3"/>
      <c r="GN55" s="3"/>
      <c r="GO55" s="3"/>
      <c r="GP55" s="3"/>
      <c r="GQ55" s="3"/>
      <c r="GR55" s="3"/>
      <c r="GS55" s="6"/>
      <c r="GT55" s="3"/>
      <c r="GU55" s="3"/>
      <c r="GV55" s="3">
        <v>64543000</v>
      </c>
      <c r="GW55" s="3">
        <v>65486000</v>
      </c>
      <c r="GX55" s="3">
        <v>31861000</v>
      </c>
      <c r="GY55" s="3">
        <v>161890000</v>
      </c>
      <c r="GZ55" s="3">
        <v>64543000</v>
      </c>
      <c r="HA55" s="3">
        <v>65486000</v>
      </c>
      <c r="HB55" s="3">
        <v>31861000</v>
      </c>
      <c r="HC55" s="3">
        <v>161890000</v>
      </c>
      <c r="HD55" s="3"/>
      <c r="HE55" s="3"/>
      <c r="HF55" s="3"/>
      <c r="HG55" s="3"/>
      <c r="HH55" s="3"/>
      <c r="HI55" s="3"/>
      <c r="HJ55" s="3"/>
      <c r="HK55" s="3"/>
      <c r="HL55" s="3"/>
      <c r="HM55" s="3"/>
      <c r="HN55" s="3"/>
      <c r="HO55" s="3"/>
      <c r="HP55" s="3"/>
      <c r="HQ55" s="3"/>
      <c r="HR55" s="3"/>
      <c r="HS55" s="3"/>
      <c r="HT55" s="3"/>
      <c r="HU55" s="3"/>
      <c r="HV55" s="3"/>
      <c r="HW55" s="3"/>
      <c r="HX55" s="3">
        <v>75802000</v>
      </c>
      <c r="HY55" s="3">
        <v>73222000</v>
      </c>
      <c r="HZ55" s="3">
        <v>13710000</v>
      </c>
      <c r="IA55" s="3">
        <v>162734000</v>
      </c>
      <c r="IB55" s="3">
        <v>75802000</v>
      </c>
      <c r="IC55" s="3">
        <v>73222000</v>
      </c>
      <c r="ID55" s="3">
        <v>13710000</v>
      </c>
      <c r="IE55" s="3">
        <v>162734000</v>
      </c>
      <c r="IF55" s="3"/>
      <c r="IG55" s="3"/>
      <c r="IH55" s="3"/>
      <c r="II55" s="3"/>
      <c r="IJ55" s="3"/>
      <c r="IK55" s="3"/>
      <c r="IL55" s="3"/>
      <c r="IM55" s="3"/>
      <c r="IN55" s="3"/>
      <c r="IO55" s="3"/>
      <c r="IP55" s="3"/>
      <c r="IQ55" s="3"/>
      <c r="IR55" s="3"/>
      <c r="IS55" s="3"/>
      <c r="IT55" s="3"/>
      <c r="IU55" s="3"/>
      <c r="IV55" s="3"/>
      <c r="IW55" s="3"/>
      <c r="IX55" s="3"/>
      <c r="IY55" s="3"/>
      <c r="IZ55" s="3">
        <v>74534000</v>
      </c>
      <c r="JA55" s="3">
        <v>91402000</v>
      </c>
      <c r="JB55" s="3">
        <v>9300000</v>
      </c>
      <c r="JC55" s="3">
        <v>175236000</v>
      </c>
      <c r="JD55" s="3"/>
      <c r="JE55" s="3"/>
      <c r="JF55" s="3"/>
      <c r="JG55" s="3"/>
    </row>
    <row r="56" spans="1:267" x14ac:dyDescent="0.25">
      <c r="A56" t="s">
        <v>1153</v>
      </c>
      <c r="B56" t="s">
        <v>1154</v>
      </c>
      <c r="C56" t="s">
        <v>557</v>
      </c>
      <c r="D56" t="s">
        <v>1167</v>
      </c>
      <c r="E56" t="s">
        <v>217</v>
      </c>
      <c r="F56" t="s">
        <v>516</v>
      </c>
      <c r="G56" t="s">
        <v>1229</v>
      </c>
      <c r="H56" s="3">
        <v>40576000</v>
      </c>
      <c r="I56" s="3">
        <v>10369000</v>
      </c>
      <c r="J56" s="3">
        <v>24449000</v>
      </c>
      <c r="K56" s="3">
        <v>75394000</v>
      </c>
      <c r="L56" s="3">
        <v>40576000</v>
      </c>
      <c r="M56" s="3">
        <v>10369000</v>
      </c>
      <c r="N56" s="3">
        <v>24449000</v>
      </c>
      <c r="O56" s="3">
        <v>75394000</v>
      </c>
      <c r="P56" s="3"/>
      <c r="Q56" s="3"/>
      <c r="R56" s="3"/>
      <c r="S56" s="3"/>
      <c r="T56" s="3"/>
      <c r="U56" s="3"/>
      <c r="V56" s="3"/>
      <c r="W56" s="3"/>
      <c r="X56" s="6"/>
      <c r="Y56" s="3"/>
      <c r="Z56" s="3"/>
      <c r="AA56" s="3"/>
      <c r="AB56" s="3"/>
      <c r="AC56" s="3"/>
      <c r="AD56" s="3"/>
      <c r="AE56" s="3"/>
      <c r="AF56" s="3"/>
      <c r="AG56" s="3"/>
      <c r="AH56" s="3"/>
      <c r="AI56" s="3"/>
      <c r="AJ56" s="3">
        <v>45342000</v>
      </c>
      <c r="AK56" s="3">
        <v>8068000</v>
      </c>
      <c r="AL56" s="3">
        <v>0</v>
      </c>
      <c r="AM56" s="3">
        <v>53410000</v>
      </c>
      <c r="AN56" s="3">
        <v>45342000</v>
      </c>
      <c r="AO56" s="3">
        <v>8068000</v>
      </c>
      <c r="AP56" s="3">
        <v>0</v>
      </c>
      <c r="AQ56" s="3">
        <v>53410000</v>
      </c>
      <c r="AR56" s="3"/>
      <c r="AS56" s="3"/>
      <c r="AT56" s="3"/>
      <c r="AU56" s="3"/>
      <c r="AV56" s="3"/>
      <c r="AW56" s="3"/>
      <c r="AX56" s="3"/>
      <c r="AY56" s="3"/>
      <c r="AZ56" s="3"/>
      <c r="BA56" s="3"/>
      <c r="BB56" s="3"/>
      <c r="BC56" s="3"/>
      <c r="BD56" s="3"/>
      <c r="BE56" s="3"/>
      <c r="BF56" s="3"/>
      <c r="BG56" s="3"/>
      <c r="BH56" s="3"/>
      <c r="BI56" s="3"/>
      <c r="BJ56" s="3"/>
      <c r="BK56" s="3"/>
      <c r="BL56" s="3">
        <v>46662000</v>
      </c>
      <c r="BM56" s="3">
        <v>21117000</v>
      </c>
      <c r="BN56" s="3">
        <v>5600000</v>
      </c>
      <c r="BO56" s="3">
        <v>73379000</v>
      </c>
      <c r="BP56" s="3">
        <v>46662000</v>
      </c>
      <c r="BQ56" s="3">
        <v>21117000</v>
      </c>
      <c r="BR56" s="3">
        <v>5600000</v>
      </c>
      <c r="BS56" s="3">
        <v>73379000</v>
      </c>
      <c r="BT56" s="3"/>
      <c r="BU56" s="3"/>
      <c r="BV56" s="3"/>
      <c r="BW56" s="3"/>
      <c r="BX56" s="3"/>
      <c r="BY56" s="3"/>
      <c r="BZ56" s="3"/>
      <c r="CA56" s="3"/>
      <c r="CB56" s="3"/>
      <c r="CC56" s="3"/>
      <c r="CD56" s="3"/>
      <c r="CE56" s="6"/>
      <c r="CF56" s="3"/>
      <c r="CG56" s="3"/>
      <c r="CH56" s="3"/>
      <c r="CI56" s="3"/>
      <c r="CJ56" s="3"/>
      <c r="CK56" s="3"/>
      <c r="CL56" s="3"/>
      <c r="CM56" s="3"/>
      <c r="CN56" s="3">
        <v>51184000</v>
      </c>
      <c r="CO56" s="3">
        <v>86720000</v>
      </c>
      <c r="CP56" s="3">
        <v>11002000</v>
      </c>
      <c r="CQ56" s="3">
        <v>148906000</v>
      </c>
      <c r="CR56" s="3">
        <v>51184000</v>
      </c>
      <c r="CS56" s="3">
        <v>86720000</v>
      </c>
      <c r="CT56" s="3">
        <v>11002000</v>
      </c>
      <c r="CU56" s="3">
        <v>148906000</v>
      </c>
      <c r="CV56" s="3"/>
      <c r="CW56" s="3"/>
      <c r="CX56" s="3"/>
      <c r="CY56" s="3"/>
      <c r="CZ56" s="3"/>
      <c r="DA56" s="3"/>
      <c r="DB56" s="3"/>
      <c r="DC56" s="3"/>
      <c r="DD56" s="3"/>
      <c r="DE56" s="3"/>
      <c r="DF56" s="3"/>
      <c r="DG56" s="3"/>
      <c r="DH56" s="3"/>
      <c r="DI56" s="3"/>
      <c r="DJ56" s="3"/>
      <c r="DK56" s="3"/>
      <c r="DL56" s="3"/>
      <c r="DM56" s="3"/>
      <c r="DN56" s="3"/>
      <c r="DO56" s="3"/>
      <c r="DP56" s="3">
        <v>53388000</v>
      </c>
      <c r="DQ56" s="3">
        <v>62671000</v>
      </c>
      <c r="DR56" s="3">
        <v>0</v>
      </c>
      <c r="DS56" s="3">
        <v>116059000</v>
      </c>
      <c r="DT56" s="3">
        <v>53388000</v>
      </c>
      <c r="DU56" s="3">
        <v>62671000</v>
      </c>
      <c r="DV56" s="3">
        <v>0</v>
      </c>
      <c r="DW56" s="3">
        <v>116059000</v>
      </c>
      <c r="DX56" s="3"/>
      <c r="DY56" s="3"/>
      <c r="DZ56" s="3"/>
      <c r="EA56" s="3"/>
      <c r="EB56" s="3"/>
      <c r="EC56" s="3"/>
      <c r="ED56" s="3"/>
      <c r="EE56" s="3"/>
      <c r="EF56" s="3"/>
      <c r="EG56" s="3"/>
      <c r="EH56" s="3"/>
      <c r="EI56" s="3"/>
      <c r="EJ56" s="3"/>
      <c r="EK56" s="3"/>
      <c r="EL56" s="3"/>
      <c r="EM56" s="3"/>
      <c r="EN56" s="3"/>
      <c r="EO56" s="3"/>
      <c r="EP56" s="3"/>
      <c r="EQ56" s="3"/>
      <c r="ER56" s="3">
        <v>56234000</v>
      </c>
      <c r="ES56" s="3">
        <v>29812000</v>
      </c>
      <c r="ET56" s="3">
        <v>0</v>
      </c>
      <c r="EU56" s="3">
        <v>86046000</v>
      </c>
      <c r="EV56" s="3">
        <v>56234000</v>
      </c>
      <c r="EW56" s="3">
        <v>29812000</v>
      </c>
      <c r="EX56" s="3">
        <v>0</v>
      </c>
      <c r="EY56" s="3">
        <v>86046000</v>
      </c>
      <c r="EZ56" s="3"/>
      <c r="FA56" s="3"/>
      <c r="FB56" s="3"/>
      <c r="FC56" s="3"/>
      <c r="FD56" s="3"/>
      <c r="FE56" s="3"/>
      <c r="FF56" s="3"/>
      <c r="FG56" s="3"/>
      <c r="FH56" s="6"/>
      <c r="FI56" s="3"/>
      <c r="FJ56" s="3"/>
      <c r="FK56" s="3"/>
      <c r="FL56" s="3"/>
      <c r="FM56" s="3"/>
      <c r="FN56" s="3"/>
      <c r="FO56" s="3"/>
      <c r="FP56" s="3"/>
      <c r="FQ56" s="3"/>
      <c r="FR56" s="3"/>
      <c r="FS56" s="3"/>
      <c r="FT56" s="3">
        <v>52663000</v>
      </c>
      <c r="FU56" s="3">
        <v>80349000</v>
      </c>
      <c r="FV56" s="3">
        <v>0</v>
      </c>
      <c r="FW56" s="3">
        <v>133012000</v>
      </c>
      <c r="FX56" s="3">
        <v>52663000</v>
      </c>
      <c r="FY56" s="3">
        <v>80349000</v>
      </c>
      <c r="FZ56" s="3">
        <v>0</v>
      </c>
      <c r="GA56" s="3">
        <v>133012000</v>
      </c>
      <c r="GB56" s="3"/>
      <c r="GC56" s="3"/>
      <c r="GD56" s="3"/>
      <c r="GE56" s="3"/>
      <c r="GF56" s="3"/>
      <c r="GG56" s="3"/>
      <c r="GH56" s="3"/>
      <c r="GI56" s="3"/>
      <c r="GJ56" s="3"/>
      <c r="GK56" s="3"/>
      <c r="GL56" s="3"/>
      <c r="GM56" s="3"/>
      <c r="GN56" s="3"/>
      <c r="GO56" s="3"/>
      <c r="GP56" s="3"/>
      <c r="GQ56" s="3"/>
      <c r="GR56" s="3"/>
      <c r="GS56" s="6"/>
      <c r="GT56" s="3"/>
      <c r="GU56" s="3"/>
      <c r="GV56" s="3">
        <v>49634000</v>
      </c>
      <c r="GW56" s="3">
        <v>145524000</v>
      </c>
      <c r="GX56" s="3">
        <v>33575000</v>
      </c>
      <c r="GY56" s="3">
        <v>228733000</v>
      </c>
      <c r="GZ56" s="3">
        <v>49634000</v>
      </c>
      <c r="HA56" s="3">
        <v>145524000</v>
      </c>
      <c r="HB56" s="3">
        <v>33575000</v>
      </c>
      <c r="HC56" s="3">
        <v>228733000</v>
      </c>
      <c r="HD56" s="3"/>
      <c r="HE56" s="3"/>
      <c r="HF56" s="3"/>
      <c r="HG56" s="3"/>
      <c r="HH56" s="3"/>
      <c r="HI56" s="3"/>
      <c r="HJ56" s="3"/>
      <c r="HK56" s="3"/>
      <c r="HL56" s="3"/>
      <c r="HM56" s="3"/>
      <c r="HN56" s="3"/>
      <c r="HO56" s="3"/>
      <c r="HP56" s="3"/>
      <c r="HQ56" s="3"/>
      <c r="HR56" s="3"/>
      <c r="HS56" s="3"/>
      <c r="HT56" s="3"/>
      <c r="HU56" s="3"/>
      <c r="HV56" s="3"/>
      <c r="HW56" s="3"/>
      <c r="HX56" s="3">
        <v>59364000</v>
      </c>
      <c r="HY56" s="3">
        <v>81451000</v>
      </c>
      <c r="HZ56" s="3">
        <v>19993000</v>
      </c>
      <c r="IA56" s="3">
        <v>160808000</v>
      </c>
      <c r="IB56" s="3">
        <v>59364000</v>
      </c>
      <c r="IC56" s="3">
        <v>81451000</v>
      </c>
      <c r="ID56" s="3">
        <v>19993000</v>
      </c>
      <c r="IE56" s="3">
        <v>160808000</v>
      </c>
      <c r="IF56" s="3"/>
      <c r="IG56" s="3"/>
      <c r="IH56" s="3"/>
      <c r="II56" s="3"/>
      <c r="IJ56" s="3"/>
      <c r="IK56" s="3"/>
      <c r="IL56" s="3"/>
      <c r="IM56" s="3"/>
      <c r="IN56" s="3"/>
      <c r="IO56" s="3"/>
      <c r="IP56" s="3"/>
      <c r="IQ56" s="3"/>
      <c r="IR56" s="3"/>
      <c r="IS56" s="3"/>
      <c r="IT56" s="3"/>
      <c r="IU56" s="3"/>
      <c r="IV56" s="3"/>
      <c r="IW56" s="3"/>
      <c r="IX56" s="3"/>
      <c r="IY56" s="3"/>
      <c r="IZ56" s="3">
        <v>64101000</v>
      </c>
      <c r="JA56" s="3">
        <v>329417000</v>
      </c>
      <c r="JB56" s="3">
        <v>13441000</v>
      </c>
      <c r="JC56" s="3">
        <v>406959000</v>
      </c>
      <c r="JD56" s="3"/>
      <c r="JE56" s="3"/>
      <c r="JF56" s="3"/>
      <c r="JG56" s="3"/>
    </row>
    <row r="57" spans="1:267" x14ac:dyDescent="0.25">
      <c r="A57" t="s">
        <v>1153</v>
      </c>
      <c r="B57" t="s">
        <v>1154</v>
      </c>
      <c r="C57" t="s">
        <v>557</v>
      </c>
      <c r="D57" t="s">
        <v>1167</v>
      </c>
      <c r="E57" t="s">
        <v>217</v>
      </c>
      <c r="F57" t="s">
        <v>618</v>
      </c>
      <c r="G57" t="s">
        <v>1230</v>
      </c>
      <c r="H57" s="3">
        <v>0</v>
      </c>
      <c r="I57" s="3">
        <v>58541000</v>
      </c>
      <c r="J57" s="3">
        <v>45124000</v>
      </c>
      <c r="K57" s="3">
        <v>103665000</v>
      </c>
      <c r="L57" s="3">
        <v>0</v>
      </c>
      <c r="M57" s="3">
        <v>58541000</v>
      </c>
      <c r="N57" s="3">
        <v>45124000</v>
      </c>
      <c r="O57" s="3">
        <v>103665000</v>
      </c>
      <c r="P57" s="3"/>
      <c r="Q57" s="3"/>
      <c r="R57" s="3"/>
      <c r="S57" s="3"/>
      <c r="T57" s="3"/>
      <c r="U57" s="3"/>
      <c r="V57" s="3"/>
      <c r="W57" s="3"/>
      <c r="X57" s="6"/>
      <c r="Y57" s="3"/>
      <c r="Z57" s="3"/>
      <c r="AA57" s="3"/>
      <c r="AB57" s="3"/>
      <c r="AC57" s="3"/>
      <c r="AD57" s="3"/>
      <c r="AE57" s="3"/>
      <c r="AF57" s="3"/>
      <c r="AG57" s="3"/>
      <c r="AH57" s="3"/>
      <c r="AI57" s="3"/>
      <c r="AJ57" s="3">
        <v>0</v>
      </c>
      <c r="AK57" s="3">
        <v>67930000</v>
      </c>
      <c r="AL57" s="3">
        <v>33890000</v>
      </c>
      <c r="AM57" s="3">
        <v>101820000</v>
      </c>
      <c r="AN57" s="3">
        <v>0</v>
      </c>
      <c r="AO57" s="3">
        <v>67930000</v>
      </c>
      <c r="AP57" s="3">
        <v>33890000</v>
      </c>
      <c r="AQ57" s="3">
        <v>101820000</v>
      </c>
      <c r="AR57" s="3"/>
      <c r="AS57" s="3"/>
      <c r="AT57" s="3"/>
      <c r="AU57" s="3"/>
      <c r="AV57" s="3"/>
      <c r="AW57" s="3"/>
      <c r="AX57" s="3"/>
      <c r="AY57" s="3"/>
      <c r="AZ57" s="3"/>
      <c r="BA57" s="3"/>
      <c r="BB57" s="3"/>
      <c r="BC57" s="3"/>
      <c r="BD57" s="3"/>
      <c r="BE57" s="3"/>
      <c r="BF57" s="3"/>
      <c r="BG57" s="3"/>
      <c r="BH57" s="3"/>
      <c r="BI57" s="3"/>
      <c r="BJ57" s="3"/>
      <c r="BK57" s="3"/>
      <c r="BL57" s="3">
        <v>0</v>
      </c>
      <c r="BM57" s="3">
        <v>48800000</v>
      </c>
      <c r="BN57" s="3">
        <v>11610000</v>
      </c>
      <c r="BO57" s="3">
        <v>60410000</v>
      </c>
      <c r="BP57" s="3">
        <v>0</v>
      </c>
      <c r="BQ57" s="3">
        <v>48800000</v>
      </c>
      <c r="BR57" s="3">
        <v>11610000</v>
      </c>
      <c r="BS57" s="3">
        <v>60410000</v>
      </c>
      <c r="BT57" s="3"/>
      <c r="BU57" s="3"/>
      <c r="BV57" s="3"/>
      <c r="BW57" s="3"/>
      <c r="BX57" s="3"/>
      <c r="BY57" s="3"/>
      <c r="BZ57" s="3"/>
      <c r="CA57" s="3"/>
      <c r="CB57" s="3"/>
      <c r="CC57" s="3"/>
      <c r="CD57" s="3"/>
      <c r="CE57" s="6"/>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6"/>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6"/>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row>
    <row r="58" spans="1:267" x14ac:dyDescent="0.25">
      <c r="A58" t="s">
        <v>1153</v>
      </c>
      <c r="B58" t="s">
        <v>1154</v>
      </c>
      <c r="C58" t="s">
        <v>599</v>
      </c>
      <c r="D58" t="s">
        <v>1168</v>
      </c>
      <c r="E58" t="s">
        <v>201</v>
      </c>
      <c r="F58" t="s">
        <v>202</v>
      </c>
      <c r="G58" t="s">
        <v>203</v>
      </c>
      <c r="H58" s="3">
        <v>14869000</v>
      </c>
      <c r="I58" s="3">
        <v>17059000</v>
      </c>
      <c r="J58" s="3">
        <v>1200000</v>
      </c>
      <c r="K58" s="3">
        <v>33128000</v>
      </c>
      <c r="L58" s="3">
        <v>14869000</v>
      </c>
      <c r="M58" s="3">
        <v>17059000</v>
      </c>
      <c r="N58" s="3">
        <v>1200000</v>
      </c>
      <c r="O58" s="3">
        <v>33128000</v>
      </c>
      <c r="P58" s="3"/>
      <c r="Q58" s="3"/>
      <c r="R58" s="3"/>
      <c r="S58" s="3"/>
      <c r="T58" s="3"/>
      <c r="U58" s="3"/>
      <c r="V58" s="3"/>
      <c r="W58" s="3"/>
      <c r="X58" s="6"/>
      <c r="Y58" s="3"/>
      <c r="Z58" s="3"/>
      <c r="AA58" s="3"/>
      <c r="AB58" s="3"/>
      <c r="AC58" s="3"/>
      <c r="AD58" s="3"/>
      <c r="AE58" s="3"/>
      <c r="AF58" s="3"/>
      <c r="AG58" s="3"/>
      <c r="AH58" s="3"/>
      <c r="AI58" s="3"/>
      <c r="AJ58" s="3">
        <v>17694000</v>
      </c>
      <c r="AK58" s="3">
        <v>15980000</v>
      </c>
      <c r="AL58" s="3">
        <v>2850000</v>
      </c>
      <c r="AM58" s="3">
        <v>36524000</v>
      </c>
      <c r="AN58" s="3">
        <v>17694000</v>
      </c>
      <c r="AO58" s="3">
        <v>15980000</v>
      </c>
      <c r="AP58" s="3">
        <v>2850000</v>
      </c>
      <c r="AQ58" s="3">
        <v>36524000</v>
      </c>
      <c r="AR58" s="3"/>
      <c r="AS58" s="3"/>
      <c r="AT58" s="3"/>
      <c r="AU58" s="3"/>
      <c r="AV58" s="3"/>
      <c r="AW58" s="3"/>
      <c r="AX58" s="3"/>
      <c r="AY58" s="3"/>
      <c r="AZ58" s="3"/>
      <c r="BA58" s="3"/>
      <c r="BB58" s="3"/>
      <c r="BC58" s="3"/>
      <c r="BD58" s="3"/>
      <c r="BE58" s="3"/>
      <c r="BF58" s="3"/>
      <c r="BG58" s="3"/>
      <c r="BH58" s="3"/>
      <c r="BI58" s="3"/>
      <c r="BJ58" s="3"/>
      <c r="BK58" s="3"/>
      <c r="BL58" s="3">
        <v>14363000</v>
      </c>
      <c r="BM58" s="3">
        <v>15538000</v>
      </c>
      <c r="BN58" s="3">
        <v>30537000</v>
      </c>
      <c r="BO58" s="3">
        <v>60438000</v>
      </c>
      <c r="BP58" s="3">
        <v>14363000</v>
      </c>
      <c r="BQ58" s="3">
        <v>15538000</v>
      </c>
      <c r="BR58" s="3">
        <v>30537000</v>
      </c>
      <c r="BS58" s="3">
        <v>60438000</v>
      </c>
      <c r="BT58" s="3"/>
      <c r="BU58" s="3"/>
      <c r="BV58" s="3"/>
      <c r="BW58" s="3"/>
      <c r="BX58" s="3"/>
      <c r="BY58" s="3"/>
      <c r="BZ58" s="3"/>
      <c r="CA58" s="3"/>
      <c r="CB58" s="3"/>
      <c r="CC58" s="3"/>
      <c r="CD58" s="3"/>
      <c r="CE58" s="6"/>
      <c r="CF58" s="3"/>
      <c r="CG58" s="3"/>
      <c r="CH58" s="3"/>
      <c r="CI58" s="3"/>
      <c r="CJ58" s="3"/>
      <c r="CK58" s="3"/>
      <c r="CL58" s="3"/>
      <c r="CM58" s="3"/>
      <c r="CN58" s="3">
        <v>15362000</v>
      </c>
      <c r="CO58" s="3">
        <v>13601000</v>
      </c>
      <c r="CP58" s="3">
        <v>6190000</v>
      </c>
      <c r="CQ58" s="3">
        <v>35153000</v>
      </c>
      <c r="CR58" s="3">
        <v>15362000</v>
      </c>
      <c r="CS58" s="3">
        <v>13601000</v>
      </c>
      <c r="CT58" s="3">
        <v>6190000</v>
      </c>
      <c r="CU58" s="3">
        <v>35153000</v>
      </c>
      <c r="CV58" s="3"/>
      <c r="CW58" s="3"/>
      <c r="CX58" s="3"/>
      <c r="CY58" s="3"/>
      <c r="CZ58" s="3"/>
      <c r="DA58" s="3"/>
      <c r="DB58" s="3"/>
      <c r="DC58" s="3"/>
      <c r="DD58" s="3"/>
      <c r="DE58" s="3"/>
      <c r="DF58" s="3"/>
      <c r="DG58" s="3"/>
      <c r="DH58" s="3"/>
      <c r="DI58" s="3"/>
      <c r="DJ58" s="3"/>
      <c r="DK58" s="3"/>
      <c r="DL58" s="3"/>
      <c r="DM58" s="3"/>
      <c r="DN58" s="3"/>
      <c r="DO58" s="3"/>
      <c r="DP58" s="3">
        <v>15851000</v>
      </c>
      <c r="DQ58" s="3">
        <v>15551000</v>
      </c>
      <c r="DR58" s="3">
        <v>7686000</v>
      </c>
      <c r="DS58" s="3">
        <v>39088000</v>
      </c>
      <c r="DT58" s="3">
        <v>15851000</v>
      </c>
      <c r="DU58" s="3">
        <v>15551000</v>
      </c>
      <c r="DV58" s="3">
        <v>7686000</v>
      </c>
      <c r="DW58" s="3">
        <v>39088000</v>
      </c>
      <c r="DX58" s="3"/>
      <c r="DY58" s="3"/>
      <c r="DZ58" s="3"/>
      <c r="EA58" s="3"/>
      <c r="EB58" s="3"/>
      <c r="EC58" s="3"/>
      <c r="ED58" s="3"/>
      <c r="EE58" s="3"/>
      <c r="EF58" s="3"/>
      <c r="EG58" s="3"/>
      <c r="EH58" s="3"/>
      <c r="EI58" s="3"/>
      <c r="EJ58" s="3"/>
      <c r="EK58" s="3"/>
      <c r="EL58" s="3"/>
      <c r="EM58" s="3"/>
      <c r="EN58" s="3"/>
      <c r="EO58" s="3"/>
      <c r="EP58" s="3"/>
      <c r="EQ58" s="3"/>
      <c r="ER58" s="3">
        <v>17224000</v>
      </c>
      <c r="ES58" s="3">
        <v>14572000</v>
      </c>
      <c r="ET58" s="3">
        <v>0</v>
      </c>
      <c r="EU58" s="3">
        <v>31796000</v>
      </c>
      <c r="EV58" s="3">
        <v>17224000</v>
      </c>
      <c r="EW58" s="3">
        <v>14572000</v>
      </c>
      <c r="EX58" s="3">
        <v>0</v>
      </c>
      <c r="EY58" s="3">
        <v>31796000</v>
      </c>
      <c r="EZ58" s="3"/>
      <c r="FA58" s="3"/>
      <c r="FB58" s="3"/>
      <c r="FC58" s="3"/>
      <c r="FD58" s="3"/>
      <c r="FE58" s="3"/>
      <c r="FF58" s="3"/>
      <c r="FG58" s="3"/>
      <c r="FH58" s="6"/>
      <c r="FI58" s="3"/>
      <c r="FJ58" s="3"/>
      <c r="FK58" s="3"/>
      <c r="FL58" s="3"/>
      <c r="FM58" s="3"/>
      <c r="FN58" s="3"/>
      <c r="FO58" s="3"/>
      <c r="FP58" s="3"/>
      <c r="FQ58" s="3"/>
      <c r="FR58" s="3"/>
      <c r="FS58" s="3"/>
      <c r="FT58" s="3">
        <v>17992000</v>
      </c>
      <c r="FU58" s="3">
        <v>25323000</v>
      </c>
      <c r="FV58" s="3">
        <v>8010000</v>
      </c>
      <c r="FW58" s="3">
        <v>51325000</v>
      </c>
      <c r="FX58" s="3">
        <v>17992000</v>
      </c>
      <c r="FY58" s="3">
        <v>25323000</v>
      </c>
      <c r="FZ58" s="3">
        <v>8010000</v>
      </c>
      <c r="GA58" s="3">
        <v>51325000</v>
      </c>
      <c r="GB58" s="3"/>
      <c r="GC58" s="3"/>
      <c r="GD58" s="3"/>
      <c r="GE58" s="3"/>
      <c r="GF58" s="3"/>
      <c r="GG58" s="3"/>
      <c r="GH58" s="3"/>
      <c r="GI58" s="3"/>
      <c r="GJ58" s="3"/>
      <c r="GK58" s="3"/>
      <c r="GL58" s="3"/>
      <c r="GM58" s="3"/>
      <c r="GN58" s="3"/>
      <c r="GO58" s="3"/>
      <c r="GP58" s="3"/>
      <c r="GQ58" s="3"/>
      <c r="GR58" s="3"/>
      <c r="GS58" s="6"/>
      <c r="GT58" s="3"/>
      <c r="GU58" s="3"/>
      <c r="GV58" s="3">
        <v>18058000</v>
      </c>
      <c r="GW58" s="3">
        <v>32195000</v>
      </c>
      <c r="GX58" s="3">
        <v>0</v>
      </c>
      <c r="GY58" s="3">
        <v>50253000</v>
      </c>
      <c r="GZ58" s="3">
        <v>18058000</v>
      </c>
      <c r="HA58" s="3">
        <v>32195000</v>
      </c>
      <c r="HB58" s="3">
        <v>0</v>
      </c>
      <c r="HC58" s="3">
        <v>50253000</v>
      </c>
      <c r="HD58" s="3"/>
      <c r="HE58" s="3"/>
      <c r="HF58" s="3"/>
      <c r="HG58" s="3"/>
      <c r="HH58" s="3"/>
      <c r="HI58" s="3"/>
      <c r="HJ58" s="3"/>
      <c r="HK58" s="3"/>
      <c r="HL58" s="3"/>
      <c r="HM58" s="3"/>
      <c r="HN58" s="3"/>
      <c r="HO58" s="3"/>
      <c r="HP58" s="3"/>
      <c r="HQ58" s="3"/>
      <c r="HR58" s="3"/>
      <c r="HS58" s="3"/>
      <c r="HT58" s="3"/>
      <c r="HU58" s="3"/>
      <c r="HV58" s="3"/>
      <c r="HW58" s="3"/>
      <c r="HX58" s="3">
        <v>20116000</v>
      </c>
      <c r="HY58" s="3">
        <v>32347000</v>
      </c>
      <c r="HZ58" s="3">
        <v>6295000</v>
      </c>
      <c r="IA58" s="3">
        <v>58758000</v>
      </c>
      <c r="IB58" s="3">
        <v>20116000</v>
      </c>
      <c r="IC58" s="3">
        <v>32347000</v>
      </c>
      <c r="ID58" s="3">
        <v>6295000</v>
      </c>
      <c r="IE58" s="3">
        <v>58758000</v>
      </c>
      <c r="IF58" s="3"/>
      <c r="IG58" s="3"/>
      <c r="IH58" s="3"/>
      <c r="II58" s="3"/>
      <c r="IJ58" s="3"/>
      <c r="IK58" s="3"/>
      <c r="IL58" s="3"/>
      <c r="IM58" s="3"/>
      <c r="IN58" s="3"/>
      <c r="IO58" s="3"/>
      <c r="IP58" s="3"/>
      <c r="IQ58" s="3"/>
      <c r="IR58" s="3"/>
      <c r="IS58" s="3"/>
      <c r="IT58" s="3"/>
      <c r="IU58" s="3"/>
      <c r="IV58" s="3"/>
      <c r="IW58" s="3"/>
      <c r="IX58" s="3"/>
      <c r="IY58" s="3"/>
      <c r="IZ58" s="3">
        <v>21254000</v>
      </c>
      <c r="JA58" s="3">
        <v>31226000</v>
      </c>
      <c r="JB58" s="3">
        <v>1259000</v>
      </c>
      <c r="JC58" s="3">
        <v>53739000</v>
      </c>
      <c r="JD58" s="3"/>
      <c r="JE58" s="3"/>
      <c r="JF58" s="3"/>
      <c r="JG58" s="3"/>
    </row>
    <row r="59" spans="1:267" x14ac:dyDescent="0.25">
      <c r="A59" t="s">
        <v>1153</v>
      </c>
      <c r="B59" t="s">
        <v>1154</v>
      </c>
      <c r="C59" t="s">
        <v>599</v>
      </c>
      <c r="D59" t="s">
        <v>1168</v>
      </c>
      <c r="E59" t="s">
        <v>201</v>
      </c>
      <c r="F59" t="s">
        <v>204</v>
      </c>
      <c r="G59" t="s">
        <v>205</v>
      </c>
      <c r="H59" s="3">
        <v>157000</v>
      </c>
      <c r="I59" s="3">
        <v>0</v>
      </c>
      <c r="J59" s="3">
        <v>0</v>
      </c>
      <c r="K59" s="3">
        <v>157000</v>
      </c>
      <c r="L59" s="3">
        <v>157000</v>
      </c>
      <c r="M59" s="3">
        <v>0</v>
      </c>
      <c r="N59" s="3">
        <v>0</v>
      </c>
      <c r="O59" s="3">
        <v>157000</v>
      </c>
      <c r="P59" s="3"/>
      <c r="Q59" s="3"/>
      <c r="R59" s="3"/>
      <c r="S59" s="3"/>
      <c r="T59" s="3"/>
      <c r="U59" s="3"/>
      <c r="V59" s="3"/>
      <c r="W59" s="3"/>
      <c r="X59" s="6"/>
      <c r="Y59" s="3"/>
      <c r="Z59" s="3"/>
      <c r="AA59" s="3"/>
      <c r="AB59" s="3"/>
      <c r="AC59" s="3"/>
      <c r="AD59" s="3"/>
      <c r="AE59" s="3"/>
      <c r="AF59" s="3"/>
      <c r="AG59" s="3"/>
      <c r="AH59" s="3"/>
      <c r="AI59" s="3"/>
      <c r="AJ59" s="3">
        <v>538000</v>
      </c>
      <c r="AK59" s="3">
        <v>0</v>
      </c>
      <c r="AL59" s="3">
        <v>0</v>
      </c>
      <c r="AM59" s="3">
        <v>538000</v>
      </c>
      <c r="AN59" s="3">
        <v>538000</v>
      </c>
      <c r="AO59" s="3">
        <v>0</v>
      </c>
      <c r="AP59" s="3">
        <v>0</v>
      </c>
      <c r="AQ59" s="3">
        <v>538000</v>
      </c>
      <c r="AR59" s="3"/>
      <c r="AS59" s="3"/>
      <c r="AT59" s="3"/>
      <c r="AU59" s="3"/>
      <c r="AV59" s="3"/>
      <c r="AW59" s="3"/>
      <c r="AX59" s="3"/>
      <c r="AY59" s="3"/>
      <c r="AZ59" s="3"/>
      <c r="BA59" s="3"/>
      <c r="BB59" s="3"/>
      <c r="BC59" s="3"/>
      <c r="BD59" s="3"/>
      <c r="BE59" s="3"/>
      <c r="BF59" s="3"/>
      <c r="BG59" s="3"/>
      <c r="BH59" s="3"/>
      <c r="BI59" s="3"/>
      <c r="BJ59" s="3"/>
      <c r="BK59" s="3"/>
      <c r="BL59" s="3">
        <v>2933000</v>
      </c>
      <c r="BM59" s="3">
        <v>0</v>
      </c>
      <c r="BN59" s="3">
        <v>0</v>
      </c>
      <c r="BO59" s="3">
        <v>2933000</v>
      </c>
      <c r="BP59" s="3">
        <v>2933000</v>
      </c>
      <c r="BQ59" s="3">
        <v>0</v>
      </c>
      <c r="BR59" s="3">
        <v>0</v>
      </c>
      <c r="BS59" s="3">
        <v>2933000</v>
      </c>
      <c r="BT59" s="3"/>
      <c r="BU59" s="3"/>
      <c r="BV59" s="3"/>
      <c r="BW59" s="3"/>
      <c r="BX59" s="3"/>
      <c r="BY59" s="3"/>
      <c r="BZ59" s="3"/>
      <c r="CA59" s="3"/>
      <c r="CB59" s="3"/>
      <c r="CC59" s="3"/>
      <c r="CD59" s="3"/>
      <c r="CE59" s="6"/>
      <c r="CF59" s="3"/>
      <c r="CG59" s="3"/>
      <c r="CH59" s="3"/>
      <c r="CI59" s="3"/>
      <c r="CJ59" s="3"/>
      <c r="CK59" s="3"/>
      <c r="CL59" s="3"/>
      <c r="CM59" s="3"/>
      <c r="CN59" s="3">
        <v>144000</v>
      </c>
      <c r="CO59" s="3">
        <v>0</v>
      </c>
      <c r="CP59" s="3">
        <v>0</v>
      </c>
      <c r="CQ59" s="3">
        <v>144000</v>
      </c>
      <c r="CR59" s="3">
        <v>144000</v>
      </c>
      <c r="CS59" s="3">
        <v>0</v>
      </c>
      <c r="CT59" s="3">
        <v>0</v>
      </c>
      <c r="CU59" s="3">
        <v>144000</v>
      </c>
      <c r="CV59" s="3"/>
      <c r="CW59" s="3"/>
      <c r="CX59" s="3"/>
      <c r="CY59" s="3"/>
      <c r="CZ59" s="3"/>
      <c r="DA59" s="3"/>
      <c r="DB59" s="3"/>
      <c r="DC59" s="3"/>
      <c r="DD59" s="3"/>
      <c r="DE59" s="3"/>
      <c r="DF59" s="3"/>
      <c r="DG59" s="3"/>
      <c r="DH59" s="3"/>
      <c r="DI59" s="3"/>
      <c r="DJ59" s="3"/>
      <c r="DK59" s="3"/>
      <c r="DL59" s="3"/>
      <c r="DM59" s="3"/>
      <c r="DN59" s="3"/>
      <c r="DO59" s="3"/>
      <c r="DP59" s="3">
        <v>239000</v>
      </c>
      <c r="DQ59" s="3">
        <v>0</v>
      </c>
      <c r="DR59" s="3">
        <v>0</v>
      </c>
      <c r="DS59" s="3">
        <v>239000</v>
      </c>
      <c r="DT59" s="3">
        <v>239000</v>
      </c>
      <c r="DU59" s="3">
        <v>0</v>
      </c>
      <c r="DV59" s="3">
        <v>0</v>
      </c>
      <c r="DW59" s="3">
        <v>239000</v>
      </c>
      <c r="DX59" s="3"/>
      <c r="DY59" s="3"/>
      <c r="DZ59" s="3"/>
      <c r="EA59" s="3"/>
      <c r="EB59" s="3"/>
      <c r="EC59" s="3"/>
      <c r="ED59" s="3"/>
      <c r="EE59" s="3"/>
      <c r="EF59" s="3"/>
      <c r="EG59" s="3"/>
      <c r="EH59" s="3"/>
      <c r="EI59" s="3"/>
      <c r="EJ59" s="3"/>
      <c r="EK59" s="3"/>
      <c r="EL59" s="3"/>
      <c r="EM59" s="3"/>
      <c r="EN59" s="3"/>
      <c r="EO59" s="3"/>
      <c r="EP59" s="3"/>
      <c r="EQ59" s="3"/>
      <c r="ER59" s="3">
        <v>4275000</v>
      </c>
      <c r="ES59" s="3">
        <v>0</v>
      </c>
      <c r="ET59" s="3">
        <v>0</v>
      </c>
      <c r="EU59" s="3">
        <v>4275000</v>
      </c>
      <c r="EV59" s="3">
        <v>4275000</v>
      </c>
      <c r="EW59" s="3">
        <v>0</v>
      </c>
      <c r="EX59" s="3">
        <v>0</v>
      </c>
      <c r="EY59" s="3">
        <v>4275000</v>
      </c>
      <c r="EZ59" s="3"/>
      <c r="FA59" s="3"/>
      <c r="FB59" s="3"/>
      <c r="FC59" s="3"/>
      <c r="FD59" s="3"/>
      <c r="FE59" s="3"/>
      <c r="FF59" s="3"/>
      <c r="FG59" s="3"/>
      <c r="FH59" s="6"/>
      <c r="FI59" s="3"/>
      <c r="FJ59" s="3"/>
      <c r="FK59" s="3"/>
      <c r="FL59" s="3"/>
      <c r="FM59" s="3"/>
      <c r="FN59" s="3"/>
      <c r="FO59" s="3"/>
      <c r="FP59" s="3"/>
      <c r="FQ59" s="3"/>
      <c r="FR59" s="3"/>
      <c r="FS59" s="3"/>
      <c r="FT59" s="3">
        <v>518000</v>
      </c>
      <c r="FU59" s="3">
        <v>0</v>
      </c>
      <c r="FV59" s="3">
        <v>0</v>
      </c>
      <c r="FW59" s="3">
        <v>518000</v>
      </c>
      <c r="FX59" s="3">
        <v>518000</v>
      </c>
      <c r="FY59" s="3">
        <v>0</v>
      </c>
      <c r="FZ59" s="3">
        <v>0</v>
      </c>
      <c r="GA59" s="3">
        <v>518000</v>
      </c>
      <c r="GB59" s="3"/>
      <c r="GC59" s="3"/>
      <c r="GD59" s="3"/>
      <c r="GE59" s="3"/>
      <c r="GF59" s="3"/>
      <c r="GG59" s="3"/>
      <c r="GH59" s="3"/>
      <c r="GI59" s="3"/>
      <c r="GJ59" s="3"/>
      <c r="GK59" s="3"/>
      <c r="GL59" s="3"/>
      <c r="GM59" s="3"/>
      <c r="GN59" s="3"/>
      <c r="GO59" s="3"/>
      <c r="GP59" s="3"/>
      <c r="GQ59" s="3"/>
      <c r="GR59" s="3"/>
      <c r="GS59" s="6"/>
      <c r="GT59" s="3"/>
      <c r="GU59" s="3"/>
      <c r="GV59" s="3">
        <v>4034000</v>
      </c>
      <c r="GW59" s="3">
        <v>0</v>
      </c>
      <c r="GX59" s="3">
        <v>0</v>
      </c>
      <c r="GY59" s="3">
        <v>4034000</v>
      </c>
      <c r="GZ59" s="3">
        <v>4034000</v>
      </c>
      <c r="HA59" s="3">
        <v>0</v>
      </c>
      <c r="HB59" s="3">
        <v>0</v>
      </c>
      <c r="HC59" s="3">
        <v>4034000</v>
      </c>
      <c r="HD59" s="3"/>
      <c r="HE59" s="3"/>
      <c r="HF59" s="3"/>
      <c r="HG59" s="3"/>
      <c r="HH59" s="3"/>
      <c r="HI59" s="3"/>
      <c r="HJ59" s="3"/>
      <c r="HK59" s="3"/>
      <c r="HL59" s="3"/>
      <c r="HM59" s="3"/>
      <c r="HN59" s="3"/>
      <c r="HO59" s="3"/>
      <c r="HP59" s="3"/>
      <c r="HQ59" s="3"/>
      <c r="HR59" s="3"/>
      <c r="HS59" s="3"/>
      <c r="HT59" s="3"/>
      <c r="HU59" s="3"/>
      <c r="HV59" s="3"/>
      <c r="HW59" s="3"/>
      <c r="HX59" s="3">
        <v>1479000</v>
      </c>
      <c r="HY59" s="3">
        <v>0</v>
      </c>
      <c r="HZ59" s="3">
        <v>0</v>
      </c>
      <c r="IA59" s="3">
        <v>1479000</v>
      </c>
      <c r="IB59" s="3">
        <v>1479000</v>
      </c>
      <c r="IC59" s="3">
        <v>0</v>
      </c>
      <c r="ID59" s="3">
        <v>0</v>
      </c>
      <c r="IE59" s="3">
        <v>1479000</v>
      </c>
      <c r="IF59" s="3"/>
      <c r="IG59" s="3"/>
      <c r="IH59" s="3"/>
      <c r="II59" s="3"/>
      <c r="IJ59" s="3"/>
      <c r="IK59" s="3"/>
      <c r="IL59" s="3"/>
      <c r="IM59" s="3"/>
      <c r="IN59" s="3"/>
      <c r="IO59" s="3"/>
      <c r="IP59" s="3"/>
      <c r="IQ59" s="3"/>
      <c r="IR59" s="3"/>
      <c r="IS59" s="3"/>
      <c r="IT59" s="3"/>
      <c r="IU59" s="3"/>
      <c r="IV59" s="3"/>
      <c r="IW59" s="3"/>
      <c r="IX59" s="3"/>
      <c r="IY59" s="3"/>
      <c r="IZ59" s="3">
        <v>3218000</v>
      </c>
      <c r="JA59" s="3">
        <v>0</v>
      </c>
      <c r="JB59" s="3">
        <v>0</v>
      </c>
      <c r="JC59" s="3">
        <v>3218000</v>
      </c>
      <c r="JD59" s="3"/>
      <c r="JE59" s="3"/>
      <c r="JF59" s="3"/>
      <c r="JG59" s="3"/>
    </row>
    <row r="60" spans="1:267" x14ac:dyDescent="0.25">
      <c r="A60" t="s">
        <v>1153</v>
      </c>
      <c r="B60" t="s">
        <v>1154</v>
      </c>
      <c r="C60" t="s">
        <v>599</v>
      </c>
      <c r="D60" t="s">
        <v>1168</v>
      </c>
      <c r="E60" t="s">
        <v>217</v>
      </c>
      <c r="F60" t="s">
        <v>218</v>
      </c>
      <c r="G60" t="s">
        <v>1231</v>
      </c>
      <c r="H60" s="3">
        <v>10360000</v>
      </c>
      <c r="I60" s="3">
        <v>2321000</v>
      </c>
      <c r="J60" s="3">
        <v>2430000</v>
      </c>
      <c r="K60" s="3">
        <v>15111000</v>
      </c>
      <c r="L60" s="3">
        <v>10360000</v>
      </c>
      <c r="M60" s="3">
        <v>2321000</v>
      </c>
      <c r="N60" s="3">
        <v>2430000</v>
      </c>
      <c r="O60" s="3">
        <v>15111000</v>
      </c>
      <c r="P60" s="3"/>
      <c r="Q60" s="3"/>
      <c r="R60" s="3"/>
      <c r="S60" s="3"/>
      <c r="T60" s="3"/>
      <c r="U60" s="3"/>
      <c r="V60" s="3"/>
      <c r="W60" s="3"/>
      <c r="X60" s="6"/>
      <c r="Y60" s="3"/>
      <c r="Z60" s="3"/>
      <c r="AA60" s="3"/>
      <c r="AB60" s="3"/>
      <c r="AC60" s="3"/>
      <c r="AD60" s="3"/>
      <c r="AE60" s="3"/>
      <c r="AF60" s="3"/>
      <c r="AG60" s="3"/>
      <c r="AH60" s="3"/>
      <c r="AI60" s="3"/>
      <c r="AJ60" s="3">
        <v>11361000</v>
      </c>
      <c r="AK60" s="3">
        <v>1746000</v>
      </c>
      <c r="AL60" s="3">
        <v>0</v>
      </c>
      <c r="AM60" s="3">
        <v>13107000</v>
      </c>
      <c r="AN60" s="3">
        <v>11361000</v>
      </c>
      <c r="AO60" s="3">
        <v>1746000</v>
      </c>
      <c r="AP60" s="3">
        <v>0</v>
      </c>
      <c r="AQ60" s="3">
        <v>13107000</v>
      </c>
      <c r="AR60" s="3"/>
      <c r="AS60" s="3"/>
      <c r="AT60" s="3"/>
      <c r="AU60" s="3"/>
      <c r="AV60" s="3"/>
      <c r="AW60" s="3"/>
      <c r="AX60" s="3"/>
      <c r="AY60" s="3"/>
      <c r="AZ60" s="3"/>
      <c r="BA60" s="3"/>
      <c r="BB60" s="3"/>
      <c r="BC60" s="3"/>
      <c r="BD60" s="3"/>
      <c r="BE60" s="3"/>
      <c r="BF60" s="3"/>
      <c r="BG60" s="3"/>
      <c r="BH60" s="3"/>
      <c r="BI60" s="3"/>
      <c r="BJ60" s="3"/>
      <c r="BK60" s="3"/>
      <c r="BL60" s="3">
        <v>12779000</v>
      </c>
      <c r="BM60" s="3">
        <v>2039000</v>
      </c>
      <c r="BN60" s="3">
        <v>2200000</v>
      </c>
      <c r="BO60" s="3">
        <v>17018000</v>
      </c>
      <c r="BP60" s="3">
        <v>12779000</v>
      </c>
      <c r="BQ60" s="3">
        <v>2039000</v>
      </c>
      <c r="BR60" s="3">
        <v>2200000</v>
      </c>
      <c r="BS60" s="3">
        <v>17018000</v>
      </c>
      <c r="BT60" s="3"/>
      <c r="BU60" s="3"/>
      <c r="BV60" s="3"/>
      <c r="BW60" s="3"/>
      <c r="BX60" s="3"/>
      <c r="BY60" s="3"/>
      <c r="BZ60" s="3"/>
      <c r="CA60" s="3"/>
      <c r="CB60" s="3"/>
      <c r="CC60" s="3"/>
      <c r="CD60" s="3"/>
      <c r="CE60" s="6"/>
      <c r="CF60" s="3"/>
      <c r="CG60" s="3"/>
      <c r="CH60" s="3"/>
      <c r="CI60" s="3"/>
      <c r="CJ60" s="3"/>
      <c r="CK60" s="3"/>
      <c r="CL60" s="3"/>
      <c r="CM60" s="3"/>
      <c r="CN60" s="3">
        <v>13576000</v>
      </c>
      <c r="CO60" s="3">
        <v>3989000</v>
      </c>
      <c r="CP60" s="3">
        <v>0</v>
      </c>
      <c r="CQ60" s="3">
        <v>17565000</v>
      </c>
      <c r="CR60" s="3">
        <v>13576000</v>
      </c>
      <c r="CS60" s="3">
        <v>3989000</v>
      </c>
      <c r="CT60" s="3">
        <v>0</v>
      </c>
      <c r="CU60" s="3">
        <v>17565000</v>
      </c>
      <c r="CV60" s="3"/>
      <c r="CW60" s="3"/>
      <c r="CX60" s="3"/>
      <c r="CY60" s="3"/>
      <c r="CZ60" s="3"/>
      <c r="DA60" s="3"/>
      <c r="DB60" s="3"/>
      <c r="DC60" s="3"/>
      <c r="DD60" s="3"/>
      <c r="DE60" s="3"/>
      <c r="DF60" s="3"/>
      <c r="DG60" s="3"/>
      <c r="DH60" s="3"/>
      <c r="DI60" s="3"/>
      <c r="DJ60" s="3"/>
      <c r="DK60" s="3"/>
      <c r="DL60" s="3"/>
      <c r="DM60" s="3"/>
      <c r="DN60" s="3"/>
      <c r="DO60" s="3"/>
      <c r="DP60" s="3">
        <v>14046000</v>
      </c>
      <c r="DQ60" s="3">
        <v>3669000</v>
      </c>
      <c r="DR60" s="3">
        <v>0</v>
      </c>
      <c r="DS60" s="3">
        <v>17715000</v>
      </c>
      <c r="DT60" s="3">
        <v>14046000</v>
      </c>
      <c r="DU60" s="3">
        <v>3669000</v>
      </c>
      <c r="DV60" s="3">
        <v>0</v>
      </c>
      <c r="DW60" s="3">
        <v>17715000</v>
      </c>
      <c r="DX60" s="3"/>
      <c r="DY60" s="3"/>
      <c r="DZ60" s="3"/>
      <c r="EA60" s="3"/>
      <c r="EB60" s="3"/>
      <c r="EC60" s="3"/>
      <c r="ED60" s="3"/>
      <c r="EE60" s="3"/>
      <c r="EF60" s="3"/>
      <c r="EG60" s="3"/>
      <c r="EH60" s="3"/>
      <c r="EI60" s="3"/>
      <c r="EJ60" s="3"/>
      <c r="EK60" s="3"/>
      <c r="EL60" s="3"/>
      <c r="EM60" s="3"/>
      <c r="EN60" s="3"/>
      <c r="EO60" s="3"/>
      <c r="EP60" s="3"/>
      <c r="EQ60" s="3"/>
      <c r="ER60" s="3">
        <v>14524000</v>
      </c>
      <c r="ES60" s="3">
        <v>3735000</v>
      </c>
      <c r="ET60" s="3">
        <v>0</v>
      </c>
      <c r="EU60" s="3">
        <v>18259000</v>
      </c>
      <c r="EV60" s="3">
        <v>14524000</v>
      </c>
      <c r="EW60" s="3">
        <v>3735000</v>
      </c>
      <c r="EX60" s="3">
        <v>0</v>
      </c>
      <c r="EY60" s="3">
        <v>18259000</v>
      </c>
      <c r="EZ60" s="3"/>
      <c r="FA60" s="3"/>
      <c r="FB60" s="3"/>
      <c r="FC60" s="3"/>
      <c r="FD60" s="3"/>
      <c r="FE60" s="3"/>
      <c r="FF60" s="3"/>
      <c r="FG60" s="3"/>
      <c r="FH60" s="6"/>
      <c r="FI60" s="3"/>
      <c r="FJ60" s="3"/>
      <c r="FK60" s="3"/>
      <c r="FL60" s="3"/>
      <c r="FM60" s="3"/>
      <c r="FN60" s="3"/>
      <c r="FO60" s="3"/>
      <c r="FP60" s="3"/>
      <c r="FQ60" s="3"/>
      <c r="FR60" s="3"/>
      <c r="FS60" s="3"/>
      <c r="FT60" s="3">
        <v>14606000</v>
      </c>
      <c r="FU60" s="3">
        <v>3803000</v>
      </c>
      <c r="FV60" s="3">
        <v>0</v>
      </c>
      <c r="FW60" s="3">
        <v>18409000</v>
      </c>
      <c r="FX60" s="3">
        <v>14606000</v>
      </c>
      <c r="FY60" s="3">
        <v>3803000</v>
      </c>
      <c r="FZ60" s="3">
        <v>0</v>
      </c>
      <c r="GA60" s="3">
        <v>18409000</v>
      </c>
      <c r="GB60" s="3"/>
      <c r="GC60" s="3"/>
      <c r="GD60" s="3"/>
      <c r="GE60" s="3"/>
      <c r="GF60" s="3"/>
      <c r="GG60" s="3"/>
      <c r="GH60" s="3"/>
      <c r="GI60" s="3"/>
      <c r="GJ60" s="3"/>
      <c r="GK60" s="3"/>
      <c r="GL60" s="3"/>
      <c r="GM60" s="3"/>
      <c r="GN60" s="3"/>
      <c r="GO60" s="3"/>
      <c r="GP60" s="3"/>
      <c r="GQ60" s="3"/>
      <c r="GR60" s="3"/>
      <c r="GS60" s="6"/>
      <c r="GT60" s="3"/>
      <c r="GU60" s="3"/>
      <c r="GV60" s="3">
        <v>14697000</v>
      </c>
      <c r="GW60" s="3">
        <v>3872000</v>
      </c>
      <c r="GX60" s="3">
        <v>4205000</v>
      </c>
      <c r="GY60" s="3">
        <v>22774000</v>
      </c>
      <c r="GZ60" s="3">
        <v>14697000</v>
      </c>
      <c r="HA60" s="3">
        <v>3872000</v>
      </c>
      <c r="HB60" s="3">
        <v>4205000</v>
      </c>
      <c r="HC60" s="3">
        <v>22774000</v>
      </c>
      <c r="HD60" s="3"/>
      <c r="HE60" s="3"/>
      <c r="HF60" s="3"/>
      <c r="HG60" s="3"/>
      <c r="HH60" s="3"/>
      <c r="HI60" s="3"/>
      <c r="HJ60" s="3"/>
      <c r="HK60" s="3"/>
      <c r="HL60" s="3"/>
      <c r="HM60" s="3"/>
      <c r="HN60" s="3"/>
      <c r="HO60" s="3"/>
      <c r="HP60" s="3"/>
      <c r="HQ60" s="3"/>
      <c r="HR60" s="3"/>
      <c r="HS60" s="3"/>
      <c r="HT60" s="3"/>
      <c r="HU60" s="3"/>
      <c r="HV60" s="3"/>
      <c r="HW60" s="3"/>
      <c r="HX60" s="3">
        <v>16063000</v>
      </c>
      <c r="HY60" s="3">
        <v>3942000</v>
      </c>
      <c r="HZ60" s="3">
        <v>0</v>
      </c>
      <c r="IA60" s="3">
        <v>20005000</v>
      </c>
      <c r="IB60" s="3">
        <v>16063000</v>
      </c>
      <c r="IC60" s="3">
        <v>3942000</v>
      </c>
      <c r="ID60" s="3">
        <v>0</v>
      </c>
      <c r="IE60" s="3">
        <v>20005000</v>
      </c>
      <c r="IF60" s="3"/>
      <c r="IG60" s="3"/>
      <c r="IH60" s="3"/>
      <c r="II60" s="3"/>
      <c r="IJ60" s="3"/>
      <c r="IK60" s="3"/>
      <c r="IL60" s="3"/>
      <c r="IM60" s="3"/>
      <c r="IN60" s="3"/>
      <c r="IO60" s="3"/>
      <c r="IP60" s="3"/>
      <c r="IQ60" s="3"/>
      <c r="IR60" s="3"/>
      <c r="IS60" s="3"/>
      <c r="IT60" s="3"/>
      <c r="IU60" s="3"/>
      <c r="IV60" s="3"/>
      <c r="IW60" s="3"/>
      <c r="IX60" s="3"/>
      <c r="IY60" s="3"/>
      <c r="IZ60" s="3">
        <v>14210000</v>
      </c>
      <c r="JA60" s="3">
        <v>36699000</v>
      </c>
      <c r="JB60" s="3">
        <v>0</v>
      </c>
      <c r="JC60" s="3">
        <v>50909000</v>
      </c>
      <c r="JD60" s="3"/>
      <c r="JE60" s="3"/>
      <c r="JF60" s="3"/>
      <c r="JG60" s="3"/>
    </row>
    <row r="61" spans="1:267" x14ac:dyDescent="0.25">
      <c r="A61" t="s">
        <v>1153</v>
      </c>
      <c r="B61" t="s">
        <v>1154</v>
      </c>
      <c r="C61" t="s">
        <v>599</v>
      </c>
      <c r="D61" t="s">
        <v>1168</v>
      </c>
      <c r="E61" t="s">
        <v>224</v>
      </c>
      <c r="F61" t="s">
        <v>520</v>
      </c>
      <c r="G61" t="s">
        <v>1232</v>
      </c>
      <c r="H61" s="3">
        <v>16133000</v>
      </c>
      <c r="I61" s="3">
        <v>8727000</v>
      </c>
      <c r="J61" s="3">
        <v>5080000</v>
      </c>
      <c r="K61" s="3">
        <v>29940000</v>
      </c>
      <c r="L61" s="3">
        <v>16133000</v>
      </c>
      <c r="M61" s="3">
        <v>16727000</v>
      </c>
      <c r="N61" s="3">
        <v>8080000</v>
      </c>
      <c r="O61" s="3">
        <v>40940000</v>
      </c>
      <c r="P61" s="3"/>
      <c r="Q61" s="3"/>
      <c r="R61" s="3"/>
      <c r="S61" s="3"/>
      <c r="T61" s="3"/>
      <c r="U61" s="3"/>
      <c r="V61" s="3"/>
      <c r="W61" s="3"/>
      <c r="X61" s="6"/>
      <c r="Y61" s="3"/>
      <c r="Z61" s="3"/>
      <c r="AA61" s="3"/>
      <c r="AB61" s="3"/>
      <c r="AC61" s="3"/>
      <c r="AD61" s="3"/>
      <c r="AE61" s="3"/>
      <c r="AF61" s="3"/>
      <c r="AG61" s="3"/>
      <c r="AH61" s="3"/>
      <c r="AI61" s="3"/>
      <c r="AJ61" s="3">
        <v>19461000</v>
      </c>
      <c r="AK61" s="3">
        <v>18564000</v>
      </c>
      <c r="AL61" s="3">
        <v>5200000</v>
      </c>
      <c r="AM61" s="3">
        <v>43225000</v>
      </c>
      <c r="AN61" s="3">
        <v>19461000</v>
      </c>
      <c r="AO61" s="3">
        <v>18564000</v>
      </c>
      <c r="AP61" s="3">
        <v>5200000</v>
      </c>
      <c r="AQ61" s="3">
        <v>43225000</v>
      </c>
      <c r="AR61" s="3"/>
      <c r="AS61" s="3"/>
      <c r="AT61" s="3"/>
      <c r="AU61" s="3"/>
      <c r="AV61" s="3"/>
      <c r="AW61" s="3"/>
      <c r="AX61" s="3"/>
      <c r="AY61" s="3"/>
      <c r="AZ61" s="3"/>
      <c r="BA61" s="3"/>
      <c r="BB61" s="3"/>
      <c r="BC61" s="3"/>
      <c r="BD61" s="3"/>
      <c r="BE61" s="3"/>
      <c r="BF61" s="3"/>
      <c r="BG61" s="3"/>
      <c r="BH61" s="3"/>
      <c r="BI61" s="3"/>
      <c r="BJ61" s="3"/>
      <c r="BK61" s="3"/>
      <c r="BL61" s="3">
        <v>19010000</v>
      </c>
      <c r="BM61" s="3">
        <v>15914000</v>
      </c>
      <c r="BN61" s="3">
        <v>1875000</v>
      </c>
      <c r="BO61" s="3">
        <v>36799000</v>
      </c>
      <c r="BP61" s="3">
        <v>19010000</v>
      </c>
      <c r="BQ61" s="3">
        <v>15914000</v>
      </c>
      <c r="BR61" s="3">
        <v>1875000</v>
      </c>
      <c r="BS61" s="3">
        <v>36799000</v>
      </c>
      <c r="BT61" s="3"/>
      <c r="BU61" s="3"/>
      <c r="BV61" s="3"/>
      <c r="BW61" s="3"/>
      <c r="BX61" s="3"/>
      <c r="BY61" s="3"/>
      <c r="BZ61" s="3"/>
      <c r="CA61" s="3"/>
      <c r="CB61" s="3"/>
      <c r="CC61" s="3"/>
      <c r="CD61" s="3"/>
      <c r="CE61" s="6"/>
      <c r="CF61" s="3"/>
      <c r="CG61" s="3"/>
      <c r="CH61" s="3"/>
      <c r="CI61" s="3"/>
      <c r="CJ61" s="3"/>
      <c r="CK61" s="3"/>
      <c r="CL61" s="3"/>
      <c r="CM61" s="3"/>
      <c r="CN61" s="3">
        <v>20107000</v>
      </c>
      <c r="CO61" s="3">
        <v>13167000</v>
      </c>
      <c r="CP61" s="3">
        <v>0</v>
      </c>
      <c r="CQ61" s="3">
        <v>33274000</v>
      </c>
      <c r="CR61" s="3">
        <v>20107000</v>
      </c>
      <c r="CS61" s="3">
        <v>13167000</v>
      </c>
      <c r="CT61" s="3">
        <v>0</v>
      </c>
      <c r="CU61" s="3">
        <v>33274000</v>
      </c>
      <c r="CV61" s="3"/>
      <c r="CW61" s="3"/>
      <c r="CX61" s="3"/>
      <c r="CY61" s="3"/>
      <c r="CZ61" s="3"/>
      <c r="DA61" s="3"/>
      <c r="DB61" s="3"/>
      <c r="DC61" s="3"/>
      <c r="DD61" s="3"/>
      <c r="DE61" s="3"/>
      <c r="DF61" s="3"/>
      <c r="DG61" s="3"/>
      <c r="DH61" s="3"/>
      <c r="DI61" s="3"/>
      <c r="DJ61" s="3"/>
      <c r="DK61" s="3"/>
      <c r="DL61" s="3"/>
      <c r="DM61" s="3"/>
      <c r="DN61" s="3"/>
      <c r="DO61" s="3"/>
      <c r="DP61" s="3">
        <v>20759000</v>
      </c>
      <c r="DQ61" s="3">
        <v>13167000</v>
      </c>
      <c r="DR61" s="3">
        <v>0</v>
      </c>
      <c r="DS61" s="3">
        <v>33926000</v>
      </c>
      <c r="DT61" s="3">
        <v>20759000</v>
      </c>
      <c r="DU61" s="3">
        <v>13167000</v>
      </c>
      <c r="DV61" s="3">
        <v>0</v>
      </c>
      <c r="DW61" s="3">
        <v>33926000</v>
      </c>
      <c r="DX61" s="3"/>
      <c r="DY61" s="3"/>
      <c r="DZ61" s="3"/>
      <c r="EA61" s="3"/>
      <c r="EB61" s="3"/>
      <c r="EC61" s="3"/>
      <c r="ED61" s="3"/>
      <c r="EE61" s="3"/>
      <c r="EF61" s="3"/>
      <c r="EG61" s="3"/>
      <c r="EH61" s="3"/>
      <c r="EI61" s="3"/>
      <c r="EJ61" s="3"/>
      <c r="EK61" s="3"/>
      <c r="EL61" s="3"/>
      <c r="EM61" s="3"/>
      <c r="EN61" s="3"/>
      <c r="EO61" s="3"/>
      <c r="EP61" s="3"/>
      <c r="EQ61" s="3"/>
      <c r="ER61" s="3">
        <v>20985000</v>
      </c>
      <c r="ES61" s="3">
        <v>9304000</v>
      </c>
      <c r="ET61" s="3">
        <v>0</v>
      </c>
      <c r="EU61" s="3">
        <v>30289000</v>
      </c>
      <c r="EV61" s="3">
        <v>20985000</v>
      </c>
      <c r="EW61" s="3">
        <v>9304000</v>
      </c>
      <c r="EX61" s="3">
        <v>0</v>
      </c>
      <c r="EY61" s="3">
        <v>30289000</v>
      </c>
      <c r="EZ61" s="3"/>
      <c r="FA61" s="3"/>
      <c r="FB61" s="3"/>
      <c r="FC61" s="3"/>
      <c r="FD61" s="3"/>
      <c r="FE61" s="3"/>
      <c r="FF61" s="3"/>
      <c r="FG61" s="3"/>
      <c r="FH61" s="6"/>
      <c r="FI61" s="3"/>
      <c r="FJ61" s="3"/>
      <c r="FK61" s="3"/>
      <c r="FL61" s="3"/>
      <c r="FM61" s="3"/>
      <c r="FN61" s="3"/>
      <c r="FO61" s="3"/>
      <c r="FP61" s="3"/>
      <c r="FQ61" s="3"/>
      <c r="FR61" s="3"/>
      <c r="FS61" s="3"/>
      <c r="FT61" s="3">
        <v>23545000</v>
      </c>
      <c r="FU61" s="3">
        <v>51791000</v>
      </c>
      <c r="FV61" s="3">
        <v>0</v>
      </c>
      <c r="FW61" s="3">
        <v>75336000</v>
      </c>
      <c r="FX61" s="3">
        <v>23545000</v>
      </c>
      <c r="FY61" s="3">
        <v>51791000</v>
      </c>
      <c r="FZ61" s="3">
        <v>0</v>
      </c>
      <c r="GA61" s="3">
        <v>75336000</v>
      </c>
      <c r="GB61" s="3"/>
      <c r="GC61" s="3"/>
      <c r="GD61" s="3"/>
      <c r="GE61" s="3"/>
      <c r="GF61" s="3"/>
      <c r="GG61" s="3"/>
      <c r="GH61" s="3"/>
      <c r="GI61" s="3"/>
      <c r="GJ61" s="3"/>
      <c r="GK61" s="3"/>
      <c r="GL61" s="3"/>
      <c r="GM61" s="3"/>
      <c r="GN61" s="3"/>
      <c r="GO61" s="3"/>
      <c r="GP61" s="3"/>
      <c r="GQ61" s="3"/>
      <c r="GR61" s="3"/>
      <c r="GS61" s="6"/>
      <c r="GT61" s="3"/>
      <c r="GU61" s="3"/>
      <c r="GV61" s="3">
        <v>21167000</v>
      </c>
      <c r="GW61" s="3">
        <v>26878000</v>
      </c>
      <c r="GX61" s="3">
        <v>0</v>
      </c>
      <c r="GY61" s="3">
        <v>48045000</v>
      </c>
      <c r="GZ61" s="3">
        <v>21167000</v>
      </c>
      <c r="HA61" s="3">
        <v>26878000</v>
      </c>
      <c r="HB61" s="3">
        <v>0</v>
      </c>
      <c r="HC61" s="3">
        <v>48045000</v>
      </c>
      <c r="HD61" s="3"/>
      <c r="HE61" s="3"/>
      <c r="HF61" s="3"/>
      <c r="HG61" s="3"/>
      <c r="HH61" s="3"/>
      <c r="HI61" s="3"/>
      <c r="HJ61" s="3"/>
      <c r="HK61" s="3"/>
      <c r="HL61" s="3"/>
      <c r="HM61" s="3"/>
      <c r="HN61" s="3"/>
      <c r="HO61" s="3"/>
      <c r="HP61" s="3"/>
      <c r="HQ61" s="3"/>
      <c r="HR61" s="3"/>
      <c r="HS61" s="3"/>
      <c r="HT61" s="3"/>
      <c r="HU61" s="3"/>
      <c r="HV61" s="3"/>
      <c r="HW61" s="3"/>
      <c r="HX61" s="3">
        <v>21890000</v>
      </c>
      <c r="HY61" s="3">
        <v>14817000</v>
      </c>
      <c r="HZ61" s="3">
        <v>0</v>
      </c>
      <c r="IA61" s="3">
        <v>36707000</v>
      </c>
      <c r="IB61" s="3">
        <v>21890000</v>
      </c>
      <c r="IC61" s="3">
        <v>14817000</v>
      </c>
      <c r="ID61" s="3">
        <v>0</v>
      </c>
      <c r="IE61" s="3">
        <v>36707000</v>
      </c>
      <c r="IF61" s="3"/>
      <c r="IG61" s="3"/>
      <c r="IH61" s="3"/>
      <c r="II61" s="3"/>
      <c r="IJ61" s="3"/>
      <c r="IK61" s="3"/>
      <c r="IL61" s="3"/>
      <c r="IM61" s="3"/>
      <c r="IN61" s="3"/>
      <c r="IO61" s="3"/>
      <c r="IP61" s="3"/>
      <c r="IQ61" s="3"/>
      <c r="IR61" s="3"/>
      <c r="IS61" s="3"/>
      <c r="IT61" s="3"/>
      <c r="IU61" s="3"/>
      <c r="IV61" s="3"/>
      <c r="IW61" s="3"/>
      <c r="IX61" s="3"/>
      <c r="IY61" s="3"/>
      <c r="IZ61" s="3">
        <v>24897000</v>
      </c>
      <c r="JA61" s="3">
        <v>20746000</v>
      </c>
      <c r="JB61" s="3">
        <v>0</v>
      </c>
      <c r="JC61" s="3">
        <v>45643000</v>
      </c>
      <c r="JD61" s="3"/>
      <c r="JE61" s="3"/>
      <c r="JF61" s="3"/>
      <c r="JG61" s="3"/>
    </row>
    <row r="62" spans="1:267" x14ac:dyDescent="0.25">
      <c r="A62" t="s">
        <v>1153</v>
      </c>
      <c r="B62" t="s">
        <v>1154</v>
      </c>
      <c r="C62" t="s">
        <v>599</v>
      </c>
      <c r="D62" t="s">
        <v>1168</v>
      </c>
      <c r="E62" t="s">
        <v>224</v>
      </c>
      <c r="F62" t="s">
        <v>521</v>
      </c>
      <c r="G62" t="s">
        <v>1233</v>
      </c>
      <c r="H62" s="3">
        <v>10962000</v>
      </c>
      <c r="I62" s="3">
        <v>11074000</v>
      </c>
      <c r="J62" s="3">
        <v>3000000</v>
      </c>
      <c r="K62" s="3">
        <v>25036000</v>
      </c>
      <c r="L62" s="3">
        <v>10962000</v>
      </c>
      <c r="M62" s="3">
        <v>11074000</v>
      </c>
      <c r="N62" s="3">
        <v>3000000</v>
      </c>
      <c r="O62" s="3">
        <v>25036000</v>
      </c>
      <c r="P62" s="3"/>
      <c r="Q62" s="3"/>
      <c r="R62" s="3"/>
      <c r="S62" s="3"/>
      <c r="T62" s="3"/>
      <c r="U62" s="3"/>
      <c r="V62" s="3"/>
      <c r="W62" s="3"/>
      <c r="X62" s="6"/>
      <c r="Y62" s="3"/>
      <c r="Z62" s="3"/>
      <c r="AA62" s="3"/>
      <c r="AB62" s="3"/>
      <c r="AC62" s="3"/>
      <c r="AD62" s="3"/>
      <c r="AE62" s="3"/>
      <c r="AF62" s="3"/>
      <c r="AG62" s="3"/>
      <c r="AH62" s="3"/>
      <c r="AI62" s="3"/>
      <c r="AJ62" s="3">
        <v>11647000</v>
      </c>
      <c r="AK62" s="3">
        <v>8329000</v>
      </c>
      <c r="AL62" s="3">
        <v>2700000</v>
      </c>
      <c r="AM62" s="3">
        <v>22676000</v>
      </c>
      <c r="AN62" s="3">
        <v>11647000</v>
      </c>
      <c r="AO62" s="3">
        <v>8329000</v>
      </c>
      <c r="AP62" s="3">
        <v>2700000</v>
      </c>
      <c r="AQ62" s="3">
        <v>22676000</v>
      </c>
      <c r="AR62" s="3"/>
      <c r="AS62" s="3"/>
      <c r="AT62" s="3"/>
      <c r="AU62" s="3"/>
      <c r="AV62" s="3"/>
      <c r="AW62" s="3"/>
      <c r="AX62" s="3"/>
      <c r="AY62" s="3"/>
      <c r="AZ62" s="3"/>
      <c r="BA62" s="3"/>
      <c r="BB62" s="3"/>
      <c r="BC62" s="3"/>
      <c r="BD62" s="3"/>
      <c r="BE62" s="3"/>
      <c r="BF62" s="3"/>
      <c r="BG62" s="3"/>
      <c r="BH62" s="3"/>
      <c r="BI62" s="3"/>
      <c r="BJ62" s="3"/>
      <c r="BK62" s="3"/>
      <c r="BL62" s="3">
        <v>12470000</v>
      </c>
      <c r="BM62" s="3">
        <v>8479000</v>
      </c>
      <c r="BN62" s="3">
        <v>200000</v>
      </c>
      <c r="BO62" s="3">
        <v>21149000</v>
      </c>
      <c r="BP62" s="3">
        <v>12470000</v>
      </c>
      <c r="BQ62" s="3">
        <v>8479000</v>
      </c>
      <c r="BR62" s="3">
        <v>200000</v>
      </c>
      <c r="BS62" s="3">
        <v>21149000</v>
      </c>
      <c r="BT62" s="3"/>
      <c r="BU62" s="3"/>
      <c r="BV62" s="3"/>
      <c r="BW62" s="3"/>
      <c r="BX62" s="3"/>
      <c r="BY62" s="3"/>
      <c r="BZ62" s="3"/>
      <c r="CA62" s="3"/>
      <c r="CB62" s="3"/>
      <c r="CC62" s="3"/>
      <c r="CD62" s="3"/>
      <c r="CE62" s="6"/>
      <c r="CF62" s="3"/>
      <c r="CG62" s="3"/>
      <c r="CH62" s="3"/>
      <c r="CI62" s="3"/>
      <c r="CJ62" s="3"/>
      <c r="CK62" s="3"/>
      <c r="CL62" s="3"/>
      <c r="CM62" s="3"/>
      <c r="CN62" s="3">
        <v>13331000</v>
      </c>
      <c r="CO62" s="3">
        <v>8133000</v>
      </c>
      <c r="CP62" s="3">
        <v>0</v>
      </c>
      <c r="CQ62" s="3">
        <v>21464000</v>
      </c>
      <c r="CR62" s="3">
        <v>13331000</v>
      </c>
      <c r="CS62" s="3">
        <v>8133000</v>
      </c>
      <c r="CT62" s="3">
        <v>0</v>
      </c>
      <c r="CU62" s="3">
        <v>21464000</v>
      </c>
      <c r="CV62" s="3"/>
      <c r="CW62" s="3"/>
      <c r="CX62" s="3"/>
      <c r="CY62" s="3"/>
      <c r="CZ62" s="3"/>
      <c r="DA62" s="3"/>
      <c r="DB62" s="3"/>
      <c r="DC62" s="3"/>
      <c r="DD62" s="3"/>
      <c r="DE62" s="3"/>
      <c r="DF62" s="3"/>
      <c r="DG62" s="3"/>
      <c r="DH62" s="3"/>
      <c r="DI62" s="3"/>
      <c r="DJ62" s="3"/>
      <c r="DK62" s="3"/>
      <c r="DL62" s="3"/>
      <c r="DM62" s="3"/>
      <c r="DN62" s="3"/>
      <c r="DO62" s="3"/>
      <c r="DP62" s="3">
        <v>13828000</v>
      </c>
      <c r="DQ62" s="3">
        <v>8133000</v>
      </c>
      <c r="DR62" s="3">
        <v>0</v>
      </c>
      <c r="DS62" s="3">
        <v>21961000</v>
      </c>
      <c r="DT62" s="3">
        <v>13828000</v>
      </c>
      <c r="DU62" s="3">
        <v>8133000</v>
      </c>
      <c r="DV62" s="3">
        <v>0</v>
      </c>
      <c r="DW62" s="3">
        <v>21961000</v>
      </c>
      <c r="DX62" s="3"/>
      <c r="DY62" s="3"/>
      <c r="DZ62" s="3"/>
      <c r="EA62" s="3"/>
      <c r="EB62" s="3"/>
      <c r="EC62" s="3"/>
      <c r="ED62" s="3"/>
      <c r="EE62" s="3"/>
      <c r="EF62" s="3"/>
      <c r="EG62" s="3"/>
      <c r="EH62" s="3"/>
      <c r="EI62" s="3"/>
      <c r="EJ62" s="3"/>
      <c r="EK62" s="3"/>
      <c r="EL62" s="3"/>
      <c r="EM62" s="3"/>
      <c r="EN62" s="3"/>
      <c r="EO62" s="3"/>
      <c r="EP62" s="3"/>
      <c r="EQ62" s="3"/>
      <c r="ER62" s="3">
        <v>15921000</v>
      </c>
      <c r="ES62" s="3">
        <v>6576000</v>
      </c>
      <c r="ET62" s="3">
        <v>0</v>
      </c>
      <c r="EU62" s="3">
        <v>22497000</v>
      </c>
      <c r="EV62" s="3">
        <v>15921000</v>
      </c>
      <c r="EW62" s="3">
        <v>6576000</v>
      </c>
      <c r="EX62" s="3">
        <v>0</v>
      </c>
      <c r="EY62" s="3">
        <v>22497000</v>
      </c>
      <c r="EZ62" s="3"/>
      <c r="FA62" s="3"/>
      <c r="FB62" s="3"/>
      <c r="FC62" s="3"/>
      <c r="FD62" s="3"/>
      <c r="FE62" s="3"/>
      <c r="FF62" s="3"/>
      <c r="FG62" s="3"/>
      <c r="FH62" s="6"/>
      <c r="FI62" s="3"/>
      <c r="FJ62" s="3"/>
      <c r="FK62" s="3"/>
      <c r="FL62" s="3"/>
      <c r="FM62" s="3"/>
      <c r="FN62" s="3"/>
      <c r="FO62" s="3"/>
      <c r="FP62" s="3"/>
      <c r="FQ62" s="3"/>
      <c r="FR62" s="3"/>
      <c r="FS62" s="3"/>
      <c r="FT62" s="3">
        <v>16655000</v>
      </c>
      <c r="FU62" s="3">
        <v>9442000</v>
      </c>
      <c r="FV62" s="3">
        <v>3400000</v>
      </c>
      <c r="FW62" s="3">
        <v>29497000</v>
      </c>
      <c r="FX62" s="3">
        <v>16655000</v>
      </c>
      <c r="FY62" s="3">
        <v>9442000</v>
      </c>
      <c r="FZ62" s="3">
        <v>3400000</v>
      </c>
      <c r="GA62" s="3">
        <v>29497000</v>
      </c>
      <c r="GB62" s="3"/>
      <c r="GC62" s="3"/>
      <c r="GD62" s="3"/>
      <c r="GE62" s="3"/>
      <c r="GF62" s="3"/>
      <c r="GG62" s="3"/>
      <c r="GH62" s="3"/>
      <c r="GI62" s="3"/>
      <c r="GJ62" s="3"/>
      <c r="GK62" s="3"/>
      <c r="GL62" s="3"/>
      <c r="GM62" s="3"/>
      <c r="GN62" s="3"/>
      <c r="GO62" s="3"/>
      <c r="GP62" s="3"/>
      <c r="GQ62" s="3"/>
      <c r="GR62" s="3"/>
      <c r="GS62" s="6"/>
      <c r="GT62" s="3"/>
      <c r="GU62" s="3"/>
      <c r="GV62" s="3">
        <v>16873000</v>
      </c>
      <c r="GW62" s="3">
        <v>12244000</v>
      </c>
      <c r="GX62" s="3">
        <v>1500000</v>
      </c>
      <c r="GY62" s="3">
        <v>30617000</v>
      </c>
      <c r="GZ62" s="3">
        <v>16873000</v>
      </c>
      <c r="HA62" s="3">
        <v>12244000</v>
      </c>
      <c r="HB62" s="3">
        <v>1500000</v>
      </c>
      <c r="HC62" s="3">
        <v>30617000</v>
      </c>
      <c r="HD62" s="3"/>
      <c r="HE62" s="3"/>
      <c r="HF62" s="3"/>
      <c r="HG62" s="3"/>
      <c r="HH62" s="3"/>
      <c r="HI62" s="3"/>
      <c r="HJ62" s="3"/>
      <c r="HK62" s="3"/>
      <c r="HL62" s="3"/>
      <c r="HM62" s="3"/>
      <c r="HN62" s="3"/>
      <c r="HO62" s="3"/>
      <c r="HP62" s="3"/>
      <c r="HQ62" s="3"/>
      <c r="HR62" s="3"/>
      <c r="HS62" s="3"/>
      <c r="HT62" s="3"/>
      <c r="HU62" s="3"/>
      <c r="HV62" s="3"/>
      <c r="HW62" s="3"/>
      <c r="HX62" s="3">
        <v>18976000</v>
      </c>
      <c r="HY62" s="3">
        <v>19358000</v>
      </c>
      <c r="HZ62" s="3">
        <v>1800000</v>
      </c>
      <c r="IA62" s="3">
        <v>40134000</v>
      </c>
      <c r="IB62" s="3">
        <v>18976000</v>
      </c>
      <c r="IC62" s="3">
        <v>19358000</v>
      </c>
      <c r="ID62" s="3">
        <v>1800000</v>
      </c>
      <c r="IE62" s="3">
        <v>40134000</v>
      </c>
      <c r="IF62" s="3"/>
      <c r="IG62" s="3"/>
      <c r="IH62" s="3"/>
      <c r="II62" s="3"/>
      <c r="IJ62" s="3"/>
      <c r="IK62" s="3"/>
      <c r="IL62" s="3"/>
      <c r="IM62" s="3"/>
      <c r="IN62" s="3"/>
      <c r="IO62" s="3"/>
      <c r="IP62" s="3"/>
      <c r="IQ62" s="3"/>
      <c r="IR62" s="3"/>
      <c r="IS62" s="3"/>
      <c r="IT62" s="3"/>
      <c r="IU62" s="3"/>
      <c r="IV62" s="3"/>
      <c r="IW62" s="3"/>
      <c r="IX62" s="3"/>
      <c r="IY62" s="3"/>
      <c r="IZ62" s="3">
        <v>17934000</v>
      </c>
      <c r="JA62" s="3">
        <v>11299000</v>
      </c>
      <c r="JB62" s="3">
        <v>1000000</v>
      </c>
      <c r="JC62" s="3">
        <v>30233000</v>
      </c>
      <c r="JD62" s="3"/>
      <c r="JE62" s="3"/>
      <c r="JF62" s="3"/>
      <c r="JG62" s="3"/>
    </row>
    <row r="63" spans="1:267" x14ac:dyDescent="0.25">
      <c r="A63" t="s">
        <v>1153</v>
      </c>
      <c r="B63" t="s">
        <v>1154</v>
      </c>
      <c r="C63" t="s">
        <v>599</v>
      </c>
      <c r="D63" t="s">
        <v>1168</v>
      </c>
      <c r="E63" t="s">
        <v>727</v>
      </c>
      <c r="F63" t="s">
        <v>728</v>
      </c>
      <c r="G63" t="s">
        <v>1234</v>
      </c>
      <c r="H63" s="3">
        <v>3247000</v>
      </c>
      <c r="I63" s="3">
        <v>14700000</v>
      </c>
      <c r="J63" s="3">
        <v>23900000</v>
      </c>
      <c r="K63" s="3">
        <v>41847000</v>
      </c>
      <c r="L63" s="3">
        <v>3247000</v>
      </c>
      <c r="M63" s="3">
        <v>14700000</v>
      </c>
      <c r="N63" s="3">
        <v>23900000</v>
      </c>
      <c r="O63" s="3">
        <v>41847000</v>
      </c>
      <c r="P63" s="3"/>
      <c r="Q63" s="3"/>
      <c r="R63" s="3"/>
      <c r="S63" s="3"/>
      <c r="T63" s="3"/>
      <c r="U63" s="3"/>
      <c r="V63" s="3"/>
      <c r="W63" s="3"/>
      <c r="X63" s="6"/>
      <c r="Y63" s="3"/>
      <c r="Z63" s="3"/>
      <c r="AA63" s="3"/>
      <c r="AB63" s="3"/>
      <c r="AC63" s="3"/>
      <c r="AD63" s="3"/>
      <c r="AE63" s="3"/>
      <c r="AF63" s="3"/>
      <c r="AG63" s="3"/>
      <c r="AH63" s="3"/>
      <c r="AI63" s="3"/>
      <c r="AJ63" s="3">
        <v>3515000</v>
      </c>
      <c r="AK63" s="3">
        <v>11056000</v>
      </c>
      <c r="AL63" s="3">
        <v>15600000</v>
      </c>
      <c r="AM63" s="3">
        <v>30171000</v>
      </c>
      <c r="AN63" s="3">
        <v>3515000</v>
      </c>
      <c r="AO63" s="3">
        <v>11056000</v>
      </c>
      <c r="AP63" s="3">
        <v>15600000</v>
      </c>
      <c r="AQ63" s="3">
        <v>30171000</v>
      </c>
      <c r="AR63" s="3"/>
      <c r="AS63" s="3"/>
      <c r="AT63" s="3"/>
      <c r="AU63" s="3"/>
      <c r="AV63" s="3"/>
      <c r="AW63" s="3"/>
      <c r="AX63" s="3"/>
      <c r="AY63" s="3"/>
      <c r="AZ63" s="3"/>
      <c r="BA63" s="3"/>
      <c r="BB63" s="3"/>
      <c r="BC63" s="3"/>
      <c r="BD63" s="3"/>
      <c r="BE63" s="3"/>
      <c r="BF63" s="3"/>
      <c r="BG63" s="3"/>
      <c r="BH63" s="3"/>
      <c r="BI63" s="3"/>
      <c r="BJ63" s="3"/>
      <c r="BK63" s="3"/>
      <c r="BL63" s="3">
        <v>3013000</v>
      </c>
      <c r="BM63" s="3">
        <v>11255000</v>
      </c>
      <c r="BN63" s="3">
        <v>15600000</v>
      </c>
      <c r="BO63" s="3">
        <v>29868000</v>
      </c>
      <c r="BP63" s="3">
        <v>3013000</v>
      </c>
      <c r="BQ63" s="3">
        <v>11255000</v>
      </c>
      <c r="BR63" s="3">
        <v>15600000</v>
      </c>
      <c r="BS63" s="3">
        <v>29868000</v>
      </c>
      <c r="BT63" s="3"/>
      <c r="BU63" s="3"/>
      <c r="BV63" s="3"/>
      <c r="BW63" s="3"/>
      <c r="BX63" s="3"/>
      <c r="BY63" s="3"/>
      <c r="BZ63" s="3"/>
      <c r="CA63" s="3"/>
      <c r="CB63" s="3"/>
      <c r="CC63" s="3"/>
      <c r="CD63" s="3"/>
      <c r="CE63" s="6"/>
      <c r="CF63" s="3"/>
      <c r="CG63" s="3"/>
      <c r="CH63" s="3"/>
      <c r="CI63" s="3"/>
      <c r="CJ63" s="3"/>
      <c r="CK63" s="3"/>
      <c r="CL63" s="3"/>
      <c r="CM63" s="3"/>
      <c r="CN63" s="3">
        <v>3185000</v>
      </c>
      <c r="CO63" s="3">
        <v>11460000</v>
      </c>
      <c r="CP63" s="3">
        <v>0</v>
      </c>
      <c r="CQ63" s="3">
        <v>14645000</v>
      </c>
      <c r="CR63" s="3">
        <v>3185000</v>
      </c>
      <c r="CS63" s="3">
        <v>11460000</v>
      </c>
      <c r="CT63" s="3">
        <v>0</v>
      </c>
      <c r="CU63" s="3">
        <v>14645000</v>
      </c>
      <c r="CV63" s="3"/>
      <c r="CW63" s="3"/>
      <c r="CX63" s="3"/>
      <c r="CY63" s="3"/>
      <c r="CZ63" s="3"/>
      <c r="DA63" s="3"/>
      <c r="DB63" s="3"/>
      <c r="DC63" s="3"/>
      <c r="DD63" s="3"/>
      <c r="DE63" s="3"/>
      <c r="DF63" s="3"/>
      <c r="DG63" s="3"/>
      <c r="DH63" s="3"/>
      <c r="DI63" s="3"/>
      <c r="DJ63" s="3"/>
      <c r="DK63" s="3"/>
      <c r="DL63" s="3"/>
      <c r="DM63" s="3"/>
      <c r="DN63" s="3"/>
      <c r="DO63" s="3"/>
      <c r="DP63" s="3">
        <v>3290000</v>
      </c>
      <c r="DQ63" s="3">
        <v>11460000</v>
      </c>
      <c r="DR63" s="3">
        <v>1500000</v>
      </c>
      <c r="DS63" s="3">
        <v>16250000</v>
      </c>
      <c r="DT63" s="3">
        <v>3290000</v>
      </c>
      <c r="DU63" s="3">
        <v>11460000</v>
      </c>
      <c r="DV63" s="3">
        <v>1500000</v>
      </c>
      <c r="DW63" s="3">
        <v>16250000</v>
      </c>
      <c r="DX63" s="3"/>
      <c r="DY63" s="3"/>
      <c r="DZ63" s="3"/>
      <c r="EA63" s="3"/>
      <c r="EB63" s="3"/>
      <c r="EC63" s="3"/>
      <c r="ED63" s="3"/>
      <c r="EE63" s="3"/>
      <c r="EF63" s="3"/>
      <c r="EG63" s="3"/>
      <c r="EH63" s="3"/>
      <c r="EI63" s="3"/>
      <c r="EJ63" s="3"/>
      <c r="EK63" s="3"/>
      <c r="EL63" s="3"/>
      <c r="EM63" s="3"/>
      <c r="EN63" s="3"/>
      <c r="EO63" s="3"/>
      <c r="EP63" s="3"/>
      <c r="EQ63" s="3"/>
      <c r="ER63" s="3">
        <v>3791000</v>
      </c>
      <c r="ES63" s="3">
        <v>11817000</v>
      </c>
      <c r="ET63" s="3">
        <v>0</v>
      </c>
      <c r="EU63" s="3">
        <v>15608000</v>
      </c>
      <c r="EV63" s="3">
        <v>3791000</v>
      </c>
      <c r="EW63" s="3">
        <v>15817000</v>
      </c>
      <c r="EX63" s="3">
        <v>16000000</v>
      </c>
      <c r="EY63" s="3">
        <v>35608000</v>
      </c>
      <c r="EZ63" s="3"/>
      <c r="FA63" s="3"/>
      <c r="FB63" s="3"/>
      <c r="FC63" s="3"/>
      <c r="FD63" s="3"/>
      <c r="FE63" s="3"/>
      <c r="FF63" s="3"/>
      <c r="FG63" s="3"/>
      <c r="FH63" s="6"/>
      <c r="FI63" s="3"/>
      <c r="FJ63" s="3"/>
      <c r="FK63" s="3"/>
      <c r="FL63" s="3"/>
      <c r="FM63" s="3"/>
      <c r="FN63" s="3"/>
      <c r="FO63" s="3"/>
      <c r="FP63" s="3"/>
      <c r="FQ63" s="3"/>
      <c r="FR63" s="3"/>
      <c r="FS63" s="3"/>
      <c r="FT63" s="3">
        <v>3808000</v>
      </c>
      <c r="FU63" s="3">
        <v>16030000</v>
      </c>
      <c r="FV63" s="3">
        <v>16000000</v>
      </c>
      <c r="FW63" s="3">
        <v>35838000</v>
      </c>
      <c r="FX63" s="3">
        <v>3808000</v>
      </c>
      <c r="FY63" s="3">
        <v>16030000</v>
      </c>
      <c r="FZ63" s="3">
        <v>16000000</v>
      </c>
      <c r="GA63" s="3">
        <v>35838000</v>
      </c>
      <c r="GB63" s="3"/>
      <c r="GC63" s="3"/>
      <c r="GD63" s="3"/>
      <c r="GE63" s="3"/>
      <c r="GF63" s="3"/>
      <c r="GG63" s="3"/>
      <c r="GH63" s="3"/>
      <c r="GI63" s="3"/>
      <c r="GJ63" s="3"/>
      <c r="GK63" s="3"/>
      <c r="GL63" s="3"/>
      <c r="GM63" s="3"/>
      <c r="GN63" s="3"/>
      <c r="GO63" s="3"/>
      <c r="GP63" s="3"/>
      <c r="GQ63" s="3"/>
      <c r="GR63" s="3"/>
      <c r="GS63" s="6"/>
      <c r="GT63" s="3"/>
      <c r="GU63" s="3"/>
      <c r="GV63" s="3">
        <v>3835000</v>
      </c>
      <c r="GW63" s="3">
        <v>84319000</v>
      </c>
      <c r="GX63" s="3">
        <v>16000000</v>
      </c>
      <c r="GY63" s="3">
        <v>104154000</v>
      </c>
      <c r="GZ63" s="3">
        <v>3835000</v>
      </c>
      <c r="HA63" s="3">
        <v>77319000</v>
      </c>
      <c r="HB63" s="3">
        <v>23000000</v>
      </c>
      <c r="HC63" s="3">
        <v>104154000</v>
      </c>
      <c r="HD63" s="3"/>
      <c r="HE63" s="3"/>
      <c r="HF63" s="3"/>
      <c r="HG63" s="3"/>
      <c r="HH63" s="3"/>
      <c r="HI63" s="3"/>
      <c r="HJ63" s="3"/>
      <c r="HK63" s="3"/>
      <c r="HL63" s="3"/>
      <c r="HM63" s="3"/>
      <c r="HN63" s="3"/>
      <c r="HO63" s="3"/>
      <c r="HP63" s="3"/>
      <c r="HQ63" s="3"/>
      <c r="HR63" s="3"/>
      <c r="HS63" s="3"/>
      <c r="HT63" s="3"/>
      <c r="HU63" s="3"/>
      <c r="HV63" s="3"/>
      <c r="HW63" s="3"/>
      <c r="HX63" s="3">
        <v>4389000</v>
      </c>
      <c r="HY63" s="3">
        <v>81973000</v>
      </c>
      <c r="HZ63" s="3">
        <v>50960000</v>
      </c>
      <c r="IA63" s="3">
        <v>137322000</v>
      </c>
      <c r="IB63" s="3">
        <v>4389000</v>
      </c>
      <c r="IC63" s="3">
        <v>81973000</v>
      </c>
      <c r="ID63" s="3">
        <v>50960000</v>
      </c>
      <c r="IE63" s="3">
        <v>137322000</v>
      </c>
      <c r="IF63" s="3"/>
      <c r="IG63" s="3"/>
      <c r="IH63" s="3"/>
      <c r="II63" s="3"/>
      <c r="IJ63" s="3"/>
      <c r="IK63" s="3"/>
      <c r="IL63" s="3"/>
      <c r="IM63" s="3"/>
      <c r="IN63" s="3"/>
      <c r="IO63" s="3"/>
      <c r="IP63" s="3"/>
      <c r="IQ63" s="3"/>
      <c r="IR63" s="3"/>
      <c r="IS63" s="3"/>
      <c r="IT63" s="3"/>
      <c r="IU63" s="3"/>
      <c r="IV63" s="3"/>
      <c r="IW63" s="3"/>
      <c r="IX63" s="3"/>
      <c r="IY63" s="3"/>
      <c r="IZ63" s="3">
        <v>4612000</v>
      </c>
      <c r="JA63" s="3">
        <v>47081000</v>
      </c>
      <c r="JB63" s="3">
        <v>48918000</v>
      </c>
      <c r="JC63" s="3">
        <v>100611000</v>
      </c>
      <c r="JD63" s="3"/>
      <c r="JE63" s="3"/>
      <c r="JF63" s="3"/>
      <c r="JG63" s="3"/>
    </row>
    <row r="64" spans="1:267" x14ac:dyDescent="0.25">
      <c r="A64" t="s">
        <v>1153</v>
      </c>
      <c r="B64" t="s">
        <v>1154</v>
      </c>
      <c r="C64" t="s">
        <v>600</v>
      </c>
      <c r="D64" t="s">
        <v>1169</v>
      </c>
      <c r="E64" t="s">
        <v>201</v>
      </c>
      <c r="F64" t="s">
        <v>202</v>
      </c>
      <c r="G64" t="s">
        <v>203</v>
      </c>
      <c r="H64" s="3">
        <v>14779000</v>
      </c>
      <c r="I64" s="3">
        <v>13770000</v>
      </c>
      <c r="J64" s="3">
        <v>5392000</v>
      </c>
      <c r="K64" s="3">
        <v>33941000</v>
      </c>
      <c r="L64" s="3">
        <v>14779000</v>
      </c>
      <c r="M64" s="3">
        <v>13770000</v>
      </c>
      <c r="N64" s="3">
        <v>5392000</v>
      </c>
      <c r="O64" s="3">
        <v>33941000</v>
      </c>
      <c r="P64" s="3"/>
      <c r="Q64" s="3"/>
      <c r="R64" s="3"/>
      <c r="S64" s="3"/>
      <c r="T64" s="3"/>
      <c r="U64" s="3"/>
      <c r="V64" s="3"/>
      <c r="W64" s="3"/>
      <c r="X64" s="6"/>
      <c r="Y64" s="3"/>
      <c r="Z64" s="3"/>
      <c r="AA64" s="3"/>
      <c r="AB64" s="3"/>
      <c r="AC64" s="3"/>
      <c r="AD64" s="3"/>
      <c r="AE64" s="3"/>
      <c r="AF64" s="3"/>
      <c r="AG64" s="3"/>
      <c r="AH64" s="3"/>
      <c r="AI64" s="3"/>
      <c r="AJ64" s="3">
        <v>16175000</v>
      </c>
      <c r="AK64" s="3">
        <v>13408000</v>
      </c>
      <c r="AL64" s="3">
        <v>8547000</v>
      </c>
      <c r="AM64" s="3">
        <v>38130000</v>
      </c>
      <c r="AN64" s="3">
        <v>16175000</v>
      </c>
      <c r="AO64" s="3">
        <v>13408000</v>
      </c>
      <c r="AP64" s="3">
        <v>8547000</v>
      </c>
      <c r="AQ64" s="3">
        <v>38130000</v>
      </c>
      <c r="AR64" s="3"/>
      <c r="AS64" s="3"/>
      <c r="AT64" s="3"/>
      <c r="AU64" s="3"/>
      <c r="AV64" s="3"/>
      <c r="AW64" s="3"/>
      <c r="AX64" s="3"/>
      <c r="AY64" s="3"/>
      <c r="AZ64" s="3"/>
      <c r="BA64" s="3"/>
      <c r="BB64" s="3"/>
      <c r="BC64" s="3"/>
      <c r="BD64" s="3"/>
      <c r="BE64" s="3"/>
      <c r="BF64" s="3"/>
      <c r="BG64" s="3"/>
      <c r="BH64" s="3"/>
      <c r="BI64" s="3"/>
      <c r="BJ64" s="3"/>
      <c r="BK64" s="3"/>
      <c r="BL64" s="3">
        <v>16279000</v>
      </c>
      <c r="BM64" s="3">
        <v>17845000</v>
      </c>
      <c r="BN64" s="3">
        <v>4039000</v>
      </c>
      <c r="BO64" s="3">
        <v>38163000</v>
      </c>
      <c r="BP64" s="3">
        <v>16279000</v>
      </c>
      <c r="BQ64" s="3">
        <v>17845000</v>
      </c>
      <c r="BR64" s="3">
        <v>4039000</v>
      </c>
      <c r="BS64" s="3">
        <v>38163000</v>
      </c>
      <c r="BT64" s="3"/>
      <c r="BU64" s="3"/>
      <c r="BV64" s="3"/>
      <c r="BW64" s="3"/>
      <c r="BX64" s="3"/>
      <c r="BY64" s="3"/>
      <c r="BZ64" s="3"/>
      <c r="CA64" s="3"/>
      <c r="CB64" s="3"/>
      <c r="CC64" s="3"/>
      <c r="CD64" s="3"/>
      <c r="CE64" s="6"/>
      <c r="CF64" s="3"/>
      <c r="CG64" s="3"/>
      <c r="CH64" s="3"/>
      <c r="CI64" s="3"/>
      <c r="CJ64" s="3"/>
      <c r="CK64" s="3"/>
      <c r="CL64" s="3"/>
      <c r="CM64" s="3"/>
      <c r="CN64" s="3">
        <v>13868000</v>
      </c>
      <c r="CO64" s="3">
        <v>23520000</v>
      </c>
      <c r="CP64" s="3">
        <v>5238000</v>
      </c>
      <c r="CQ64" s="3">
        <v>42626000</v>
      </c>
      <c r="CR64" s="3">
        <v>13868000</v>
      </c>
      <c r="CS64" s="3">
        <v>23520000</v>
      </c>
      <c r="CT64" s="3">
        <v>5238000</v>
      </c>
      <c r="CU64" s="3">
        <v>42626000</v>
      </c>
      <c r="CV64" s="3"/>
      <c r="CW64" s="3"/>
      <c r="CX64" s="3"/>
      <c r="CY64" s="3"/>
      <c r="CZ64" s="3"/>
      <c r="DA64" s="3"/>
      <c r="DB64" s="3"/>
      <c r="DC64" s="3"/>
      <c r="DD64" s="3"/>
      <c r="DE64" s="3"/>
      <c r="DF64" s="3"/>
      <c r="DG64" s="3"/>
      <c r="DH64" s="3"/>
      <c r="DI64" s="3"/>
      <c r="DJ64" s="3"/>
      <c r="DK64" s="3"/>
      <c r="DL64" s="3"/>
      <c r="DM64" s="3"/>
      <c r="DN64" s="3"/>
      <c r="DO64" s="3"/>
      <c r="DP64" s="3">
        <v>17385000</v>
      </c>
      <c r="DQ64" s="3">
        <v>17080000</v>
      </c>
      <c r="DR64" s="3">
        <v>1620000</v>
      </c>
      <c r="DS64" s="3">
        <v>36085000</v>
      </c>
      <c r="DT64" s="3">
        <v>17385000</v>
      </c>
      <c r="DU64" s="3">
        <v>17080000</v>
      </c>
      <c r="DV64" s="3">
        <v>1620000</v>
      </c>
      <c r="DW64" s="3">
        <v>36085000</v>
      </c>
      <c r="DX64" s="3"/>
      <c r="DY64" s="3"/>
      <c r="DZ64" s="3"/>
      <c r="EA64" s="3"/>
      <c r="EB64" s="3"/>
      <c r="EC64" s="3"/>
      <c r="ED64" s="3"/>
      <c r="EE64" s="3"/>
      <c r="EF64" s="3"/>
      <c r="EG64" s="3"/>
      <c r="EH64" s="3"/>
      <c r="EI64" s="3"/>
      <c r="EJ64" s="3"/>
      <c r="EK64" s="3"/>
      <c r="EL64" s="3"/>
      <c r="EM64" s="3"/>
      <c r="EN64" s="3"/>
      <c r="EO64" s="3"/>
      <c r="EP64" s="3"/>
      <c r="EQ64" s="3"/>
      <c r="ER64" s="3">
        <v>17519000</v>
      </c>
      <c r="ES64" s="3">
        <v>13867000</v>
      </c>
      <c r="ET64" s="3">
        <v>0</v>
      </c>
      <c r="EU64" s="3">
        <v>31386000</v>
      </c>
      <c r="EV64" s="3">
        <v>17519000</v>
      </c>
      <c r="EW64" s="3">
        <v>13867000</v>
      </c>
      <c r="EX64" s="3">
        <v>0</v>
      </c>
      <c r="EY64" s="3">
        <v>31386000</v>
      </c>
      <c r="EZ64" s="3"/>
      <c r="FA64" s="3"/>
      <c r="FB64" s="3"/>
      <c r="FC64" s="3"/>
      <c r="FD64" s="3"/>
      <c r="FE64" s="3"/>
      <c r="FF64" s="3"/>
      <c r="FG64" s="3"/>
      <c r="FH64" s="6"/>
      <c r="FI64" s="3"/>
      <c r="FJ64" s="3"/>
      <c r="FK64" s="3"/>
      <c r="FL64" s="3"/>
      <c r="FM64" s="3"/>
      <c r="FN64" s="3"/>
      <c r="FO64" s="3"/>
      <c r="FP64" s="3"/>
      <c r="FQ64" s="3"/>
      <c r="FR64" s="3"/>
      <c r="FS64" s="3"/>
      <c r="FT64" s="3">
        <v>15620000</v>
      </c>
      <c r="FU64" s="3">
        <v>23367000</v>
      </c>
      <c r="FV64" s="3">
        <v>750000</v>
      </c>
      <c r="FW64" s="3">
        <v>39737000</v>
      </c>
      <c r="FX64" s="3">
        <v>15620000</v>
      </c>
      <c r="FY64" s="3">
        <v>23367000</v>
      </c>
      <c r="FZ64" s="3">
        <v>750000</v>
      </c>
      <c r="GA64" s="3">
        <v>39737000</v>
      </c>
      <c r="GB64" s="3"/>
      <c r="GC64" s="3"/>
      <c r="GD64" s="3"/>
      <c r="GE64" s="3"/>
      <c r="GF64" s="3"/>
      <c r="GG64" s="3"/>
      <c r="GH64" s="3"/>
      <c r="GI64" s="3"/>
      <c r="GJ64" s="3"/>
      <c r="GK64" s="3"/>
      <c r="GL64" s="3"/>
      <c r="GM64" s="3"/>
      <c r="GN64" s="3"/>
      <c r="GO64" s="3"/>
      <c r="GP64" s="3"/>
      <c r="GQ64" s="3"/>
      <c r="GR64" s="3"/>
      <c r="GS64" s="6"/>
      <c r="GT64" s="3"/>
      <c r="GU64" s="3"/>
      <c r="GV64" s="3">
        <v>20075000</v>
      </c>
      <c r="GW64" s="3">
        <v>32482000</v>
      </c>
      <c r="GX64" s="3">
        <v>8609000</v>
      </c>
      <c r="GY64" s="3">
        <v>61166000</v>
      </c>
      <c r="GZ64" s="3">
        <v>20075000</v>
      </c>
      <c r="HA64" s="3">
        <v>32482000</v>
      </c>
      <c r="HB64" s="3">
        <v>8609000</v>
      </c>
      <c r="HC64" s="3">
        <v>61166000</v>
      </c>
      <c r="HD64" s="3"/>
      <c r="HE64" s="3"/>
      <c r="HF64" s="3"/>
      <c r="HG64" s="3"/>
      <c r="HH64" s="3"/>
      <c r="HI64" s="3"/>
      <c r="HJ64" s="3"/>
      <c r="HK64" s="3"/>
      <c r="HL64" s="3"/>
      <c r="HM64" s="3"/>
      <c r="HN64" s="3"/>
      <c r="HO64" s="3"/>
      <c r="HP64" s="3"/>
      <c r="HQ64" s="3"/>
      <c r="HR64" s="3"/>
      <c r="HS64" s="3"/>
      <c r="HT64" s="3"/>
      <c r="HU64" s="3"/>
      <c r="HV64" s="3"/>
      <c r="HW64" s="3"/>
      <c r="HX64" s="3">
        <v>22665000</v>
      </c>
      <c r="HY64" s="3">
        <v>32791000</v>
      </c>
      <c r="HZ64" s="3">
        <v>19045000</v>
      </c>
      <c r="IA64" s="3">
        <v>74501000</v>
      </c>
      <c r="IB64" s="3">
        <v>22665000</v>
      </c>
      <c r="IC64" s="3">
        <v>32791000</v>
      </c>
      <c r="ID64" s="3">
        <v>19045000</v>
      </c>
      <c r="IE64" s="3">
        <v>74501000</v>
      </c>
      <c r="IF64" s="3"/>
      <c r="IG64" s="3"/>
      <c r="IH64" s="3"/>
      <c r="II64" s="3"/>
      <c r="IJ64" s="3"/>
      <c r="IK64" s="3"/>
      <c r="IL64" s="3"/>
      <c r="IM64" s="3"/>
      <c r="IN64" s="3"/>
      <c r="IO64" s="3"/>
      <c r="IP64" s="3"/>
      <c r="IQ64" s="3"/>
      <c r="IR64" s="3"/>
      <c r="IS64" s="3"/>
      <c r="IT64" s="3"/>
      <c r="IU64" s="3"/>
      <c r="IV64" s="3"/>
      <c r="IW64" s="3"/>
      <c r="IX64" s="3"/>
      <c r="IY64" s="3"/>
      <c r="IZ64" s="3">
        <v>23852000</v>
      </c>
      <c r="JA64" s="3">
        <v>37042000</v>
      </c>
      <c r="JB64" s="3">
        <v>17334000</v>
      </c>
      <c r="JC64" s="3">
        <v>78228000</v>
      </c>
      <c r="JD64" s="3"/>
      <c r="JE64" s="3"/>
      <c r="JF64" s="3"/>
      <c r="JG64" s="3"/>
    </row>
    <row r="65" spans="1:267" x14ac:dyDescent="0.25">
      <c r="A65" t="s">
        <v>1153</v>
      </c>
      <c r="B65" t="s">
        <v>1154</v>
      </c>
      <c r="C65" t="s">
        <v>600</v>
      </c>
      <c r="D65" t="s">
        <v>1169</v>
      </c>
      <c r="E65" t="s">
        <v>201</v>
      </c>
      <c r="F65" t="s">
        <v>204</v>
      </c>
      <c r="G65" t="s">
        <v>205</v>
      </c>
      <c r="H65" s="3"/>
      <c r="I65" s="3"/>
      <c r="J65" s="3"/>
      <c r="K65" s="3"/>
      <c r="L65" s="3"/>
      <c r="M65" s="3"/>
      <c r="N65" s="3"/>
      <c r="O65" s="3"/>
      <c r="P65" s="3"/>
      <c r="Q65" s="3"/>
      <c r="R65" s="3"/>
      <c r="S65" s="3"/>
      <c r="T65" s="3"/>
      <c r="U65" s="3"/>
      <c r="V65" s="3"/>
      <c r="W65" s="3"/>
      <c r="X65" s="6"/>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v>1715000</v>
      </c>
      <c r="BM65" s="3">
        <v>0</v>
      </c>
      <c r="BN65" s="3">
        <v>0</v>
      </c>
      <c r="BO65" s="3">
        <v>1715000</v>
      </c>
      <c r="BP65" s="3">
        <v>1715000</v>
      </c>
      <c r="BQ65" s="3">
        <v>0</v>
      </c>
      <c r="BR65" s="3">
        <v>0</v>
      </c>
      <c r="BS65" s="3">
        <v>1715000</v>
      </c>
      <c r="BT65" s="3"/>
      <c r="BU65" s="3"/>
      <c r="BV65" s="3"/>
      <c r="BW65" s="3"/>
      <c r="BX65" s="3"/>
      <c r="BY65" s="3"/>
      <c r="BZ65" s="3"/>
      <c r="CA65" s="3"/>
      <c r="CB65" s="3"/>
      <c r="CC65" s="3"/>
      <c r="CD65" s="3"/>
      <c r="CE65" s="6"/>
      <c r="CF65" s="3"/>
      <c r="CG65" s="3"/>
      <c r="CH65" s="3"/>
      <c r="CI65" s="3"/>
      <c r="CJ65" s="3"/>
      <c r="CK65" s="3"/>
      <c r="CL65" s="3"/>
      <c r="CM65" s="3"/>
      <c r="CN65" s="3">
        <v>420000</v>
      </c>
      <c r="CO65" s="3">
        <v>0</v>
      </c>
      <c r="CP65" s="3">
        <v>0</v>
      </c>
      <c r="CQ65" s="3">
        <v>420000</v>
      </c>
      <c r="CR65" s="3">
        <v>420000</v>
      </c>
      <c r="CS65" s="3">
        <v>0</v>
      </c>
      <c r="CT65" s="3">
        <v>0</v>
      </c>
      <c r="CU65" s="3">
        <v>420000</v>
      </c>
      <c r="CV65" s="3"/>
      <c r="CW65" s="3"/>
      <c r="CX65" s="3"/>
      <c r="CY65" s="3"/>
      <c r="CZ65" s="3"/>
      <c r="DA65" s="3"/>
      <c r="DB65" s="3"/>
      <c r="DC65" s="3"/>
      <c r="DD65" s="3"/>
      <c r="DE65" s="3"/>
      <c r="DF65" s="3"/>
      <c r="DG65" s="3"/>
      <c r="DH65" s="3"/>
      <c r="DI65" s="3"/>
      <c r="DJ65" s="3"/>
      <c r="DK65" s="3"/>
      <c r="DL65" s="3"/>
      <c r="DM65" s="3"/>
      <c r="DN65" s="3"/>
      <c r="DO65" s="3"/>
      <c r="DP65" s="3">
        <v>2165000</v>
      </c>
      <c r="DQ65" s="3">
        <v>0</v>
      </c>
      <c r="DR65" s="3">
        <v>0</v>
      </c>
      <c r="DS65" s="3">
        <v>2165000</v>
      </c>
      <c r="DT65" s="3">
        <v>2165000</v>
      </c>
      <c r="DU65" s="3">
        <v>0</v>
      </c>
      <c r="DV65" s="3">
        <v>0</v>
      </c>
      <c r="DW65" s="3">
        <v>2165000</v>
      </c>
      <c r="DX65" s="3"/>
      <c r="DY65" s="3"/>
      <c r="DZ65" s="3"/>
      <c r="EA65" s="3"/>
      <c r="EB65" s="3"/>
      <c r="EC65" s="3"/>
      <c r="ED65" s="3"/>
      <c r="EE65" s="3"/>
      <c r="EF65" s="3"/>
      <c r="EG65" s="3"/>
      <c r="EH65" s="3"/>
      <c r="EI65" s="3"/>
      <c r="EJ65" s="3"/>
      <c r="EK65" s="3"/>
      <c r="EL65" s="3"/>
      <c r="EM65" s="3"/>
      <c r="EN65" s="3"/>
      <c r="EO65" s="3"/>
      <c r="EP65" s="3"/>
      <c r="EQ65" s="3"/>
      <c r="ER65" s="3">
        <v>1209000</v>
      </c>
      <c r="ES65" s="3">
        <v>0</v>
      </c>
      <c r="ET65" s="3">
        <v>0</v>
      </c>
      <c r="EU65" s="3">
        <v>1209000</v>
      </c>
      <c r="EV65" s="3">
        <v>1209000</v>
      </c>
      <c r="EW65" s="3">
        <v>0</v>
      </c>
      <c r="EX65" s="3">
        <v>0</v>
      </c>
      <c r="EY65" s="3">
        <v>1209000</v>
      </c>
      <c r="EZ65" s="3"/>
      <c r="FA65" s="3"/>
      <c r="FB65" s="3"/>
      <c r="FC65" s="3"/>
      <c r="FD65" s="3"/>
      <c r="FE65" s="3"/>
      <c r="FF65" s="3"/>
      <c r="FG65" s="3"/>
      <c r="FH65" s="6"/>
      <c r="FI65" s="3"/>
      <c r="FJ65" s="3"/>
      <c r="FK65" s="3"/>
      <c r="FL65" s="3"/>
      <c r="FM65" s="3"/>
      <c r="FN65" s="3"/>
      <c r="FO65" s="3"/>
      <c r="FP65" s="3"/>
      <c r="FQ65" s="3"/>
      <c r="FR65" s="3"/>
      <c r="FS65" s="3"/>
      <c r="FT65" s="3">
        <v>150000</v>
      </c>
      <c r="FU65" s="3">
        <v>0</v>
      </c>
      <c r="FV65" s="3">
        <v>0</v>
      </c>
      <c r="FW65" s="3">
        <v>150000</v>
      </c>
      <c r="FX65" s="3">
        <v>150000</v>
      </c>
      <c r="FY65" s="3">
        <v>0</v>
      </c>
      <c r="FZ65" s="3">
        <v>0</v>
      </c>
      <c r="GA65" s="3">
        <v>150000</v>
      </c>
      <c r="GB65" s="3"/>
      <c r="GC65" s="3"/>
      <c r="GD65" s="3"/>
      <c r="GE65" s="3"/>
      <c r="GF65" s="3"/>
      <c r="GG65" s="3"/>
      <c r="GH65" s="3"/>
      <c r="GI65" s="3"/>
      <c r="GJ65" s="3"/>
      <c r="GK65" s="3"/>
      <c r="GL65" s="3"/>
      <c r="GM65" s="3"/>
      <c r="GN65" s="3"/>
      <c r="GO65" s="3"/>
      <c r="GP65" s="3"/>
      <c r="GQ65" s="3"/>
      <c r="GR65" s="3"/>
      <c r="GS65" s="6"/>
      <c r="GT65" s="3"/>
      <c r="GU65" s="3"/>
      <c r="GV65" s="3">
        <v>222000</v>
      </c>
      <c r="GW65" s="3">
        <v>0</v>
      </c>
      <c r="GX65" s="3">
        <v>0</v>
      </c>
      <c r="GY65" s="3">
        <v>222000</v>
      </c>
      <c r="GZ65" s="3">
        <v>222000</v>
      </c>
      <c r="HA65" s="3">
        <v>0</v>
      </c>
      <c r="HB65" s="3">
        <v>0</v>
      </c>
      <c r="HC65" s="3">
        <v>222000</v>
      </c>
      <c r="HD65" s="3"/>
      <c r="HE65" s="3"/>
      <c r="HF65" s="3"/>
      <c r="HG65" s="3"/>
      <c r="HH65" s="3"/>
      <c r="HI65" s="3"/>
      <c r="HJ65" s="3"/>
      <c r="HK65" s="3"/>
      <c r="HL65" s="3"/>
      <c r="HM65" s="3"/>
      <c r="HN65" s="3"/>
      <c r="HO65" s="3"/>
      <c r="HP65" s="3"/>
      <c r="HQ65" s="3"/>
      <c r="HR65" s="3"/>
      <c r="HS65" s="3"/>
      <c r="HT65" s="3"/>
      <c r="HU65" s="3"/>
      <c r="HV65" s="3"/>
      <c r="HW65" s="3"/>
      <c r="HX65" s="3">
        <v>322000</v>
      </c>
      <c r="HY65" s="3">
        <v>0</v>
      </c>
      <c r="HZ65" s="3">
        <v>0</v>
      </c>
      <c r="IA65" s="3">
        <v>322000</v>
      </c>
      <c r="IB65" s="3">
        <v>322000</v>
      </c>
      <c r="IC65" s="3">
        <v>0</v>
      </c>
      <c r="ID65" s="3">
        <v>0</v>
      </c>
      <c r="IE65" s="3">
        <v>322000</v>
      </c>
      <c r="IF65" s="3"/>
      <c r="IG65" s="3"/>
      <c r="IH65" s="3"/>
      <c r="II65" s="3"/>
      <c r="IJ65" s="3"/>
      <c r="IK65" s="3"/>
      <c r="IL65" s="3"/>
      <c r="IM65" s="3"/>
      <c r="IN65" s="3"/>
      <c r="IO65" s="3"/>
      <c r="IP65" s="3"/>
      <c r="IQ65" s="3"/>
      <c r="IR65" s="3"/>
      <c r="IS65" s="3"/>
      <c r="IT65" s="3"/>
      <c r="IU65" s="3"/>
      <c r="IV65" s="3"/>
      <c r="IW65" s="3"/>
      <c r="IX65" s="3"/>
      <c r="IY65" s="3"/>
      <c r="IZ65" s="3">
        <v>395000</v>
      </c>
      <c r="JA65" s="3">
        <v>0</v>
      </c>
      <c r="JB65" s="3">
        <v>0</v>
      </c>
      <c r="JC65" s="3">
        <v>395000</v>
      </c>
      <c r="JD65" s="3"/>
      <c r="JE65" s="3"/>
      <c r="JF65" s="3"/>
      <c r="JG65" s="3"/>
    </row>
    <row r="66" spans="1:267" x14ac:dyDescent="0.25">
      <c r="A66" t="s">
        <v>1153</v>
      </c>
      <c r="B66" t="s">
        <v>1154</v>
      </c>
      <c r="C66" t="s">
        <v>600</v>
      </c>
      <c r="D66" t="s">
        <v>1169</v>
      </c>
      <c r="E66" t="s">
        <v>217</v>
      </c>
      <c r="F66" t="s">
        <v>218</v>
      </c>
      <c r="G66" t="s">
        <v>1235</v>
      </c>
      <c r="H66" s="3">
        <v>3903000</v>
      </c>
      <c r="I66" s="3">
        <v>2779000</v>
      </c>
      <c r="J66" s="3">
        <v>4564000</v>
      </c>
      <c r="K66" s="3">
        <v>11246000</v>
      </c>
      <c r="L66" s="3">
        <v>3903000</v>
      </c>
      <c r="M66" s="3">
        <v>2779000</v>
      </c>
      <c r="N66" s="3">
        <v>4564000</v>
      </c>
      <c r="O66" s="3">
        <v>11246000</v>
      </c>
      <c r="P66" s="3"/>
      <c r="Q66" s="3"/>
      <c r="R66" s="3"/>
      <c r="S66" s="3"/>
      <c r="T66" s="3"/>
      <c r="U66" s="3"/>
      <c r="V66" s="3"/>
      <c r="W66" s="3"/>
      <c r="X66" s="6"/>
      <c r="Y66" s="3"/>
      <c r="Z66" s="3"/>
      <c r="AA66" s="3"/>
      <c r="AB66" s="3"/>
      <c r="AC66" s="3"/>
      <c r="AD66" s="3"/>
      <c r="AE66" s="3"/>
      <c r="AF66" s="3"/>
      <c r="AG66" s="3"/>
      <c r="AH66" s="3"/>
      <c r="AI66" s="3"/>
      <c r="AJ66" s="3">
        <v>4177000</v>
      </c>
      <c r="AK66" s="3">
        <v>6807000</v>
      </c>
      <c r="AL66" s="3">
        <v>7754000</v>
      </c>
      <c r="AM66" s="3">
        <v>18738000</v>
      </c>
      <c r="AN66" s="3">
        <v>4177000</v>
      </c>
      <c r="AO66" s="3">
        <v>6807000</v>
      </c>
      <c r="AP66" s="3">
        <v>7754000</v>
      </c>
      <c r="AQ66" s="3">
        <v>18738000</v>
      </c>
      <c r="AR66" s="3"/>
      <c r="AS66" s="3"/>
      <c r="AT66" s="3"/>
      <c r="AU66" s="3"/>
      <c r="AV66" s="3"/>
      <c r="AW66" s="3"/>
      <c r="AX66" s="3"/>
      <c r="AY66" s="3"/>
      <c r="AZ66" s="3"/>
      <c r="BA66" s="3"/>
      <c r="BB66" s="3"/>
      <c r="BC66" s="3"/>
      <c r="BD66" s="3"/>
      <c r="BE66" s="3"/>
      <c r="BF66" s="3"/>
      <c r="BG66" s="3"/>
      <c r="BH66" s="3"/>
      <c r="BI66" s="3"/>
      <c r="BJ66" s="3"/>
      <c r="BK66" s="3"/>
      <c r="BL66" s="3">
        <v>4211000</v>
      </c>
      <c r="BM66" s="3">
        <v>3759000</v>
      </c>
      <c r="BN66" s="3">
        <v>8761000</v>
      </c>
      <c r="BO66" s="3">
        <v>16731000</v>
      </c>
      <c r="BP66" s="3">
        <v>4211000</v>
      </c>
      <c r="BQ66" s="3">
        <v>3759000</v>
      </c>
      <c r="BR66" s="3">
        <v>8761000</v>
      </c>
      <c r="BS66" s="3">
        <v>16731000</v>
      </c>
      <c r="BT66" s="3"/>
      <c r="BU66" s="3"/>
      <c r="BV66" s="3"/>
      <c r="BW66" s="3"/>
      <c r="BX66" s="3"/>
      <c r="BY66" s="3"/>
      <c r="BZ66" s="3"/>
      <c r="CA66" s="3"/>
      <c r="CB66" s="3"/>
      <c r="CC66" s="3"/>
      <c r="CD66" s="3"/>
      <c r="CE66" s="6"/>
      <c r="CF66" s="3"/>
      <c r="CG66" s="3"/>
      <c r="CH66" s="3"/>
      <c r="CI66" s="3"/>
      <c r="CJ66" s="3"/>
      <c r="CK66" s="3"/>
      <c r="CL66" s="3"/>
      <c r="CM66" s="3"/>
      <c r="CN66" s="3">
        <v>3432000</v>
      </c>
      <c r="CO66" s="3">
        <v>1879000</v>
      </c>
      <c r="CP66" s="3">
        <v>0</v>
      </c>
      <c r="CQ66" s="3">
        <v>5311000</v>
      </c>
      <c r="CR66" s="3">
        <v>3432000</v>
      </c>
      <c r="CS66" s="3">
        <v>1879000</v>
      </c>
      <c r="CT66" s="3">
        <v>0</v>
      </c>
      <c r="CU66" s="3">
        <v>5311000</v>
      </c>
      <c r="CV66" s="3"/>
      <c r="CW66" s="3"/>
      <c r="CX66" s="3"/>
      <c r="CY66" s="3"/>
      <c r="CZ66" s="3"/>
      <c r="DA66" s="3"/>
      <c r="DB66" s="3"/>
      <c r="DC66" s="3"/>
      <c r="DD66" s="3"/>
      <c r="DE66" s="3"/>
      <c r="DF66" s="3"/>
      <c r="DG66" s="3"/>
      <c r="DH66" s="3"/>
      <c r="DI66" s="3"/>
      <c r="DJ66" s="3"/>
      <c r="DK66" s="3"/>
      <c r="DL66" s="3"/>
      <c r="DM66" s="3"/>
      <c r="DN66" s="3"/>
      <c r="DO66" s="3"/>
      <c r="DP66" s="3">
        <v>4496000</v>
      </c>
      <c r="DQ66" s="3">
        <v>6024000</v>
      </c>
      <c r="DR66" s="3">
        <v>705000</v>
      </c>
      <c r="DS66" s="3">
        <v>11225000</v>
      </c>
      <c r="DT66" s="3">
        <v>4496000</v>
      </c>
      <c r="DU66" s="3">
        <v>6024000</v>
      </c>
      <c r="DV66" s="3">
        <v>705000</v>
      </c>
      <c r="DW66" s="3">
        <v>11225000</v>
      </c>
      <c r="DX66" s="3"/>
      <c r="DY66" s="3"/>
      <c r="DZ66" s="3"/>
      <c r="EA66" s="3"/>
      <c r="EB66" s="3"/>
      <c r="EC66" s="3"/>
      <c r="ED66" s="3"/>
      <c r="EE66" s="3"/>
      <c r="EF66" s="3"/>
      <c r="EG66" s="3"/>
      <c r="EH66" s="3"/>
      <c r="EI66" s="3"/>
      <c r="EJ66" s="3"/>
      <c r="EK66" s="3"/>
      <c r="EL66" s="3"/>
      <c r="EM66" s="3"/>
      <c r="EN66" s="3"/>
      <c r="EO66" s="3"/>
      <c r="EP66" s="3"/>
      <c r="EQ66" s="3"/>
      <c r="ER66" s="3">
        <v>4612000</v>
      </c>
      <c r="ES66" s="3">
        <v>1914000</v>
      </c>
      <c r="ET66" s="3">
        <v>0</v>
      </c>
      <c r="EU66" s="3">
        <v>6526000</v>
      </c>
      <c r="EV66" s="3">
        <v>4612000</v>
      </c>
      <c r="EW66" s="3">
        <v>1914000</v>
      </c>
      <c r="EX66" s="3">
        <v>0</v>
      </c>
      <c r="EY66" s="3">
        <v>6526000</v>
      </c>
      <c r="EZ66" s="3"/>
      <c r="FA66" s="3"/>
      <c r="FB66" s="3"/>
      <c r="FC66" s="3"/>
      <c r="FD66" s="3"/>
      <c r="FE66" s="3"/>
      <c r="FF66" s="3"/>
      <c r="FG66" s="3"/>
      <c r="FH66" s="6"/>
      <c r="FI66" s="3"/>
      <c r="FJ66" s="3"/>
      <c r="FK66" s="3"/>
      <c r="FL66" s="3"/>
      <c r="FM66" s="3"/>
      <c r="FN66" s="3"/>
      <c r="FO66" s="3"/>
      <c r="FP66" s="3"/>
      <c r="FQ66" s="3"/>
      <c r="FR66" s="3"/>
      <c r="FS66" s="3"/>
      <c r="FT66" s="3">
        <v>3957000</v>
      </c>
      <c r="FU66" s="3">
        <v>1949000</v>
      </c>
      <c r="FV66" s="3">
        <v>0</v>
      </c>
      <c r="FW66" s="3">
        <v>5906000</v>
      </c>
      <c r="FX66" s="3">
        <v>3957000</v>
      </c>
      <c r="FY66" s="3">
        <v>1949000</v>
      </c>
      <c r="FZ66" s="3">
        <v>0</v>
      </c>
      <c r="GA66" s="3">
        <v>5906000</v>
      </c>
      <c r="GB66" s="3"/>
      <c r="GC66" s="3"/>
      <c r="GD66" s="3"/>
      <c r="GE66" s="3"/>
      <c r="GF66" s="3"/>
      <c r="GG66" s="3"/>
      <c r="GH66" s="3"/>
      <c r="GI66" s="3"/>
      <c r="GJ66" s="3"/>
      <c r="GK66" s="3"/>
      <c r="GL66" s="3"/>
      <c r="GM66" s="3"/>
      <c r="GN66" s="3"/>
      <c r="GO66" s="3"/>
      <c r="GP66" s="3"/>
      <c r="GQ66" s="3"/>
      <c r="GR66" s="3"/>
      <c r="GS66" s="6"/>
      <c r="GT66" s="3"/>
      <c r="GU66" s="3"/>
      <c r="GV66" s="3">
        <v>4582000</v>
      </c>
      <c r="GW66" s="3">
        <v>1985000</v>
      </c>
      <c r="GX66" s="3">
        <v>0</v>
      </c>
      <c r="GY66" s="3">
        <v>6567000</v>
      </c>
      <c r="GZ66" s="3">
        <v>4582000</v>
      </c>
      <c r="HA66" s="3">
        <v>1985000</v>
      </c>
      <c r="HB66" s="3">
        <v>0</v>
      </c>
      <c r="HC66" s="3">
        <v>6567000</v>
      </c>
      <c r="HD66" s="3"/>
      <c r="HE66" s="3"/>
      <c r="HF66" s="3"/>
      <c r="HG66" s="3"/>
      <c r="HH66" s="3"/>
      <c r="HI66" s="3"/>
      <c r="HJ66" s="3"/>
      <c r="HK66" s="3"/>
      <c r="HL66" s="3"/>
      <c r="HM66" s="3"/>
      <c r="HN66" s="3"/>
      <c r="HO66" s="3"/>
      <c r="HP66" s="3"/>
      <c r="HQ66" s="3"/>
      <c r="HR66" s="3"/>
      <c r="HS66" s="3"/>
      <c r="HT66" s="3"/>
      <c r="HU66" s="3"/>
      <c r="HV66" s="3"/>
      <c r="HW66" s="3"/>
      <c r="HX66" s="3">
        <v>5224000</v>
      </c>
      <c r="HY66" s="3">
        <v>2021000</v>
      </c>
      <c r="HZ66" s="3">
        <v>3700000</v>
      </c>
      <c r="IA66" s="3">
        <v>10945000</v>
      </c>
      <c r="IB66" s="3">
        <v>5224000</v>
      </c>
      <c r="IC66" s="3">
        <v>2021000</v>
      </c>
      <c r="ID66" s="3">
        <v>3700000</v>
      </c>
      <c r="IE66" s="3">
        <v>10945000</v>
      </c>
      <c r="IF66" s="3"/>
      <c r="IG66" s="3"/>
      <c r="IH66" s="3"/>
      <c r="II66" s="3"/>
      <c r="IJ66" s="3"/>
      <c r="IK66" s="3"/>
      <c r="IL66" s="3"/>
      <c r="IM66" s="3"/>
      <c r="IN66" s="3"/>
      <c r="IO66" s="3"/>
      <c r="IP66" s="3"/>
      <c r="IQ66" s="3"/>
      <c r="IR66" s="3"/>
      <c r="IS66" s="3"/>
      <c r="IT66" s="3"/>
      <c r="IU66" s="3"/>
      <c r="IV66" s="3"/>
      <c r="IW66" s="3"/>
      <c r="IX66" s="3"/>
      <c r="IY66" s="3"/>
      <c r="IZ66" s="3">
        <v>6537000</v>
      </c>
      <c r="JA66" s="3">
        <v>2057000</v>
      </c>
      <c r="JB66" s="3">
        <v>0</v>
      </c>
      <c r="JC66" s="3">
        <v>8594000</v>
      </c>
      <c r="JD66" s="3"/>
      <c r="JE66" s="3"/>
      <c r="JF66" s="3"/>
      <c r="JG66" s="3"/>
    </row>
    <row r="67" spans="1:267" x14ac:dyDescent="0.25">
      <c r="A67" t="s">
        <v>1153</v>
      </c>
      <c r="B67" t="s">
        <v>1154</v>
      </c>
      <c r="C67" t="s">
        <v>600</v>
      </c>
      <c r="D67" t="s">
        <v>1169</v>
      </c>
      <c r="E67" t="s">
        <v>217</v>
      </c>
      <c r="F67" t="s">
        <v>220</v>
      </c>
      <c r="G67" t="s">
        <v>1236</v>
      </c>
      <c r="H67" s="3">
        <v>4081000</v>
      </c>
      <c r="I67" s="3">
        <v>1482000</v>
      </c>
      <c r="J67" s="3">
        <v>925000</v>
      </c>
      <c r="K67" s="3">
        <v>6488000</v>
      </c>
      <c r="L67" s="3">
        <v>4081000</v>
      </c>
      <c r="M67" s="3">
        <v>1482000</v>
      </c>
      <c r="N67" s="3">
        <v>925000</v>
      </c>
      <c r="O67" s="3">
        <v>6488000</v>
      </c>
      <c r="P67" s="3"/>
      <c r="Q67" s="3"/>
      <c r="R67" s="3"/>
      <c r="S67" s="3"/>
      <c r="T67" s="3"/>
      <c r="U67" s="3"/>
      <c r="V67" s="3"/>
      <c r="W67" s="3"/>
      <c r="X67" s="6"/>
      <c r="Y67" s="3"/>
      <c r="Z67" s="3"/>
      <c r="AA67" s="3"/>
      <c r="AB67" s="3"/>
      <c r="AC67" s="3"/>
      <c r="AD67" s="3"/>
      <c r="AE67" s="3"/>
      <c r="AF67" s="3"/>
      <c r="AG67" s="3"/>
      <c r="AH67" s="3"/>
      <c r="AI67" s="3"/>
      <c r="AJ67" s="3">
        <v>3826000</v>
      </c>
      <c r="AK67" s="3">
        <v>1440000</v>
      </c>
      <c r="AL67" s="3">
        <v>1129000</v>
      </c>
      <c r="AM67" s="3">
        <v>6395000</v>
      </c>
      <c r="AN67" s="3">
        <v>3826000</v>
      </c>
      <c r="AO67" s="3">
        <v>1440000</v>
      </c>
      <c r="AP67" s="3">
        <v>1129000</v>
      </c>
      <c r="AQ67" s="3">
        <v>6395000</v>
      </c>
      <c r="AR67" s="3"/>
      <c r="AS67" s="3"/>
      <c r="AT67" s="3"/>
      <c r="AU67" s="3"/>
      <c r="AV67" s="3"/>
      <c r="AW67" s="3"/>
      <c r="AX67" s="3"/>
      <c r="AY67" s="3"/>
      <c r="AZ67" s="3"/>
      <c r="BA67" s="3"/>
      <c r="BB67" s="3"/>
      <c r="BC67" s="3"/>
      <c r="BD67" s="3"/>
      <c r="BE67" s="3"/>
      <c r="BF67" s="3"/>
      <c r="BG67" s="3"/>
      <c r="BH67" s="3"/>
      <c r="BI67" s="3"/>
      <c r="BJ67" s="3"/>
      <c r="BK67" s="3"/>
      <c r="BL67" s="3">
        <v>4497000</v>
      </c>
      <c r="BM67" s="3">
        <v>1978000</v>
      </c>
      <c r="BN67" s="3">
        <v>2525000</v>
      </c>
      <c r="BO67" s="3">
        <v>9000000</v>
      </c>
      <c r="BP67" s="3">
        <v>4497000</v>
      </c>
      <c r="BQ67" s="3">
        <v>1978000</v>
      </c>
      <c r="BR67" s="3">
        <v>2525000</v>
      </c>
      <c r="BS67" s="3">
        <v>9000000</v>
      </c>
      <c r="BT67" s="3"/>
      <c r="BU67" s="3"/>
      <c r="BV67" s="3"/>
      <c r="BW67" s="3"/>
      <c r="BX67" s="3"/>
      <c r="BY67" s="3"/>
      <c r="BZ67" s="3"/>
      <c r="CA67" s="3"/>
      <c r="CB67" s="3"/>
      <c r="CC67" s="3"/>
      <c r="CD67" s="3"/>
      <c r="CE67" s="6"/>
      <c r="CF67" s="3"/>
      <c r="CG67" s="3"/>
      <c r="CH67" s="3"/>
      <c r="CI67" s="3"/>
      <c r="CJ67" s="3"/>
      <c r="CK67" s="3"/>
      <c r="CL67" s="3"/>
      <c r="CM67" s="3"/>
      <c r="CN67" s="3">
        <v>3985000</v>
      </c>
      <c r="CO67" s="3">
        <v>1778000</v>
      </c>
      <c r="CP67" s="3">
        <v>0</v>
      </c>
      <c r="CQ67" s="3">
        <v>5763000</v>
      </c>
      <c r="CR67" s="3">
        <v>3985000</v>
      </c>
      <c r="CS67" s="3">
        <v>1778000</v>
      </c>
      <c r="CT67" s="3">
        <v>0</v>
      </c>
      <c r="CU67" s="3">
        <v>5763000</v>
      </c>
      <c r="CV67" s="3"/>
      <c r="CW67" s="3"/>
      <c r="CX67" s="3"/>
      <c r="CY67" s="3"/>
      <c r="CZ67" s="3"/>
      <c r="DA67" s="3"/>
      <c r="DB67" s="3"/>
      <c r="DC67" s="3"/>
      <c r="DD67" s="3"/>
      <c r="DE67" s="3"/>
      <c r="DF67" s="3"/>
      <c r="DG67" s="3"/>
      <c r="DH67" s="3"/>
      <c r="DI67" s="3"/>
      <c r="DJ67" s="3"/>
      <c r="DK67" s="3"/>
      <c r="DL67" s="3"/>
      <c r="DM67" s="3"/>
      <c r="DN67" s="3"/>
      <c r="DO67" s="3"/>
      <c r="DP67" s="3">
        <v>4843000</v>
      </c>
      <c r="DQ67" s="3">
        <v>2831000</v>
      </c>
      <c r="DR67" s="3">
        <v>776000</v>
      </c>
      <c r="DS67" s="3">
        <v>8450000</v>
      </c>
      <c r="DT67" s="3">
        <v>4843000</v>
      </c>
      <c r="DU67" s="3">
        <v>2831000</v>
      </c>
      <c r="DV67" s="3">
        <v>776000</v>
      </c>
      <c r="DW67" s="3">
        <v>8450000</v>
      </c>
      <c r="DX67" s="3"/>
      <c r="DY67" s="3"/>
      <c r="DZ67" s="3"/>
      <c r="EA67" s="3"/>
      <c r="EB67" s="3"/>
      <c r="EC67" s="3"/>
      <c r="ED67" s="3"/>
      <c r="EE67" s="3"/>
      <c r="EF67" s="3"/>
      <c r="EG67" s="3"/>
      <c r="EH67" s="3"/>
      <c r="EI67" s="3"/>
      <c r="EJ67" s="3"/>
      <c r="EK67" s="3"/>
      <c r="EL67" s="3"/>
      <c r="EM67" s="3"/>
      <c r="EN67" s="3"/>
      <c r="EO67" s="3"/>
      <c r="EP67" s="3"/>
      <c r="EQ67" s="3"/>
      <c r="ER67" s="3">
        <v>4980000</v>
      </c>
      <c r="ES67" s="3">
        <v>1843000</v>
      </c>
      <c r="ET67" s="3">
        <v>0</v>
      </c>
      <c r="EU67" s="3">
        <v>6823000</v>
      </c>
      <c r="EV67" s="3">
        <v>4980000</v>
      </c>
      <c r="EW67" s="3">
        <v>1843000</v>
      </c>
      <c r="EX67" s="3">
        <v>0</v>
      </c>
      <c r="EY67" s="3">
        <v>6823000</v>
      </c>
      <c r="EZ67" s="3"/>
      <c r="FA67" s="3"/>
      <c r="FB67" s="3"/>
      <c r="FC67" s="3"/>
      <c r="FD67" s="3"/>
      <c r="FE67" s="3"/>
      <c r="FF67" s="3"/>
      <c r="FG67" s="3"/>
      <c r="FH67" s="6"/>
      <c r="FI67" s="3"/>
      <c r="FJ67" s="3"/>
      <c r="FK67" s="3"/>
      <c r="FL67" s="3"/>
      <c r="FM67" s="3"/>
      <c r="FN67" s="3"/>
      <c r="FO67" s="3"/>
      <c r="FP67" s="3"/>
      <c r="FQ67" s="3"/>
      <c r="FR67" s="3"/>
      <c r="FS67" s="3"/>
      <c r="FT67" s="3">
        <v>5024000</v>
      </c>
      <c r="FU67" s="3">
        <v>1877000</v>
      </c>
      <c r="FV67" s="3">
        <v>0</v>
      </c>
      <c r="FW67" s="3">
        <v>6901000</v>
      </c>
      <c r="FX67" s="3">
        <v>5024000</v>
      </c>
      <c r="FY67" s="3">
        <v>1877000</v>
      </c>
      <c r="FZ67" s="3">
        <v>0</v>
      </c>
      <c r="GA67" s="3">
        <v>6901000</v>
      </c>
      <c r="GB67" s="3"/>
      <c r="GC67" s="3"/>
      <c r="GD67" s="3"/>
      <c r="GE67" s="3"/>
      <c r="GF67" s="3"/>
      <c r="GG67" s="3"/>
      <c r="GH67" s="3"/>
      <c r="GI67" s="3"/>
      <c r="GJ67" s="3"/>
      <c r="GK67" s="3"/>
      <c r="GL67" s="3"/>
      <c r="GM67" s="3"/>
      <c r="GN67" s="3"/>
      <c r="GO67" s="3"/>
      <c r="GP67" s="3"/>
      <c r="GQ67" s="3"/>
      <c r="GR67" s="3"/>
      <c r="GS67" s="6"/>
      <c r="GT67" s="3"/>
      <c r="GU67" s="3"/>
      <c r="GV67" s="3">
        <v>4786000</v>
      </c>
      <c r="GW67" s="3">
        <v>1911000</v>
      </c>
      <c r="GX67" s="3">
        <v>0</v>
      </c>
      <c r="GY67" s="3">
        <v>6697000</v>
      </c>
      <c r="GZ67" s="3">
        <v>4786000</v>
      </c>
      <c r="HA67" s="3">
        <v>1911000</v>
      </c>
      <c r="HB67" s="3">
        <v>0</v>
      </c>
      <c r="HC67" s="3">
        <v>6697000</v>
      </c>
      <c r="HD67" s="3"/>
      <c r="HE67" s="3"/>
      <c r="HF67" s="3"/>
      <c r="HG67" s="3"/>
      <c r="HH67" s="3"/>
      <c r="HI67" s="3"/>
      <c r="HJ67" s="3"/>
      <c r="HK67" s="3"/>
      <c r="HL67" s="3"/>
      <c r="HM67" s="3"/>
      <c r="HN67" s="3"/>
      <c r="HO67" s="3"/>
      <c r="HP67" s="3"/>
      <c r="HQ67" s="3"/>
      <c r="HR67" s="3"/>
      <c r="HS67" s="3"/>
      <c r="HT67" s="3"/>
      <c r="HU67" s="3"/>
      <c r="HV67" s="3"/>
      <c r="HW67" s="3"/>
      <c r="HX67" s="3">
        <v>5463000</v>
      </c>
      <c r="HY67" s="3">
        <v>5306000</v>
      </c>
      <c r="HZ67" s="3">
        <v>2400000</v>
      </c>
      <c r="IA67" s="3">
        <v>13169000</v>
      </c>
      <c r="IB67" s="3">
        <v>5463000</v>
      </c>
      <c r="IC67" s="3">
        <v>5306000</v>
      </c>
      <c r="ID67" s="3">
        <v>2400000</v>
      </c>
      <c r="IE67" s="3">
        <v>13169000</v>
      </c>
      <c r="IF67" s="3"/>
      <c r="IG67" s="3"/>
      <c r="IH67" s="3"/>
      <c r="II67" s="3"/>
      <c r="IJ67" s="3"/>
      <c r="IK67" s="3"/>
      <c r="IL67" s="3"/>
      <c r="IM67" s="3"/>
      <c r="IN67" s="3"/>
      <c r="IO67" s="3"/>
      <c r="IP67" s="3"/>
      <c r="IQ67" s="3"/>
      <c r="IR67" s="3"/>
      <c r="IS67" s="3"/>
      <c r="IT67" s="3"/>
      <c r="IU67" s="3"/>
      <c r="IV67" s="3"/>
      <c r="IW67" s="3"/>
      <c r="IX67" s="3"/>
      <c r="IY67" s="3"/>
      <c r="IZ67" s="3">
        <v>5727000</v>
      </c>
      <c r="JA67" s="3">
        <v>5711000</v>
      </c>
      <c r="JB67" s="3">
        <v>500000</v>
      </c>
      <c r="JC67" s="3">
        <v>11938000</v>
      </c>
      <c r="JD67" s="3"/>
      <c r="JE67" s="3"/>
      <c r="JF67" s="3"/>
      <c r="JG67" s="3"/>
    </row>
    <row r="68" spans="1:267" x14ac:dyDescent="0.25">
      <c r="A68" t="s">
        <v>1153</v>
      </c>
      <c r="B68" t="s">
        <v>1154</v>
      </c>
      <c r="C68" t="s">
        <v>600</v>
      </c>
      <c r="D68" t="s">
        <v>1169</v>
      </c>
      <c r="E68" t="s">
        <v>217</v>
      </c>
      <c r="F68" t="s">
        <v>222</v>
      </c>
      <c r="G68" t="s">
        <v>1237</v>
      </c>
      <c r="H68" s="3">
        <v>3096000</v>
      </c>
      <c r="I68" s="3">
        <v>3853000</v>
      </c>
      <c r="J68" s="3">
        <v>3488000</v>
      </c>
      <c r="K68" s="3">
        <v>10437000</v>
      </c>
      <c r="L68" s="3">
        <v>3096000</v>
      </c>
      <c r="M68" s="3">
        <v>3853000</v>
      </c>
      <c r="N68" s="3">
        <v>3488000</v>
      </c>
      <c r="O68" s="3">
        <v>10437000</v>
      </c>
      <c r="P68" s="3"/>
      <c r="Q68" s="3"/>
      <c r="R68" s="3"/>
      <c r="S68" s="3"/>
      <c r="T68" s="3"/>
      <c r="U68" s="3"/>
      <c r="V68" s="3"/>
      <c r="W68" s="3"/>
      <c r="X68" s="6"/>
      <c r="Y68" s="3"/>
      <c r="Z68" s="3"/>
      <c r="AA68" s="3"/>
      <c r="AB68" s="3"/>
      <c r="AC68" s="3"/>
      <c r="AD68" s="3"/>
      <c r="AE68" s="3"/>
      <c r="AF68" s="3"/>
      <c r="AG68" s="3"/>
      <c r="AH68" s="3"/>
      <c r="AI68" s="3"/>
      <c r="AJ68" s="3">
        <v>3352000</v>
      </c>
      <c r="AK68" s="3">
        <v>3294000</v>
      </c>
      <c r="AL68" s="3">
        <v>1216000</v>
      </c>
      <c r="AM68" s="3">
        <v>7862000</v>
      </c>
      <c r="AN68" s="3">
        <v>3352000</v>
      </c>
      <c r="AO68" s="3">
        <v>3294000</v>
      </c>
      <c r="AP68" s="3">
        <v>1216000</v>
      </c>
      <c r="AQ68" s="3">
        <v>7862000</v>
      </c>
      <c r="AR68" s="3"/>
      <c r="AS68" s="3"/>
      <c r="AT68" s="3"/>
      <c r="AU68" s="3"/>
      <c r="AV68" s="3"/>
      <c r="AW68" s="3"/>
      <c r="AX68" s="3"/>
      <c r="AY68" s="3"/>
      <c r="AZ68" s="3"/>
      <c r="BA68" s="3"/>
      <c r="BB68" s="3"/>
      <c r="BC68" s="3"/>
      <c r="BD68" s="3"/>
      <c r="BE68" s="3"/>
      <c r="BF68" s="3"/>
      <c r="BG68" s="3"/>
      <c r="BH68" s="3"/>
      <c r="BI68" s="3"/>
      <c r="BJ68" s="3"/>
      <c r="BK68" s="3"/>
      <c r="BL68" s="3">
        <v>3386000</v>
      </c>
      <c r="BM68" s="3">
        <v>4791000</v>
      </c>
      <c r="BN68" s="3">
        <v>1796000</v>
      </c>
      <c r="BO68" s="3">
        <v>9973000</v>
      </c>
      <c r="BP68" s="3">
        <v>3386000</v>
      </c>
      <c r="BQ68" s="3">
        <v>4791000</v>
      </c>
      <c r="BR68" s="3">
        <v>1796000</v>
      </c>
      <c r="BS68" s="3">
        <v>9973000</v>
      </c>
      <c r="BT68" s="3"/>
      <c r="BU68" s="3"/>
      <c r="BV68" s="3"/>
      <c r="BW68" s="3"/>
      <c r="BX68" s="3"/>
      <c r="BY68" s="3"/>
      <c r="BZ68" s="3"/>
      <c r="CA68" s="3"/>
      <c r="CB68" s="3"/>
      <c r="CC68" s="3"/>
      <c r="CD68" s="3"/>
      <c r="CE68" s="6"/>
      <c r="CF68" s="3"/>
      <c r="CG68" s="3"/>
      <c r="CH68" s="3"/>
      <c r="CI68" s="3"/>
      <c r="CJ68" s="3"/>
      <c r="CK68" s="3"/>
      <c r="CL68" s="3"/>
      <c r="CM68" s="3"/>
      <c r="CN68" s="3">
        <v>2123000</v>
      </c>
      <c r="CO68" s="3">
        <v>3803000</v>
      </c>
      <c r="CP68" s="3">
        <v>0</v>
      </c>
      <c r="CQ68" s="3">
        <v>5926000</v>
      </c>
      <c r="CR68" s="3">
        <v>2123000</v>
      </c>
      <c r="CS68" s="3">
        <v>3803000</v>
      </c>
      <c r="CT68" s="3">
        <v>0</v>
      </c>
      <c r="CU68" s="3">
        <v>5926000</v>
      </c>
      <c r="CV68" s="3"/>
      <c r="CW68" s="3"/>
      <c r="CX68" s="3"/>
      <c r="CY68" s="3"/>
      <c r="CZ68" s="3"/>
      <c r="DA68" s="3"/>
      <c r="DB68" s="3"/>
      <c r="DC68" s="3"/>
      <c r="DD68" s="3"/>
      <c r="DE68" s="3"/>
      <c r="DF68" s="3"/>
      <c r="DG68" s="3"/>
      <c r="DH68" s="3"/>
      <c r="DI68" s="3"/>
      <c r="DJ68" s="3"/>
      <c r="DK68" s="3"/>
      <c r="DL68" s="3"/>
      <c r="DM68" s="3"/>
      <c r="DN68" s="3"/>
      <c r="DO68" s="3"/>
      <c r="DP68" s="3">
        <v>3750000</v>
      </c>
      <c r="DQ68" s="3">
        <v>5058000</v>
      </c>
      <c r="DR68" s="3">
        <v>823000</v>
      </c>
      <c r="DS68" s="3">
        <v>9631000</v>
      </c>
      <c r="DT68" s="3">
        <v>3750000</v>
      </c>
      <c r="DU68" s="3">
        <v>5058000</v>
      </c>
      <c r="DV68" s="3">
        <v>823000</v>
      </c>
      <c r="DW68" s="3">
        <v>9631000</v>
      </c>
      <c r="DX68" s="3"/>
      <c r="DY68" s="3"/>
      <c r="DZ68" s="3"/>
      <c r="EA68" s="3"/>
      <c r="EB68" s="3"/>
      <c r="EC68" s="3"/>
      <c r="ED68" s="3"/>
      <c r="EE68" s="3"/>
      <c r="EF68" s="3"/>
      <c r="EG68" s="3"/>
      <c r="EH68" s="3"/>
      <c r="EI68" s="3"/>
      <c r="EJ68" s="3"/>
      <c r="EK68" s="3"/>
      <c r="EL68" s="3"/>
      <c r="EM68" s="3"/>
      <c r="EN68" s="3"/>
      <c r="EO68" s="3"/>
      <c r="EP68" s="3"/>
      <c r="EQ68" s="3"/>
      <c r="ER68" s="3">
        <v>3894000</v>
      </c>
      <c r="ES68" s="3">
        <v>3831000</v>
      </c>
      <c r="ET68" s="3">
        <v>0</v>
      </c>
      <c r="EU68" s="3">
        <v>7725000</v>
      </c>
      <c r="EV68" s="3">
        <v>3894000</v>
      </c>
      <c r="EW68" s="3">
        <v>3831000</v>
      </c>
      <c r="EX68" s="3">
        <v>0</v>
      </c>
      <c r="EY68" s="3">
        <v>7725000</v>
      </c>
      <c r="EZ68" s="3"/>
      <c r="FA68" s="3"/>
      <c r="FB68" s="3"/>
      <c r="FC68" s="3"/>
      <c r="FD68" s="3"/>
      <c r="FE68" s="3"/>
      <c r="FF68" s="3"/>
      <c r="FG68" s="3"/>
      <c r="FH68" s="6"/>
      <c r="FI68" s="3"/>
      <c r="FJ68" s="3"/>
      <c r="FK68" s="3"/>
      <c r="FL68" s="3"/>
      <c r="FM68" s="3"/>
      <c r="FN68" s="3"/>
      <c r="FO68" s="3"/>
      <c r="FP68" s="3"/>
      <c r="FQ68" s="3"/>
      <c r="FR68" s="3"/>
      <c r="FS68" s="3"/>
      <c r="FT68" s="3">
        <v>3895000</v>
      </c>
      <c r="FU68" s="3">
        <v>3900000</v>
      </c>
      <c r="FV68" s="3">
        <v>0</v>
      </c>
      <c r="FW68" s="3">
        <v>7795000</v>
      </c>
      <c r="FX68" s="3">
        <v>3895000</v>
      </c>
      <c r="FY68" s="3">
        <v>3900000</v>
      </c>
      <c r="FZ68" s="3">
        <v>0</v>
      </c>
      <c r="GA68" s="3">
        <v>7795000</v>
      </c>
      <c r="GB68" s="3"/>
      <c r="GC68" s="3"/>
      <c r="GD68" s="3"/>
      <c r="GE68" s="3"/>
      <c r="GF68" s="3"/>
      <c r="GG68" s="3"/>
      <c r="GH68" s="3"/>
      <c r="GI68" s="3"/>
      <c r="GJ68" s="3"/>
      <c r="GK68" s="3"/>
      <c r="GL68" s="3"/>
      <c r="GM68" s="3"/>
      <c r="GN68" s="3"/>
      <c r="GO68" s="3"/>
      <c r="GP68" s="3"/>
      <c r="GQ68" s="3"/>
      <c r="GR68" s="3"/>
      <c r="GS68" s="6"/>
      <c r="GT68" s="3"/>
      <c r="GU68" s="3"/>
      <c r="GV68" s="3">
        <v>3764000</v>
      </c>
      <c r="GW68" s="3">
        <v>3971000</v>
      </c>
      <c r="GX68" s="3">
        <v>0</v>
      </c>
      <c r="GY68" s="3">
        <v>7735000</v>
      </c>
      <c r="GZ68" s="3">
        <v>3764000</v>
      </c>
      <c r="HA68" s="3">
        <v>3971000</v>
      </c>
      <c r="HB68" s="3">
        <v>0</v>
      </c>
      <c r="HC68" s="3">
        <v>7735000</v>
      </c>
      <c r="HD68" s="3"/>
      <c r="HE68" s="3"/>
      <c r="HF68" s="3"/>
      <c r="HG68" s="3"/>
      <c r="HH68" s="3"/>
      <c r="HI68" s="3"/>
      <c r="HJ68" s="3"/>
      <c r="HK68" s="3"/>
      <c r="HL68" s="3"/>
      <c r="HM68" s="3"/>
      <c r="HN68" s="3"/>
      <c r="HO68" s="3"/>
      <c r="HP68" s="3"/>
      <c r="HQ68" s="3"/>
      <c r="HR68" s="3"/>
      <c r="HS68" s="3"/>
      <c r="HT68" s="3"/>
      <c r="HU68" s="3"/>
      <c r="HV68" s="3"/>
      <c r="HW68" s="3"/>
      <c r="HX68" s="3">
        <v>4940000</v>
      </c>
      <c r="HY68" s="3">
        <v>4043000</v>
      </c>
      <c r="HZ68" s="3">
        <v>0</v>
      </c>
      <c r="IA68" s="3">
        <v>8983000</v>
      </c>
      <c r="IB68" s="3">
        <v>4940000</v>
      </c>
      <c r="IC68" s="3">
        <v>4043000</v>
      </c>
      <c r="ID68" s="3">
        <v>0</v>
      </c>
      <c r="IE68" s="3">
        <v>8983000</v>
      </c>
      <c r="IF68" s="3"/>
      <c r="IG68" s="3"/>
      <c r="IH68" s="3"/>
      <c r="II68" s="3"/>
      <c r="IJ68" s="3"/>
      <c r="IK68" s="3"/>
      <c r="IL68" s="3"/>
      <c r="IM68" s="3"/>
      <c r="IN68" s="3"/>
      <c r="IO68" s="3"/>
      <c r="IP68" s="3"/>
      <c r="IQ68" s="3"/>
      <c r="IR68" s="3"/>
      <c r="IS68" s="3"/>
      <c r="IT68" s="3"/>
      <c r="IU68" s="3"/>
      <c r="IV68" s="3"/>
      <c r="IW68" s="3"/>
      <c r="IX68" s="3"/>
      <c r="IY68" s="3"/>
      <c r="IZ68" s="3">
        <v>5207000</v>
      </c>
      <c r="JA68" s="3">
        <v>4116000</v>
      </c>
      <c r="JB68" s="3">
        <v>0</v>
      </c>
      <c r="JC68" s="3">
        <v>9323000</v>
      </c>
      <c r="JD68" s="3"/>
      <c r="JE68" s="3"/>
      <c r="JF68" s="3"/>
      <c r="JG68" s="3"/>
    </row>
    <row r="69" spans="1:267" x14ac:dyDescent="0.25">
      <c r="A69" t="s">
        <v>1153</v>
      </c>
      <c r="B69" t="s">
        <v>1154</v>
      </c>
      <c r="C69" t="s">
        <v>600</v>
      </c>
      <c r="D69" t="s">
        <v>1169</v>
      </c>
      <c r="E69" t="s">
        <v>217</v>
      </c>
      <c r="F69" t="s">
        <v>516</v>
      </c>
      <c r="G69" t="s">
        <v>1238</v>
      </c>
      <c r="H69" s="3">
        <v>1504000</v>
      </c>
      <c r="I69" s="3">
        <v>1380000</v>
      </c>
      <c r="J69" s="3">
        <v>0</v>
      </c>
      <c r="K69" s="3">
        <v>2884000</v>
      </c>
      <c r="L69" s="3">
        <v>1504000</v>
      </c>
      <c r="M69" s="3">
        <v>1380000</v>
      </c>
      <c r="N69" s="3">
        <v>0</v>
      </c>
      <c r="O69" s="3">
        <v>2884000</v>
      </c>
      <c r="P69" s="3"/>
      <c r="Q69" s="3"/>
      <c r="R69" s="3"/>
      <c r="S69" s="3"/>
      <c r="T69" s="3"/>
      <c r="U69" s="3"/>
      <c r="V69" s="3"/>
      <c r="W69" s="3"/>
      <c r="X69" s="6"/>
      <c r="Y69" s="3"/>
      <c r="Z69" s="3"/>
      <c r="AA69" s="3"/>
      <c r="AB69" s="3"/>
      <c r="AC69" s="3"/>
      <c r="AD69" s="3"/>
      <c r="AE69" s="3"/>
      <c r="AF69" s="3"/>
      <c r="AG69" s="3"/>
      <c r="AH69" s="3"/>
      <c r="AI69" s="3"/>
      <c r="AJ69" s="3">
        <v>1591000</v>
      </c>
      <c r="AK69" s="3">
        <v>1380000</v>
      </c>
      <c r="AL69" s="3">
        <v>0</v>
      </c>
      <c r="AM69" s="3">
        <v>2971000</v>
      </c>
      <c r="AN69" s="3">
        <v>1591000</v>
      </c>
      <c r="AO69" s="3">
        <v>1380000</v>
      </c>
      <c r="AP69" s="3">
        <v>0</v>
      </c>
      <c r="AQ69" s="3">
        <v>2971000</v>
      </c>
      <c r="AR69" s="3"/>
      <c r="AS69" s="3"/>
      <c r="AT69" s="3"/>
      <c r="AU69" s="3"/>
      <c r="AV69" s="3"/>
      <c r="AW69" s="3"/>
      <c r="AX69" s="3"/>
      <c r="AY69" s="3"/>
      <c r="AZ69" s="3"/>
      <c r="BA69" s="3"/>
      <c r="BB69" s="3"/>
      <c r="BC69" s="3"/>
      <c r="BD69" s="3"/>
      <c r="BE69" s="3"/>
      <c r="BF69" s="3"/>
      <c r="BG69" s="3"/>
      <c r="BH69" s="3"/>
      <c r="BI69" s="3"/>
      <c r="BJ69" s="3"/>
      <c r="BK69" s="3"/>
      <c r="BL69" s="3">
        <v>1608000</v>
      </c>
      <c r="BM69" s="3">
        <v>1405000</v>
      </c>
      <c r="BN69" s="3">
        <v>0</v>
      </c>
      <c r="BO69" s="3">
        <v>3013000</v>
      </c>
      <c r="BP69" s="3">
        <v>1608000</v>
      </c>
      <c r="BQ69" s="3">
        <v>1405000</v>
      </c>
      <c r="BR69" s="3">
        <v>0</v>
      </c>
      <c r="BS69" s="3">
        <v>3013000</v>
      </c>
      <c r="BT69" s="3"/>
      <c r="BU69" s="3"/>
      <c r="BV69" s="3"/>
      <c r="BW69" s="3"/>
      <c r="BX69" s="3"/>
      <c r="BY69" s="3"/>
      <c r="BZ69" s="3"/>
      <c r="CA69" s="3"/>
      <c r="CB69" s="3"/>
      <c r="CC69" s="3"/>
      <c r="CD69" s="3"/>
      <c r="CE69" s="6"/>
      <c r="CF69" s="3"/>
      <c r="CG69" s="3"/>
      <c r="CH69" s="3"/>
      <c r="CI69" s="3"/>
      <c r="CJ69" s="3"/>
      <c r="CK69" s="3"/>
      <c r="CL69" s="3"/>
      <c r="CM69" s="3"/>
      <c r="CN69" s="3">
        <v>1737000</v>
      </c>
      <c r="CO69" s="3">
        <v>1702000</v>
      </c>
      <c r="CP69" s="3">
        <v>0</v>
      </c>
      <c r="CQ69" s="3">
        <v>3439000</v>
      </c>
      <c r="CR69" s="3">
        <v>1737000</v>
      </c>
      <c r="CS69" s="3">
        <v>1702000</v>
      </c>
      <c r="CT69" s="3">
        <v>0</v>
      </c>
      <c r="CU69" s="3">
        <v>3439000</v>
      </c>
      <c r="CV69" s="3"/>
      <c r="CW69" s="3"/>
      <c r="CX69" s="3"/>
      <c r="CY69" s="3"/>
      <c r="CZ69" s="3"/>
      <c r="DA69" s="3"/>
      <c r="DB69" s="3"/>
      <c r="DC69" s="3"/>
      <c r="DD69" s="3"/>
      <c r="DE69" s="3"/>
      <c r="DF69" s="3"/>
      <c r="DG69" s="3"/>
      <c r="DH69" s="3"/>
      <c r="DI69" s="3"/>
      <c r="DJ69" s="3"/>
      <c r="DK69" s="3"/>
      <c r="DL69" s="3"/>
      <c r="DM69" s="3"/>
      <c r="DN69" s="3"/>
      <c r="DO69" s="3"/>
      <c r="DP69" s="3">
        <v>1790000</v>
      </c>
      <c r="DQ69" s="3">
        <v>1702000</v>
      </c>
      <c r="DR69" s="3">
        <v>0</v>
      </c>
      <c r="DS69" s="3">
        <v>3492000</v>
      </c>
      <c r="DT69" s="3">
        <v>1790000</v>
      </c>
      <c r="DU69" s="3">
        <v>1702000</v>
      </c>
      <c r="DV69" s="3">
        <v>0</v>
      </c>
      <c r="DW69" s="3">
        <v>3492000</v>
      </c>
      <c r="DX69" s="3"/>
      <c r="DY69" s="3"/>
      <c r="DZ69" s="3"/>
      <c r="EA69" s="3"/>
      <c r="EB69" s="3"/>
      <c r="EC69" s="3"/>
      <c r="ED69" s="3"/>
      <c r="EE69" s="3"/>
      <c r="EF69" s="3"/>
      <c r="EG69" s="3"/>
      <c r="EH69" s="3"/>
      <c r="EI69" s="3"/>
      <c r="EJ69" s="3"/>
      <c r="EK69" s="3"/>
      <c r="EL69" s="3"/>
      <c r="EM69" s="3"/>
      <c r="EN69" s="3"/>
      <c r="EO69" s="3"/>
      <c r="EP69" s="3"/>
      <c r="EQ69" s="3"/>
      <c r="ER69" s="3">
        <v>1844000</v>
      </c>
      <c r="ES69" s="3">
        <v>1296000</v>
      </c>
      <c r="ET69" s="3">
        <v>0</v>
      </c>
      <c r="EU69" s="3">
        <v>3140000</v>
      </c>
      <c r="EV69" s="3">
        <v>1844000</v>
      </c>
      <c r="EW69" s="3">
        <v>1296000</v>
      </c>
      <c r="EX69" s="3">
        <v>0</v>
      </c>
      <c r="EY69" s="3">
        <v>3140000</v>
      </c>
      <c r="EZ69" s="3"/>
      <c r="FA69" s="3"/>
      <c r="FB69" s="3"/>
      <c r="FC69" s="3"/>
      <c r="FD69" s="3"/>
      <c r="FE69" s="3"/>
      <c r="FF69" s="3"/>
      <c r="FG69" s="3"/>
      <c r="FH69" s="6"/>
      <c r="FI69" s="3"/>
      <c r="FJ69" s="3"/>
      <c r="FK69" s="3"/>
      <c r="FL69" s="3"/>
      <c r="FM69" s="3"/>
      <c r="FN69" s="3"/>
      <c r="FO69" s="3"/>
      <c r="FP69" s="3"/>
      <c r="FQ69" s="3"/>
      <c r="FR69" s="3"/>
      <c r="FS69" s="3"/>
      <c r="FT69" s="3">
        <v>1844000</v>
      </c>
      <c r="FU69" s="3">
        <v>1320000</v>
      </c>
      <c r="FV69" s="3">
        <v>0</v>
      </c>
      <c r="FW69" s="3">
        <v>3164000</v>
      </c>
      <c r="FX69" s="3">
        <v>1844000</v>
      </c>
      <c r="FY69" s="3">
        <v>1320000</v>
      </c>
      <c r="FZ69" s="3">
        <v>0</v>
      </c>
      <c r="GA69" s="3">
        <v>3164000</v>
      </c>
      <c r="GB69" s="3"/>
      <c r="GC69" s="3"/>
      <c r="GD69" s="3"/>
      <c r="GE69" s="3"/>
      <c r="GF69" s="3"/>
      <c r="GG69" s="3"/>
      <c r="GH69" s="3"/>
      <c r="GI69" s="3"/>
      <c r="GJ69" s="3"/>
      <c r="GK69" s="3"/>
      <c r="GL69" s="3"/>
      <c r="GM69" s="3"/>
      <c r="GN69" s="3"/>
      <c r="GO69" s="3"/>
      <c r="GP69" s="3"/>
      <c r="GQ69" s="3"/>
      <c r="GR69" s="3"/>
      <c r="GS69" s="6"/>
      <c r="GT69" s="3"/>
      <c r="GU69" s="3"/>
      <c r="GV69" s="3">
        <v>2285000</v>
      </c>
      <c r="GW69" s="3">
        <v>1344000</v>
      </c>
      <c r="GX69" s="3">
        <v>0</v>
      </c>
      <c r="GY69" s="3">
        <v>3629000</v>
      </c>
      <c r="GZ69" s="3">
        <v>2285000</v>
      </c>
      <c r="HA69" s="3">
        <v>1344000</v>
      </c>
      <c r="HB69" s="3">
        <v>0</v>
      </c>
      <c r="HC69" s="3">
        <v>3629000</v>
      </c>
      <c r="HD69" s="3"/>
      <c r="HE69" s="3"/>
      <c r="HF69" s="3"/>
      <c r="HG69" s="3"/>
      <c r="HH69" s="3"/>
      <c r="HI69" s="3"/>
      <c r="HJ69" s="3"/>
      <c r="HK69" s="3"/>
      <c r="HL69" s="3"/>
      <c r="HM69" s="3"/>
      <c r="HN69" s="3"/>
      <c r="HO69" s="3"/>
      <c r="HP69" s="3"/>
      <c r="HQ69" s="3"/>
      <c r="HR69" s="3"/>
      <c r="HS69" s="3"/>
      <c r="HT69" s="3"/>
      <c r="HU69" s="3"/>
      <c r="HV69" s="3"/>
      <c r="HW69" s="3"/>
      <c r="HX69" s="3">
        <v>2626000</v>
      </c>
      <c r="HY69" s="3">
        <v>1369000</v>
      </c>
      <c r="HZ69" s="3">
        <v>0</v>
      </c>
      <c r="IA69" s="3">
        <v>3995000</v>
      </c>
      <c r="IB69" s="3">
        <v>2626000</v>
      </c>
      <c r="IC69" s="3">
        <v>1369000</v>
      </c>
      <c r="ID69" s="3">
        <v>0</v>
      </c>
      <c r="IE69" s="3">
        <v>3995000</v>
      </c>
      <c r="IF69" s="3"/>
      <c r="IG69" s="3"/>
      <c r="IH69" s="3"/>
      <c r="II69" s="3"/>
      <c r="IJ69" s="3"/>
      <c r="IK69" s="3"/>
      <c r="IL69" s="3"/>
      <c r="IM69" s="3"/>
      <c r="IN69" s="3"/>
      <c r="IO69" s="3"/>
      <c r="IP69" s="3"/>
      <c r="IQ69" s="3"/>
      <c r="IR69" s="3"/>
      <c r="IS69" s="3"/>
      <c r="IT69" s="3"/>
      <c r="IU69" s="3"/>
      <c r="IV69" s="3"/>
      <c r="IW69" s="3"/>
      <c r="IX69" s="3"/>
      <c r="IY69" s="3"/>
      <c r="IZ69" s="3">
        <v>2083000</v>
      </c>
      <c r="JA69" s="3">
        <v>1394000</v>
      </c>
      <c r="JB69" s="3">
        <v>0</v>
      </c>
      <c r="JC69" s="3">
        <v>3477000</v>
      </c>
      <c r="JD69" s="3"/>
      <c r="JE69" s="3"/>
      <c r="JF69" s="3"/>
      <c r="JG69" s="3"/>
    </row>
    <row r="70" spans="1:267" x14ac:dyDescent="0.25">
      <c r="A70" t="s">
        <v>1153</v>
      </c>
      <c r="B70" t="s">
        <v>1154</v>
      </c>
      <c r="C70" t="s">
        <v>600</v>
      </c>
      <c r="D70" t="s">
        <v>1169</v>
      </c>
      <c r="E70" t="s">
        <v>217</v>
      </c>
      <c r="F70" t="s">
        <v>517</v>
      </c>
      <c r="G70" t="s">
        <v>1239</v>
      </c>
      <c r="H70" s="3">
        <v>1450000</v>
      </c>
      <c r="I70" s="3">
        <v>386000</v>
      </c>
      <c r="J70" s="3">
        <v>0</v>
      </c>
      <c r="K70" s="3">
        <v>1836000</v>
      </c>
      <c r="L70" s="3">
        <v>1450000</v>
      </c>
      <c r="M70" s="3">
        <v>386000</v>
      </c>
      <c r="N70" s="3">
        <v>0</v>
      </c>
      <c r="O70" s="3">
        <v>1836000</v>
      </c>
      <c r="P70" s="3"/>
      <c r="Q70" s="3"/>
      <c r="R70" s="3"/>
      <c r="S70" s="3"/>
      <c r="T70" s="3"/>
      <c r="U70" s="3"/>
      <c r="V70" s="3"/>
      <c r="W70" s="3"/>
      <c r="X70" s="6"/>
      <c r="Y70" s="3"/>
      <c r="Z70" s="3"/>
      <c r="AA70" s="3"/>
      <c r="AB70" s="3"/>
      <c r="AC70" s="3"/>
      <c r="AD70" s="3"/>
      <c r="AE70" s="3"/>
      <c r="AF70" s="3"/>
      <c r="AG70" s="3"/>
      <c r="AH70" s="3"/>
      <c r="AI70" s="3"/>
      <c r="AJ70" s="3">
        <v>1583000</v>
      </c>
      <c r="AK70" s="3">
        <v>254000</v>
      </c>
      <c r="AL70" s="3">
        <v>0</v>
      </c>
      <c r="AM70" s="3">
        <v>1837000</v>
      </c>
      <c r="AN70" s="3">
        <v>1583000</v>
      </c>
      <c r="AO70" s="3">
        <v>254000</v>
      </c>
      <c r="AP70" s="3">
        <v>0</v>
      </c>
      <c r="AQ70" s="3">
        <v>1837000</v>
      </c>
      <c r="AR70" s="3"/>
      <c r="AS70" s="3"/>
      <c r="AT70" s="3"/>
      <c r="AU70" s="3"/>
      <c r="AV70" s="3"/>
      <c r="AW70" s="3"/>
      <c r="AX70" s="3"/>
      <c r="AY70" s="3"/>
      <c r="AZ70" s="3"/>
      <c r="BA70" s="3"/>
      <c r="BB70" s="3"/>
      <c r="BC70" s="3"/>
      <c r="BD70" s="3"/>
      <c r="BE70" s="3"/>
      <c r="BF70" s="3"/>
      <c r="BG70" s="3"/>
      <c r="BH70" s="3"/>
      <c r="BI70" s="3"/>
      <c r="BJ70" s="3"/>
      <c r="BK70" s="3"/>
      <c r="BL70" s="3">
        <v>1606000</v>
      </c>
      <c r="BM70" s="3">
        <v>259000</v>
      </c>
      <c r="BN70" s="3">
        <v>0</v>
      </c>
      <c r="BO70" s="3">
        <v>1865000</v>
      </c>
      <c r="BP70" s="3">
        <v>1606000</v>
      </c>
      <c r="BQ70" s="3">
        <v>259000</v>
      </c>
      <c r="BR70" s="3">
        <v>0</v>
      </c>
      <c r="BS70" s="3">
        <v>1865000</v>
      </c>
      <c r="BT70" s="3"/>
      <c r="BU70" s="3"/>
      <c r="BV70" s="3"/>
      <c r="BW70" s="3"/>
      <c r="BX70" s="3"/>
      <c r="BY70" s="3"/>
      <c r="BZ70" s="3"/>
      <c r="CA70" s="3"/>
      <c r="CB70" s="3"/>
      <c r="CC70" s="3"/>
      <c r="CD70" s="3"/>
      <c r="CE70" s="6"/>
      <c r="CF70" s="3"/>
      <c r="CG70" s="3"/>
      <c r="CH70" s="3"/>
      <c r="CI70" s="3"/>
      <c r="CJ70" s="3"/>
      <c r="CK70" s="3"/>
      <c r="CL70" s="3"/>
      <c r="CM70" s="3"/>
      <c r="CN70" s="3">
        <v>1692000</v>
      </c>
      <c r="CO70" s="3">
        <v>263000</v>
      </c>
      <c r="CP70" s="3">
        <v>0</v>
      </c>
      <c r="CQ70" s="3">
        <v>1955000</v>
      </c>
      <c r="CR70" s="3">
        <v>1692000</v>
      </c>
      <c r="CS70" s="3">
        <v>263000</v>
      </c>
      <c r="CT70" s="3">
        <v>0</v>
      </c>
      <c r="CU70" s="3">
        <v>1955000</v>
      </c>
      <c r="CV70" s="3"/>
      <c r="CW70" s="3"/>
      <c r="CX70" s="3"/>
      <c r="CY70" s="3"/>
      <c r="CZ70" s="3"/>
      <c r="DA70" s="3"/>
      <c r="DB70" s="3"/>
      <c r="DC70" s="3"/>
      <c r="DD70" s="3"/>
      <c r="DE70" s="3"/>
      <c r="DF70" s="3"/>
      <c r="DG70" s="3"/>
      <c r="DH70" s="3"/>
      <c r="DI70" s="3"/>
      <c r="DJ70" s="3"/>
      <c r="DK70" s="3"/>
      <c r="DL70" s="3"/>
      <c r="DM70" s="3"/>
      <c r="DN70" s="3"/>
      <c r="DO70" s="3"/>
      <c r="DP70" s="3">
        <v>1760000</v>
      </c>
      <c r="DQ70" s="3">
        <v>263000</v>
      </c>
      <c r="DR70" s="3">
        <v>0</v>
      </c>
      <c r="DS70" s="3">
        <v>2023000</v>
      </c>
      <c r="DT70" s="3">
        <v>1760000</v>
      </c>
      <c r="DU70" s="3">
        <v>263000</v>
      </c>
      <c r="DV70" s="3">
        <v>0</v>
      </c>
      <c r="DW70" s="3">
        <v>2023000</v>
      </c>
      <c r="DX70" s="3"/>
      <c r="DY70" s="3"/>
      <c r="DZ70" s="3"/>
      <c r="EA70" s="3"/>
      <c r="EB70" s="3"/>
      <c r="EC70" s="3"/>
      <c r="ED70" s="3"/>
      <c r="EE70" s="3"/>
      <c r="EF70" s="3"/>
      <c r="EG70" s="3"/>
      <c r="EH70" s="3"/>
      <c r="EI70" s="3"/>
      <c r="EJ70" s="3"/>
      <c r="EK70" s="3"/>
      <c r="EL70" s="3"/>
      <c r="EM70" s="3"/>
      <c r="EN70" s="3"/>
      <c r="EO70" s="3"/>
      <c r="EP70" s="3"/>
      <c r="EQ70" s="3"/>
      <c r="ER70" s="3">
        <v>1806000</v>
      </c>
      <c r="ES70" s="3">
        <v>158000</v>
      </c>
      <c r="ET70" s="3">
        <v>0</v>
      </c>
      <c r="EU70" s="3">
        <v>1964000</v>
      </c>
      <c r="EV70" s="3">
        <v>1806000</v>
      </c>
      <c r="EW70" s="3">
        <v>158000</v>
      </c>
      <c r="EX70" s="3">
        <v>0</v>
      </c>
      <c r="EY70" s="3">
        <v>1964000</v>
      </c>
      <c r="EZ70" s="3"/>
      <c r="FA70" s="3"/>
      <c r="FB70" s="3"/>
      <c r="FC70" s="3"/>
      <c r="FD70" s="3"/>
      <c r="FE70" s="3"/>
      <c r="FF70" s="3"/>
      <c r="FG70" s="3"/>
      <c r="FH70" s="6"/>
      <c r="FI70" s="3"/>
      <c r="FJ70" s="3"/>
      <c r="FK70" s="3"/>
      <c r="FL70" s="3"/>
      <c r="FM70" s="3"/>
      <c r="FN70" s="3"/>
      <c r="FO70" s="3"/>
      <c r="FP70" s="3"/>
      <c r="FQ70" s="3"/>
      <c r="FR70" s="3"/>
      <c r="FS70" s="3"/>
      <c r="FT70" s="3">
        <v>1806000</v>
      </c>
      <c r="FU70" s="3">
        <v>161000</v>
      </c>
      <c r="FV70" s="3">
        <v>0</v>
      </c>
      <c r="FW70" s="3">
        <v>1967000</v>
      </c>
      <c r="FX70" s="3">
        <v>1806000</v>
      </c>
      <c r="FY70" s="3">
        <v>161000</v>
      </c>
      <c r="FZ70" s="3">
        <v>0</v>
      </c>
      <c r="GA70" s="3">
        <v>1967000</v>
      </c>
      <c r="GB70" s="3"/>
      <c r="GC70" s="3"/>
      <c r="GD70" s="3"/>
      <c r="GE70" s="3"/>
      <c r="GF70" s="3"/>
      <c r="GG70" s="3"/>
      <c r="GH70" s="3"/>
      <c r="GI70" s="3"/>
      <c r="GJ70" s="3"/>
      <c r="GK70" s="3"/>
      <c r="GL70" s="3"/>
      <c r="GM70" s="3"/>
      <c r="GN70" s="3"/>
      <c r="GO70" s="3"/>
      <c r="GP70" s="3"/>
      <c r="GQ70" s="3"/>
      <c r="GR70" s="3"/>
      <c r="GS70" s="6"/>
      <c r="GT70" s="3"/>
      <c r="GU70" s="3"/>
      <c r="GV70" s="3">
        <v>2245000</v>
      </c>
      <c r="GW70" s="3">
        <v>164000</v>
      </c>
      <c r="GX70" s="3">
        <v>0</v>
      </c>
      <c r="GY70" s="3">
        <v>2409000</v>
      </c>
      <c r="GZ70" s="3">
        <v>2245000</v>
      </c>
      <c r="HA70" s="3">
        <v>164000</v>
      </c>
      <c r="HB70" s="3">
        <v>0</v>
      </c>
      <c r="HC70" s="3">
        <v>2409000</v>
      </c>
      <c r="HD70" s="3"/>
      <c r="HE70" s="3"/>
      <c r="HF70" s="3"/>
      <c r="HG70" s="3"/>
      <c r="HH70" s="3"/>
      <c r="HI70" s="3"/>
      <c r="HJ70" s="3"/>
      <c r="HK70" s="3"/>
      <c r="HL70" s="3"/>
      <c r="HM70" s="3"/>
      <c r="HN70" s="3"/>
      <c r="HO70" s="3"/>
      <c r="HP70" s="3"/>
      <c r="HQ70" s="3"/>
      <c r="HR70" s="3"/>
      <c r="HS70" s="3"/>
      <c r="HT70" s="3"/>
      <c r="HU70" s="3"/>
      <c r="HV70" s="3"/>
      <c r="HW70" s="3"/>
      <c r="HX70" s="3">
        <v>2594000</v>
      </c>
      <c r="HY70" s="3">
        <v>167000</v>
      </c>
      <c r="HZ70" s="3">
        <v>0</v>
      </c>
      <c r="IA70" s="3">
        <v>2761000</v>
      </c>
      <c r="IB70" s="3">
        <v>2594000</v>
      </c>
      <c r="IC70" s="3">
        <v>167000</v>
      </c>
      <c r="ID70" s="3">
        <v>0</v>
      </c>
      <c r="IE70" s="3">
        <v>2761000</v>
      </c>
      <c r="IF70" s="3"/>
      <c r="IG70" s="3"/>
      <c r="IH70" s="3"/>
      <c r="II70" s="3"/>
      <c r="IJ70" s="3"/>
      <c r="IK70" s="3"/>
      <c r="IL70" s="3"/>
      <c r="IM70" s="3"/>
      <c r="IN70" s="3"/>
      <c r="IO70" s="3"/>
      <c r="IP70" s="3"/>
      <c r="IQ70" s="3"/>
      <c r="IR70" s="3"/>
      <c r="IS70" s="3"/>
      <c r="IT70" s="3"/>
      <c r="IU70" s="3"/>
      <c r="IV70" s="3"/>
      <c r="IW70" s="3"/>
      <c r="IX70" s="3"/>
      <c r="IY70" s="3"/>
      <c r="IZ70" s="3">
        <v>1396000</v>
      </c>
      <c r="JA70" s="3">
        <v>170000</v>
      </c>
      <c r="JB70" s="3">
        <v>0</v>
      </c>
      <c r="JC70" s="3">
        <v>1566000</v>
      </c>
      <c r="JD70" s="3"/>
      <c r="JE70" s="3"/>
      <c r="JF70" s="3"/>
      <c r="JG70" s="3"/>
    </row>
    <row r="71" spans="1:267" x14ac:dyDescent="0.25">
      <c r="A71" t="s">
        <v>1153</v>
      </c>
      <c r="B71" t="s">
        <v>1154</v>
      </c>
      <c r="C71" t="s">
        <v>600</v>
      </c>
      <c r="D71" t="s">
        <v>1169</v>
      </c>
      <c r="E71" t="s">
        <v>217</v>
      </c>
      <c r="F71" t="s">
        <v>518</v>
      </c>
      <c r="G71" t="s">
        <v>1240</v>
      </c>
      <c r="H71" s="3">
        <v>12463000</v>
      </c>
      <c r="I71" s="3">
        <v>3923000</v>
      </c>
      <c r="J71" s="3">
        <v>1729000</v>
      </c>
      <c r="K71" s="3">
        <v>18115000</v>
      </c>
      <c r="L71" s="3">
        <v>12463000</v>
      </c>
      <c r="M71" s="3">
        <v>3923000</v>
      </c>
      <c r="N71" s="3">
        <v>1729000</v>
      </c>
      <c r="O71" s="3">
        <v>18115000</v>
      </c>
      <c r="P71" s="3"/>
      <c r="Q71" s="3"/>
      <c r="R71" s="3"/>
      <c r="S71" s="3"/>
      <c r="T71" s="3"/>
      <c r="U71" s="3"/>
      <c r="V71" s="3"/>
      <c r="W71" s="3"/>
      <c r="X71" s="6"/>
      <c r="Y71" s="3"/>
      <c r="Z71" s="3"/>
      <c r="AA71" s="3"/>
      <c r="AB71" s="3"/>
      <c r="AC71" s="3"/>
      <c r="AD71" s="3"/>
      <c r="AE71" s="3"/>
      <c r="AF71" s="3"/>
      <c r="AG71" s="3"/>
      <c r="AH71" s="3"/>
      <c r="AI71" s="3"/>
      <c r="AJ71" s="3">
        <v>13578000</v>
      </c>
      <c r="AK71" s="3">
        <v>4810000</v>
      </c>
      <c r="AL71" s="3">
        <v>2014000</v>
      </c>
      <c r="AM71" s="3">
        <v>20402000</v>
      </c>
      <c r="AN71" s="3">
        <v>13578000</v>
      </c>
      <c r="AO71" s="3">
        <v>4810000</v>
      </c>
      <c r="AP71" s="3">
        <v>2014000</v>
      </c>
      <c r="AQ71" s="3">
        <v>20402000</v>
      </c>
      <c r="AR71" s="3"/>
      <c r="AS71" s="3"/>
      <c r="AT71" s="3"/>
      <c r="AU71" s="3"/>
      <c r="AV71" s="3"/>
      <c r="AW71" s="3"/>
      <c r="AX71" s="3"/>
      <c r="AY71" s="3"/>
      <c r="AZ71" s="3"/>
      <c r="BA71" s="3"/>
      <c r="BB71" s="3"/>
      <c r="BC71" s="3"/>
      <c r="BD71" s="3"/>
      <c r="BE71" s="3"/>
      <c r="BF71" s="3"/>
      <c r="BG71" s="3"/>
      <c r="BH71" s="3"/>
      <c r="BI71" s="3"/>
      <c r="BJ71" s="3"/>
      <c r="BK71" s="3"/>
      <c r="BL71" s="3">
        <v>13645000</v>
      </c>
      <c r="BM71" s="3">
        <v>5367000</v>
      </c>
      <c r="BN71" s="3">
        <v>1960000</v>
      </c>
      <c r="BO71" s="3">
        <v>20972000</v>
      </c>
      <c r="BP71" s="3">
        <v>13645000</v>
      </c>
      <c r="BQ71" s="3">
        <v>5367000</v>
      </c>
      <c r="BR71" s="3">
        <v>1960000</v>
      </c>
      <c r="BS71" s="3">
        <v>20972000</v>
      </c>
      <c r="BT71" s="3"/>
      <c r="BU71" s="3"/>
      <c r="BV71" s="3"/>
      <c r="BW71" s="3"/>
      <c r="BX71" s="3"/>
      <c r="BY71" s="3"/>
      <c r="BZ71" s="3"/>
      <c r="CA71" s="3"/>
      <c r="CB71" s="3"/>
      <c r="CC71" s="3"/>
      <c r="CD71" s="3"/>
      <c r="CE71" s="6"/>
      <c r="CF71" s="3"/>
      <c r="CG71" s="3"/>
      <c r="CH71" s="3"/>
      <c r="CI71" s="3"/>
      <c r="CJ71" s="3"/>
      <c r="CK71" s="3"/>
      <c r="CL71" s="3"/>
      <c r="CM71" s="3"/>
      <c r="CN71" s="3">
        <v>12871000</v>
      </c>
      <c r="CO71" s="3">
        <v>3994000</v>
      </c>
      <c r="CP71" s="3">
        <v>0</v>
      </c>
      <c r="CQ71" s="3">
        <v>16865000</v>
      </c>
      <c r="CR71" s="3">
        <v>12871000</v>
      </c>
      <c r="CS71" s="3">
        <v>3994000</v>
      </c>
      <c r="CT71" s="3">
        <v>0</v>
      </c>
      <c r="CU71" s="3">
        <v>16865000</v>
      </c>
      <c r="CV71" s="3"/>
      <c r="CW71" s="3"/>
      <c r="CX71" s="3"/>
      <c r="CY71" s="3"/>
      <c r="CZ71" s="3"/>
      <c r="DA71" s="3"/>
      <c r="DB71" s="3"/>
      <c r="DC71" s="3"/>
      <c r="DD71" s="3"/>
      <c r="DE71" s="3"/>
      <c r="DF71" s="3"/>
      <c r="DG71" s="3"/>
      <c r="DH71" s="3"/>
      <c r="DI71" s="3"/>
      <c r="DJ71" s="3"/>
      <c r="DK71" s="3"/>
      <c r="DL71" s="3"/>
      <c r="DM71" s="3"/>
      <c r="DN71" s="3"/>
      <c r="DO71" s="3"/>
      <c r="DP71" s="3">
        <v>12837000</v>
      </c>
      <c r="DQ71" s="3">
        <v>6565000</v>
      </c>
      <c r="DR71" s="3">
        <v>1711000</v>
      </c>
      <c r="DS71" s="3">
        <v>21113000</v>
      </c>
      <c r="DT71" s="3">
        <v>12837000</v>
      </c>
      <c r="DU71" s="3">
        <v>6565000</v>
      </c>
      <c r="DV71" s="3">
        <v>1711000</v>
      </c>
      <c r="DW71" s="3">
        <v>21113000</v>
      </c>
      <c r="DX71" s="3"/>
      <c r="DY71" s="3"/>
      <c r="DZ71" s="3"/>
      <c r="EA71" s="3"/>
      <c r="EB71" s="3"/>
      <c r="EC71" s="3"/>
      <c r="ED71" s="3"/>
      <c r="EE71" s="3"/>
      <c r="EF71" s="3"/>
      <c r="EG71" s="3"/>
      <c r="EH71" s="3"/>
      <c r="EI71" s="3"/>
      <c r="EJ71" s="3"/>
      <c r="EK71" s="3"/>
      <c r="EL71" s="3"/>
      <c r="EM71" s="3"/>
      <c r="EN71" s="3"/>
      <c r="EO71" s="3"/>
      <c r="EP71" s="3"/>
      <c r="EQ71" s="3"/>
      <c r="ER71" s="3">
        <v>14954000</v>
      </c>
      <c r="ES71" s="3">
        <v>4579000</v>
      </c>
      <c r="ET71" s="3">
        <v>0</v>
      </c>
      <c r="EU71" s="3">
        <v>19533000</v>
      </c>
      <c r="EV71" s="3">
        <v>14954000</v>
      </c>
      <c r="EW71" s="3">
        <v>4579000</v>
      </c>
      <c r="EX71" s="3">
        <v>0</v>
      </c>
      <c r="EY71" s="3">
        <v>19533000</v>
      </c>
      <c r="EZ71" s="3"/>
      <c r="FA71" s="3"/>
      <c r="FB71" s="3"/>
      <c r="FC71" s="3"/>
      <c r="FD71" s="3"/>
      <c r="FE71" s="3"/>
      <c r="FF71" s="3"/>
      <c r="FG71" s="3"/>
      <c r="FH71" s="6"/>
      <c r="FI71" s="3"/>
      <c r="FJ71" s="3"/>
      <c r="FK71" s="3"/>
      <c r="FL71" s="3"/>
      <c r="FM71" s="3"/>
      <c r="FN71" s="3"/>
      <c r="FO71" s="3"/>
      <c r="FP71" s="3"/>
      <c r="FQ71" s="3"/>
      <c r="FR71" s="3"/>
      <c r="FS71" s="3"/>
      <c r="FT71" s="3">
        <v>12914000</v>
      </c>
      <c r="FU71" s="3">
        <v>4662000</v>
      </c>
      <c r="FV71" s="3">
        <v>0</v>
      </c>
      <c r="FW71" s="3">
        <v>17576000</v>
      </c>
      <c r="FX71" s="3">
        <v>12914000</v>
      </c>
      <c r="FY71" s="3">
        <v>4662000</v>
      </c>
      <c r="FZ71" s="3">
        <v>0</v>
      </c>
      <c r="GA71" s="3">
        <v>17576000</v>
      </c>
      <c r="GB71" s="3"/>
      <c r="GC71" s="3"/>
      <c r="GD71" s="3"/>
      <c r="GE71" s="3"/>
      <c r="GF71" s="3"/>
      <c r="GG71" s="3"/>
      <c r="GH71" s="3"/>
      <c r="GI71" s="3"/>
      <c r="GJ71" s="3"/>
      <c r="GK71" s="3"/>
      <c r="GL71" s="3"/>
      <c r="GM71" s="3"/>
      <c r="GN71" s="3"/>
      <c r="GO71" s="3"/>
      <c r="GP71" s="3"/>
      <c r="GQ71" s="3"/>
      <c r="GR71" s="3"/>
      <c r="GS71" s="6"/>
      <c r="GT71" s="3"/>
      <c r="GU71" s="3"/>
      <c r="GV71" s="3">
        <v>14451000</v>
      </c>
      <c r="GW71" s="3">
        <v>4746000</v>
      </c>
      <c r="GX71" s="3">
        <v>0</v>
      </c>
      <c r="GY71" s="3">
        <v>19197000</v>
      </c>
      <c r="GZ71" s="3">
        <v>14451000</v>
      </c>
      <c r="HA71" s="3">
        <v>4746000</v>
      </c>
      <c r="HB71" s="3">
        <v>0</v>
      </c>
      <c r="HC71" s="3">
        <v>19197000</v>
      </c>
      <c r="HD71" s="3"/>
      <c r="HE71" s="3"/>
      <c r="HF71" s="3"/>
      <c r="HG71" s="3"/>
      <c r="HH71" s="3"/>
      <c r="HI71" s="3"/>
      <c r="HJ71" s="3"/>
      <c r="HK71" s="3"/>
      <c r="HL71" s="3"/>
      <c r="HM71" s="3"/>
      <c r="HN71" s="3"/>
      <c r="HO71" s="3"/>
      <c r="HP71" s="3"/>
      <c r="HQ71" s="3"/>
      <c r="HR71" s="3"/>
      <c r="HS71" s="3"/>
      <c r="HT71" s="3"/>
      <c r="HU71" s="3"/>
      <c r="HV71" s="3"/>
      <c r="HW71" s="3"/>
      <c r="HX71" s="3">
        <v>15598000</v>
      </c>
      <c r="HY71" s="3">
        <v>4832000</v>
      </c>
      <c r="HZ71" s="3">
        <v>0</v>
      </c>
      <c r="IA71" s="3">
        <v>20430000</v>
      </c>
      <c r="IB71" s="3">
        <v>15598000</v>
      </c>
      <c r="IC71" s="3">
        <v>4832000</v>
      </c>
      <c r="ID71" s="3">
        <v>0</v>
      </c>
      <c r="IE71" s="3">
        <v>20430000</v>
      </c>
      <c r="IF71" s="3"/>
      <c r="IG71" s="3"/>
      <c r="IH71" s="3"/>
      <c r="II71" s="3"/>
      <c r="IJ71" s="3"/>
      <c r="IK71" s="3"/>
      <c r="IL71" s="3"/>
      <c r="IM71" s="3"/>
      <c r="IN71" s="3"/>
      <c r="IO71" s="3"/>
      <c r="IP71" s="3"/>
      <c r="IQ71" s="3"/>
      <c r="IR71" s="3"/>
      <c r="IS71" s="3"/>
      <c r="IT71" s="3"/>
      <c r="IU71" s="3"/>
      <c r="IV71" s="3"/>
      <c r="IW71" s="3"/>
      <c r="IX71" s="3"/>
      <c r="IY71" s="3"/>
      <c r="IZ71" s="3">
        <v>18023000</v>
      </c>
      <c r="JA71" s="3">
        <v>4919000</v>
      </c>
      <c r="JB71" s="3">
        <v>0</v>
      </c>
      <c r="JC71" s="3">
        <v>22942000</v>
      </c>
      <c r="JD71" s="3"/>
      <c r="JE71" s="3"/>
      <c r="JF71" s="3"/>
      <c r="JG71" s="3"/>
    </row>
    <row r="72" spans="1:267" x14ac:dyDescent="0.25">
      <c r="A72" t="s">
        <v>1153</v>
      </c>
      <c r="B72" t="s">
        <v>1154</v>
      </c>
      <c r="C72" t="s">
        <v>600</v>
      </c>
      <c r="D72" t="s">
        <v>1169</v>
      </c>
      <c r="E72" t="s">
        <v>217</v>
      </c>
      <c r="F72" t="s">
        <v>519</v>
      </c>
      <c r="G72" t="s">
        <v>1241</v>
      </c>
      <c r="H72" s="3">
        <v>4308000</v>
      </c>
      <c r="I72" s="3">
        <v>5043000</v>
      </c>
      <c r="J72" s="3">
        <v>5295000</v>
      </c>
      <c r="K72" s="3">
        <v>14646000</v>
      </c>
      <c r="L72" s="3">
        <v>4308000</v>
      </c>
      <c r="M72" s="3">
        <v>5043000</v>
      </c>
      <c r="N72" s="3">
        <v>5295000</v>
      </c>
      <c r="O72" s="3">
        <v>14646000</v>
      </c>
      <c r="P72" s="3"/>
      <c r="Q72" s="3"/>
      <c r="R72" s="3"/>
      <c r="S72" s="3"/>
      <c r="T72" s="3"/>
      <c r="U72" s="3"/>
      <c r="V72" s="3"/>
      <c r="W72" s="3"/>
      <c r="X72" s="6"/>
      <c r="Y72" s="3"/>
      <c r="Z72" s="3"/>
      <c r="AA72" s="3"/>
      <c r="AB72" s="3"/>
      <c r="AC72" s="3"/>
      <c r="AD72" s="3"/>
      <c r="AE72" s="3"/>
      <c r="AF72" s="3"/>
      <c r="AG72" s="3"/>
      <c r="AH72" s="3"/>
      <c r="AI72" s="3"/>
      <c r="AJ72" s="3">
        <v>4664000</v>
      </c>
      <c r="AK72" s="3">
        <v>4610000</v>
      </c>
      <c r="AL72" s="3">
        <v>5495000</v>
      </c>
      <c r="AM72" s="3">
        <v>14769000</v>
      </c>
      <c r="AN72" s="3">
        <v>4664000</v>
      </c>
      <c r="AO72" s="3">
        <v>4610000</v>
      </c>
      <c r="AP72" s="3">
        <v>5495000</v>
      </c>
      <c r="AQ72" s="3">
        <v>14769000</v>
      </c>
      <c r="AR72" s="3"/>
      <c r="AS72" s="3"/>
      <c r="AT72" s="3"/>
      <c r="AU72" s="3"/>
      <c r="AV72" s="3"/>
      <c r="AW72" s="3"/>
      <c r="AX72" s="3"/>
      <c r="AY72" s="3"/>
      <c r="AZ72" s="3"/>
      <c r="BA72" s="3"/>
      <c r="BB72" s="3"/>
      <c r="BC72" s="3"/>
      <c r="BD72" s="3"/>
      <c r="BE72" s="3"/>
      <c r="BF72" s="3"/>
      <c r="BG72" s="3"/>
      <c r="BH72" s="3"/>
      <c r="BI72" s="3"/>
      <c r="BJ72" s="3"/>
      <c r="BK72" s="3"/>
      <c r="BL72" s="3">
        <v>4719000</v>
      </c>
      <c r="BM72" s="3">
        <v>5015000</v>
      </c>
      <c r="BN72" s="3">
        <v>1430000</v>
      </c>
      <c r="BO72" s="3">
        <v>11164000</v>
      </c>
      <c r="BP72" s="3">
        <v>4719000</v>
      </c>
      <c r="BQ72" s="3">
        <v>5015000</v>
      </c>
      <c r="BR72" s="3">
        <v>1430000</v>
      </c>
      <c r="BS72" s="3">
        <v>11164000</v>
      </c>
      <c r="BT72" s="3"/>
      <c r="BU72" s="3"/>
      <c r="BV72" s="3"/>
      <c r="BW72" s="3"/>
      <c r="BX72" s="3"/>
      <c r="BY72" s="3"/>
      <c r="BZ72" s="3"/>
      <c r="CA72" s="3"/>
      <c r="CB72" s="3"/>
      <c r="CC72" s="3"/>
      <c r="CD72" s="3"/>
      <c r="CE72" s="6"/>
      <c r="CF72" s="3"/>
      <c r="CG72" s="3"/>
      <c r="CH72" s="3"/>
      <c r="CI72" s="3"/>
      <c r="CJ72" s="3"/>
      <c r="CK72" s="3"/>
      <c r="CL72" s="3"/>
      <c r="CM72" s="3"/>
      <c r="CN72" s="3">
        <v>4320000</v>
      </c>
      <c r="CO72" s="3">
        <v>5352000</v>
      </c>
      <c r="CP72" s="3">
        <v>0</v>
      </c>
      <c r="CQ72" s="3">
        <v>9672000</v>
      </c>
      <c r="CR72" s="3">
        <v>4320000</v>
      </c>
      <c r="CS72" s="3">
        <v>5352000</v>
      </c>
      <c r="CT72" s="3">
        <v>0</v>
      </c>
      <c r="CU72" s="3">
        <v>9672000</v>
      </c>
      <c r="CV72" s="3"/>
      <c r="CW72" s="3"/>
      <c r="CX72" s="3"/>
      <c r="CY72" s="3"/>
      <c r="CZ72" s="3"/>
      <c r="DA72" s="3"/>
      <c r="DB72" s="3"/>
      <c r="DC72" s="3"/>
      <c r="DD72" s="3"/>
      <c r="DE72" s="3"/>
      <c r="DF72" s="3"/>
      <c r="DG72" s="3"/>
      <c r="DH72" s="3"/>
      <c r="DI72" s="3"/>
      <c r="DJ72" s="3"/>
      <c r="DK72" s="3"/>
      <c r="DL72" s="3"/>
      <c r="DM72" s="3"/>
      <c r="DN72" s="3"/>
      <c r="DO72" s="3"/>
      <c r="DP72" s="3">
        <v>5060000</v>
      </c>
      <c r="DQ72" s="3">
        <v>6481000</v>
      </c>
      <c r="DR72" s="3">
        <v>883000</v>
      </c>
      <c r="DS72" s="3">
        <v>12424000</v>
      </c>
      <c r="DT72" s="3">
        <v>5060000</v>
      </c>
      <c r="DU72" s="3">
        <v>6481000</v>
      </c>
      <c r="DV72" s="3">
        <v>883000</v>
      </c>
      <c r="DW72" s="3">
        <v>12424000</v>
      </c>
      <c r="DX72" s="3"/>
      <c r="DY72" s="3"/>
      <c r="DZ72" s="3"/>
      <c r="EA72" s="3"/>
      <c r="EB72" s="3"/>
      <c r="EC72" s="3"/>
      <c r="ED72" s="3"/>
      <c r="EE72" s="3"/>
      <c r="EF72" s="3"/>
      <c r="EG72" s="3"/>
      <c r="EH72" s="3"/>
      <c r="EI72" s="3"/>
      <c r="EJ72" s="3"/>
      <c r="EK72" s="3"/>
      <c r="EL72" s="3"/>
      <c r="EM72" s="3"/>
      <c r="EN72" s="3"/>
      <c r="EO72" s="3"/>
      <c r="EP72" s="3"/>
      <c r="EQ72" s="3"/>
      <c r="ER72" s="3">
        <v>4101000</v>
      </c>
      <c r="ES72" s="3">
        <v>5462000</v>
      </c>
      <c r="ET72" s="3">
        <v>0</v>
      </c>
      <c r="EU72" s="3">
        <v>9563000</v>
      </c>
      <c r="EV72" s="3">
        <v>4101000</v>
      </c>
      <c r="EW72" s="3">
        <v>5462000</v>
      </c>
      <c r="EX72" s="3">
        <v>0</v>
      </c>
      <c r="EY72" s="3">
        <v>9563000</v>
      </c>
      <c r="EZ72" s="3"/>
      <c r="FA72" s="3"/>
      <c r="FB72" s="3"/>
      <c r="FC72" s="3"/>
      <c r="FD72" s="3"/>
      <c r="FE72" s="3"/>
      <c r="FF72" s="3"/>
      <c r="FG72" s="3"/>
      <c r="FH72" s="6"/>
      <c r="FI72" s="3"/>
      <c r="FJ72" s="3"/>
      <c r="FK72" s="3"/>
      <c r="FL72" s="3"/>
      <c r="FM72" s="3"/>
      <c r="FN72" s="3"/>
      <c r="FO72" s="3"/>
      <c r="FP72" s="3"/>
      <c r="FQ72" s="3"/>
      <c r="FR72" s="3"/>
      <c r="FS72" s="3"/>
      <c r="FT72" s="3">
        <v>5845000</v>
      </c>
      <c r="FU72" s="3">
        <v>5561000</v>
      </c>
      <c r="FV72" s="3">
        <v>0</v>
      </c>
      <c r="FW72" s="3">
        <v>11406000</v>
      </c>
      <c r="FX72" s="3">
        <v>5845000</v>
      </c>
      <c r="FY72" s="3">
        <v>5561000</v>
      </c>
      <c r="FZ72" s="3">
        <v>0</v>
      </c>
      <c r="GA72" s="3">
        <v>11406000</v>
      </c>
      <c r="GB72" s="3"/>
      <c r="GC72" s="3"/>
      <c r="GD72" s="3"/>
      <c r="GE72" s="3"/>
      <c r="GF72" s="3"/>
      <c r="GG72" s="3"/>
      <c r="GH72" s="3"/>
      <c r="GI72" s="3"/>
      <c r="GJ72" s="3"/>
      <c r="GK72" s="3"/>
      <c r="GL72" s="3"/>
      <c r="GM72" s="3"/>
      <c r="GN72" s="3"/>
      <c r="GO72" s="3"/>
      <c r="GP72" s="3"/>
      <c r="GQ72" s="3"/>
      <c r="GR72" s="3"/>
      <c r="GS72" s="6"/>
      <c r="GT72" s="3"/>
      <c r="GU72" s="3"/>
      <c r="GV72" s="3">
        <v>4355000</v>
      </c>
      <c r="GW72" s="3">
        <v>5662000</v>
      </c>
      <c r="GX72" s="3">
        <v>0</v>
      </c>
      <c r="GY72" s="3">
        <v>10017000</v>
      </c>
      <c r="GZ72" s="3">
        <v>4355000</v>
      </c>
      <c r="HA72" s="3">
        <v>5662000</v>
      </c>
      <c r="HB72" s="3">
        <v>0</v>
      </c>
      <c r="HC72" s="3">
        <v>10017000</v>
      </c>
      <c r="HD72" s="3"/>
      <c r="HE72" s="3"/>
      <c r="HF72" s="3"/>
      <c r="HG72" s="3"/>
      <c r="HH72" s="3"/>
      <c r="HI72" s="3"/>
      <c r="HJ72" s="3"/>
      <c r="HK72" s="3"/>
      <c r="HL72" s="3"/>
      <c r="HM72" s="3"/>
      <c r="HN72" s="3"/>
      <c r="HO72" s="3"/>
      <c r="HP72" s="3"/>
      <c r="HQ72" s="3"/>
      <c r="HR72" s="3"/>
      <c r="HS72" s="3"/>
      <c r="HT72" s="3"/>
      <c r="HU72" s="3"/>
      <c r="HV72" s="3"/>
      <c r="HW72" s="3"/>
      <c r="HX72" s="3">
        <v>4969000</v>
      </c>
      <c r="HY72" s="3">
        <v>5764000</v>
      </c>
      <c r="HZ72" s="3">
        <v>2400000</v>
      </c>
      <c r="IA72" s="3">
        <v>13133000</v>
      </c>
      <c r="IB72" s="3">
        <v>4969000</v>
      </c>
      <c r="IC72" s="3">
        <v>5764000</v>
      </c>
      <c r="ID72" s="3">
        <v>2400000</v>
      </c>
      <c r="IE72" s="3">
        <v>13133000</v>
      </c>
      <c r="IF72" s="3"/>
      <c r="IG72" s="3"/>
      <c r="IH72" s="3"/>
      <c r="II72" s="3"/>
      <c r="IJ72" s="3"/>
      <c r="IK72" s="3"/>
      <c r="IL72" s="3"/>
      <c r="IM72" s="3"/>
      <c r="IN72" s="3"/>
      <c r="IO72" s="3"/>
      <c r="IP72" s="3"/>
      <c r="IQ72" s="3"/>
      <c r="IR72" s="3"/>
      <c r="IS72" s="3"/>
      <c r="IT72" s="3"/>
      <c r="IU72" s="3"/>
      <c r="IV72" s="3"/>
      <c r="IW72" s="3"/>
      <c r="IX72" s="3"/>
      <c r="IY72" s="3"/>
      <c r="IZ72" s="3">
        <v>6969000</v>
      </c>
      <c r="JA72" s="3">
        <v>5868000</v>
      </c>
      <c r="JB72" s="3">
        <v>0</v>
      </c>
      <c r="JC72" s="3">
        <v>12837000</v>
      </c>
      <c r="JD72" s="3"/>
      <c r="JE72" s="3"/>
      <c r="JF72" s="3"/>
      <c r="JG72" s="3"/>
    </row>
    <row r="73" spans="1:267" x14ac:dyDescent="0.25">
      <c r="AR73" s="3"/>
      <c r="AS73" s="3"/>
      <c r="AT73" s="3"/>
      <c r="AU73" s="3"/>
      <c r="AV73" s="3"/>
      <c r="AW73" s="3"/>
      <c r="AX73" s="3"/>
      <c r="AY73" s="3"/>
      <c r="AZ73" s="3"/>
      <c r="BA73" s="3"/>
      <c r="BB73" s="3"/>
      <c r="BC73" s="3"/>
      <c r="BD73" s="3"/>
      <c r="BE73" s="3"/>
      <c r="BF73" s="3"/>
      <c r="BG73" s="3"/>
      <c r="BH73" s="3"/>
      <c r="BI73" s="3"/>
      <c r="BJ73" s="3"/>
      <c r="BK73" s="3"/>
    </row>
    <row r="74" spans="1:267" x14ac:dyDescent="0.25">
      <c r="AR74" s="3"/>
      <c r="AS74" s="3"/>
      <c r="AT74" s="3"/>
      <c r="AU74" s="3"/>
      <c r="AV74" s="3"/>
      <c r="AW74" s="3"/>
      <c r="AX74" s="3"/>
      <c r="AY74" s="3"/>
      <c r="AZ74" s="3"/>
      <c r="BA74" s="3"/>
      <c r="BB74" s="3"/>
      <c r="BC74" s="3"/>
      <c r="BD74" s="3"/>
      <c r="BE74" s="3"/>
      <c r="BF74" s="3"/>
      <c r="BG74" s="3"/>
      <c r="BH74" s="3"/>
      <c r="BI74" s="3"/>
      <c r="BJ74" s="3"/>
      <c r="BK74" s="3"/>
    </row>
    <row r="75" spans="1:267" x14ac:dyDescent="0.25">
      <c r="AR75" s="3"/>
      <c r="AS75" s="3"/>
      <c r="AT75" s="3"/>
      <c r="AU75" s="3"/>
      <c r="AV75" s="3"/>
      <c r="AW75" s="3"/>
      <c r="AX75" s="3"/>
      <c r="AY75" s="3"/>
      <c r="AZ75" s="3"/>
      <c r="BA75" s="3"/>
      <c r="BB75" s="3"/>
      <c r="BC75" s="3"/>
      <c r="BD75" s="3"/>
      <c r="BE75" s="3"/>
      <c r="BF75" s="3"/>
      <c r="BG75" s="3"/>
      <c r="BH75" s="3"/>
      <c r="BI75" s="3"/>
      <c r="BJ75" s="3"/>
      <c r="BK75" s="3"/>
    </row>
    <row r="76" spans="1:267" x14ac:dyDescent="0.25">
      <c r="AR76" s="3"/>
      <c r="AS76" s="3"/>
      <c r="AT76" s="3"/>
      <c r="AU76" s="3"/>
      <c r="AV76" s="3"/>
      <c r="AW76" s="3"/>
      <c r="AX76" s="3"/>
      <c r="AY76" s="3"/>
      <c r="AZ76" s="3"/>
      <c r="BA76" s="3"/>
      <c r="BB76" s="3"/>
      <c r="BC76" s="3"/>
      <c r="BD76" s="3"/>
      <c r="BE76" s="3"/>
      <c r="BF76" s="3"/>
      <c r="BG76" s="3"/>
      <c r="BH76" s="3"/>
      <c r="BI76" s="3"/>
      <c r="BJ76" s="3"/>
      <c r="BK76" s="3"/>
    </row>
    <row r="77" spans="1:267" x14ac:dyDescent="0.25">
      <c r="AR77" s="3"/>
      <c r="AS77" s="3"/>
      <c r="AT77" s="3"/>
      <c r="AU77" s="3"/>
      <c r="AV77" s="3"/>
      <c r="AW77" s="3"/>
      <c r="AX77" s="3"/>
      <c r="AY77" s="3"/>
      <c r="AZ77" s="3"/>
      <c r="BA77" s="3"/>
      <c r="BB77" s="3"/>
      <c r="BC77" s="3"/>
      <c r="BD77" s="3"/>
      <c r="BE77" s="3"/>
      <c r="BF77" s="3"/>
      <c r="BG77" s="3"/>
      <c r="BH77" s="3"/>
      <c r="BI77" s="3"/>
      <c r="BJ77" s="3"/>
      <c r="BK77" s="3"/>
    </row>
    <row r="78" spans="1:267" x14ac:dyDescent="0.25">
      <c r="AR78" s="3"/>
      <c r="AS78" s="3"/>
      <c r="AT78" s="3"/>
      <c r="AU78" s="3"/>
      <c r="AV78" s="3"/>
      <c r="AW78" s="3"/>
      <c r="AX78" s="3"/>
      <c r="AY78" s="3"/>
      <c r="AZ78" s="3"/>
      <c r="BA78" s="3"/>
      <c r="BB78" s="3"/>
      <c r="BC78" s="3"/>
      <c r="BD78" s="3"/>
      <c r="BE78" s="3"/>
      <c r="BF78" s="3"/>
      <c r="BG78" s="3"/>
      <c r="BH78" s="3"/>
      <c r="BI78" s="3"/>
      <c r="BJ78" s="3"/>
      <c r="BK78" s="3"/>
    </row>
    <row r="79" spans="1:267" x14ac:dyDescent="0.25">
      <c r="AR79" s="3"/>
      <c r="AS79" s="3"/>
      <c r="AT79" s="3"/>
      <c r="AU79" s="3"/>
      <c r="AV79" s="3"/>
      <c r="AW79" s="3"/>
      <c r="AX79" s="3"/>
      <c r="AY79" s="3"/>
      <c r="AZ79" s="3"/>
      <c r="BA79" s="3"/>
      <c r="BB79" s="3"/>
      <c r="BC79" s="3"/>
      <c r="BD79" s="3"/>
      <c r="BE79" s="3"/>
      <c r="BF79" s="3"/>
      <c r="BG79" s="3"/>
      <c r="BH79" s="3"/>
      <c r="BI79" s="3"/>
      <c r="BJ79" s="3"/>
      <c r="BK79" s="3"/>
    </row>
    <row r="80" spans="1:267" x14ac:dyDescent="0.25">
      <c r="AR80" s="3"/>
      <c r="AS80" s="3"/>
      <c r="AT80" s="3"/>
      <c r="AU80" s="3"/>
      <c r="AV80" s="3"/>
      <c r="AW80" s="3"/>
      <c r="AX80" s="3"/>
      <c r="AY80" s="3"/>
      <c r="AZ80" s="3"/>
      <c r="BA80" s="3"/>
      <c r="BB80" s="3"/>
      <c r="BC80" s="3"/>
      <c r="BD80" s="3"/>
      <c r="BE80" s="3"/>
      <c r="BF80" s="3"/>
      <c r="BG80" s="3"/>
      <c r="BH80" s="3"/>
      <c r="BI80" s="3"/>
      <c r="BJ80" s="3"/>
      <c r="BK80" s="3"/>
    </row>
    <row r="81" spans="44:63" x14ac:dyDescent="0.25">
      <c r="AR81" s="3"/>
      <c r="AS81" s="3"/>
      <c r="AT81" s="3"/>
      <c r="AU81" s="3"/>
      <c r="AV81" s="3"/>
      <c r="AW81" s="3"/>
      <c r="AX81" s="3"/>
      <c r="AY81" s="3"/>
      <c r="AZ81" s="3"/>
      <c r="BA81" s="3"/>
      <c r="BB81" s="3"/>
      <c r="BC81" s="3"/>
      <c r="BD81" s="3"/>
      <c r="BE81" s="3"/>
      <c r="BF81" s="3"/>
      <c r="BG81" s="3"/>
      <c r="BH81" s="3"/>
      <c r="BI81" s="3"/>
      <c r="BJ81" s="3"/>
      <c r="BK81" s="3"/>
    </row>
    <row r="82" spans="44:63" x14ac:dyDescent="0.25">
      <c r="AR82" s="3"/>
      <c r="AS82" s="3"/>
      <c r="AT82" s="3"/>
      <c r="AU82" s="3"/>
      <c r="AV82" s="3"/>
      <c r="AW82" s="3"/>
      <c r="AX82" s="3"/>
      <c r="AY82" s="3"/>
      <c r="AZ82" s="3"/>
      <c r="BA82" s="3"/>
      <c r="BB82" s="3"/>
      <c r="BC82" s="3"/>
      <c r="BD82" s="3"/>
      <c r="BE82" s="3"/>
      <c r="BF82" s="3"/>
      <c r="BG82" s="3"/>
      <c r="BH82" s="3"/>
      <c r="BI82" s="3"/>
      <c r="BJ82" s="3"/>
      <c r="BK82" s="3"/>
    </row>
    <row r="83" spans="44:63" x14ac:dyDescent="0.25">
      <c r="AR83" s="3"/>
      <c r="AS83" s="3"/>
      <c r="AT83" s="3"/>
      <c r="AU83" s="3"/>
      <c r="AV83" s="3"/>
      <c r="AW83" s="3"/>
      <c r="AX83" s="3"/>
      <c r="AY83" s="3"/>
      <c r="AZ83" s="3"/>
      <c r="BA83" s="3"/>
      <c r="BB83" s="3"/>
      <c r="BC83" s="3"/>
      <c r="BD83" s="3"/>
      <c r="BE83" s="3"/>
      <c r="BF83" s="3"/>
      <c r="BG83" s="3"/>
      <c r="BH83" s="3"/>
      <c r="BI83" s="3"/>
      <c r="BJ83" s="3"/>
      <c r="BK83" s="3"/>
    </row>
    <row r="84" spans="44:63" x14ac:dyDescent="0.25">
      <c r="AR84" s="3"/>
      <c r="AS84" s="3"/>
      <c r="AT84" s="3"/>
      <c r="AU84" s="3"/>
      <c r="AV84" s="3"/>
      <c r="AW84" s="3"/>
      <c r="AX84" s="3"/>
      <c r="AY84" s="3"/>
      <c r="AZ84" s="3"/>
      <c r="BA84" s="3"/>
      <c r="BB84" s="3"/>
      <c r="BC84" s="3"/>
      <c r="BD84" s="3"/>
      <c r="BE84" s="3"/>
      <c r="BF84" s="3"/>
      <c r="BG84" s="3"/>
      <c r="BH84" s="3"/>
      <c r="BI84" s="3"/>
      <c r="BJ84" s="3"/>
      <c r="BK84" s="3"/>
    </row>
    <row r="85" spans="44:63" x14ac:dyDescent="0.25">
      <c r="AR85" s="3"/>
      <c r="AS85" s="3"/>
      <c r="AT85" s="3"/>
      <c r="AU85" s="3"/>
      <c r="AV85" s="3"/>
      <c r="AW85" s="3"/>
      <c r="AX85" s="3"/>
      <c r="AY85" s="3"/>
      <c r="AZ85" s="3"/>
      <c r="BA85" s="3"/>
      <c r="BB85" s="3"/>
      <c r="BC85" s="3"/>
      <c r="BD85" s="3"/>
      <c r="BE85" s="3"/>
      <c r="BF85" s="3"/>
      <c r="BG85" s="3"/>
      <c r="BH85" s="3"/>
      <c r="BI85" s="3"/>
      <c r="BJ85" s="3"/>
      <c r="BK85" s="3"/>
    </row>
    <row r="86" spans="44:63" x14ac:dyDescent="0.25">
      <c r="AR86" s="3"/>
      <c r="AS86" s="3"/>
      <c r="AT86" s="3"/>
      <c r="AU86" s="3"/>
      <c r="AV86" s="3"/>
      <c r="AW86" s="3"/>
      <c r="AX86" s="3"/>
      <c r="AY86" s="3"/>
      <c r="AZ86" s="3"/>
      <c r="BA86" s="3"/>
      <c r="BB86" s="3"/>
      <c r="BC86" s="3"/>
      <c r="BD86" s="3"/>
      <c r="BE86" s="3"/>
      <c r="BF86" s="3"/>
      <c r="BG86" s="3"/>
      <c r="BH86" s="3"/>
      <c r="BI86" s="3"/>
      <c r="BJ86" s="3"/>
      <c r="BK86" s="3"/>
    </row>
    <row r="87" spans="44:63" x14ac:dyDescent="0.25">
      <c r="AR87" s="3"/>
      <c r="AS87" s="3"/>
      <c r="AT87" s="3"/>
      <c r="AU87" s="3"/>
      <c r="AV87" s="3"/>
      <c r="AW87" s="3"/>
      <c r="AX87" s="3"/>
      <c r="AY87" s="3"/>
      <c r="AZ87" s="3"/>
      <c r="BA87" s="3"/>
      <c r="BB87" s="3"/>
      <c r="BC87" s="3"/>
      <c r="BD87" s="3"/>
      <c r="BE87" s="3"/>
      <c r="BF87" s="3"/>
      <c r="BG87" s="3"/>
      <c r="BH87" s="3"/>
      <c r="BI87" s="3"/>
      <c r="BJ87" s="3"/>
      <c r="BK87" s="3"/>
    </row>
    <row r="88" spans="44:63" x14ac:dyDescent="0.25">
      <c r="AR88" s="3"/>
      <c r="AS88" s="3"/>
      <c r="AT88" s="3"/>
      <c r="AU88" s="3"/>
      <c r="AV88" s="3"/>
      <c r="AW88" s="3"/>
      <c r="AX88" s="3"/>
      <c r="AY88" s="3"/>
      <c r="AZ88" s="3"/>
      <c r="BA88" s="3"/>
      <c r="BB88" s="3"/>
      <c r="BC88" s="3"/>
      <c r="BD88" s="3"/>
      <c r="BE88" s="3"/>
      <c r="BF88" s="3"/>
      <c r="BG88" s="3"/>
      <c r="BH88" s="3"/>
      <c r="BI88" s="3"/>
      <c r="BJ88" s="3"/>
      <c r="BK88" s="3"/>
    </row>
    <row r="89" spans="44:63" x14ac:dyDescent="0.25">
      <c r="AR89" s="3"/>
      <c r="AS89" s="3"/>
      <c r="AT89" s="3"/>
      <c r="AU89" s="3"/>
      <c r="AV89" s="3"/>
      <c r="AW89" s="3"/>
      <c r="AX89" s="3"/>
      <c r="AY89" s="3"/>
      <c r="AZ89" s="3"/>
      <c r="BA89" s="3"/>
      <c r="BB89" s="3"/>
      <c r="BC89" s="3"/>
      <c r="BD89" s="3"/>
      <c r="BE89" s="3"/>
      <c r="BF89" s="3"/>
      <c r="BG89" s="3"/>
      <c r="BH89" s="3"/>
      <c r="BI89" s="3"/>
      <c r="BJ89" s="3"/>
      <c r="BK89" s="3"/>
    </row>
    <row r="90" spans="44:63" x14ac:dyDescent="0.25">
      <c r="AR90" s="3"/>
      <c r="AS90" s="3"/>
      <c r="AT90" s="3"/>
      <c r="AU90" s="3"/>
      <c r="AV90" s="3"/>
      <c r="AW90" s="3"/>
      <c r="AX90" s="3"/>
      <c r="AY90" s="3"/>
      <c r="AZ90" s="3"/>
      <c r="BA90" s="3"/>
      <c r="BB90" s="3"/>
      <c r="BC90" s="3"/>
      <c r="BD90" s="3"/>
      <c r="BE90" s="3"/>
      <c r="BF90" s="3"/>
      <c r="BG90" s="3"/>
      <c r="BH90" s="3"/>
      <c r="BI90" s="3"/>
      <c r="BJ90" s="3"/>
      <c r="BK90" s="3"/>
    </row>
    <row r="91" spans="44:63" x14ac:dyDescent="0.25">
      <c r="AR91" s="3"/>
      <c r="AS91" s="3"/>
      <c r="AT91" s="3"/>
      <c r="AU91" s="3"/>
      <c r="AV91" s="3"/>
      <c r="AW91" s="3"/>
      <c r="AX91" s="3"/>
      <c r="AY91" s="3"/>
      <c r="AZ91" s="3"/>
      <c r="BA91" s="3"/>
      <c r="BB91" s="3"/>
      <c r="BC91" s="3"/>
      <c r="BD91" s="3"/>
      <c r="BE91" s="3"/>
      <c r="BF91" s="3"/>
      <c r="BG91" s="3"/>
      <c r="BH91" s="3"/>
      <c r="BI91" s="3"/>
      <c r="BJ91" s="3"/>
      <c r="BK91" s="3"/>
    </row>
    <row r="92" spans="44:63" x14ac:dyDescent="0.25">
      <c r="AR92" s="3"/>
      <c r="AS92" s="3"/>
      <c r="AT92" s="3"/>
      <c r="AU92" s="3"/>
      <c r="AV92" s="3"/>
      <c r="AW92" s="3"/>
      <c r="AX92" s="3"/>
      <c r="AY92" s="3"/>
      <c r="AZ92" s="3"/>
      <c r="BA92" s="3"/>
      <c r="BB92" s="3"/>
      <c r="BC92" s="3"/>
      <c r="BD92" s="3"/>
      <c r="BE92" s="3"/>
      <c r="BF92" s="3"/>
      <c r="BG92" s="3"/>
      <c r="BH92" s="3"/>
      <c r="BI92" s="3"/>
      <c r="BJ92" s="3"/>
      <c r="BK92" s="3"/>
    </row>
    <row r="93" spans="44:63" x14ac:dyDescent="0.25">
      <c r="AR93" s="3"/>
      <c r="AS93" s="3"/>
      <c r="AT93" s="3"/>
      <c r="AU93" s="3"/>
      <c r="AV93" s="3"/>
      <c r="AW93" s="3"/>
      <c r="AX93" s="3"/>
      <c r="AY93" s="3"/>
      <c r="AZ93" s="3"/>
      <c r="BA93" s="3"/>
      <c r="BB93" s="3"/>
      <c r="BC93" s="3"/>
      <c r="BD93" s="3"/>
      <c r="BE93" s="3"/>
      <c r="BF93" s="3"/>
      <c r="BG93" s="3"/>
      <c r="BH93" s="3"/>
      <c r="BI93" s="3"/>
      <c r="BJ93" s="3"/>
      <c r="BK93" s="3"/>
    </row>
    <row r="94" spans="44:63" x14ac:dyDescent="0.25">
      <c r="AR94" s="3"/>
      <c r="AS94" s="3"/>
      <c r="AT94" s="3"/>
      <c r="AU94" s="3"/>
      <c r="AV94" s="3"/>
      <c r="AW94" s="3"/>
      <c r="AX94" s="3"/>
      <c r="AY94" s="3"/>
      <c r="AZ94" s="3"/>
      <c r="BA94" s="3"/>
      <c r="BB94" s="3"/>
      <c r="BC94" s="3"/>
      <c r="BD94" s="3"/>
      <c r="BE94" s="3"/>
      <c r="BF94" s="3"/>
      <c r="BG94" s="3"/>
      <c r="BH94" s="3"/>
      <c r="BI94" s="3"/>
      <c r="BJ94" s="3"/>
      <c r="BK94" s="3"/>
    </row>
    <row r="95" spans="44:63" x14ac:dyDescent="0.25">
      <c r="AR95" s="3"/>
      <c r="AS95" s="3"/>
      <c r="AT95" s="3"/>
      <c r="AU95" s="3"/>
      <c r="AV95" s="3"/>
      <c r="AW95" s="3"/>
      <c r="AX95" s="3"/>
      <c r="AY95" s="3"/>
      <c r="AZ95" s="3"/>
      <c r="BA95" s="3"/>
      <c r="BB95" s="3"/>
      <c r="BC95" s="3"/>
      <c r="BD95" s="3"/>
      <c r="BE95" s="3"/>
      <c r="BF95" s="3"/>
      <c r="BG95" s="3"/>
      <c r="BH95" s="3"/>
      <c r="BI95" s="3"/>
      <c r="BJ95" s="3"/>
      <c r="BK95" s="3"/>
    </row>
    <row r="96" spans="44:63" x14ac:dyDescent="0.25">
      <c r="AR96" s="3"/>
      <c r="AS96" s="3"/>
      <c r="AT96" s="3"/>
      <c r="AU96" s="3"/>
      <c r="AV96" s="3"/>
      <c r="AW96" s="3"/>
      <c r="AX96" s="3"/>
      <c r="AY96" s="3"/>
      <c r="AZ96" s="3"/>
      <c r="BA96" s="3"/>
      <c r="BB96" s="3"/>
      <c r="BC96" s="3"/>
      <c r="BD96" s="3"/>
      <c r="BE96" s="3"/>
      <c r="BF96" s="3"/>
      <c r="BG96" s="3"/>
      <c r="BH96" s="3"/>
      <c r="BI96" s="3"/>
      <c r="BJ96" s="3"/>
      <c r="BK96"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0CA96-F640-4C6A-A286-9473F44ECEB9}">
  <dimension ref="A1:JG129"/>
  <sheetViews>
    <sheetView zoomScale="90" zoomScaleNormal="90" workbookViewId="0">
      <pane xSplit="7" ySplit="1" topLeftCell="IZ98" activePane="bottomRight" state="frozen"/>
      <selection pane="topRight" activeCell="H1" sqref="H1"/>
      <selection pane="bottomLeft" activeCell="A2" sqref="A2"/>
      <selection pane="bottomRight" activeCell="IZ127" sqref="IZ127"/>
    </sheetView>
  </sheetViews>
  <sheetFormatPr defaultRowHeight="15" x14ac:dyDescent="0.25"/>
  <cols>
    <col min="1" max="5" width="9.140625" customWidth="1"/>
    <col min="7" max="267" width="15.7109375" customWidth="1"/>
  </cols>
  <sheetData>
    <row r="1" spans="1:267" s="1" customFormat="1" x14ac:dyDescent="0.25">
      <c r="A1" s="1" t="s">
        <v>0</v>
      </c>
      <c r="B1" s="1" t="s">
        <v>1</v>
      </c>
      <c r="C1" s="1" t="s">
        <v>2</v>
      </c>
      <c r="D1" s="1" t="s">
        <v>3</v>
      </c>
      <c r="E1" s="1" t="s">
        <v>4</v>
      </c>
      <c r="F1" s="1" t="s">
        <v>5</v>
      </c>
      <c r="G1" s="1" t="s">
        <v>6</v>
      </c>
      <c r="H1" s="1" t="s">
        <v>610</v>
      </c>
      <c r="I1" s="1" t="s">
        <v>611</v>
      </c>
      <c r="J1" s="1" t="s">
        <v>612</v>
      </c>
      <c r="K1" s="1" t="s">
        <v>7</v>
      </c>
      <c r="L1" s="1" t="s">
        <v>613</v>
      </c>
      <c r="M1" s="1" t="s">
        <v>614</v>
      </c>
      <c r="N1" s="1" t="s">
        <v>615</v>
      </c>
      <c r="O1" s="1" t="s">
        <v>8</v>
      </c>
      <c r="P1" s="2" t="s">
        <v>649</v>
      </c>
      <c r="Q1" s="2" t="s">
        <v>650</v>
      </c>
      <c r="R1" s="2" t="s">
        <v>651</v>
      </c>
      <c r="S1" s="2" t="s">
        <v>9</v>
      </c>
      <c r="T1" s="2" t="s">
        <v>652</v>
      </c>
      <c r="U1" s="2" t="s">
        <v>653</v>
      </c>
      <c r="V1" s="2" t="s">
        <v>654</v>
      </c>
      <c r="W1" s="2" t="s">
        <v>10</v>
      </c>
      <c r="X1" s="2" t="s">
        <v>655</v>
      </c>
      <c r="Y1" s="2" t="s">
        <v>656</v>
      </c>
      <c r="Z1" s="2" t="s">
        <v>657</v>
      </c>
      <c r="AA1" s="2" t="s">
        <v>11</v>
      </c>
      <c r="AB1" s="2" t="s">
        <v>658</v>
      </c>
      <c r="AC1" s="2" t="s">
        <v>659</v>
      </c>
      <c r="AD1" s="2" t="s">
        <v>660</v>
      </c>
      <c r="AE1" s="2" t="s">
        <v>12</v>
      </c>
      <c r="AF1" s="2" t="s">
        <v>661</v>
      </c>
      <c r="AG1" s="2" t="s">
        <v>662</v>
      </c>
      <c r="AH1" s="2" t="s">
        <v>663</v>
      </c>
      <c r="AI1" s="2" t="s">
        <v>13</v>
      </c>
      <c r="AJ1" s="1" t="s">
        <v>604</v>
      </c>
      <c r="AK1" s="1" t="s">
        <v>605</v>
      </c>
      <c r="AL1" s="1" t="s">
        <v>606</v>
      </c>
      <c r="AM1" s="1" t="s">
        <v>14</v>
      </c>
      <c r="AN1" s="1" t="s">
        <v>607</v>
      </c>
      <c r="AO1" s="1" t="s">
        <v>608</v>
      </c>
      <c r="AP1" s="1" t="s">
        <v>609</v>
      </c>
      <c r="AQ1" s="1" t="s">
        <v>15</v>
      </c>
      <c r="AR1" s="2" t="s">
        <v>664</v>
      </c>
      <c r="AS1" s="2" t="s">
        <v>665</v>
      </c>
      <c r="AT1" s="2" t="s">
        <v>666</v>
      </c>
      <c r="AU1" s="2" t="s">
        <v>16</v>
      </c>
      <c r="AV1" s="2" t="s">
        <v>667</v>
      </c>
      <c r="AW1" s="2" t="s">
        <v>668</v>
      </c>
      <c r="AX1" s="2" t="s">
        <v>669</v>
      </c>
      <c r="AY1" s="2" t="s">
        <v>17</v>
      </c>
      <c r="AZ1" s="2" t="s">
        <v>670</v>
      </c>
      <c r="BA1" s="2" t="s">
        <v>671</v>
      </c>
      <c r="BB1" s="2" t="s">
        <v>672</v>
      </c>
      <c r="BC1" s="2" t="s">
        <v>18</v>
      </c>
      <c r="BD1" s="2" t="s">
        <v>673</v>
      </c>
      <c r="BE1" s="2" t="s">
        <v>674</v>
      </c>
      <c r="BF1" s="2" t="s">
        <v>675</v>
      </c>
      <c r="BG1" s="2" t="s">
        <v>19</v>
      </c>
      <c r="BH1" s="2" t="s">
        <v>676</v>
      </c>
      <c r="BI1" s="2" t="s">
        <v>677</v>
      </c>
      <c r="BJ1" s="2" t="s">
        <v>678</v>
      </c>
      <c r="BK1" s="2" t="s">
        <v>20</v>
      </c>
      <c r="BL1" s="1" t="s">
        <v>21</v>
      </c>
      <c r="BM1" s="1" t="s">
        <v>22</v>
      </c>
      <c r="BN1" s="1" t="s">
        <v>23</v>
      </c>
      <c r="BO1" s="1" t="s">
        <v>24</v>
      </c>
      <c r="BP1" s="1" t="s">
        <v>25</v>
      </c>
      <c r="BQ1" s="1" t="s">
        <v>26</v>
      </c>
      <c r="BR1" s="1" t="s">
        <v>27</v>
      </c>
      <c r="BS1" s="1" t="s">
        <v>28</v>
      </c>
      <c r="BT1" s="2" t="s">
        <v>29</v>
      </c>
      <c r="BU1" s="2" t="s">
        <v>30</v>
      </c>
      <c r="BV1" s="2" t="s">
        <v>31</v>
      </c>
      <c r="BW1" s="2" t="s">
        <v>32</v>
      </c>
      <c r="BX1" s="2" t="s">
        <v>33</v>
      </c>
      <c r="BY1" s="2" t="s">
        <v>34</v>
      </c>
      <c r="BZ1" s="2" t="s">
        <v>35</v>
      </c>
      <c r="CA1" s="2" t="s">
        <v>36</v>
      </c>
      <c r="CB1" s="2" t="s">
        <v>37</v>
      </c>
      <c r="CC1" s="2" t="s">
        <v>38</v>
      </c>
      <c r="CD1" s="2" t="s">
        <v>39</v>
      </c>
      <c r="CE1" s="2" t="s">
        <v>40</v>
      </c>
      <c r="CF1" s="2" t="s">
        <v>41</v>
      </c>
      <c r="CG1" s="2" t="s">
        <v>42</v>
      </c>
      <c r="CH1" s="2" t="s">
        <v>43</v>
      </c>
      <c r="CI1" s="2" t="s">
        <v>44</v>
      </c>
      <c r="CJ1" s="2" t="s">
        <v>45</v>
      </c>
      <c r="CK1" s="2" t="s">
        <v>46</v>
      </c>
      <c r="CL1" s="2" t="s">
        <v>47</v>
      </c>
      <c r="CM1" s="2" t="s">
        <v>48</v>
      </c>
      <c r="CN1" s="1" t="s">
        <v>49</v>
      </c>
      <c r="CO1" s="1" t="s">
        <v>50</v>
      </c>
      <c r="CP1" s="1" t="s">
        <v>51</v>
      </c>
      <c r="CQ1" s="1" t="s">
        <v>52</v>
      </c>
      <c r="CR1" s="1" t="s">
        <v>53</v>
      </c>
      <c r="CS1" s="1" t="s">
        <v>54</v>
      </c>
      <c r="CT1" s="1" t="s">
        <v>55</v>
      </c>
      <c r="CU1" s="1" t="s">
        <v>56</v>
      </c>
      <c r="CV1" s="2" t="s">
        <v>57</v>
      </c>
      <c r="CW1" s="2" t="s">
        <v>58</v>
      </c>
      <c r="CX1" s="2" t="s">
        <v>59</v>
      </c>
      <c r="CY1" s="2" t="s">
        <v>60</v>
      </c>
      <c r="CZ1" s="2" t="s">
        <v>61</v>
      </c>
      <c r="DA1" s="2" t="s">
        <v>62</v>
      </c>
      <c r="DB1" s="2" t="s">
        <v>63</v>
      </c>
      <c r="DC1" s="2" t="s">
        <v>64</v>
      </c>
      <c r="DD1" s="2" t="s">
        <v>65</v>
      </c>
      <c r="DE1" s="2" t="s">
        <v>66</v>
      </c>
      <c r="DF1" s="2" t="s">
        <v>67</v>
      </c>
      <c r="DG1" s="2" t="s">
        <v>68</v>
      </c>
      <c r="DH1" s="2" t="s">
        <v>69</v>
      </c>
      <c r="DI1" s="2" t="s">
        <v>70</v>
      </c>
      <c r="DJ1" s="2" t="s">
        <v>71</v>
      </c>
      <c r="DK1" s="2" t="s">
        <v>72</v>
      </c>
      <c r="DL1" s="2" t="s">
        <v>73</v>
      </c>
      <c r="DM1" s="2" t="s">
        <v>74</v>
      </c>
      <c r="DN1" s="2" t="s">
        <v>75</v>
      </c>
      <c r="DO1" s="2" t="s">
        <v>76</v>
      </c>
      <c r="DP1" s="1" t="s">
        <v>77</v>
      </c>
      <c r="DQ1" s="1" t="s">
        <v>78</v>
      </c>
      <c r="DR1" s="1" t="s">
        <v>79</v>
      </c>
      <c r="DS1" s="1" t="s">
        <v>80</v>
      </c>
      <c r="DT1" s="1" t="s">
        <v>81</v>
      </c>
      <c r="DU1" s="1" t="s">
        <v>82</v>
      </c>
      <c r="DV1" s="1" t="s">
        <v>83</v>
      </c>
      <c r="DW1" s="1" t="s">
        <v>84</v>
      </c>
      <c r="DX1" s="2" t="s">
        <v>85</v>
      </c>
      <c r="DY1" s="2" t="s">
        <v>86</v>
      </c>
      <c r="DZ1" s="2" t="s">
        <v>87</v>
      </c>
      <c r="EA1" s="2" t="s">
        <v>88</v>
      </c>
      <c r="EB1" s="2" t="s">
        <v>89</v>
      </c>
      <c r="EC1" s="2" t="s">
        <v>90</v>
      </c>
      <c r="ED1" s="2" t="s">
        <v>91</v>
      </c>
      <c r="EE1" s="2" t="s">
        <v>92</v>
      </c>
      <c r="EF1" s="2" t="s">
        <v>93</v>
      </c>
      <c r="EG1" s="2" t="s">
        <v>94</v>
      </c>
      <c r="EH1" s="2" t="s">
        <v>95</v>
      </c>
      <c r="EI1" s="2" t="s">
        <v>96</v>
      </c>
      <c r="EJ1" s="2" t="s">
        <v>97</v>
      </c>
      <c r="EK1" s="2" t="s">
        <v>98</v>
      </c>
      <c r="EL1" s="2" t="s">
        <v>99</v>
      </c>
      <c r="EM1" s="2" t="s">
        <v>100</v>
      </c>
      <c r="EN1" s="2" t="s">
        <v>101</v>
      </c>
      <c r="EO1" s="2" t="s">
        <v>102</v>
      </c>
      <c r="EP1" s="2" t="s">
        <v>103</v>
      </c>
      <c r="EQ1" s="2" t="s">
        <v>104</v>
      </c>
      <c r="ER1" s="1" t="s">
        <v>105</v>
      </c>
      <c r="ES1" s="1" t="s">
        <v>106</v>
      </c>
      <c r="ET1" s="1" t="s">
        <v>107</v>
      </c>
      <c r="EU1" s="1" t="s">
        <v>108</v>
      </c>
      <c r="EV1" s="1" t="s">
        <v>109</v>
      </c>
      <c r="EW1" s="1" t="s">
        <v>110</v>
      </c>
      <c r="EX1" s="1" t="s">
        <v>111</v>
      </c>
      <c r="EY1" s="1" t="s">
        <v>112</v>
      </c>
      <c r="EZ1" s="2" t="s">
        <v>113</v>
      </c>
      <c r="FA1" s="2" t="s">
        <v>114</v>
      </c>
      <c r="FB1" s="2" t="s">
        <v>115</v>
      </c>
      <c r="FC1" s="2" t="s">
        <v>116</v>
      </c>
      <c r="FD1" s="2" t="s">
        <v>117</v>
      </c>
      <c r="FE1" s="2" t="s">
        <v>118</v>
      </c>
      <c r="FF1" s="2" t="s">
        <v>119</v>
      </c>
      <c r="FG1" s="2" t="s">
        <v>120</v>
      </c>
      <c r="FH1" s="2" t="s">
        <v>121</v>
      </c>
      <c r="FI1" s="2" t="s">
        <v>122</v>
      </c>
      <c r="FJ1" s="2" t="s">
        <v>123</v>
      </c>
      <c r="FK1" s="2" t="s">
        <v>124</v>
      </c>
      <c r="FL1" s="2" t="s">
        <v>125</v>
      </c>
      <c r="FM1" s="2" t="s">
        <v>126</v>
      </c>
      <c r="FN1" s="2" t="s">
        <v>127</v>
      </c>
      <c r="FO1" s="2" t="s">
        <v>128</v>
      </c>
      <c r="FP1" s="2" t="s">
        <v>129</v>
      </c>
      <c r="FQ1" s="2" t="s">
        <v>130</v>
      </c>
      <c r="FR1" s="2" t="s">
        <v>131</v>
      </c>
      <c r="FS1" s="2" t="s">
        <v>132</v>
      </c>
      <c r="FT1" s="1" t="s">
        <v>133</v>
      </c>
      <c r="FU1" s="1" t="s">
        <v>134</v>
      </c>
      <c r="FV1" s="1" t="s">
        <v>135</v>
      </c>
      <c r="FW1" s="1" t="s">
        <v>136</v>
      </c>
      <c r="FX1" s="1" t="s">
        <v>137</v>
      </c>
      <c r="FY1" s="1" t="s">
        <v>138</v>
      </c>
      <c r="FZ1" s="1" t="s">
        <v>139</v>
      </c>
      <c r="GA1" s="1" t="s">
        <v>140</v>
      </c>
      <c r="GB1" s="2" t="s">
        <v>141</v>
      </c>
      <c r="GC1" s="2" t="s">
        <v>142</v>
      </c>
      <c r="GD1" s="2" t="s">
        <v>143</v>
      </c>
      <c r="GE1" s="2" t="s">
        <v>144</v>
      </c>
      <c r="GF1" s="2" t="s">
        <v>145</v>
      </c>
      <c r="GG1" s="2" t="s">
        <v>146</v>
      </c>
      <c r="GH1" s="2" t="s">
        <v>147</v>
      </c>
      <c r="GI1" s="2" t="s">
        <v>148</v>
      </c>
      <c r="GJ1" s="2" t="s">
        <v>149</v>
      </c>
      <c r="GK1" s="2" t="s">
        <v>150</v>
      </c>
      <c r="GL1" s="2" t="s">
        <v>151</v>
      </c>
      <c r="GM1" s="2" t="s">
        <v>152</v>
      </c>
      <c r="GN1" s="2" t="s">
        <v>153</v>
      </c>
      <c r="GO1" s="2" t="s">
        <v>154</v>
      </c>
      <c r="GP1" s="2" t="s">
        <v>155</v>
      </c>
      <c r="GQ1" s="2" t="s">
        <v>156</v>
      </c>
      <c r="GR1" s="2" t="s">
        <v>157</v>
      </c>
      <c r="GS1" s="2" t="s">
        <v>158</v>
      </c>
      <c r="GT1" s="2" t="s">
        <v>159</v>
      </c>
      <c r="GU1" s="2" t="s">
        <v>160</v>
      </c>
      <c r="GV1" s="1" t="s">
        <v>161</v>
      </c>
      <c r="GW1" s="1" t="s">
        <v>162</v>
      </c>
      <c r="GX1" s="1" t="s">
        <v>163</v>
      </c>
      <c r="GY1" s="1" t="s">
        <v>164</v>
      </c>
      <c r="GZ1" s="1" t="s">
        <v>165</v>
      </c>
      <c r="HA1" s="1" t="s">
        <v>166</v>
      </c>
      <c r="HB1" s="1" t="s">
        <v>167</v>
      </c>
      <c r="HC1" s="1" t="s">
        <v>168</v>
      </c>
      <c r="HD1" s="2" t="s">
        <v>169</v>
      </c>
      <c r="HE1" s="2" t="s">
        <v>170</v>
      </c>
      <c r="HF1" s="2" t="s">
        <v>171</v>
      </c>
      <c r="HG1" s="2" t="s">
        <v>172</v>
      </c>
      <c r="HH1" s="2" t="s">
        <v>173</v>
      </c>
      <c r="HI1" s="2" t="s">
        <v>174</v>
      </c>
      <c r="HJ1" s="2" t="s">
        <v>175</v>
      </c>
      <c r="HK1" s="2" t="s">
        <v>176</v>
      </c>
      <c r="HL1" s="2" t="s">
        <v>177</v>
      </c>
      <c r="HM1" s="2" t="s">
        <v>178</v>
      </c>
      <c r="HN1" s="2" t="s">
        <v>179</v>
      </c>
      <c r="HO1" s="2" t="s">
        <v>180</v>
      </c>
      <c r="HP1" s="2" t="s">
        <v>181</v>
      </c>
      <c r="HQ1" s="2" t="s">
        <v>182</v>
      </c>
      <c r="HR1" s="2" t="s">
        <v>183</v>
      </c>
      <c r="HS1" s="2" t="s">
        <v>184</v>
      </c>
      <c r="HT1" s="2" t="s">
        <v>185</v>
      </c>
      <c r="HU1" s="2" t="s">
        <v>186</v>
      </c>
      <c r="HV1" s="2" t="s">
        <v>187</v>
      </c>
      <c r="HW1" s="2" t="s">
        <v>188</v>
      </c>
      <c r="HX1" s="1" t="s">
        <v>189</v>
      </c>
      <c r="HY1" s="1" t="s">
        <v>190</v>
      </c>
      <c r="HZ1" s="1" t="s">
        <v>191</v>
      </c>
      <c r="IA1" s="1" t="s">
        <v>192</v>
      </c>
      <c r="IB1" s="1" t="s">
        <v>193</v>
      </c>
      <c r="IC1" s="1" t="s">
        <v>194</v>
      </c>
      <c r="ID1" s="1" t="s">
        <v>195</v>
      </c>
      <c r="IE1" s="1" t="s">
        <v>196</v>
      </c>
      <c r="IF1" s="2" t="s">
        <v>1309</v>
      </c>
      <c r="IG1" s="2" t="s">
        <v>1310</v>
      </c>
      <c r="IH1" s="2" t="s">
        <v>1312</v>
      </c>
      <c r="II1" s="2" t="s">
        <v>1313</v>
      </c>
      <c r="IJ1" s="2" t="s">
        <v>1314</v>
      </c>
      <c r="IK1" s="2" t="s">
        <v>1315</v>
      </c>
      <c r="IL1" s="2" t="s">
        <v>1317</v>
      </c>
      <c r="IM1" s="2" t="s">
        <v>1318</v>
      </c>
      <c r="IN1" s="2" t="s">
        <v>1319</v>
      </c>
      <c r="IO1" s="2" t="s">
        <v>1320</v>
      </c>
      <c r="IP1" s="2" t="s">
        <v>1322</v>
      </c>
      <c r="IQ1" s="2" t="s">
        <v>1323</v>
      </c>
      <c r="IR1" s="2" t="s">
        <v>1324</v>
      </c>
      <c r="IS1" s="2" t="s">
        <v>1325</v>
      </c>
      <c r="IT1" s="2" t="s">
        <v>1327</v>
      </c>
      <c r="IU1" s="2" t="s">
        <v>1328</v>
      </c>
      <c r="IV1" s="2" t="s">
        <v>1329</v>
      </c>
      <c r="IW1" s="2" t="s">
        <v>1330</v>
      </c>
      <c r="IX1" s="2" t="s">
        <v>1332</v>
      </c>
      <c r="IY1" s="2" t="s">
        <v>1333</v>
      </c>
      <c r="IZ1" s="1" t="s">
        <v>1334</v>
      </c>
      <c r="JA1" s="1" t="s">
        <v>1335</v>
      </c>
      <c r="JB1" s="1" t="s">
        <v>1337</v>
      </c>
      <c r="JC1" s="1" t="s">
        <v>1338</v>
      </c>
      <c r="JD1" s="1" t="s">
        <v>1339</v>
      </c>
      <c r="JE1" s="1" t="s">
        <v>1340</v>
      </c>
      <c r="JF1" s="1" t="s">
        <v>1342</v>
      </c>
      <c r="JG1" s="1" t="s">
        <v>1343</v>
      </c>
    </row>
    <row r="2" spans="1:267" x14ac:dyDescent="0.25">
      <c r="A2" t="s">
        <v>197</v>
      </c>
      <c r="B2" t="s">
        <v>198</v>
      </c>
      <c r="C2" t="s">
        <v>199</v>
      </c>
      <c r="D2" t="s">
        <v>200</v>
      </c>
      <c r="E2" t="s">
        <v>201</v>
      </c>
      <c r="F2" t="s">
        <v>202</v>
      </c>
      <c r="G2" t="s">
        <v>203</v>
      </c>
      <c r="H2" s="3">
        <v>231652000</v>
      </c>
      <c r="I2" s="3">
        <v>334358000</v>
      </c>
      <c r="J2" s="3">
        <v>0</v>
      </c>
      <c r="K2" s="3">
        <v>566010000</v>
      </c>
      <c r="L2" s="3">
        <v>314230000</v>
      </c>
      <c r="M2" s="3">
        <v>334358000</v>
      </c>
      <c r="N2" s="3">
        <v>0</v>
      </c>
      <c r="O2" s="3">
        <v>648588000</v>
      </c>
      <c r="P2" s="3">
        <v>314230000</v>
      </c>
      <c r="Q2" s="3">
        <v>334358000</v>
      </c>
      <c r="R2" s="3">
        <v>0</v>
      </c>
      <c r="S2" s="3">
        <v>648588000</v>
      </c>
      <c r="T2" s="3">
        <v>317097465</v>
      </c>
      <c r="U2" s="3">
        <v>331490535</v>
      </c>
      <c r="V2" s="3">
        <v>0</v>
      </c>
      <c r="W2" s="3">
        <v>648588000</v>
      </c>
      <c r="X2" s="3">
        <v>317097465</v>
      </c>
      <c r="Y2" s="3">
        <v>331490535</v>
      </c>
      <c r="Z2" s="3">
        <v>0</v>
      </c>
      <c r="AA2" s="3">
        <v>648588000</v>
      </c>
      <c r="AB2" s="3">
        <v>317095243</v>
      </c>
      <c r="AC2" s="3">
        <v>321217730.94</v>
      </c>
      <c r="AD2" s="3">
        <v>0</v>
      </c>
      <c r="AE2" s="3">
        <v>638312973.94000006</v>
      </c>
      <c r="AF2" s="3">
        <v>314048079.70999998</v>
      </c>
      <c r="AG2" s="3">
        <v>231855526.69</v>
      </c>
      <c r="AH2" s="3">
        <v>0</v>
      </c>
      <c r="AI2" s="3">
        <v>545903606.39999998</v>
      </c>
      <c r="AJ2" s="3">
        <v>254284000</v>
      </c>
      <c r="AK2" s="3">
        <v>303006000</v>
      </c>
      <c r="AL2" s="3">
        <v>60000000</v>
      </c>
      <c r="AM2" s="3">
        <v>617290000</v>
      </c>
      <c r="AN2" s="3">
        <v>254284000</v>
      </c>
      <c r="AO2" s="3">
        <v>303006000</v>
      </c>
      <c r="AP2" s="3">
        <v>23500000</v>
      </c>
      <c r="AQ2" s="3">
        <v>580790000</v>
      </c>
      <c r="AR2" s="3">
        <v>254284000</v>
      </c>
      <c r="AS2" s="3">
        <v>303006000</v>
      </c>
      <c r="AT2" s="3">
        <v>23500000</v>
      </c>
      <c r="AU2" s="3">
        <v>580790000</v>
      </c>
      <c r="AV2" s="3">
        <v>257302360</v>
      </c>
      <c r="AW2" s="3">
        <v>299987640</v>
      </c>
      <c r="AX2" s="3">
        <v>23500000</v>
      </c>
      <c r="AY2" s="3">
        <v>580790000</v>
      </c>
      <c r="AZ2" s="3">
        <v>257302360</v>
      </c>
      <c r="BA2" s="3">
        <v>299987640</v>
      </c>
      <c r="BB2" s="3">
        <v>23500000</v>
      </c>
      <c r="BC2" s="3">
        <v>580790000</v>
      </c>
      <c r="BD2" s="3">
        <v>254242887.00999999</v>
      </c>
      <c r="BE2" s="3">
        <v>280119308.91000003</v>
      </c>
      <c r="BF2" s="3">
        <v>10367588</v>
      </c>
      <c r="BG2" s="3">
        <v>544729783.91999996</v>
      </c>
      <c r="BH2" s="3">
        <v>250972730.13</v>
      </c>
      <c r="BI2" s="3">
        <v>228649507.38999999</v>
      </c>
      <c r="BJ2" s="3">
        <v>0</v>
      </c>
      <c r="BK2" s="3">
        <v>479622237.51999998</v>
      </c>
      <c r="BL2" s="3">
        <v>325133000</v>
      </c>
      <c r="BM2" s="3">
        <v>303008000</v>
      </c>
      <c r="BN2" s="3">
        <v>0</v>
      </c>
      <c r="BO2" s="3">
        <v>628141000</v>
      </c>
      <c r="BP2" s="3">
        <v>325133000</v>
      </c>
      <c r="BQ2" s="3">
        <v>303008000</v>
      </c>
      <c r="BR2" s="3">
        <v>0</v>
      </c>
      <c r="BS2" s="3">
        <v>628141000</v>
      </c>
      <c r="BT2" s="3">
        <v>325133000</v>
      </c>
      <c r="BU2" s="3">
        <v>303008000</v>
      </c>
      <c r="BV2" s="3">
        <v>0</v>
      </c>
      <c r="BW2" s="3">
        <v>628141000</v>
      </c>
      <c r="BX2" s="3">
        <v>325133000</v>
      </c>
      <c r="BY2" s="3">
        <v>303008000</v>
      </c>
      <c r="BZ2" s="3">
        <v>0</v>
      </c>
      <c r="CA2" s="3">
        <v>628141000</v>
      </c>
      <c r="CB2" s="3">
        <v>325133000</v>
      </c>
      <c r="CC2" s="3">
        <v>303008000</v>
      </c>
      <c r="CD2" s="3">
        <v>0</v>
      </c>
      <c r="CE2" s="3">
        <v>628141000</v>
      </c>
      <c r="CF2" s="3">
        <v>325132967.24000001</v>
      </c>
      <c r="CG2" s="3">
        <v>299540320.98000002</v>
      </c>
      <c r="CH2" s="3">
        <v>0</v>
      </c>
      <c r="CI2" s="3">
        <v>624673288.22000003</v>
      </c>
      <c r="CJ2" s="3">
        <v>309743433.73000002</v>
      </c>
      <c r="CK2" s="3">
        <v>229783130.12</v>
      </c>
      <c r="CL2" s="3">
        <v>0</v>
      </c>
      <c r="CM2" s="3">
        <v>539526563.85000002</v>
      </c>
      <c r="CN2" s="3">
        <v>339461000</v>
      </c>
      <c r="CO2" s="3">
        <v>304591000</v>
      </c>
      <c r="CP2" s="3">
        <v>0</v>
      </c>
      <c r="CQ2" s="3">
        <v>644052000</v>
      </c>
      <c r="CR2" s="3">
        <v>339461000</v>
      </c>
      <c r="CS2" s="3">
        <v>304591000</v>
      </c>
      <c r="CT2" s="3">
        <v>0</v>
      </c>
      <c r="CU2" s="3">
        <v>644052000</v>
      </c>
      <c r="CV2" s="3">
        <v>339461000</v>
      </c>
      <c r="CW2" s="3">
        <v>304591000</v>
      </c>
      <c r="CX2" s="3">
        <v>0</v>
      </c>
      <c r="CY2" s="3">
        <v>644052000</v>
      </c>
      <c r="CZ2" s="3">
        <v>345095904</v>
      </c>
      <c r="DA2" s="3">
        <v>298956096</v>
      </c>
      <c r="DB2" s="3">
        <v>0</v>
      </c>
      <c r="DC2" s="3">
        <v>644052000</v>
      </c>
      <c r="DD2" s="3">
        <v>345095904</v>
      </c>
      <c r="DE2" s="3">
        <v>298956096</v>
      </c>
      <c r="DF2" s="3">
        <v>0</v>
      </c>
      <c r="DG2" s="3">
        <v>644052000</v>
      </c>
      <c r="DH2" s="3">
        <v>345095602.66000003</v>
      </c>
      <c r="DI2" s="3">
        <v>275872979.75999999</v>
      </c>
      <c r="DJ2" s="3">
        <v>0</v>
      </c>
      <c r="DK2" s="3">
        <v>620968582.32000005</v>
      </c>
      <c r="DL2" s="3">
        <v>343995530.33999997</v>
      </c>
      <c r="DM2" s="3">
        <v>229403468.68000001</v>
      </c>
      <c r="DN2" s="3">
        <v>0</v>
      </c>
      <c r="DO2" s="3">
        <v>573398999.01999998</v>
      </c>
      <c r="DP2" s="3">
        <v>365588000</v>
      </c>
      <c r="DQ2" s="3">
        <v>304591000</v>
      </c>
      <c r="DR2" s="3">
        <v>0</v>
      </c>
      <c r="DS2" s="3">
        <v>670179000</v>
      </c>
      <c r="DT2" s="3">
        <v>365588000</v>
      </c>
      <c r="DU2" s="3">
        <v>304591000</v>
      </c>
      <c r="DV2" s="3">
        <v>0</v>
      </c>
      <c r="DW2" s="3">
        <v>670179000</v>
      </c>
      <c r="DX2" s="3">
        <v>365588000</v>
      </c>
      <c r="DY2" s="3">
        <v>304591000</v>
      </c>
      <c r="DZ2" s="3">
        <v>0</v>
      </c>
      <c r="EA2" s="3">
        <v>670179000</v>
      </c>
      <c r="EB2" s="3">
        <v>365588000</v>
      </c>
      <c r="EC2" s="3">
        <v>304591000</v>
      </c>
      <c r="ED2" s="3">
        <v>0</v>
      </c>
      <c r="EE2" s="3">
        <v>670179000</v>
      </c>
      <c r="EF2" s="3">
        <v>365588000</v>
      </c>
      <c r="EG2" s="3">
        <v>304591000</v>
      </c>
      <c r="EH2" s="3">
        <v>0</v>
      </c>
      <c r="EI2" s="3">
        <v>670179000</v>
      </c>
      <c r="EJ2" s="3">
        <v>365588000</v>
      </c>
      <c r="EK2" s="3">
        <v>246769785.19999999</v>
      </c>
      <c r="EL2" s="3">
        <v>0</v>
      </c>
      <c r="EM2" s="3">
        <v>612357785.20000005</v>
      </c>
      <c r="EN2" s="3">
        <v>365127634.07999998</v>
      </c>
      <c r="EO2" s="3">
        <v>210743261.27000001</v>
      </c>
      <c r="EP2" s="3">
        <v>0</v>
      </c>
      <c r="EQ2" s="3">
        <v>575870895.35000002</v>
      </c>
      <c r="ER2" s="3">
        <v>374115000</v>
      </c>
      <c r="ES2" s="3">
        <v>312056000</v>
      </c>
      <c r="ET2" s="3">
        <v>0</v>
      </c>
      <c r="EU2" s="3">
        <v>686171000</v>
      </c>
      <c r="EV2" s="3">
        <v>374115000</v>
      </c>
      <c r="EW2" s="3">
        <v>312056000</v>
      </c>
      <c r="EX2" s="3">
        <v>0</v>
      </c>
      <c r="EY2" s="3">
        <v>686171000</v>
      </c>
      <c r="EZ2" s="3">
        <v>374115000</v>
      </c>
      <c r="FA2" s="3">
        <v>312056000</v>
      </c>
      <c r="FB2" s="3">
        <v>0</v>
      </c>
      <c r="FC2" s="3">
        <v>686171000</v>
      </c>
      <c r="FD2" s="3">
        <v>374115000</v>
      </c>
      <c r="FE2" s="3">
        <v>312056000</v>
      </c>
      <c r="FF2" s="3">
        <v>0</v>
      </c>
      <c r="FG2" s="3">
        <v>686171000</v>
      </c>
      <c r="FH2" s="3">
        <v>374115000</v>
      </c>
      <c r="FI2" s="3">
        <v>312056000</v>
      </c>
      <c r="FJ2" s="3">
        <v>0</v>
      </c>
      <c r="FK2" s="3">
        <v>686171000</v>
      </c>
      <c r="FL2" s="3">
        <v>374113394.13999999</v>
      </c>
      <c r="FM2" s="3">
        <v>296277960.33999997</v>
      </c>
      <c r="FN2" s="3">
        <v>0</v>
      </c>
      <c r="FO2" s="3">
        <v>670391354.48000002</v>
      </c>
      <c r="FP2" s="3">
        <v>372211892.02999997</v>
      </c>
      <c r="FQ2" s="3">
        <v>231924810.56999999</v>
      </c>
      <c r="FR2" s="3">
        <v>0</v>
      </c>
      <c r="FS2" s="3">
        <v>604136702.60000002</v>
      </c>
      <c r="FT2" s="3">
        <v>364840000</v>
      </c>
      <c r="FU2" s="3">
        <v>257315000</v>
      </c>
      <c r="FV2" s="3">
        <v>65600000</v>
      </c>
      <c r="FW2" s="3">
        <v>687755000</v>
      </c>
      <c r="FX2" s="3">
        <v>364840000</v>
      </c>
      <c r="FY2" s="3">
        <v>257315000</v>
      </c>
      <c r="FZ2" s="3">
        <v>65600000</v>
      </c>
      <c r="GA2" s="3">
        <v>687755000</v>
      </c>
      <c r="GB2" s="3">
        <v>364840000</v>
      </c>
      <c r="GC2" s="3">
        <v>257315000</v>
      </c>
      <c r="GD2" s="3">
        <v>65600000</v>
      </c>
      <c r="GE2" s="3">
        <v>687755000</v>
      </c>
      <c r="GF2" s="3">
        <v>520570444</v>
      </c>
      <c r="GG2" s="3">
        <v>257315000</v>
      </c>
      <c r="GH2" s="3">
        <v>65600000</v>
      </c>
      <c r="GI2" s="3">
        <v>843485444</v>
      </c>
      <c r="GJ2" s="3">
        <v>520570444</v>
      </c>
      <c r="GK2" s="3">
        <v>257315000</v>
      </c>
      <c r="GL2" s="3">
        <v>65600000</v>
      </c>
      <c r="GM2" s="3">
        <v>843485444</v>
      </c>
      <c r="GN2" s="3">
        <v>520570443.12</v>
      </c>
      <c r="GO2" s="3">
        <v>253835876.97999999</v>
      </c>
      <c r="GP2" s="3">
        <v>56996445</v>
      </c>
      <c r="GQ2" s="3">
        <v>831402765.10000002</v>
      </c>
      <c r="GR2" s="3">
        <v>519620680.08999997</v>
      </c>
      <c r="GS2" s="3">
        <v>223267776.97</v>
      </c>
      <c r="GT2" s="3">
        <v>0</v>
      </c>
      <c r="GU2" s="3">
        <v>742888457.05999994</v>
      </c>
      <c r="GV2" s="3">
        <v>1366332000</v>
      </c>
      <c r="GW2" s="3">
        <v>667806000</v>
      </c>
      <c r="GX2" s="3">
        <v>126400000</v>
      </c>
      <c r="GY2" s="3">
        <v>2160538000</v>
      </c>
      <c r="GZ2" s="3">
        <v>1366332000</v>
      </c>
      <c r="HA2" s="3">
        <v>677806000</v>
      </c>
      <c r="HB2" s="3">
        <v>351400000</v>
      </c>
      <c r="HC2" s="3">
        <v>2395538000</v>
      </c>
      <c r="HD2" s="3">
        <v>1366332000</v>
      </c>
      <c r="HE2" s="3">
        <v>677806000</v>
      </c>
      <c r="HF2" s="3">
        <v>351400000</v>
      </c>
      <c r="HG2" s="3">
        <v>2395538000</v>
      </c>
      <c r="HH2" s="3">
        <v>1645208948.3299999</v>
      </c>
      <c r="HI2" s="3">
        <v>671893051.66999996</v>
      </c>
      <c r="HJ2" s="3">
        <v>351400000</v>
      </c>
      <c r="HK2" s="3">
        <v>2668502000</v>
      </c>
      <c r="HL2" s="3">
        <v>1645208948.3299999</v>
      </c>
      <c r="HM2" s="3">
        <v>671893051.66999996</v>
      </c>
      <c r="HN2" s="3">
        <v>126400000</v>
      </c>
      <c r="HO2" s="3">
        <v>2443502000</v>
      </c>
      <c r="HP2" s="3">
        <v>1645174748.26</v>
      </c>
      <c r="HQ2" s="3">
        <v>584844195.37</v>
      </c>
      <c r="HR2" s="3">
        <v>0</v>
      </c>
      <c r="HS2" s="3">
        <v>2230018943.6300001</v>
      </c>
      <c r="HT2" s="3">
        <v>1586568841.75</v>
      </c>
      <c r="HU2" s="3">
        <v>500499872.94</v>
      </c>
      <c r="HV2" s="3">
        <v>0</v>
      </c>
      <c r="HW2" s="3">
        <v>2087068714.6900001</v>
      </c>
      <c r="HX2" s="3">
        <v>1593131000</v>
      </c>
      <c r="HY2" s="3">
        <v>2099794000</v>
      </c>
      <c r="HZ2" s="3">
        <v>43700000</v>
      </c>
      <c r="IA2" s="3">
        <v>3736625000</v>
      </c>
      <c r="IB2" s="3">
        <v>1593131000</v>
      </c>
      <c r="IC2" s="3">
        <v>2099794000</v>
      </c>
      <c r="ID2" s="3">
        <v>43700000</v>
      </c>
      <c r="IE2" s="3">
        <v>3736625000</v>
      </c>
      <c r="IF2" s="3"/>
      <c r="IG2" s="3"/>
      <c r="IH2" s="3"/>
      <c r="II2" s="3"/>
      <c r="IJ2" s="3"/>
      <c r="IK2" s="3"/>
      <c r="IL2" s="3"/>
      <c r="IM2" s="3"/>
      <c r="IN2" s="3"/>
      <c r="IO2" s="3"/>
      <c r="IP2" s="3"/>
      <c r="IQ2" s="3"/>
      <c r="IR2" s="3"/>
      <c r="IS2" s="3"/>
      <c r="IT2" s="3"/>
      <c r="IU2" s="3"/>
      <c r="IV2" s="3"/>
      <c r="IW2" s="3"/>
      <c r="IX2" s="3"/>
      <c r="IY2" s="3"/>
      <c r="IZ2" s="3">
        <v>1578336000</v>
      </c>
      <c r="JA2" s="3">
        <v>2102590000</v>
      </c>
      <c r="JB2" s="3">
        <v>0</v>
      </c>
      <c r="JC2" s="3">
        <v>3680926000</v>
      </c>
      <c r="JD2" s="3"/>
      <c r="JE2" s="3"/>
      <c r="JF2" s="3"/>
      <c r="JG2" s="3"/>
    </row>
    <row r="3" spans="1:267" x14ac:dyDescent="0.25">
      <c r="A3" t="s">
        <v>197</v>
      </c>
      <c r="B3" t="s">
        <v>198</v>
      </c>
      <c r="C3" t="s">
        <v>199</v>
      </c>
      <c r="D3" t="s">
        <v>200</v>
      </c>
      <c r="E3" t="s">
        <v>201</v>
      </c>
      <c r="F3" t="s">
        <v>204</v>
      </c>
      <c r="G3" t="s">
        <v>205</v>
      </c>
      <c r="H3" s="3">
        <v>8135838000</v>
      </c>
      <c r="I3" s="3">
        <v>0</v>
      </c>
      <c r="J3" s="3">
        <v>0</v>
      </c>
      <c r="K3" s="3">
        <v>8135838000</v>
      </c>
      <c r="L3" s="3">
        <v>8135838000</v>
      </c>
      <c r="M3" s="3">
        <v>0</v>
      </c>
      <c r="N3" s="3">
        <v>0</v>
      </c>
      <c r="O3" s="3">
        <v>8135838000</v>
      </c>
      <c r="P3" s="3">
        <v>8135838000</v>
      </c>
      <c r="Q3" s="3">
        <v>0</v>
      </c>
      <c r="R3" s="3">
        <v>0</v>
      </c>
      <c r="S3" s="3">
        <v>8135838000</v>
      </c>
      <c r="T3" s="3">
        <v>8812570897.3799992</v>
      </c>
      <c r="U3" s="3">
        <v>0</v>
      </c>
      <c r="V3" s="3">
        <v>0</v>
      </c>
      <c r="W3" s="3">
        <v>8812570897.3799992</v>
      </c>
      <c r="X3" s="3">
        <v>4974861583.3800001</v>
      </c>
      <c r="Y3" s="3">
        <v>0</v>
      </c>
      <c r="Z3" s="3">
        <v>0</v>
      </c>
      <c r="AA3" s="3">
        <v>4974861583.3800001</v>
      </c>
      <c r="AB3" s="3">
        <v>4628635999.8800001</v>
      </c>
      <c r="AC3" s="3">
        <v>0</v>
      </c>
      <c r="AD3" s="3">
        <v>0</v>
      </c>
      <c r="AE3" s="3">
        <v>4628635999.8800001</v>
      </c>
      <c r="AF3" s="3">
        <v>3906873966.5100002</v>
      </c>
      <c r="AG3" s="3">
        <v>0</v>
      </c>
      <c r="AH3" s="3">
        <v>0</v>
      </c>
      <c r="AI3" s="3">
        <v>3906873966.5100002</v>
      </c>
      <c r="AJ3" s="3">
        <v>7716620000</v>
      </c>
      <c r="AK3" s="3">
        <v>0</v>
      </c>
      <c r="AL3" s="3">
        <v>0</v>
      </c>
      <c r="AM3" s="3">
        <v>7716620000</v>
      </c>
      <c r="AN3" s="3">
        <v>7716620000</v>
      </c>
      <c r="AO3" s="3">
        <v>0</v>
      </c>
      <c r="AP3" s="3">
        <v>0</v>
      </c>
      <c r="AQ3" s="3">
        <v>7716620000</v>
      </c>
      <c r="AR3" s="3">
        <v>7716620000</v>
      </c>
      <c r="AS3" s="3">
        <v>0</v>
      </c>
      <c r="AT3" s="3">
        <v>0</v>
      </c>
      <c r="AU3" s="3">
        <v>7716620000</v>
      </c>
      <c r="AV3" s="3">
        <v>7716620000</v>
      </c>
      <c r="AW3" s="3">
        <v>0</v>
      </c>
      <c r="AX3" s="3">
        <v>0</v>
      </c>
      <c r="AY3" s="3">
        <v>7716620000</v>
      </c>
      <c r="AZ3" s="3">
        <v>4438586320.6499996</v>
      </c>
      <c r="BA3" s="3">
        <v>0</v>
      </c>
      <c r="BB3" s="3">
        <v>0</v>
      </c>
      <c r="BC3" s="3">
        <v>4438586320.6499996</v>
      </c>
      <c r="BD3" s="3">
        <v>4304494674.3800001</v>
      </c>
      <c r="BE3" s="3">
        <v>0</v>
      </c>
      <c r="BF3" s="3">
        <v>0</v>
      </c>
      <c r="BG3" s="3">
        <v>4304494674.3800001</v>
      </c>
      <c r="BH3" s="3">
        <v>4098249910.73</v>
      </c>
      <c r="BI3" s="3">
        <v>0</v>
      </c>
      <c r="BJ3" s="3">
        <v>0</v>
      </c>
      <c r="BK3" s="3">
        <v>4098249910.73</v>
      </c>
      <c r="BL3" s="3">
        <v>6009740000</v>
      </c>
      <c r="BM3" s="3">
        <v>0</v>
      </c>
      <c r="BN3" s="3">
        <v>0</v>
      </c>
      <c r="BO3" s="3">
        <v>6009740000</v>
      </c>
      <c r="BP3" s="3">
        <v>6009740000</v>
      </c>
      <c r="BQ3" s="3">
        <v>0</v>
      </c>
      <c r="BR3" s="3">
        <v>0</v>
      </c>
      <c r="BS3" s="3">
        <v>6009740000</v>
      </c>
      <c r="BT3" s="3">
        <v>6009740000</v>
      </c>
      <c r="BU3" s="3">
        <v>0</v>
      </c>
      <c r="BV3" s="3">
        <v>0</v>
      </c>
      <c r="BW3" s="3">
        <v>6009740000</v>
      </c>
      <c r="BX3" s="3">
        <v>6014859520</v>
      </c>
      <c r="BY3" s="3">
        <v>0</v>
      </c>
      <c r="BZ3" s="3">
        <v>0</v>
      </c>
      <c r="CA3" s="3">
        <v>6014859520</v>
      </c>
      <c r="CB3" s="3">
        <v>6014859520</v>
      </c>
      <c r="CC3" s="3">
        <v>0</v>
      </c>
      <c r="CD3" s="3">
        <v>0</v>
      </c>
      <c r="CE3" s="3">
        <v>6014859520</v>
      </c>
      <c r="CF3" s="3">
        <v>5724445347.8800001</v>
      </c>
      <c r="CG3" s="3">
        <v>0</v>
      </c>
      <c r="CH3" s="3">
        <v>0</v>
      </c>
      <c r="CI3" s="3">
        <v>5724445347.8800001</v>
      </c>
      <c r="CJ3" s="3">
        <v>5627029818.5900002</v>
      </c>
      <c r="CK3" s="3">
        <v>0</v>
      </c>
      <c r="CL3" s="3">
        <v>0</v>
      </c>
      <c r="CM3" s="3">
        <v>5627029818.5900002</v>
      </c>
      <c r="CN3" s="3">
        <v>7446679000</v>
      </c>
      <c r="CO3" s="3">
        <v>0</v>
      </c>
      <c r="CP3" s="3">
        <v>0</v>
      </c>
      <c r="CQ3" s="3">
        <v>7446679000</v>
      </c>
      <c r="CR3" s="3">
        <v>7446679000</v>
      </c>
      <c r="CS3" s="3">
        <v>0</v>
      </c>
      <c r="CT3" s="3">
        <v>0</v>
      </c>
      <c r="CU3" s="3">
        <v>7446679000</v>
      </c>
      <c r="CV3" s="3">
        <v>7446679000</v>
      </c>
      <c r="CW3" s="3">
        <v>0</v>
      </c>
      <c r="CX3" s="3">
        <v>0</v>
      </c>
      <c r="CY3" s="3">
        <v>7446679000</v>
      </c>
      <c r="CZ3" s="3">
        <v>7450106597.25</v>
      </c>
      <c r="DA3" s="3">
        <v>0</v>
      </c>
      <c r="DB3" s="3">
        <v>0</v>
      </c>
      <c r="DC3" s="3">
        <v>7450106597.25</v>
      </c>
      <c r="DD3" s="3">
        <v>7450106597.25</v>
      </c>
      <c r="DE3" s="3">
        <v>0</v>
      </c>
      <c r="DF3" s="3">
        <v>0</v>
      </c>
      <c r="DG3" s="3">
        <v>7450106597.25</v>
      </c>
      <c r="DH3" s="3">
        <v>7405885872.0900002</v>
      </c>
      <c r="DI3" s="3">
        <v>0</v>
      </c>
      <c r="DJ3" s="3">
        <v>0</v>
      </c>
      <c r="DK3" s="3">
        <v>7405885872.0900002</v>
      </c>
      <c r="DL3" s="3">
        <v>7162742892.0699997</v>
      </c>
      <c r="DM3" s="3">
        <v>0</v>
      </c>
      <c r="DN3" s="3">
        <v>0</v>
      </c>
      <c r="DO3" s="3">
        <v>7162742892.0699997</v>
      </c>
      <c r="DP3" s="3">
        <v>7662306000</v>
      </c>
      <c r="DQ3" s="3">
        <v>0</v>
      </c>
      <c r="DR3" s="3">
        <v>0</v>
      </c>
      <c r="DS3" s="3">
        <v>7662306000</v>
      </c>
      <c r="DT3" s="3">
        <v>7662306000</v>
      </c>
      <c r="DU3" s="3">
        <v>0</v>
      </c>
      <c r="DV3" s="3">
        <v>0</v>
      </c>
      <c r="DW3" s="3">
        <v>7662306000</v>
      </c>
      <c r="DX3" s="3">
        <v>7662306000</v>
      </c>
      <c r="DY3" s="3">
        <v>0</v>
      </c>
      <c r="DZ3" s="3">
        <v>0</v>
      </c>
      <c r="EA3" s="3">
        <v>7662306000</v>
      </c>
      <c r="EB3" s="3">
        <v>7662306000</v>
      </c>
      <c r="EC3" s="3">
        <v>0</v>
      </c>
      <c r="ED3" s="3">
        <v>0</v>
      </c>
      <c r="EE3" s="3">
        <v>7662306000</v>
      </c>
      <c r="EF3" s="3">
        <v>7662306000</v>
      </c>
      <c r="EG3" s="3">
        <v>0</v>
      </c>
      <c r="EH3" s="3">
        <v>0</v>
      </c>
      <c r="EI3" s="3">
        <v>7662306000</v>
      </c>
      <c r="EJ3" s="3">
        <v>7660950579.7200003</v>
      </c>
      <c r="EK3" s="3">
        <v>0</v>
      </c>
      <c r="EL3" s="3">
        <v>0</v>
      </c>
      <c r="EM3" s="3">
        <v>7660950579.7200003</v>
      </c>
      <c r="EN3" s="3">
        <v>7483852513.1999998</v>
      </c>
      <c r="EO3" s="3">
        <v>0</v>
      </c>
      <c r="EP3" s="3">
        <v>0</v>
      </c>
      <c r="EQ3" s="3">
        <v>7483852513.1999998</v>
      </c>
      <c r="ER3" s="3">
        <v>11944632000</v>
      </c>
      <c r="ES3" s="3">
        <v>0</v>
      </c>
      <c r="ET3" s="3">
        <v>0</v>
      </c>
      <c r="EU3" s="3">
        <v>11944632000</v>
      </c>
      <c r="EV3" s="3">
        <v>11944632000</v>
      </c>
      <c r="EW3" s="3">
        <v>0</v>
      </c>
      <c r="EX3" s="3">
        <v>0</v>
      </c>
      <c r="EY3" s="3">
        <v>11944632000</v>
      </c>
      <c r="EZ3" s="3">
        <v>11944632000</v>
      </c>
      <c r="FA3" s="3">
        <v>0</v>
      </c>
      <c r="FB3" s="3">
        <v>0</v>
      </c>
      <c r="FC3" s="3">
        <v>11944632000</v>
      </c>
      <c r="FD3" s="3">
        <v>11944632000</v>
      </c>
      <c r="FE3" s="3">
        <v>0</v>
      </c>
      <c r="FF3" s="3">
        <v>0</v>
      </c>
      <c r="FG3" s="3">
        <v>11944632000</v>
      </c>
      <c r="FH3" s="3">
        <v>11944632000</v>
      </c>
      <c r="FI3" s="3">
        <v>0</v>
      </c>
      <c r="FJ3" s="3">
        <v>0</v>
      </c>
      <c r="FK3" s="3">
        <v>11944632000</v>
      </c>
      <c r="FL3" s="3">
        <v>11923811735.51</v>
      </c>
      <c r="FM3" s="3">
        <v>0</v>
      </c>
      <c r="FN3" s="3">
        <v>0</v>
      </c>
      <c r="FO3" s="3">
        <v>11923811735.51</v>
      </c>
      <c r="FP3" s="3">
        <v>11722232258.18</v>
      </c>
      <c r="FQ3" s="3">
        <v>0</v>
      </c>
      <c r="FR3" s="3">
        <v>0</v>
      </c>
      <c r="FS3" s="3">
        <v>11722232258.18</v>
      </c>
      <c r="FT3" s="3">
        <v>12775912000</v>
      </c>
      <c r="FU3" s="3">
        <v>0</v>
      </c>
      <c r="FV3" s="3">
        <v>0</v>
      </c>
      <c r="FW3" s="3">
        <v>12775912000</v>
      </c>
      <c r="FX3" s="3">
        <v>12775912000</v>
      </c>
      <c r="FY3" s="3">
        <v>0</v>
      </c>
      <c r="FZ3" s="3">
        <v>0</v>
      </c>
      <c r="GA3" s="3">
        <v>12775912000</v>
      </c>
      <c r="GB3" s="3">
        <v>12775912000</v>
      </c>
      <c r="GC3" s="3">
        <v>0</v>
      </c>
      <c r="GD3" s="3">
        <v>0</v>
      </c>
      <c r="GE3" s="3">
        <v>12775912000</v>
      </c>
      <c r="GF3" s="3">
        <v>12775912000</v>
      </c>
      <c r="GG3" s="3">
        <v>0</v>
      </c>
      <c r="GH3" s="3">
        <v>0</v>
      </c>
      <c r="GI3" s="3">
        <v>12775912000</v>
      </c>
      <c r="GJ3" s="3">
        <v>12775912000</v>
      </c>
      <c r="GK3" s="3">
        <v>0</v>
      </c>
      <c r="GL3" s="3">
        <v>0</v>
      </c>
      <c r="GM3" s="3">
        <v>12775912000</v>
      </c>
      <c r="GN3" s="3">
        <v>12775555974.549999</v>
      </c>
      <c r="GO3" s="3">
        <v>0</v>
      </c>
      <c r="GP3" s="3">
        <v>0</v>
      </c>
      <c r="GQ3" s="3">
        <v>12775555974.549999</v>
      </c>
      <c r="GR3" s="3">
        <v>12451576880.459999</v>
      </c>
      <c r="GS3" s="3">
        <v>0</v>
      </c>
      <c r="GT3" s="3">
        <v>0</v>
      </c>
      <c r="GU3" s="3">
        <v>12451576880.459999</v>
      </c>
      <c r="GV3" s="3">
        <v>11954032000</v>
      </c>
      <c r="GW3" s="3">
        <v>0</v>
      </c>
      <c r="GX3" s="3">
        <v>0</v>
      </c>
      <c r="GY3" s="3">
        <v>11954032000</v>
      </c>
      <c r="GZ3" s="3">
        <v>11954032000</v>
      </c>
      <c r="HA3" s="3">
        <v>0</v>
      </c>
      <c r="HB3" s="3">
        <v>0</v>
      </c>
      <c r="HC3" s="3">
        <v>11954032000</v>
      </c>
      <c r="HD3" s="3">
        <v>11954032000</v>
      </c>
      <c r="HE3" s="3">
        <v>0</v>
      </c>
      <c r="HF3" s="3">
        <v>0</v>
      </c>
      <c r="HG3" s="3">
        <v>11954032000</v>
      </c>
      <c r="HH3" s="3">
        <v>11954032000</v>
      </c>
      <c r="HI3" s="3">
        <v>0</v>
      </c>
      <c r="HJ3" s="3">
        <v>0</v>
      </c>
      <c r="HK3" s="3">
        <v>11954032000</v>
      </c>
      <c r="HL3" s="3">
        <v>11954032000</v>
      </c>
      <c r="HM3" s="3">
        <v>0</v>
      </c>
      <c r="HN3" s="3">
        <v>0</v>
      </c>
      <c r="HO3" s="3">
        <v>11954032000</v>
      </c>
      <c r="HP3" s="3">
        <v>11953948363.75</v>
      </c>
      <c r="HQ3" s="3">
        <v>0</v>
      </c>
      <c r="HR3" s="3">
        <v>0</v>
      </c>
      <c r="HS3" s="3">
        <v>11953948363.75</v>
      </c>
      <c r="HT3" s="3">
        <v>11632957136.83</v>
      </c>
      <c r="HU3" s="3">
        <v>0</v>
      </c>
      <c r="HV3" s="3">
        <v>0</v>
      </c>
      <c r="HW3" s="3">
        <v>11632957136.83</v>
      </c>
      <c r="HX3" s="3">
        <v>14274348000</v>
      </c>
      <c r="HY3" s="3">
        <v>0</v>
      </c>
      <c r="HZ3" s="3">
        <v>0</v>
      </c>
      <c r="IA3" s="3">
        <v>14274348000</v>
      </c>
      <c r="IB3" s="3">
        <v>14274348000</v>
      </c>
      <c r="IC3" s="3">
        <v>0</v>
      </c>
      <c r="ID3" s="3">
        <v>0</v>
      </c>
      <c r="IE3" s="3">
        <v>14274348000</v>
      </c>
      <c r="IF3" s="3"/>
      <c r="IG3" s="3"/>
      <c r="IH3" s="3"/>
      <c r="II3" s="3"/>
      <c r="IJ3" s="3"/>
      <c r="IK3" s="3"/>
      <c r="IL3" s="3"/>
      <c r="IM3" s="3"/>
      <c r="IN3" s="3"/>
      <c r="IO3" s="3"/>
      <c r="IP3" s="3"/>
      <c r="IQ3" s="3"/>
      <c r="IR3" s="3"/>
      <c r="IS3" s="3"/>
      <c r="IT3" s="3"/>
      <c r="IU3" s="3"/>
      <c r="IV3" s="3"/>
      <c r="IW3" s="3"/>
      <c r="IX3" s="3"/>
      <c r="IY3" s="3"/>
      <c r="IZ3" s="3">
        <v>16977318000</v>
      </c>
      <c r="JA3" s="3">
        <v>0</v>
      </c>
      <c r="JB3" s="3">
        <v>0</v>
      </c>
      <c r="JC3" s="3">
        <v>16977318000</v>
      </c>
      <c r="JD3" s="3"/>
      <c r="JE3" s="3"/>
      <c r="JF3" s="3"/>
      <c r="JG3" s="3"/>
    </row>
    <row r="4" spans="1:267" x14ac:dyDescent="0.25">
      <c r="A4" t="s">
        <v>197</v>
      </c>
      <c r="B4" t="s">
        <v>198</v>
      </c>
      <c r="C4" t="s">
        <v>199</v>
      </c>
      <c r="D4" t="s">
        <v>200</v>
      </c>
      <c r="E4" t="s">
        <v>201</v>
      </c>
      <c r="F4" t="s">
        <v>206</v>
      </c>
      <c r="G4" t="s">
        <v>207</v>
      </c>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v>0</v>
      </c>
      <c r="GW4" s="3">
        <v>87000000</v>
      </c>
      <c r="GX4" s="3">
        <v>0</v>
      </c>
      <c r="GY4" s="3">
        <v>87000000</v>
      </c>
      <c r="GZ4" s="3">
        <v>0</v>
      </c>
      <c r="HA4" s="3">
        <v>87000000</v>
      </c>
      <c r="HB4" s="3">
        <v>0</v>
      </c>
      <c r="HC4" s="3">
        <v>87000000</v>
      </c>
      <c r="HD4" s="3">
        <v>0</v>
      </c>
      <c r="HE4" s="3">
        <v>87000000</v>
      </c>
      <c r="HF4" s="3">
        <v>0</v>
      </c>
      <c r="HG4" s="3">
        <v>87000000</v>
      </c>
      <c r="HH4" s="3">
        <v>0</v>
      </c>
      <c r="HI4" s="3">
        <v>87000000</v>
      </c>
      <c r="HJ4" s="3">
        <v>0</v>
      </c>
      <c r="HK4" s="3">
        <v>87000000</v>
      </c>
      <c r="HL4" s="3">
        <v>0</v>
      </c>
      <c r="HM4" s="3">
        <v>87000000</v>
      </c>
      <c r="HN4" s="3">
        <v>0</v>
      </c>
      <c r="HO4" s="3">
        <v>87000000</v>
      </c>
      <c r="HP4" s="3">
        <v>0</v>
      </c>
      <c r="HQ4" s="3">
        <v>35891909.450000003</v>
      </c>
      <c r="HR4" s="3">
        <v>0</v>
      </c>
      <c r="HS4" s="3">
        <v>35891909.450000003</v>
      </c>
      <c r="HT4" s="3">
        <v>0</v>
      </c>
      <c r="HU4" s="3">
        <v>12620845.02</v>
      </c>
      <c r="HV4" s="3">
        <v>0</v>
      </c>
      <c r="HW4" s="3">
        <v>12620845.02</v>
      </c>
      <c r="HX4" s="3">
        <v>0</v>
      </c>
      <c r="HY4" s="3">
        <v>88566000</v>
      </c>
      <c r="HZ4" s="3">
        <v>0</v>
      </c>
      <c r="IA4" s="3">
        <v>88566000</v>
      </c>
      <c r="IB4" s="3">
        <v>0</v>
      </c>
      <c r="IC4" s="3">
        <v>88566000</v>
      </c>
      <c r="ID4" s="3">
        <v>0</v>
      </c>
      <c r="IE4" s="3">
        <v>88566000</v>
      </c>
      <c r="IF4" s="3"/>
      <c r="IG4" s="3"/>
      <c r="IH4" s="3"/>
      <c r="II4" s="3"/>
      <c r="IJ4" s="3"/>
      <c r="IK4" s="3"/>
      <c r="IL4" s="3"/>
      <c r="IM4" s="3"/>
      <c r="IN4" s="3"/>
      <c r="IO4" s="3"/>
      <c r="IP4" s="3"/>
      <c r="IQ4" s="3"/>
      <c r="IR4" s="3"/>
      <c r="IS4" s="3"/>
      <c r="IT4" s="3"/>
      <c r="IU4" s="3"/>
      <c r="IV4" s="3"/>
      <c r="IW4" s="3"/>
      <c r="IX4" s="3"/>
      <c r="IY4" s="3"/>
      <c r="IZ4" s="3">
        <v>0</v>
      </c>
      <c r="JA4" s="3">
        <v>78439000</v>
      </c>
      <c r="JB4" s="3">
        <v>0</v>
      </c>
      <c r="JC4" s="3">
        <v>78439000</v>
      </c>
      <c r="JD4" s="3"/>
      <c r="JE4" s="3"/>
      <c r="JF4" s="3"/>
      <c r="JG4" s="3"/>
    </row>
    <row r="5" spans="1:267" x14ac:dyDescent="0.25">
      <c r="A5" t="s">
        <v>197</v>
      </c>
      <c r="B5" t="s">
        <v>198</v>
      </c>
      <c r="C5" t="s">
        <v>199</v>
      </c>
      <c r="D5" t="s">
        <v>200</v>
      </c>
      <c r="E5" t="s">
        <v>208</v>
      </c>
      <c r="F5" t="s">
        <v>209</v>
      </c>
      <c r="G5" t="s">
        <v>210</v>
      </c>
      <c r="H5" s="3">
        <v>0</v>
      </c>
      <c r="I5" s="3">
        <v>225021000</v>
      </c>
      <c r="J5" s="3">
        <v>596480000</v>
      </c>
      <c r="K5" s="3">
        <v>821501000</v>
      </c>
      <c r="L5" s="3">
        <v>0</v>
      </c>
      <c r="M5" s="3">
        <v>225021000</v>
      </c>
      <c r="N5" s="3">
        <v>596480000</v>
      </c>
      <c r="O5" s="3">
        <v>821501000</v>
      </c>
      <c r="P5" s="3">
        <v>0</v>
      </c>
      <c r="Q5" s="3">
        <v>225021000</v>
      </c>
      <c r="R5" s="3">
        <v>596480000</v>
      </c>
      <c r="S5" s="3">
        <v>821501000</v>
      </c>
      <c r="T5" s="3">
        <v>0</v>
      </c>
      <c r="U5" s="3">
        <v>225021000</v>
      </c>
      <c r="V5" s="3">
        <v>596480000</v>
      </c>
      <c r="W5" s="3">
        <v>821501000</v>
      </c>
      <c r="X5" s="3">
        <v>0</v>
      </c>
      <c r="Y5" s="3">
        <v>225021000</v>
      </c>
      <c r="Z5" s="3">
        <v>596480000</v>
      </c>
      <c r="AA5" s="3">
        <v>821501000</v>
      </c>
      <c r="AB5" s="3">
        <v>0</v>
      </c>
      <c r="AC5" s="3">
        <v>158148059.38</v>
      </c>
      <c r="AD5" s="3">
        <v>504058155.14999998</v>
      </c>
      <c r="AE5" s="3">
        <v>662206214.52999997</v>
      </c>
      <c r="AF5" s="3">
        <v>0</v>
      </c>
      <c r="AG5" s="3">
        <v>78843143.340000004</v>
      </c>
      <c r="AH5" s="3">
        <v>157794044.94</v>
      </c>
      <c r="AI5" s="3">
        <v>236637188.28</v>
      </c>
      <c r="AJ5" s="3">
        <v>7779000</v>
      </c>
      <c r="AK5" s="3">
        <v>287254000</v>
      </c>
      <c r="AL5" s="3">
        <v>579311000</v>
      </c>
      <c r="AM5" s="3">
        <v>874344000</v>
      </c>
      <c r="AN5" s="3">
        <v>7779000</v>
      </c>
      <c r="AO5" s="3">
        <v>287254000</v>
      </c>
      <c r="AP5" s="3">
        <v>579311000</v>
      </c>
      <c r="AQ5" s="3">
        <v>874344000</v>
      </c>
      <c r="AR5" s="3">
        <v>7779000</v>
      </c>
      <c r="AS5" s="3">
        <v>287254000</v>
      </c>
      <c r="AT5" s="3">
        <v>579311000</v>
      </c>
      <c r="AU5" s="3">
        <v>874344000</v>
      </c>
      <c r="AV5" s="3">
        <v>26115219</v>
      </c>
      <c r="AW5" s="3">
        <v>268917781</v>
      </c>
      <c r="AX5" s="3">
        <v>579311000</v>
      </c>
      <c r="AY5" s="3">
        <v>874344000</v>
      </c>
      <c r="AZ5" s="3">
        <v>26115219</v>
      </c>
      <c r="BA5" s="3">
        <v>268917781</v>
      </c>
      <c r="BB5" s="3">
        <v>579311000</v>
      </c>
      <c r="BC5" s="3">
        <v>874344000</v>
      </c>
      <c r="BD5" s="3">
        <v>26066858.5</v>
      </c>
      <c r="BE5" s="3">
        <v>152834650.61000001</v>
      </c>
      <c r="BF5" s="3">
        <v>518494177.68000001</v>
      </c>
      <c r="BG5" s="3">
        <v>697395686.78999996</v>
      </c>
      <c r="BH5" s="3">
        <v>26064358.5</v>
      </c>
      <c r="BI5" s="3">
        <v>67215984.519999996</v>
      </c>
      <c r="BJ5" s="3">
        <v>314716727.01999998</v>
      </c>
      <c r="BK5" s="3">
        <v>407997070.04000002</v>
      </c>
      <c r="BL5" s="3">
        <v>6294000</v>
      </c>
      <c r="BM5" s="3">
        <v>426401000</v>
      </c>
      <c r="BN5" s="3">
        <v>809978000</v>
      </c>
      <c r="BO5" s="3">
        <v>1242673000</v>
      </c>
      <c r="BP5" s="3">
        <v>6294000</v>
      </c>
      <c r="BQ5" s="3">
        <v>426401000</v>
      </c>
      <c r="BR5" s="3">
        <v>809978000</v>
      </c>
      <c r="BS5" s="3">
        <v>1242673000</v>
      </c>
      <c r="BT5" s="3">
        <v>6294000</v>
      </c>
      <c r="BU5" s="3">
        <v>426401000</v>
      </c>
      <c r="BV5" s="3">
        <v>809978000</v>
      </c>
      <c r="BW5" s="3">
        <v>1242673000</v>
      </c>
      <c r="BX5" s="3">
        <v>28517900</v>
      </c>
      <c r="BY5" s="3">
        <v>403337600</v>
      </c>
      <c r="BZ5" s="3">
        <v>809978000</v>
      </c>
      <c r="CA5" s="3">
        <v>1241833500</v>
      </c>
      <c r="CB5" s="3">
        <v>28517900</v>
      </c>
      <c r="CC5" s="3">
        <v>403337600</v>
      </c>
      <c r="CD5" s="3">
        <v>809978000</v>
      </c>
      <c r="CE5" s="3">
        <v>1241833500</v>
      </c>
      <c r="CF5" s="3">
        <v>26034372.359999999</v>
      </c>
      <c r="CG5" s="3">
        <v>187985841.81</v>
      </c>
      <c r="CH5" s="3">
        <v>333311122.08999997</v>
      </c>
      <c r="CI5" s="3">
        <v>547331336.25999999</v>
      </c>
      <c r="CJ5" s="3">
        <v>16669872.359999999</v>
      </c>
      <c r="CK5" s="3">
        <v>88358806.159999996</v>
      </c>
      <c r="CL5" s="3">
        <v>88690461.989999995</v>
      </c>
      <c r="CM5" s="3">
        <v>193719140.50999999</v>
      </c>
      <c r="CN5" s="3">
        <v>6176000</v>
      </c>
      <c r="CO5" s="3">
        <v>91133000</v>
      </c>
      <c r="CP5" s="3">
        <v>0</v>
      </c>
      <c r="CQ5" s="3">
        <v>97309000</v>
      </c>
      <c r="CR5" s="3">
        <v>6176000</v>
      </c>
      <c r="CS5" s="3">
        <v>91133000</v>
      </c>
      <c r="CT5" s="3">
        <v>0</v>
      </c>
      <c r="CU5" s="3">
        <v>97309000</v>
      </c>
      <c r="CV5" s="3">
        <v>6176000</v>
      </c>
      <c r="CW5" s="3">
        <v>91133000</v>
      </c>
      <c r="CX5" s="3">
        <v>0</v>
      </c>
      <c r="CY5" s="3">
        <v>97309000</v>
      </c>
      <c r="CZ5" s="3">
        <v>7296000</v>
      </c>
      <c r="DA5" s="3">
        <v>90013000</v>
      </c>
      <c r="DB5" s="3">
        <v>0</v>
      </c>
      <c r="DC5" s="3">
        <v>97309000</v>
      </c>
      <c r="DD5" s="3">
        <v>7296000</v>
      </c>
      <c r="DE5" s="3">
        <v>90013000</v>
      </c>
      <c r="DF5" s="3">
        <v>0</v>
      </c>
      <c r="DG5" s="3">
        <v>97309000</v>
      </c>
      <c r="DH5" s="3">
        <v>7295795.0700000003</v>
      </c>
      <c r="DI5" s="3">
        <v>80599166.659999996</v>
      </c>
      <c r="DJ5" s="3">
        <v>0</v>
      </c>
      <c r="DK5" s="3">
        <v>87894961.730000004</v>
      </c>
      <c r="DL5" s="3">
        <v>7257327.0199999996</v>
      </c>
      <c r="DM5" s="3">
        <v>54942697.490000002</v>
      </c>
      <c r="DN5" s="3">
        <v>0</v>
      </c>
      <c r="DO5" s="3">
        <v>62200024.509999998</v>
      </c>
      <c r="DP5" s="3">
        <v>6713000</v>
      </c>
      <c r="DQ5" s="3">
        <v>243732000</v>
      </c>
      <c r="DR5" s="3">
        <v>368223000</v>
      </c>
      <c r="DS5" s="3">
        <v>618668000</v>
      </c>
      <c r="DT5" s="3">
        <v>6713000</v>
      </c>
      <c r="DU5" s="3">
        <v>263732000</v>
      </c>
      <c r="DV5" s="3">
        <v>368223000</v>
      </c>
      <c r="DW5" s="3">
        <v>638668000</v>
      </c>
      <c r="DX5" s="3">
        <v>6713000</v>
      </c>
      <c r="DY5" s="3">
        <v>263732000</v>
      </c>
      <c r="DZ5" s="3">
        <v>368223000</v>
      </c>
      <c r="EA5" s="3">
        <v>638668000</v>
      </c>
      <c r="EB5" s="3">
        <v>7213000</v>
      </c>
      <c r="EC5" s="3">
        <v>263232000</v>
      </c>
      <c r="ED5" s="3">
        <v>368223000</v>
      </c>
      <c r="EE5" s="3">
        <v>638668000</v>
      </c>
      <c r="EF5" s="3">
        <v>7213000</v>
      </c>
      <c r="EG5" s="3">
        <v>263232000</v>
      </c>
      <c r="EH5" s="3">
        <v>368223000</v>
      </c>
      <c r="EI5" s="3">
        <v>638668000</v>
      </c>
      <c r="EJ5" s="3">
        <v>7213000</v>
      </c>
      <c r="EK5" s="3">
        <v>245311466.47999999</v>
      </c>
      <c r="EL5" s="3">
        <v>241018571.13</v>
      </c>
      <c r="EM5" s="3">
        <v>493543037.61000001</v>
      </c>
      <c r="EN5" s="3">
        <v>7205499.9800000004</v>
      </c>
      <c r="EO5" s="3">
        <v>157729706.99000001</v>
      </c>
      <c r="EP5" s="3">
        <v>103672248.61</v>
      </c>
      <c r="EQ5" s="3">
        <v>268607455.57999998</v>
      </c>
      <c r="ER5" s="3">
        <v>5882000</v>
      </c>
      <c r="ES5" s="3">
        <v>52841000</v>
      </c>
      <c r="ET5" s="3">
        <v>0</v>
      </c>
      <c r="EU5" s="3">
        <v>58723000</v>
      </c>
      <c r="EV5" s="3">
        <v>5882000</v>
      </c>
      <c r="EW5" s="3">
        <v>52841000</v>
      </c>
      <c r="EX5" s="3">
        <v>0</v>
      </c>
      <c r="EY5" s="3">
        <v>58723000</v>
      </c>
      <c r="EZ5" s="3">
        <v>5882000</v>
      </c>
      <c r="FA5" s="3">
        <v>52841000</v>
      </c>
      <c r="FB5" s="3">
        <v>0</v>
      </c>
      <c r="FC5" s="3">
        <v>58723000</v>
      </c>
      <c r="FD5" s="3">
        <v>6882000</v>
      </c>
      <c r="FE5" s="3">
        <v>51841000</v>
      </c>
      <c r="FF5" s="3">
        <v>0</v>
      </c>
      <c r="FG5" s="3">
        <v>58723000</v>
      </c>
      <c r="FH5" s="3">
        <v>6882000</v>
      </c>
      <c r="FI5" s="3">
        <v>51841000</v>
      </c>
      <c r="FJ5" s="3">
        <v>0</v>
      </c>
      <c r="FK5" s="3">
        <v>58723000</v>
      </c>
      <c r="FL5" s="3">
        <v>6882000</v>
      </c>
      <c r="FM5" s="3">
        <v>39731505.229999997</v>
      </c>
      <c r="FN5" s="3">
        <v>0</v>
      </c>
      <c r="FO5" s="3">
        <v>46613505.229999997</v>
      </c>
      <c r="FP5" s="3">
        <v>6870848.0700000003</v>
      </c>
      <c r="FQ5" s="3">
        <v>38986293.57</v>
      </c>
      <c r="FR5" s="3">
        <v>0</v>
      </c>
      <c r="FS5" s="3">
        <v>45857141.640000001</v>
      </c>
      <c r="FT5" s="3">
        <v>7697000</v>
      </c>
      <c r="FU5" s="3">
        <v>272880000</v>
      </c>
      <c r="FV5" s="3">
        <v>637900000</v>
      </c>
      <c r="FW5" s="3">
        <v>918477000</v>
      </c>
      <c r="FX5" s="3">
        <v>7697000</v>
      </c>
      <c r="FY5" s="3">
        <v>272880000</v>
      </c>
      <c r="FZ5" s="3">
        <v>637900000</v>
      </c>
      <c r="GA5" s="3">
        <v>918477000</v>
      </c>
      <c r="GB5" s="3">
        <v>7697000</v>
      </c>
      <c r="GC5" s="3">
        <v>272880000</v>
      </c>
      <c r="GD5" s="3">
        <v>637900000</v>
      </c>
      <c r="GE5" s="3">
        <v>918477000</v>
      </c>
      <c r="GF5" s="3">
        <v>10687550</v>
      </c>
      <c r="GG5" s="3">
        <v>269889450</v>
      </c>
      <c r="GH5" s="3">
        <v>637900000</v>
      </c>
      <c r="GI5" s="3">
        <v>918477000</v>
      </c>
      <c r="GJ5" s="3">
        <v>10687550</v>
      </c>
      <c r="GK5" s="3">
        <v>269889450</v>
      </c>
      <c r="GL5" s="3">
        <v>637900000</v>
      </c>
      <c r="GM5" s="3">
        <v>918477000</v>
      </c>
      <c r="GN5" s="3">
        <v>10680888.59</v>
      </c>
      <c r="GO5" s="3">
        <v>160032261.18000001</v>
      </c>
      <c r="GP5" s="3">
        <v>153813900.80000001</v>
      </c>
      <c r="GQ5" s="3">
        <v>324527050.56999999</v>
      </c>
      <c r="GR5" s="3">
        <v>10310211.41</v>
      </c>
      <c r="GS5" s="3">
        <v>110494079.31</v>
      </c>
      <c r="GT5" s="3">
        <v>43963225.840000004</v>
      </c>
      <c r="GU5" s="3">
        <v>164767516.56</v>
      </c>
      <c r="GV5" s="3">
        <v>27543000</v>
      </c>
      <c r="GW5" s="3">
        <v>702862000</v>
      </c>
      <c r="GX5" s="3">
        <v>2166854000</v>
      </c>
      <c r="GY5" s="3">
        <v>2897259000</v>
      </c>
      <c r="GZ5" s="3">
        <v>27543000</v>
      </c>
      <c r="HA5" s="3">
        <v>702862000</v>
      </c>
      <c r="HB5" s="3">
        <v>1570587000</v>
      </c>
      <c r="HC5" s="3">
        <v>2300992000</v>
      </c>
      <c r="HD5" s="3">
        <v>27543000</v>
      </c>
      <c r="HE5" s="3">
        <v>702862000</v>
      </c>
      <c r="HF5" s="3">
        <v>1570587000</v>
      </c>
      <c r="HG5" s="3">
        <v>2300992000</v>
      </c>
      <c r="HH5" s="3">
        <v>50910200</v>
      </c>
      <c r="HI5" s="3">
        <v>679494800</v>
      </c>
      <c r="HJ5" s="3">
        <v>1570587000</v>
      </c>
      <c r="HK5" s="3">
        <v>2300992000</v>
      </c>
      <c r="HL5" s="3">
        <v>50910200</v>
      </c>
      <c r="HM5" s="3">
        <v>679494800</v>
      </c>
      <c r="HN5" s="3">
        <v>1570587000</v>
      </c>
      <c r="HO5" s="3">
        <v>2300992000</v>
      </c>
      <c r="HP5" s="3">
        <v>50907965.310000002</v>
      </c>
      <c r="HQ5" s="3">
        <v>167980168.5</v>
      </c>
      <c r="HR5" s="3">
        <v>9652191</v>
      </c>
      <c r="HS5" s="3">
        <v>228540324.81</v>
      </c>
      <c r="HT5" s="3">
        <v>50343357.200000003</v>
      </c>
      <c r="HU5" s="3">
        <v>129259583.36</v>
      </c>
      <c r="HV5" s="3">
        <v>0</v>
      </c>
      <c r="HW5" s="3">
        <v>179602940.56</v>
      </c>
      <c r="HX5" s="3">
        <v>31786000</v>
      </c>
      <c r="HY5" s="3">
        <v>1710880000</v>
      </c>
      <c r="HZ5" s="3">
        <v>791650000</v>
      </c>
      <c r="IA5" s="3">
        <v>2534316000</v>
      </c>
      <c r="IB5" s="3">
        <v>31786000</v>
      </c>
      <c r="IC5" s="3">
        <v>695271000</v>
      </c>
      <c r="ID5" s="3">
        <v>408233000</v>
      </c>
      <c r="IE5" s="3">
        <v>1135290000</v>
      </c>
      <c r="IF5" s="3"/>
      <c r="IG5" s="3"/>
      <c r="IH5" s="3"/>
      <c r="II5" s="3"/>
      <c r="IJ5" s="3"/>
      <c r="IK5" s="3"/>
      <c r="IL5" s="3"/>
      <c r="IM5" s="3"/>
      <c r="IN5" s="3"/>
      <c r="IO5" s="3"/>
      <c r="IP5" s="3"/>
      <c r="IQ5" s="3"/>
      <c r="IR5" s="3"/>
      <c r="IS5" s="3"/>
      <c r="IT5" s="3"/>
      <c r="IU5" s="3"/>
      <c r="IV5" s="3"/>
      <c r="IW5" s="3"/>
      <c r="IX5" s="3"/>
      <c r="IY5" s="3"/>
      <c r="IZ5" s="3">
        <v>33898000</v>
      </c>
      <c r="JA5" s="3">
        <v>667974000</v>
      </c>
      <c r="JB5" s="3">
        <v>0</v>
      </c>
      <c r="JC5" s="3">
        <v>701872000</v>
      </c>
      <c r="JD5" s="3"/>
      <c r="JE5" s="3"/>
      <c r="JF5" s="3"/>
      <c r="JG5" s="3"/>
    </row>
    <row r="6" spans="1:267" x14ac:dyDescent="0.25">
      <c r="A6" t="s">
        <v>197</v>
      </c>
      <c r="B6" t="s">
        <v>198</v>
      </c>
      <c r="C6" t="s">
        <v>199</v>
      </c>
      <c r="D6" t="s">
        <v>200</v>
      </c>
      <c r="E6" t="s">
        <v>208</v>
      </c>
      <c r="F6" t="s">
        <v>211</v>
      </c>
      <c r="G6" t="s">
        <v>212</v>
      </c>
      <c r="H6" s="3">
        <v>1112350000</v>
      </c>
      <c r="I6" s="3">
        <v>217131000</v>
      </c>
      <c r="J6" s="3">
        <v>0</v>
      </c>
      <c r="K6" s="3">
        <v>1329481000</v>
      </c>
      <c r="L6" s="3">
        <v>1112350000</v>
      </c>
      <c r="M6" s="3">
        <v>232131000</v>
      </c>
      <c r="N6" s="3">
        <v>0</v>
      </c>
      <c r="O6" s="3">
        <v>1344481000</v>
      </c>
      <c r="P6" s="3">
        <v>1112350000</v>
      </c>
      <c r="Q6" s="3">
        <v>232131000</v>
      </c>
      <c r="R6" s="3">
        <v>0</v>
      </c>
      <c r="S6" s="3">
        <v>1344481000</v>
      </c>
      <c r="T6" s="3">
        <v>1128782500</v>
      </c>
      <c r="U6" s="3">
        <v>229517250</v>
      </c>
      <c r="V6" s="3">
        <v>0</v>
      </c>
      <c r="W6" s="3">
        <v>1358299750</v>
      </c>
      <c r="X6" s="3">
        <v>1128782500</v>
      </c>
      <c r="Y6" s="3">
        <v>229517250</v>
      </c>
      <c r="Z6" s="3">
        <v>0</v>
      </c>
      <c r="AA6" s="3">
        <v>1358299750</v>
      </c>
      <c r="AB6" s="3">
        <v>1123300883.21</v>
      </c>
      <c r="AC6" s="3">
        <v>218604588.83000001</v>
      </c>
      <c r="AD6" s="3">
        <v>0</v>
      </c>
      <c r="AE6" s="3">
        <v>1341905472.04</v>
      </c>
      <c r="AF6" s="3">
        <v>931357134.76999998</v>
      </c>
      <c r="AG6" s="3">
        <v>162423946.88999999</v>
      </c>
      <c r="AH6" s="3">
        <v>0</v>
      </c>
      <c r="AI6" s="3">
        <v>1093781081.6600001</v>
      </c>
      <c r="AJ6" s="3">
        <v>982485000</v>
      </c>
      <c r="AK6" s="3">
        <v>183501000</v>
      </c>
      <c r="AL6" s="3">
        <v>0</v>
      </c>
      <c r="AM6" s="3">
        <v>1165986000</v>
      </c>
      <c r="AN6" s="3">
        <v>982485000</v>
      </c>
      <c r="AO6" s="3">
        <v>183501000</v>
      </c>
      <c r="AP6" s="3">
        <v>0</v>
      </c>
      <c r="AQ6" s="3">
        <v>1165986000</v>
      </c>
      <c r="AR6" s="3">
        <v>982485000</v>
      </c>
      <c r="AS6" s="3">
        <v>183501000</v>
      </c>
      <c r="AT6" s="3">
        <v>0</v>
      </c>
      <c r="AU6" s="3">
        <v>1165986000</v>
      </c>
      <c r="AV6" s="3">
        <v>1001372203</v>
      </c>
      <c r="AW6" s="3">
        <v>176506547</v>
      </c>
      <c r="AX6" s="3">
        <v>0</v>
      </c>
      <c r="AY6" s="3">
        <v>1177878750</v>
      </c>
      <c r="AZ6" s="3">
        <v>1001372203</v>
      </c>
      <c r="BA6" s="3">
        <v>176506547</v>
      </c>
      <c r="BB6" s="3">
        <v>0</v>
      </c>
      <c r="BC6" s="3">
        <v>1177878750</v>
      </c>
      <c r="BD6" s="3">
        <v>998627173.22000003</v>
      </c>
      <c r="BE6" s="3">
        <v>166184712.40000001</v>
      </c>
      <c r="BF6" s="3">
        <v>0</v>
      </c>
      <c r="BG6" s="3">
        <v>1164811885.6199999</v>
      </c>
      <c r="BH6" s="3">
        <v>989295770.84000003</v>
      </c>
      <c r="BI6" s="3">
        <v>153365292.08000001</v>
      </c>
      <c r="BJ6" s="3">
        <v>0</v>
      </c>
      <c r="BK6" s="3">
        <v>1142661062.9200001</v>
      </c>
      <c r="BL6" s="3">
        <v>1003077000</v>
      </c>
      <c r="BM6" s="3">
        <v>186804000</v>
      </c>
      <c r="BN6" s="3">
        <v>0</v>
      </c>
      <c r="BO6" s="3">
        <v>1189881000</v>
      </c>
      <c r="BP6" s="3">
        <v>1003077000</v>
      </c>
      <c r="BQ6" s="3">
        <v>186804000</v>
      </c>
      <c r="BR6" s="3">
        <v>1000000</v>
      </c>
      <c r="BS6" s="3">
        <v>1190881000</v>
      </c>
      <c r="BT6" s="3">
        <v>1003077000</v>
      </c>
      <c r="BU6" s="3">
        <v>186804000</v>
      </c>
      <c r="BV6" s="3">
        <v>1000000</v>
      </c>
      <c r="BW6" s="3">
        <v>1190881000</v>
      </c>
      <c r="BX6" s="3">
        <v>1009982100</v>
      </c>
      <c r="BY6" s="3">
        <v>182999000</v>
      </c>
      <c r="BZ6" s="3">
        <v>1000000</v>
      </c>
      <c r="CA6" s="3">
        <v>1193981100</v>
      </c>
      <c r="CB6" s="3">
        <v>1009982100</v>
      </c>
      <c r="CC6" s="3">
        <v>182999000</v>
      </c>
      <c r="CD6" s="3">
        <v>0</v>
      </c>
      <c r="CE6" s="3">
        <v>1192981100</v>
      </c>
      <c r="CF6" s="3">
        <v>1009242115.96</v>
      </c>
      <c r="CG6" s="3">
        <v>169786362.91</v>
      </c>
      <c r="CH6" s="3">
        <v>0</v>
      </c>
      <c r="CI6" s="3">
        <v>1179028478.8699999</v>
      </c>
      <c r="CJ6" s="3">
        <v>988852204.54999995</v>
      </c>
      <c r="CK6" s="3">
        <v>142207834.13</v>
      </c>
      <c r="CL6" s="3">
        <v>0</v>
      </c>
      <c r="CM6" s="3">
        <v>1131060038.6800001</v>
      </c>
      <c r="CN6" s="3">
        <v>1033971000</v>
      </c>
      <c r="CO6" s="3">
        <v>190166000</v>
      </c>
      <c r="CP6" s="3">
        <v>0</v>
      </c>
      <c r="CQ6" s="3">
        <v>1224137000</v>
      </c>
      <c r="CR6" s="3">
        <v>1033971000</v>
      </c>
      <c r="CS6" s="3">
        <v>213166000</v>
      </c>
      <c r="CT6" s="3">
        <v>78000000</v>
      </c>
      <c r="CU6" s="3">
        <v>1325137000</v>
      </c>
      <c r="CV6" s="3">
        <v>1033971000</v>
      </c>
      <c r="CW6" s="3">
        <v>213166000</v>
      </c>
      <c r="CX6" s="3">
        <v>78000000</v>
      </c>
      <c r="CY6" s="3">
        <v>1325137000</v>
      </c>
      <c r="CZ6" s="3">
        <v>1049463315</v>
      </c>
      <c r="DA6" s="3">
        <v>205986325.77000001</v>
      </c>
      <c r="DB6" s="3">
        <v>78000000</v>
      </c>
      <c r="DC6" s="3">
        <v>1333449640.77</v>
      </c>
      <c r="DD6" s="3">
        <v>1049463315</v>
      </c>
      <c r="DE6" s="3">
        <v>205986325.77000001</v>
      </c>
      <c r="DF6" s="3">
        <v>78000000</v>
      </c>
      <c r="DG6" s="3">
        <v>1333449640.77</v>
      </c>
      <c r="DH6" s="3">
        <v>1043403768.62</v>
      </c>
      <c r="DI6" s="3">
        <v>191579505.09</v>
      </c>
      <c r="DJ6" s="3">
        <v>74338874.379999995</v>
      </c>
      <c r="DK6" s="3">
        <v>1309322148.0899999</v>
      </c>
      <c r="DL6" s="3">
        <v>1038035819.45</v>
      </c>
      <c r="DM6" s="3">
        <v>161989084.40000001</v>
      </c>
      <c r="DN6" s="3">
        <v>53096550</v>
      </c>
      <c r="DO6" s="3">
        <v>1253121453.8499999</v>
      </c>
      <c r="DP6" s="3">
        <v>1064491000</v>
      </c>
      <c r="DQ6" s="3">
        <v>193589000</v>
      </c>
      <c r="DR6" s="3">
        <v>0</v>
      </c>
      <c r="DS6" s="3">
        <v>1258080000</v>
      </c>
      <c r="DT6" s="3">
        <v>1109491000</v>
      </c>
      <c r="DU6" s="3">
        <v>223589000</v>
      </c>
      <c r="DV6" s="3">
        <v>0</v>
      </c>
      <c r="DW6" s="3">
        <v>1333080000</v>
      </c>
      <c r="DX6" s="3">
        <v>1109491000</v>
      </c>
      <c r="DY6" s="3">
        <v>223589000</v>
      </c>
      <c r="DZ6" s="3">
        <v>0</v>
      </c>
      <c r="EA6" s="3">
        <v>1333080000</v>
      </c>
      <c r="EB6" s="3">
        <v>1119869282.25</v>
      </c>
      <c r="EC6" s="3">
        <v>215870717.75</v>
      </c>
      <c r="ED6" s="3">
        <v>0</v>
      </c>
      <c r="EE6" s="3">
        <v>1335740000</v>
      </c>
      <c r="EF6" s="3">
        <v>1119869282.25</v>
      </c>
      <c r="EG6" s="3">
        <v>215870717.75</v>
      </c>
      <c r="EH6" s="3">
        <v>0</v>
      </c>
      <c r="EI6" s="3">
        <v>1335740000</v>
      </c>
      <c r="EJ6" s="3">
        <v>1119869282.25</v>
      </c>
      <c r="EK6" s="3">
        <v>209170047.91999999</v>
      </c>
      <c r="EL6" s="3">
        <v>0</v>
      </c>
      <c r="EM6" s="3">
        <v>1329039330.1700001</v>
      </c>
      <c r="EN6" s="3">
        <v>1104950941.5699999</v>
      </c>
      <c r="EO6" s="3">
        <v>175427575.63999999</v>
      </c>
      <c r="EP6" s="3">
        <v>0</v>
      </c>
      <c r="EQ6" s="3">
        <v>1280378517.21</v>
      </c>
      <c r="ER6" s="3">
        <v>1081946000</v>
      </c>
      <c r="ES6" s="3">
        <v>218589000</v>
      </c>
      <c r="ET6" s="3">
        <v>0</v>
      </c>
      <c r="EU6" s="3">
        <v>1300535000</v>
      </c>
      <c r="EV6" s="3">
        <v>1081946000</v>
      </c>
      <c r="EW6" s="3">
        <v>223589000</v>
      </c>
      <c r="EX6" s="3">
        <v>0</v>
      </c>
      <c r="EY6" s="3">
        <v>1305535000</v>
      </c>
      <c r="EZ6" s="3">
        <v>1081946000</v>
      </c>
      <c r="FA6" s="3">
        <v>223589000</v>
      </c>
      <c r="FB6" s="3">
        <v>0</v>
      </c>
      <c r="FC6" s="3">
        <v>1305535000</v>
      </c>
      <c r="FD6" s="3">
        <v>1085969000</v>
      </c>
      <c r="FE6" s="3">
        <v>219566000</v>
      </c>
      <c r="FF6" s="3">
        <v>0</v>
      </c>
      <c r="FG6" s="3">
        <v>1305535000</v>
      </c>
      <c r="FH6" s="3">
        <v>1085969000</v>
      </c>
      <c r="FI6" s="3">
        <v>219566000</v>
      </c>
      <c r="FJ6" s="3">
        <v>0</v>
      </c>
      <c r="FK6" s="3">
        <v>1305535000</v>
      </c>
      <c r="FL6" s="3">
        <v>1085928272.76</v>
      </c>
      <c r="FM6" s="3">
        <v>209878524.96000001</v>
      </c>
      <c r="FN6" s="3">
        <v>0</v>
      </c>
      <c r="FO6" s="3">
        <v>1295806797.72</v>
      </c>
      <c r="FP6" s="3">
        <v>1079908581.79</v>
      </c>
      <c r="FQ6" s="3">
        <v>188777228.63999999</v>
      </c>
      <c r="FR6" s="3">
        <v>0</v>
      </c>
      <c r="FS6" s="3">
        <v>1268685810.4300001</v>
      </c>
      <c r="FT6" s="3">
        <v>1088179000</v>
      </c>
      <c r="FU6" s="3">
        <v>222524000</v>
      </c>
      <c r="FV6" s="3">
        <v>0</v>
      </c>
      <c r="FW6" s="3">
        <v>1310703000</v>
      </c>
      <c r="FX6" s="3">
        <v>1088179000</v>
      </c>
      <c r="FY6" s="3">
        <v>222524000</v>
      </c>
      <c r="FZ6" s="3">
        <v>0</v>
      </c>
      <c r="GA6" s="3">
        <v>1310703000</v>
      </c>
      <c r="GB6" s="3">
        <v>1088179000</v>
      </c>
      <c r="GC6" s="3">
        <v>222524000</v>
      </c>
      <c r="GD6" s="3">
        <v>0</v>
      </c>
      <c r="GE6" s="3">
        <v>1310703000</v>
      </c>
      <c r="GF6" s="3">
        <v>1114391139.2</v>
      </c>
      <c r="GG6" s="3">
        <v>218511860.80000001</v>
      </c>
      <c r="GH6" s="3">
        <v>0</v>
      </c>
      <c r="GI6" s="3">
        <v>1332903000</v>
      </c>
      <c r="GJ6" s="3">
        <v>1114391139.2</v>
      </c>
      <c r="GK6" s="3">
        <v>218511860.80000001</v>
      </c>
      <c r="GL6" s="3">
        <v>0</v>
      </c>
      <c r="GM6" s="3">
        <v>1332903000</v>
      </c>
      <c r="GN6" s="3">
        <v>1114391096</v>
      </c>
      <c r="GO6" s="3">
        <v>210130687.38999999</v>
      </c>
      <c r="GP6" s="3">
        <v>0</v>
      </c>
      <c r="GQ6" s="3">
        <v>1324521783.3900001</v>
      </c>
      <c r="GR6" s="3">
        <v>1087438355.71</v>
      </c>
      <c r="GS6" s="3">
        <v>187400262.44</v>
      </c>
      <c r="GT6" s="3">
        <v>0</v>
      </c>
      <c r="GU6" s="3">
        <v>1274838618.1500001</v>
      </c>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row>
    <row r="7" spans="1:267" x14ac:dyDescent="0.25">
      <c r="A7" t="s">
        <v>197</v>
      </c>
      <c r="B7" t="s">
        <v>198</v>
      </c>
      <c r="C7" t="s">
        <v>199</v>
      </c>
      <c r="D7" t="s">
        <v>200</v>
      </c>
      <c r="E7" t="s">
        <v>208</v>
      </c>
      <c r="F7" t="s">
        <v>213</v>
      </c>
      <c r="G7" t="s">
        <v>214</v>
      </c>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v>0</v>
      </c>
      <c r="CO7" s="3">
        <v>486307000</v>
      </c>
      <c r="CP7" s="3">
        <v>0</v>
      </c>
      <c r="CQ7" s="3">
        <v>486307000</v>
      </c>
      <c r="CR7" s="3">
        <v>0</v>
      </c>
      <c r="CS7" s="3">
        <v>486307000</v>
      </c>
      <c r="CT7" s="3">
        <v>0</v>
      </c>
      <c r="CU7" s="3">
        <v>486307000</v>
      </c>
      <c r="CV7" s="3">
        <v>0</v>
      </c>
      <c r="CW7" s="3">
        <v>486307000</v>
      </c>
      <c r="CX7" s="3">
        <v>0</v>
      </c>
      <c r="CY7" s="3">
        <v>486307000</v>
      </c>
      <c r="CZ7" s="3">
        <v>0</v>
      </c>
      <c r="DA7" s="3">
        <v>486307000</v>
      </c>
      <c r="DB7" s="3">
        <v>0</v>
      </c>
      <c r="DC7" s="3">
        <v>486307000</v>
      </c>
      <c r="DD7" s="3">
        <v>0</v>
      </c>
      <c r="DE7" s="3">
        <v>486307000</v>
      </c>
      <c r="DF7" s="3">
        <v>0</v>
      </c>
      <c r="DG7" s="3">
        <v>486307000</v>
      </c>
      <c r="DH7" s="3">
        <v>0</v>
      </c>
      <c r="DI7" s="3">
        <v>463620147.47000003</v>
      </c>
      <c r="DJ7" s="3">
        <v>0</v>
      </c>
      <c r="DK7" s="3">
        <v>463620147.47000003</v>
      </c>
      <c r="DL7" s="3">
        <v>0</v>
      </c>
      <c r="DM7" s="3">
        <v>309940501.31999999</v>
      </c>
      <c r="DN7" s="3">
        <v>0</v>
      </c>
      <c r="DO7" s="3">
        <v>309940501.31999999</v>
      </c>
      <c r="DP7" s="3">
        <v>0</v>
      </c>
      <c r="DQ7" s="3">
        <v>1461307000</v>
      </c>
      <c r="DR7" s="3">
        <v>463575000</v>
      </c>
      <c r="DS7" s="3">
        <v>1924882000</v>
      </c>
      <c r="DT7" s="3">
        <v>0</v>
      </c>
      <c r="DU7" s="3">
        <v>1461307000</v>
      </c>
      <c r="DV7" s="3">
        <v>735020000</v>
      </c>
      <c r="DW7" s="3">
        <v>2196327000</v>
      </c>
      <c r="DX7" s="3">
        <v>0</v>
      </c>
      <c r="DY7" s="3">
        <v>1461307000</v>
      </c>
      <c r="DZ7" s="3">
        <v>735020000</v>
      </c>
      <c r="EA7" s="3">
        <v>2196327000</v>
      </c>
      <c r="EB7" s="3">
        <v>23000000</v>
      </c>
      <c r="EC7" s="3">
        <v>1438307000</v>
      </c>
      <c r="ED7" s="3">
        <v>735020000</v>
      </c>
      <c r="EE7" s="3">
        <v>2196327000</v>
      </c>
      <c r="EF7" s="3">
        <v>23000000</v>
      </c>
      <c r="EG7" s="3">
        <v>1438307000</v>
      </c>
      <c r="EH7" s="3">
        <v>735020000</v>
      </c>
      <c r="EI7" s="3">
        <v>2196327000</v>
      </c>
      <c r="EJ7" s="3">
        <v>23000000</v>
      </c>
      <c r="EK7" s="3">
        <v>1414861256.5599999</v>
      </c>
      <c r="EL7" s="3">
        <v>461002443.37</v>
      </c>
      <c r="EM7" s="3">
        <v>1898863699.9300001</v>
      </c>
      <c r="EN7" s="3">
        <v>23000000</v>
      </c>
      <c r="EO7" s="3">
        <v>702681838.44000006</v>
      </c>
      <c r="EP7" s="3">
        <v>277179918.79000002</v>
      </c>
      <c r="EQ7" s="3">
        <v>1002861757.23</v>
      </c>
      <c r="ER7" s="3">
        <v>0</v>
      </c>
      <c r="ES7" s="3">
        <v>975000000</v>
      </c>
      <c r="ET7" s="3">
        <v>0</v>
      </c>
      <c r="EU7" s="3">
        <v>975000000</v>
      </c>
      <c r="EV7" s="3">
        <v>0</v>
      </c>
      <c r="EW7" s="3">
        <v>975000000</v>
      </c>
      <c r="EX7" s="3">
        <v>0</v>
      </c>
      <c r="EY7" s="3">
        <v>975000000</v>
      </c>
      <c r="EZ7" s="3">
        <v>0</v>
      </c>
      <c r="FA7" s="3">
        <v>975000000</v>
      </c>
      <c r="FB7" s="3">
        <v>0</v>
      </c>
      <c r="FC7" s="3">
        <v>975000000</v>
      </c>
      <c r="FD7" s="3">
        <v>86147250</v>
      </c>
      <c r="FE7" s="3">
        <v>888852750</v>
      </c>
      <c r="FF7" s="3">
        <v>0</v>
      </c>
      <c r="FG7" s="3">
        <v>975000000</v>
      </c>
      <c r="FH7" s="3">
        <v>86147250</v>
      </c>
      <c r="FI7" s="3">
        <v>888852750</v>
      </c>
      <c r="FJ7" s="3">
        <v>0</v>
      </c>
      <c r="FK7" s="3">
        <v>975000000</v>
      </c>
      <c r="FL7" s="3">
        <v>86126249.150000006</v>
      </c>
      <c r="FM7" s="3">
        <v>829172229.57000005</v>
      </c>
      <c r="FN7" s="3">
        <v>0</v>
      </c>
      <c r="FO7" s="3">
        <v>915298478.72000003</v>
      </c>
      <c r="FP7" s="3">
        <v>86063249.150000006</v>
      </c>
      <c r="FQ7" s="3">
        <v>464276566.16000003</v>
      </c>
      <c r="FR7" s="3">
        <v>0</v>
      </c>
      <c r="FS7" s="3">
        <v>550339815.30999994</v>
      </c>
      <c r="FT7" s="3">
        <v>0</v>
      </c>
      <c r="FU7" s="3">
        <v>853593000</v>
      </c>
      <c r="FV7" s="3">
        <v>101002000</v>
      </c>
      <c r="FW7" s="3">
        <v>954595000</v>
      </c>
      <c r="FX7" s="3">
        <v>0</v>
      </c>
      <c r="FY7" s="3">
        <v>853593000</v>
      </c>
      <c r="FZ7" s="3">
        <v>101002000</v>
      </c>
      <c r="GA7" s="3">
        <v>954595000</v>
      </c>
      <c r="GB7" s="3">
        <v>0</v>
      </c>
      <c r="GC7" s="3">
        <v>853593000</v>
      </c>
      <c r="GD7" s="3">
        <v>101002000</v>
      </c>
      <c r="GE7" s="3">
        <v>954595000</v>
      </c>
      <c r="GF7" s="3">
        <v>3532000</v>
      </c>
      <c r="GG7" s="3">
        <v>850061000</v>
      </c>
      <c r="GH7" s="3">
        <v>101002000</v>
      </c>
      <c r="GI7" s="3">
        <v>954595000</v>
      </c>
      <c r="GJ7" s="3">
        <v>3532000</v>
      </c>
      <c r="GK7" s="3">
        <v>850061000</v>
      </c>
      <c r="GL7" s="3">
        <v>101002000</v>
      </c>
      <c r="GM7" s="3">
        <v>954595000</v>
      </c>
      <c r="GN7" s="3">
        <v>3532000</v>
      </c>
      <c r="GO7" s="3">
        <v>790259615.85000002</v>
      </c>
      <c r="GP7" s="3">
        <v>99990952.340000004</v>
      </c>
      <c r="GQ7" s="3">
        <v>893782568.19000006</v>
      </c>
      <c r="GR7" s="3">
        <v>3532000</v>
      </c>
      <c r="GS7" s="3">
        <v>379295412.38</v>
      </c>
      <c r="GT7" s="3">
        <v>97994989.340000004</v>
      </c>
      <c r="GU7" s="3">
        <v>480822401.72000003</v>
      </c>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row>
    <row r="8" spans="1:267" x14ac:dyDescent="0.25">
      <c r="A8" t="s">
        <v>197</v>
      </c>
      <c r="B8" t="s">
        <v>198</v>
      </c>
      <c r="C8" t="s">
        <v>199</v>
      </c>
      <c r="D8" t="s">
        <v>200</v>
      </c>
      <c r="E8" t="s">
        <v>208</v>
      </c>
      <c r="F8" t="s">
        <v>215</v>
      </c>
      <c r="G8" t="s">
        <v>216</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v>0</v>
      </c>
      <c r="GW8" s="3">
        <v>0</v>
      </c>
      <c r="GX8" s="3">
        <v>0</v>
      </c>
      <c r="GY8" s="3">
        <v>0</v>
      </c>
      <c r="GZ8" s="3">
        <v>0</v>
      </c>
      <c r="HA8" s="3">
        <v>0</v>
      </c>
      <c r="HB8" s="3">
        <v>1000000000</v>
      </c>
      <c r="HC8" s="3">
        <v>1000000000</v>
      </c>
      <c r="HD8" s="3">
        <v>0</v>
      </c>
      <c r="HE8" s="3">
        <v>0</v>
      </c>
      <c r="HF8" s="3">
        <v>1000000000</v>
      </c>
      <c r="HG8" s="3">
        <v>1000000000</v>
      </c>
      <c r="HH8" s="3">
        <v>0</v>
      </c>
      <c r="HI8" s="3">
        <v>0</v>
      </c>
      <c r="HJ8" s="3">
        <v>1000000000</v>
      </c>
      <c r="HK8" s="3">
        <v>1000000000</v>
      </c>
      <c r="HL8" s="3">
        <v>0</v>
      </c>
      <c r="HM8" s="3">
        <v>0</v>
      </c>
      <c r="HN8" s="3">
        <v>0</v>
      </c>
      <c r="HO8" s="3">
        <v>0</v>
      </c>
      <c r="HP8" s="3">
        <v>0</v>
      </c>
      <c r="HQ8" s="3">
        <v>0</v>
      </c>
      <c r="HR8" s="3">
        <v>0</v>
      </c>
      <c r="HS8" s="3">
        <v>0</v>
      </c>
      <c r="HT8" s="3">
        <v>0</v>
      </c>
      <c r="HU8" s="3">
        <v>0</v>
      </c>
      <c r="HV8" s="3">
        <v>0</v>
      </c>
      <c r="HW8" s="3">
        <v>0</v>
      </c>
      <c r="HX8" s="3">
        <v>0</v>
      </c>
      <c r="HY8" s="3">
        <v>0</v>
      </c>
      <c r="HZ8" s="3">
        <v>0</v>
      </c>
      <c r="IA8" s="3">
        <v>0</v>
      </c>
      <c r="IB8" s="3">
        <v>0</v>
      </c>
      <c r="IC8" s="3">
        <v>0</v>
      </c>
      <c r="ID8" s="3">
        <v>0</v>
      </c>
      <c r="IE8" s="3">
        <v>0</v>
      </c>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row>
    <row r="9" spans="1:267" x14ac:dyDescent="0.25">
      <c r="A9" t="s">
        <v>197</v>
      </c>
      <c r="B9" t="s">
        <v>198</v>
      </c>
      <c r="C9" t="s">
        <v>199</v>
      </c>
      <c r="D9" t="s">
        <v>200</v>
      </c>
      <c r="E9" t="s">
        <v>217</v>
      </c>
      <c r="F9" t="s">
        <v>218</v>
      </c>
      <c r="G9" t="s">
        <v>219</v>
      </c>
      <c r="H9" s="3">
        <v>20890000</v>
      </c>
      <c r="I9" s="3">
        <v>70736000</v>
      </c>
      <c r="J9" s="3">
        <v>0</v>
      </c>
      <c r="K9" s="3">
        <v>91626000</v>
      </c>
      <c r="L9" s="3">
        <v>20890000</v>
      </c>
      <c r="M9" s="3">
        <v>31956000</v>
      </c>
      <c r="N9" s="3">
        <v>0</v>
      </c>
      <c r="O9" s="3">
        <v>52846000</v>
      </c>
      <c r="P9" s="3">
        <v>20890000</v>
      </c>
      <c r="Q9" s="3">
        <v>31956000</v>
      </c>
      <c r="R9" s="3">
        <v>0</v>
      </c>
      <c r="S9" s="3">
        <v>52846000</v>
      </c>
      <c r="T9" s="3">
        <v>21607344</v>
      </c>
      <c r="U9" s="3">
        <v>31238656</v>
      </c>
      <c r="V9" s="3">
        <v>0</v>
      </c>
      <c r="W9" s="3">
        <v>52846000</v>
      </c>
      <c r="X9" s="3">
        <v>21607344</v>
      </c>
      <c r="Y9" s="3">
        <v>31238656</v>
      </c>
      <c r="Z9" s="3">
        <v>0</v>
      </c>
      <c r="AA9" s="3">
        <v>52846000</v>
      </c>
      <c r="AB9" s="3">
        <v>21607344</v>
      </c>
      <c r="AC9" s="3">
        <v>24949424.239999998</v>
      </c>
      <c r="AD9" s="3">
        <v>0</v>
      </c>
      <c r="AE9" s="3">
        <v>46556768.240000002</v>
      </c>
      <c r="AF9" s="3">
        <v>21607344</v>
      </c>
      <c r="AG9" s="3">
        <v>11141887.119999999</v>
      </c>
      <c r="AH9" s="3">
        <v>0</v>
      </c>
      <c r="AI9" s="3">
        <v>32749231.120000001</v>
      </c>
      <c r="AJ9" s="3">
        <v>24199000</v>
      </c>
      <c r="AK9" s="3">
        <v>21775000</v>
      </c>
      <c r="AL9" s="3">
        <v>0</v>
      </c>
      <c r="AM9" s="3">
        <v>45974000</v>
      </c>
      <c r="AN9" s="3">
        <v>24199000</v>
      </c>
      <c r="AO9" s="3">
        <v>21775000</v>
      </c>
      <c r="AP9" s="3">
        <v>0</v>
      </c>
      <c r="AQ9" s="3">
        <v>45974000</v>
      </c>
      <c r="AR9" s="3">
        <v>24199000</v>
      </c>
      <c r="AS9" s="3">
        <v>21775000</v>
      </c>
      <c r="AT9" s="3">
        <v>0</v>
      </c>
      <c r="AU9" s="3">
        <v>45974000</v>
      </c>
      <c r="AV9" s="3">
        <v>24199000</v>
      </c>
      <c r="AW9" s="3">
        <v>21775000</v>
      </c>
      <c r="AX9" s="3">
        <v>0</v>
      </c>
      <c r="AY9" s="3">
        <v>45974000</v>
      </c>
      <c r="AZ9" s="3">
        <v>24199000</v>
      </c>
      <c r="BA9" s="3">
        <v>21775000</v>
      </c>
      <c r="BB9" s="3">
        <v>0</v>
      </c>
      <c r="BC9" s="3">
        <v>45974000</v>
      </c>
      <c r="BD9" s="3">
        <v>24199000</v>
      </c>
      <c r="BE9" s="3">
        <v>20697091.640000001</v>
      </c>
      <c r="BF9" s="3">
        <v>0</v>
      </c>
      <c r="BG9" s="3">
        <v>44896091.640000001</v>
      </c>
      <c r="BH9" s="3">
        <v>24199000</v>
      </c>
      <c r="BI9" s="3">
        <v>15077935.699999999</v>
      </c>
      <c r="BJ9" s="3">
        <v>0</v>
      </c>
      <c r="BK9" s="3">
        <v>39276935.700000003</v>
      </c>
      <c r="BL9" s="3">
        <v>22744000</v>
      </c>
      <c r="BM9" s="3">
        <v>17828000</v>
      </c>
      <c r="BN9" s="3">
        <v>0</v>
      </c>
      <c r="BO9" s="3">
        <v>40572000</v>
      </c>
      <c r="BP9" s="3">
        <v>22744000</v>
      </c>
      <c r="BQ9" s="3">
        <v>17828000</v>
      </c>
      <c r="BR9" s="3">
        <v>0</v>
      </c>
      <c r="BS9" s="3">
        <v>40572000</v>
      </c>
      <c r="BT9" s="3">
        <v>22744000</v>
      </c>
      <c r="BU9" s="3">
        <v>17828000</v>
      </c>
      <c r="BV9" s="3">
        <v>0</v>
      </c>
      <c r="BW9" s="3">
        <v>40572000</v>
      </c>
      <c r="BX9" s="3">
        <v>22744000</v>
      </c>
      <c r="BY9" s="3">
        <v>17828000</v>
      </c>
      <c r="BZ9" s="3">
        <v>0</v>
      </c>
      <c r="CA9" s="3">
        <v>40572000</v>
      </c>
      <c r="CB9" s="3">
        <v>22744000</v>
      </c>
      <c r="CC9" s="3">
        <v>17828000</v>
      </c>
      <c r="CD9" s="3">
        <v>0</v>
      </c>
      <c r="CE9" s="3">
        <v>40572000</v>
      </c>
      <c r="CF9" s="3">
        <v>21780239.129999999</v>
      </c>
      <c r="CG9" s="3">
        <v>16474431.619999999</v>
      </c>
      <c r="CH9" s="3">
        <v>0</v>
      </c>
      <c r="CI9" s="3">
        <v>38254670.75</v>
      </c>
      <c r="CJ9" s="3">
        <v>20869110.690000001</v>
      </c>
      <c r="CK9" s="3">
        <v>10104991.58</v>
      </c>
      <c r="CL9" s="3">
        <v>0</v>
      </c>
      <c r="CM9" s="3">
        <v>30974102.27</v>
      </c>
      <c r="CN9" s="3">
        <v>23679000</v>
      </c>
      <c r="CO9" s="3">
        <v>17787000</v>
      </c>
      <c r="CP9" s="3">
        <v>0</v>
      </c>
      <c r="CQ9" s="3">
        <v>41466000</v>
      </c>
      <c r="CR9" s="3">
        <v>23679000</v>
      </c>
      <c r="CS9" s="3">
        <v>17787000</v>
      </c>
      <c r="CT9" s="3">
        <v>0</v>
      </c>
      <c r="CU9" s="3">
        <v>41466000</v>
      </c>
      <c r="CV9" s="3">
        <v>23679000</v>
      </c>
      <c r="CW9" s="3">
        <v>17787000</v>
      </c>
      <c r="CX9" s="3">
        <v>0</v>
      </c>
      <c r="CY9" s="3">
        <v>41466000</v>
      </c>
      <c r="CZ9" s="3">
        <v>23679000</v>
      </c>
      <c r="DA9" s="3">
        <v>17787000</v>
      </c>
      <c r="DB9" s="3">
        <v>0</v>
      </c>
      <c r="DC9" s="3">
        <v>41466000</v>
      </c>
      <c r="DD9" s="3">
        <v>23679000</v>
      </c>
      <c r="DE9" s="3">
        <v>17787000</v>
      </c>
      <c r="DF9" s="3">
        <v>0</v>
      </c>
      <c r="DG9" s="3">
        <v>41466000</v>
      </c>
      <c r="DH9" s="3">
        <v>23679000</v>
      </c>
      <c r="DI9" s="3">
        <v>16791360.100000001</v>
      </c>
      <c r="DJ9" s="3">
        <v>0</v>
      </c>
      <c r="DK9" s="3">
        <v>40470360.100000001</v>
      </c>
      <c r="DL9" s="3">
        <v>23040067.16</v>
      </c>
      <c r="DM9" s="3">
        <v>11221524.32</v>
      </c>
      <c r="DN9" s="3">
        <v>0</v>
      </c>
      <c r="DO9" s="3">
        <v>34261591.479999997</v>
      </c>
      <c r="DP9" s="3">
        <v>23459000</v>
      </c>
      <c r="DQ9" s="3">
        <v>17787000</v>
      </c>
      <c r="DR9" s="3">
        <v>0</v>
      </c>
      <c r="DS9" s="3">
        <v>41246000</v>
      </c>
      <c r="DT9" s="3">
        <v>23459000</v>
      </c>
      <c r="DU9" s="3">
        <v>17787000</v>
      </c>
      <c r="DV9" s="3">
        <v>0</v>
      </c>
      <c r="DW9" s="3">
        <v>41246000</v>
      </c>
      <c r="DX9" s="3">
        <v>23459000</v>
      </c>
      <c r="DY9" s="3">
        <v>17787000</v>
      </c>
      <c r="DZ9" s="3">
        <v>0</v>
      </c>
      <c r="EA9" s="3">
        <v>41246000</v>
      </c>
      <c r="EB9" s="3">
        <v>24859000</v>
      </c>
      <c r="EC9" s="3">
        <v>16387000</v>
      </c>
      <c r="ED9" s="3">
        <v>0</v>
      </c>
      <c r="EE9" s="3">
        <v>41246000</v>
      </c>
      <c r="EF9" s="3">
        <v>24859000</v>
      </c>
      <c r="EG9" s="3">
        <v>16387000</v>
      </c>
      <c r="EH9" s="3">
        <v>0</v>
      </c>
      <c r="EI9" s="3">
        <v>41246000</v>
      </c>
      <c r="EJ9" s="3">
        <v>24858708.559999999</v>
      </c>
      <c r="EK9" s="3">
        <v>12519754.449999999</v>
      </c>
      <c r="EL9" s="3">
        <v>0</v>
      </c>
      <c r="EM9" s="3">
        <v>37378463.009999998</v>
      </c>
      <c r="EN9" s="3">
        <v>20835170.280000001</v>
      </c>
      <c r="EO9" s="3">
        <v>10428301.810000001</v>
      </c>
      <c r="EP9" s="3">
        <v>0</v>
      </c>
      <c r="EQ9" s="3">
        <v>31263472.09</v>
      </c>
      <c r="ER9" s="3">
        <v>24101000</v>
      </c>
      <c r="ES9" s="3">
        <v>16966000</v>
      </c>
      <c r="ET9" s="3">
        <v>0</v>
      </c>
      <c r="EU9" s="3">
        <v>41067000</v>
      </c>
      <c r="EV9" s="3">
        <v>24101000</v>
      </c>
      <c r="EW9" s="3">
        <v>16966000</v>
      </c>
      <c r="EX9" s="3">
        <v>0</v>
      </c>
      <c r="EY9" s="3">
        <v>41067000</v>
      </c>
      <c r="EZ9" s="3">
        <v>24101000</v>
      </c>
      <c r="FA9" s="3">
        <v>16966000</v>
      </c>
      <c r="FB9" s="3">
        <v>0</v>
      </c>
      <c r="FC9" s="3">
        <v>41067000</v>
      </c>
      <c r="FD9" s="3">
        <v>24501000</v>
      </c>
      <c r="FE9" s="3">
        <v>16566000</v>
      </c>
      <c r="FF9" s="3">
        <v>0</v>
      </c>
      <c r="FG9" s="3">
        <v>41067000</v>
      </c>
      <c r="FH9" s="3">
        <v>24501000</v>
      </c>
      <c r="FI9" s="3">
        <v>16566000</v>
      </c>
      <c r="FJ9" s="3">
        <v>0</v>
      </c>
      <c r="FK9" s="3">
        <v>41067000</v>
      </c>
      <c r="FL9" s="3">
        <v>24501000</v>
      </c>
      <c r="FM9" s="3">
        <v>15392216.74</v>
      </c>
      <c r="FN9" s="3">
        <v>0</v>
      </c>
      <c r="FO9" s="3">
        <v>39893216.740000002</v>
      </c>
      <c r="FP9" s="3">
        <v>24496914.859999999</v>
      </c>
      <c r="FQ9" s="3">
        <v>12460260.560000001</v>
      </c>
      <c r="FR9" s="3">
        <v>0</v>
      </c>
      <c r="FS9" s="3">
        <v>36957175.420000002</v>
      </c>
      <c r="FT9" s="3">
        <v>25229000</v>
      </c>
      <c r="FU9" s="3">
        <v>13817000</v>
      </c>
      <c r="FV9" s="3">
        <v>0</v>
      </c>
      <c r="FW9" s="3">
        <v>39046000</v>
      </c>
      <c r="FX9" s="3">
        <v>25229000</v>
      </c>
      <c r="FY9" s="3">
        <v>13817000</v>
      </c>
      <c r="FZ9" s="3">
        <v>0</v>
      </c>
      <c r="GA9" s="3">
        <v>39046000</v>
      </c>
      <c r="GB9" s="3">
        <v>25229000</v>
      </c>
      <c r="GC9" s="3">
        <v>13817000</v>
      </c>
      <c r="GD9" s="3">
        <v>0</v>
      </c>
      <c r="GE9" s="3">
        <v>39046000</v>
      </c>
      <c r="GF9" s="3">
        <v>25229000</v>
      </c>
      <c r="GG9" s="3">
        <v>13817000</v>
      </c>
      <c r="GH9" s="3">
        <v>0</v>
      </c>
      <c r="GI9" s="3">
        <v>39046000</v>
      </c>
      <c r="GJ9" s="3">
        <v>25229000</v>
      </c>
      <c r="GK9" s="3">
        <v>13817000</v>
      </c>
      <c r="GL9" s="3">
        <v>0</v>
      </c>
      <c r="GM9" s="3">
        <v>39046000</v>
      </c>
      <c r="GN9" s="3">
        <v>25229000</v>
      </c>
      <c r="GO9" s="3">
        <v>13433806.789999999</v>
      </c>
      <c r="GP9" s="3">
        <v>0</v>
      </c>
      <c r="GQ9" s="3">
        <v>38662806.789999999</v>
      </c>
      <c r="GR9" s="3">
        <v>25108727.52</v>
      </c>
      <c r="GS9" s="3">
        <v>11984360.810000001</v>
      </c>
      <c r="GT9" s="3">
        <v>0</v>
      </c>
      <c r="GU9" s="3">
        <v>37093088.329999998</v>
      </c>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row>
    <row r="10" spans="1:267" x14ac:dyDescent="0.25">
      <c r="A10" t="s">
        <v>197</v>
      </c>
      <c r="B10" t="s">
        <v>198</v>
      </c>
      <c r="C10" t="s">
        <v>199</v>
      </c>
      <c r="D10" t="s">
        <v>200</v>
      </c>
      <c r="E10" t="s">
        <v>217</v>
      </c>
      <c r="F10" t="s">
        <v>220</v>
      </c>
      <c r="G10" t="s">
        <v>221</v>
      </c>
      <c r="H10" s="3">
        <v>33058000</v>
      </c>
      <c r="I10" s="3">
        <v>15242000</v>
      </c>
      <c r="J10" s="3">
        <v>0</v>
      </c>
      <c r="K10" s="3">
        <v>48300000</v>
      </c>
      <c r="L10" s="3">
        <v>33058000</v>
      </c>
      <c r="M10" s="3">
        <v>15242000</v>
      </c>
      <c r="N10" s="3">
        <v>0</v>
      </c>
      <c r="O10" s="3">
        <v>48300000</v>
      </c>
      <c r="P10" s="3">
        <v>33058000</v>
      </c>
      <c r="Q10" s="3">
        <v>15242000</v>
      </c>
      <c r="R10" s="3">
        <v>0</v>
      </c>
      <c r="S10" s="3">
        <v>48300000</v>
      </c>
      <c r="T10" s="3">
        <v>33058000</v>
      </c>
      <c r="U10" s="3">
        <v>15242000</v>
      </c>
      <c r="V10" s="3">
        <v>0</v>
      </c>
      <c r="W10" s="3">
        <v>48300000</v>
      </c>
      <c r="X10" s="3">
        <v>33058000</v>
      </c>
      <c r="Y10" s="3">
        <v>15242000</v>
      </c>
      <c r="Z10" s="3">
        <v>0</v>
      </c>
      <c r="AA10" s="3">
        <v>48300000</v>
      </c>
      <c r="AB10" s="3">
        <v>33058000</v>
      </c>
      <c r="AC10" s="3">
        <v>14402827.470000001</v>
      </c>
      <c r="AD10" s="3">
        <v>0</v>
      </c>
      <c r="AE10" s="3">
        <v>47460827.469999999</v>
      </c>
      <c r="AF10" s="3">
        <v>33047360.57</v>
      </c>
      <c r="AG10" s="3">
        <v>10873582.43</v>
      </c>
      <c r="AH10" s="3">
        <v>0</v>
      </c>
      <c r="AI10" s="3">
        <v>43920943</v>
      </c>
      <c r="AJ10" s="3">
        <v>24560000</v>
      </c>
      <c r="AK10" s="3">
        <v>14938000</v>
      </c>
      <c r="AL10" s="3">
        <v>0</v>
      </c>
      <c r="AM10" s="3">
        <v>39498000</v>
      </c>
      <c r="AN10" s="3">
        <v>24560000</v>
      </c>
      <c r="AO10" s="3">
        <v>24938000</v>
      </c>
      <c r="AP10" s="3">
        <v>0</v>
      </c>
      <c r="AQ10" s="3">
        <v>49498000</v>
      </c>
      <c r="AR10" s="3">
        <v>24560000</v>
      </c>
      <c r="AS10" s="3">
        <v>24938000</v>
      </c>
      <c r="AT10" s="3">
        <v>0</v>
      </c>
      <c r="AU10" s="3">
        <v>49498000</v>
      </c>
      <c r="AV10" s="3">
        <v>24568730</v>
      </c>
      <c r="AW10" s="3">
        <v>24929270</v>
      </c>
      <c r="AX10" s="3">
        <v>0</v>
      </c>
      <c r="AY10" s="3">
        <v>49498000</v>
      </c>
      <c r="AZ10" s="3">
        <v>24568730</v>
      </c>
      <c r="BA10" s="3">
        <v>24929270</v>
      </c>
      <c r="BB10" s="3">
        <v>0</v>
      </c>
      <c r="BC10" s="3">
        <v>49498000</v>
      </c>
      <c r="BD10" s="3">
        <v>24560000</v>
      </c>
      <c r="BE10" s="3">
        <v>20913037.170000002</v>
      </c>
      <c r="BF10" s="3">
        <v>0</v>
      </c>
      <c r="BG10" s="3">
        <v>45473037.170000002</v>
      </c>
      <c r="BH10" s="3">
        <v>24560000</v>
      </c>
      <c r="BI10" s="3">
        <v>18350975.789999999</v>
      </c>
      <c r="BJ10" s="3">
        <v>0</v>
      </c>
      <c r="BK10" s="3">
        <v>42910975.789999999</v>
      </c>
      <c r="BL10" s="3">
        <v>27868000</v>
      </c>
      <c r="BM10" s="3">
        <v>23212000</v>
      </c>
      <c r="BN10" s="3">
        <v>0</v>
      </c>
      <c r="BO10" s="3">
        <v>51080000</v>
      </c>
      <c r="BP10" s="3">
        <v>27868000</v>
      </c>
      <c r="BQ10" s="3">
        <v>23212000</v>
      </c>
      <c r="BR10" s="3">
        <v>0</v>
      </c>
      <c r="BS10" s="3">
        <v>51080000</v>
      </c>
      <c r="BT10" s="3">
        <v>27868000</v>
      </c>
      <c r="BU10" s="3">
        <v>23212000</v>
      </c>
      <c r="BV10" s="3">
        <v>0</v>
      </c>
      <c r="BW10" s="3">
        <v>51080000</v>
      </c>
      <c r="BX10" s="3">
        <v>27869700</v>
      </c>
      <c r="BY10" s="3">
        <v>23210300</v>
      </c>
      <c r="BZ10" s="3">
        <v>0</v>
      </c>
      <c r="CA10" s="3">
        <v>51080000</v>
      </c>
      <c r="CB10" s="3">
        <v>27869700</v>
      </c>
      <c r="CC10" s="3">
        <v>23210300</v>
      </c>
      <c r="CD10" s="3">
        <v>0</v>
      </c>
      <c r="CE10" s="3">
        <v>51080000</v>
      </c>
      <c r="CF10" s="3">
        <v>26970935.469999999</v>
      </c>
      <c r="CG10" s="3">
        <v>21436393.550000001</v>
      </c>
      <c r="CH10" s="3">
        <v>0</v>
      </c>
      <c r="CI10" s="3">
        <v>48407329.020000003</v>
      </c>
      <c r="CJ10" s="3">
        <v>26942900.239999998</v>
      </c>
      <c r="CK10" s="3">
        <v>12702648.6</v>
      </c>
      <c r="CL10" s="3">
        <v>0</v>
      </c>
      <c r="CM10" s="3">
        <v>39645548.840000004</v>
      </c>
      <c r="CN10" s="3">
        <v>26959000</v>
      </c>
      <c r="CO10" s="3">
        <v>14336000</v>
      </c>
      <c r="CP10" s="3">
        <v>0</v>
      </c>
      <c r="CQ10" s="3">
        <v>41295000</v>
      </c>
      <c r="CR10" s="3">
        <v>26959000</v>
      </c>
      <c r="CS10" s="3">
        <v>23736000</v>
      </c>
      <c r="CT10" s="3">
        <v>0</v>
      </c>
      <c r="CU10" s="3">
        <v>50695000</v>
      </c>
      <c r="CV10" s="3">
        <v>26959000</v>
      </c>
      <c r="CW10" s="3">
        <v>23736000</v>
      </c>
      <c r="CX10" s="3">
        <v>0</v>
      </c>
      <c r="CY10" s="3">
        <v>50695000</v>
      </c>
      <c r="CZ10" s="3">
        <v>26959000</v>
      </c>
      <c r="DA10" s="3">
        <v>23736000</v>
      </c>
      <c r="DB10" s="3">
        <v>0</v>
      </c>
      <c r="DC10" s="3">
        <v>50695000</v>
      </c>
      <c r="DD10" s="3">
        <v>26959000</v>
      </c>
      <c r="DE10" s="3">
        <v>23736000</v>
      </c>
      <c r="DF10" s="3">
        <v>0</v>
      </c>
      <c r="DG10" s="3">
        <v>50695000</v>
      </c>
      <c r="DH10" s="3">
        <v>26951393.969999999</v>
      </c>
      <c r="DI10" s="3">
        <v>19531679.52</v>
      </c>
      <c r="DJ10" s="3">
        <v>0</v>
      </c>
      <c r="DK10" s="3">
        <v>46483073.490000002</v>
      </c>
      <c r="DL10" s="3">
        <v>26833135.170000002</v>
      </c>
      <c r="DM10" s="3">
        <v>15269434.16</v>
      </c>
      <c r="DN10" s="3">
        <v>0</v>
      </c>
      <c r="DO10" s="3">
        <v>42102569.329999998</v>
      </c>
      <c r="DP10" s="3">
        <v>23645000</v>
      </c>
      <c r="DQ10" s="3">
        <v>14336000</v>
      </c>
      <c r="DR10" s="3">
        <v>0</v>
      </c>
      <c r="DS10" s="3">
        <v>37981000</v>
      </c>
      <c r="DT10" s="3">
        <v>23645000</v>
      </c>
      <c r="DU10" s="3">
        <v>22336000</v>
      </c>
      <c r="DV10" s="3">
        <v>0</v>
      </c>
      <c r="DW10" s="3">
        <v>45981000</v>
      </c>
      <c r="DX10" s="3">
        <v>23645000</v>
      </c>
      <c r="DY10" s="3">
        <v>22336000</v>
      </c>
      <c r="DZ10" s="3">
        <v>0</v>
      </c>
      <c r="EA10" s="3">
        <v>45981000</v>
      </c>
      <c r="EB10" s="3">
        <v>23915000</v>
      </c>
      <c r="EC10" s="3">
        <v>22066000</v>
      </c>
      <c r="ED10" s="3">
        <v>0</v>
      </c>
      <c r="EE10" s="3">
        <v>45981000</v>
      </c>
      <c r="EF10" s="3">
        <v>23915000</v>
      </c>
      <c r="EG10" s="3">
        <v>22066000</v>
      </c>
      <c r="EH10" s="3">
        <v>0</v>
      </c>
      <c r="EI10" s="3">
        <v>45981000</v>
      </c>
      <c r="EJ10" s="3">
        <v>23914922.780000001</v>
      </c>
      <c r="EK10" s="3">
        <v>21772930.670000002</v>
      </c>
      <c r="EL10" s="3">
        <v>0</v>
      </c>
      <c r="EM10" s="3">
        <v>45687853.450000003</v>
      </c>
      <c r="EN10" s="3">
        <v>23914922.780000001</v>
      </c>
      <c r="EO10" s="3">
        <v>12588342.59</v>
      </c>
      <c r="EP10" s="3">
        <v>0</v>
      </c>
      <c r="EQ10" s="3">
        <v>36503265.369999997</v>
      </c>
      <c r="ER10" s="3">
        <v>28676000</v>
      </c>
      <c r="ES10" s="3">
        <v>12686000</v>
      </c>
      <c r="ET10" s="3">
        <v>0</v>
      </c>
      <c r="EU10" s="3">
        <v>41362000</v>
      </c>
      <c r="EV10" s="3">
        <v>28676000</v>
      </c>
      <c r="EW10" s="3">
        <v>12686000</v>
      </c>
      <c r="EX10" s="3">
        <v>0</v>
      </c>
      <c r="EY10" s="3">
        <v>41362000</v>
      </c>
      <c r="EZ10" s="3">
        <v>28676000</v>
      </c>
      <c r="FA10" s="3">
        <v>12686000</v>
      </c>
      <c r="FB10" s="3">
        <v>0</v>
      </c>
      <c r="FC10" s="3">
        <v>41362000</v>
      </c>
      <c r="FD10" s="3">
        <v>28779000</v>
      </c>
      <c r="FE10" s="3">
        <v>12583000</v>
      </c>
      <c r="FF10" s="3">
        <v>0</v>
      </c>
      <c r="FG10" s="3">
        <v>41362000</v>
      </c>
      <c r="FH10" s="3">
        <v>28779000</v>
      </c>
      <c r="FI10" s="3">
        <v>12583000</v>
      </c>
      <c r="FJ10" s="3">
        <v>0</v>
      </c>
      <c r="FK10" s="3">
        <v>41362000</v>
      </c>
      <c r="FL10" s="3">
        <v>28778885.879999999</v>
      </c>
      <c r="FM10" s="3">
        <v>11869154.84</v>
      </c>
      <c r="FN10" s="3">
        <v>0</v>
      </c>
      <c r="FO10" s="3">
        <v>40648040.719999999</v>
      </c>
      <c r="FP10" s="3">
        <v>28745199.609999999</v>
      </c>
      <c r="FQ10" s="3">
        <v>11204178.68</v>
      </c>
      <c r="FR10" s="3">
        <v>0</v>
      </c>
      <c r="FS10" s="3">
        <v>39949378.289999999</v>
      </c>
      <c r="FT10" s="3">
        <v>34250000</v>
      </c>
      <c r="FU10" s="3">
        <v>12914000</v>
      </c>
      <c r="FV10" s="3">
        <v>0</v>
      </c>
      <c r="FW10" s="3">
        <v>47164000</v>
      </c>
      <c r="FX10" s="3">
        <v>34250000</v>
      </c>
      <c r="FY10" s="3">
        <v>12914000</v>
      </c>
      <c r="FZ10" s="3">
        <v>0</v>
      </c>
      <c r="GA10" s="3">
        <v>47164000</v>
      </c>
      <c r="GB10" s="3">
        <v>34250000</v>
      </c>
      <c r="GC10" s="3">
        <v>12914000</v>
      </c>
      <c r="GD10" s="3">
        <v>0</v>
      </c>
      <c r="GE10" s="3">
        <v>47164000</v>
      </c>
      <c r="GF10" s="3">
        <v>34250000</v>
      </c>
      <c r="GG10" s="3">
        <v>12914000</v>
      </c>
      <c r="GH10" s="3">
        <v>0</v>
      </c>
      <c r="GI10" s="3">
        <v>47164000</v>
      </c>
      <c r="GJ10" s="3">
        <v>34250000</v>
      </c>
      <c r="GK10" s="3">
        <v>12914000</v>
      </c>
      <c r="GL10" s="3">
        <v>0</v>
      </c>
      <c r="GM10" s="3">
        <v>47164000</v>
      </c>
      <c r="GN10" s="3">
        <v>34249728.43</v>
      </c>
      <c r="GO10" s="3">
        <v>12303984.26</v>
      </c>
      <c r="GP10" s="3">
        <v>0</v>
      </c>
      <c r="GQ10" s="3">
        <v>46553712.689999998</v>
      </c>
      <c r="GR10" s="3">
        <v>34106135.460000001</v>
      </c>
      <c r="GS10" s="3">
        <v>10508214.1</v>
      </c>
      <c r="GT10" s="3">
        <v>0</v>
      </c>
      <c r="GU10" s="3">
        <v>44614349.560000002</v>
      </c>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row>
    <row r="11" spans="1:267" x14ac:dyDescent="0.25">
      <c r="A11" t="s">
        <v>197</v>
      </c>
      <c r="B11" t="s">
        <v>198</v>
      </c>
      <c r="C11" t="s">
        <v>199</v>
      </c>
      <c r="D11" t="s">
        <v>200</v>
      </c>
      <c r="E11" t="s">
        <v>217</v>
      </c>
      <c r="F11" t="s">
        <v>222</v>
      </c>
      <c r="G11" t="s">
        <v>223</v>
      </c>
      <c r="H11" s="3">
        <v>82578000</v>
      </c>
      <c r="I11" s="3">
        <v>73949000</v>
      </c>
      <c r="J11" s="3">
        <v>0</v>
      </c>
      <c r="K11" s="3">
        <v>156527000</v>
      </c>
      <c r="L11" s="3">
        <v>0</v>
      </c>
      <c r="M11" s="3">
        <v>112729000</v>
      </c>
      <c r="N11" s="3">
        <v>0</v>
      </c>
      <c r="O11" s="3">
        <v>112729000</v>
      </c>
      <c r="P11" s="3">
        <v>0</v>
      </c>
      <c r="Q11" s="3">
        <v>112729000</v>
      </c>
      <c r="R11" s="3">
        <v>0</v>
      </c>
      <c r="S11" s="3">
        <v>112729000</v>
      </c>
      <c r="T11" s="3">
        <v>0</v>
      </c>
      <c r="U11" s="3">
        <v>112729000</v>
      </c>
      <c r="V11" s="3">
        <v>0</v>
      </c>
      <c r="W11" s="3">
        <v>112729000</v>
      </c>
      <c r="X11" s="3">
        <v>0</v>
      </c>
      <c r="Y11" s="3">
        <v>112729000</v>
      </c>
      <c r="Z11" s="3">
        <v>0</v>
      </c>
      <c r="AA11" s="3">
        <v>112729000</v>
      </c>
      <c r="AB11" s="3">
        <v>0</v>
      </c>
      <c r="AC11" s="3">
        <v>109953082.72</v>
      </c>
      <c r="AD11" s="3">
        <v>0</v>
      </c>
      <c r="AE11" s="3">
        <v>109953082.72</v>
      </c>
      <c r="AF11" s="3">
        <v>0</v>
      </c>
      <c r="AG11" s="3">
        <v>4760718.21</v>
      </c>
      <c r="AH11" s="3">
        <v>0</v>
      </c>
      <c r="AI11" s="3">
        <v>4760718.21</v>
      </c>
      <c r="AJ11" s="3">
        <v>51572000</v>
      </c>
      <c r="AK11" s="3">
        <v>78026000</v>
      </c>
      <c r="AL11" s="3">
        <v>0</v>
      </c>
      <c r="AM11" s="3">
        <v>129598000</v>
      </c>
      <c r="AN11" s="3">
        <v>51572000</v>
      </c>
      <c r="AO11" s="3">
        <v>78026000</v>
      </c>
      <c r="AP11" s="3">
        <v>0</v>
      </c>
      <c r="AQ11" s="3">
        <v>129598000</v>
      </c>
      <c r="AR11" s="3">
        <v>51572000</v>
      </c>
      <c r="AS11" s="3">
        <v>78026000</v>
      </c>
      <c r="AT11" s="3">
        <v>0</v>
      </c>
      <c r="AU11" s="3">
        <v>129598000</v>
      </c>
      <c r="AV11" s="3">
        <v>51572000</v>
      </c>
      <c r="AW11" s="3">
        <v>78026000</v>
      </c>
      <c r="AX11" s="3">
        <v>0</v>
      </c>
      <c r="AY11" s="3">
        <v>129598000</v>
      </c>
      <c r="AZ11" s="3">
        <v>51572000</v>
      </c>
      <c r="BA11" s="3">
        <v>78026000</v>
      </c>
      <c r="BB11" s="3">
        <v>0</v>
      </c>
      <c r="BC11" s="3">
        <v>129598000</v>
      </c>
      <c r="BD11" s="3">
        <v>51571893.009999998</v>
      </c>
      <c r="BE11" s="3">
        <v>62839748.399999999</v>
      </c>
      <c r="BF11" s="3">
        <v>0</v>
      </c>
      <c r="BG11" s="3">
        <v>114411641.41</v>
      </c>
      <c r="BH11" s="3">
        <v>51571893.009999998</v>
      </c>
      <c r="BI11" s="3">
        <v>22318059.23</v>
      </c>
      <c r="BJ11" s="3">
        <v>0</v>
      </c>
      <c r="BK11" s="3">
        <v>73889952.239999995</v>
      </c>
      <c r="BL11" s="3">
        <v>53702000</v>
      </c>
      <c r="BM11" s="3">
        <v>149510000</v>
      </c>
      <c r="BN11" s="3">
        <v>0</v>
      </c>
      <c r="BO11" s="3">
        <v>203212000</v>
      </c>
      <c r="BP11" s="3">
        <v>53702000</v>
      </c>
      <c r="BQ11" s="3">
        <v>149510000</v>
      </c>
      <c r="BR11" s="3">
        <v>0</v>
      </c>
      <c r="BS11" s="3">
        <v>203212000</v>
      </c>
      <c r="BT11" s="3">
        <v>53702000</v>
      </c>
      <c r="BU11" s="3">
        <v>149510000</v>
      </c>
      <c r="BV11" s="3">
        <v>0</v>
      </c>
      <c r="BW11" s="3">
        <v>203212000</v>
      </c>
      <c r="BX11" s="3">
        <v>53702000</v>
      </c>
      <c r="BY11" s="3">
        <v>149510000</v>
      </c>
      <c r="BZ11" s="3">
        <v>0</v>
      </c>
      <c r="CA11" s="3">
        <v>203212000</v>
      </c>
      <c r="CB11" s="3">
        <v>53702000</v>
      </c>
      <c r="CC11" s="3">
        <v>149510000</v>
      </c>
      <c r="CD11" s="3">
        <v>0</v>
      </c>
      <c r="CE11" s="3">
        <v>203212000</v>
      </c>
      <c r="CF11" s="3">
        <v>52795072.170000002</v>
      </c>
      <c r="CG11" s="3">
        <v>50048252.719999999</v>
      </c>
      <c r="CH11" s="3">
        <v>0</v>
      </c>
      <c r="CI11" s="3">
        <v>102843324.89</v>
      </c>
      <c r="CJ11" s="3">
        <v>51404987.549999997</v>
      </c>
      <c r="CK11" s="3">
        <v>30864494.129999999</v>
      </c>
      <c r="CL11" s="3">
        <v>0</v>
      </c>
      <c r="CM11" s="3">
        <v>82269481.680000007</v>
      </c>
      <c r="CN11" s="3">
        <v>57844000</v>
      </c>
      <c r="CO11" s="3">
        <v>115283000</v>
      </c>
      <c r="CP11" s="3">
        <v>0</v>
      </c>
      <c r="CQ11" s="3">
        <v>173127000</v>
      </c>
      <c r="CR11" s="3">
        <v>57844000</v>
      </c>
      <c r="CS11" s="3">
        <v>115283000</v>
      </c>
      <c r="CT11" s="3">
        <v>0</v>
      </c>
      <c r="CU11" s="3">
        <v>173127000</v>
      </c>
      <c r="CV11" s="3">
        <v>57844000</v>
      </c>
      <c r="CW11" s="3">
        <v>115283000</v>
      </c>
      <c r="CX11" s="3">
        <v>0</v>
      </c>
      <c r="CY11" s="3">
        <v>173127000</v>
      </c>
      <c r="CZ11" s="3">
        <v>57844000</v>
      </c>
      <c r="DA11" s="3">
        <v>114985360</v>
      </c>
      <c r="DB11" s="3">
        <v>0</v>
      </c>
      <c r="DC11" s="3">
        <v>172829360</v>
      </c>
      <c r="DD11" s="3">
        <v>57844000</v>
      </c>
      <c r="DE11" s="3">
        <v>114985360</v>
      </c>
      <c r="DF11" s="3">
        <v>0</v>
      </c>
      <c r="DG11" s="3">
        <v>172829360</v>
      </c>
      <c r="DH11" s="3">
        <v>57844000</v>
      </c>
      <c r="DI11" s="3">
        <v>93448832.790000007</v>
      </c>
      <c r="DJ11" s="3">
        <v>0</v>
      </c>
      <c r="DK11" s="3">
        <v>151292832.78999999</v>
      </c>
      <c r="DL11" s="3">
        <v>57841132.539999999</v>
      </c>
      <c r="DM11" s="3">
        <v>41513684.640000001</v>
      </c>
      <c r="DN11" s="3">
        <v>0</v>
      </c>
      <c r="DO11" s="3">
        <v>99354817.180000007</v>
      </c>
      <c r="DP11" s="3">
        <v>59871000</v>
      </c>
      <c r="DQ11" s="3">
        <v>115283000</v>
      </c>
      <c r="DR11" s="3">
        <v>0</v>
      </c>
      <c r="DS11" s="3">
        <v>175154000</v>
      </c>
      <c r="DT11" s="3">
        <v>59871000</v>
      </c>
      <c r="DU11" s="3">
        <v>73189000</v>
      </c>
      <c r="DV11" s="3">
        <v>0</v>
      </c>
      <c r="DW11" s="3">
        <v>133060000</v>
      </c>
      <c r="DX11" s="3">
        <v>59871000</v>
      </c>
      <c r="DY11" s="3">
        <v>73189000</v>
      </c>
      <c r="DZ11" s="3">
        <v>0</v>
      </c>
      <c r="EA11" s="3">
        <v>133060000</v>
      </c>
      <c r="EB11" s="3">
        <v>59965406</v>
      </c>
      <c r="EC11" s="3">
        <v>73094594</v>
      </c>
      <c r="ED11" s="3">
        <v>0</v>
      </c>
      <c r="EE11" s="3">
        <v>133060000</v>
      </c>
      <c r="EF11" s="3">
        <v>59965406</v>
      </c>
      <c r="EG11" s="3">
        <v>73094594</v>
      </c>
      <c r="EH11" s="3">
        <v>0</v>
      </c>
      <c r="EI11" s="3">
        <v>133060000</v>
      </c>
      <c r="EJ11" s="3">
        <v>59965405.979999997</v>
      </c>
      <c r="EK11" s="3">
        <v>54838215.68</v>
      </c>
      <c r="EL11" s="3">
        <v>0</v>
      </c>
      <c r="EM11" s="3">
        <v>114803621.66</v>
      </c>
      <c r="EN11" s="3">
        <v>59361061.759999998</v>
      </c>
      <c r="EO11" s="3">
        <v>26977427.440000001</v>
      </c>
      <c r="EP11" s="3">
        <v>0</v>
      </c>
      <c r="EQ11" s="3">
        <v>86338489.200000003</v>
      </c>
      <c r="ER11" s="3">
        <v>60408000</v>
      </c>
      <c r="ES11" s="3">
        <v>95283000</v>
      </c>
      <c r="ET11" s="3">
        <v>0</v>
      </c>
      <c r="EU11" s="3">
        <v>155691000</v>
      </c>
      <c r="EV11" s="3">
        <v>60408000</v>
      </c>
      <c r="EW11" s="3">
        <v>95283000</v>
      </c>
      <c r="EX11" s="3">
        <v>0</v>
      </c>
      <c r="EY11" s="3">
        <v>155691000</v>
      </c>
      <c r="EZ11" s="3">
        <v>60408000</v>
      </c>
      <c r="FA11" s="3">
        <v>95283000</v>
      </c>
      <c r="FB11" s="3">
        <v>0</v>
      </c>
      <c r="FC11" s="3">
        <v>155691000</v>
      </c>
      <c r="FD11" s="3">
        <v>60750496.600000001</v>
      </c>
      <c r="FE11" s="3">
        <v>45760503.399999999</v>
      </c>
      <c r="FF11" s="3">
        <v>0</v>
      </c>
      <c r="FG11" s="3">
        <v>106511000</v>
      </c>
      <c r="FH11" s="3">
        <v>60750496.600000001</v>
      </c>
      <c r="FI11" s="3">
        <v>45760503.399999999</v>
      </c>
      <c r="FJ11" s="3">
        <v>0</v>
      </c>
      <c r="FK11" s="3">
        <v>106511000</v>
      </c>
      <c r="FL11" s="3">
        <v>60750170.490000002</v>
      </c>
      <c r="FM11" s="3">
        <v>31907694.780000001</v>
      </c>
      <c r="FN11" s="3">
        <v>0</v>
      </c>
      <c r="FO11" s="3">
        <v>92657865.269999996</v>
      </c>
      <c r="FP11" s="3">
        <v>60727344.560000002</v>
      </c>
      <c r="FQ11" s="3">
        <v>22265758.5</v>
      </c>
      <c r="FR11" s="3">
        <v>0</v>
      </c>
      <c r="FS11" s="3">
        <v>82993103.060000002</v>
      </c>
      <c r="FT11" s="3">
        <v>54754000</v>
      </c>
      <c r="FU11" s="3">
        <v>77598000</v>
      </c>
      <c r="FV11" s="3">
        <v>0</v>
      </c>
      <c r="FW11" s="3">
        <v>132352000</v>
      </c>
      <c r="FX11" s="3">
        <v>54754000</v>
      </c>
      <c r="FY11" s="3">
        <v>84598000</v>
      </c>
      <c r="FZ11" s="3">
        <v>0</v>
      </c>
      <c r="GA11" s="3">
        <v>139352000</v>
      </c>
      <c r="GB11" s="3">
        <v>54754000</v>
      </c>
      <c r="GC11" s="3">
        <v>84598000</v>
      </c>
      <c r="GD11" s="3">
        <v>0</v>
      </c>
      <c r="GE11" s="3">
        <v>139352000</v>
      </c>
      <c r="GF11" s="3">
        <v>54916212</v>
      </c>
      <c r="GG11" s="3">
        <v>79435788</v>
      </c>
      <c r="GH11" s="3">
        <v>0</v>
      </c>
      <c r="GI11" s="3">
        <v>134352000</v>
      </c>
      <c r="GJ11" s="3">
        <v>54916212</v>
      </c>
      <c r="GK11" s="3">
        <v>79435788</v>
      </c>
      <c r="GL11" s="3">
        <v>0</v>
      </c>
      <c r="GM11" s="3">
        <v>134352000</v>
      </c>
      <c r="GN11" s="3">
        <v>54909471.920000002</v>
      </c>
      <c r="GO11" s="3">
        <v>60664226.810000002</v>
      </c>
      <c r="GP11" s="3">
        <v>0</v>
      </c>
      <c r="GQ11" s="3">
        <v>115573698.73</v>
      </c>
      <c r="GR11" s="3">
        <v>54504045.299999997</v>
      </c>
      <c r="GS11" s="3">
        <v>35253742.170000002</v>
      </c>
      <c r="GT11" s="3">
        <v>0</v>
      </c>
      <c r="GU11" s="3">
        <v>89757787.469999999</v>
      </c>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row>
    <row r="12" spans="1:267" x14ac:dyDescent="0.25">
      <c r="A12" t="s">
        <v>197</v>
      </c>
      <c r="B12" t="s">
        <v>198</v>
      </c>
      <c r="C12" t="s">
        <v>199</v>
      </c>
      <c r="D12" t="s">
        <v>200</v>
      </c>
      <c r="E12" t="s">
        <v>224</v>
      </c>
      <c r="F12" t="s">
        <v>225</v>
      </c>
      <c r="G12" t="s">
        <v>226</v>
      </c>
      <c r="H12" s="3">
        <v>0</v>
      </c>
      <c r="I12" s="3">
        <v>242134000</v>
      </c>
      <c r="J12" s="3">
        <v>0</v>
      </c>
      <c r="K12" s="3">
        <v>242134000</v>
      </c>
      <c r="L12" s="3">
        <v>0</v>
      </c>
      <c r="M12" s="3">
        <v>242134000</v>
      </c>
      <c r="N12" s="3">
        <v>0</v>
      </c>
      <c r="O12" s="3">
        <v>242134000</v>
      </c>
      <c r="P12" s="3">
        <v>0</v>
      </c>
      <c r="Q12" s="3">
        <v>242134000</v>
      </c>
      <c r="R12" s="3">
        <v>0</v>
      </c>
      <c r="S12" s="3">
        <v>242134000</v>
      </c>
      <c r="T12" s="3">
        <v>0</v>
      </c>
      <c r="U12" s="3">
        <v>242134000</v>
      </c>
      <c r="V12" s="3">
        <v>0</v>
      </c>
      <c r="W12" s="3">
        <v>242134000</v>
      </c>
      <c r="X12" s="3">
        <v>0</v>
      </c>
      <c r="Y12" s="3">
        <v>242134000</v>
      </c>
      <c r="Z12" s="3">
        <v>0</v>
      </c>
      <c r="AA12" s="3">
        <v>242134000</v>
      </c>
      <c r="AB12" s="3">
        <v>0</v>
      </c>
      <c r="AC12" s="3">
        <v>219426148.99000001</v>
      </c>
      <c r="AD12" s="3">
        <v>0</v>
      </c>
      <c r="AE12" s="3">
        <v>219426148.99000001</v>
      </c>
      <c r="AF12" s="3">
        <v>0</v>
      </c>
      <c r="AG12" s="3">
        <v>173602114.80000001</v>
      </c>
      <c r="AH12" s="3">
        <v>0</v>
      </c>
      <c r="AI12" s="3">
        <v>173602114.80000001</v>
      </c>
      <c r="AJ12" s="3">
        <v>33965000</v>
      </c>
      <c r="AK12" s="3">
        <v>157089000</v>
      </c>
      <c r="AL12" s="3">
        <v>0</v>
      </c>
      <c r="AM12" s="3">
        <v>191054000</v>
      </c>
      <c r="AN12" s="3">
        <v>33965000</v>
      </c>
      <c r="AO12" s="3">
        <v>157089000</v>
      </c>
      <c r="AP12" s="3">
        <v>0</v>
      </c>
      <c r="AQ12" s="3">
        <v>191054000</v>
      </c>
      <c r="AR12" s="3">
        <v>33965000</v>
      </c>
      <c r="AS12" s="3">
        <v>157089000</v>
      </c>
      <c r="AT12" s="3">
        <v>0</v>
      </c>
      <c r="AU12" s="3">
        <v>191054000</v>
      </c>
      <c r="AV12" s="3">
        <v>36111906</v>
      </c>
      <c r="AW12" s="3">
        <v>154942094</v>
      </c>
      <c r="AX12" s="3">
        <v>0</v>
      </c>
      <c r="AY12" s="3">
        <v>191054000</v>
      </c>
      <c r="AZ12" s="3">
        <v>36111906</v>
      </c>
      <c r="BA12" s="3">
        <v>154942094</v>
      </c>
      <c r="BB12" s="3">
        <v>0</v>
      </c>
      <c r="BC12" s="3">
        <v>191054000</v>
      </c>
      <c r="BD12" s="3">
        <v>33965000</v>
      </c>
      <c r="BE12" s="3">
        <v>131625317.64</v>
      </c>
      <c r="BF12" s="3">
        <v>0</v>
      </c>
      <c r="BG12" s="3">
        <v>165590317.63999999</v>
      </c>
      <c r="BH12" s="3">
        <v>33940250</v>
      </c>
      <c r="BI12" s="3">
        <v>96736000.469999999</v>
      </c>
      <c r="BJ12" s="3">
        <v>0</v>
      </c>
      <c r="BK12" s="3">
        <v>130676250.47</v>
      </c>
      <c r="BL12" s="3">
        <v>30652000</v>
      </c>
      <c r="BM12" s="3">
        <v>145524000</v>
      </c>
      <c r="BN12" s="3">
        <v>0</v>
      </c>
      <c r="BO12" s="3">
        <v>176176000</v>
      </c>
      <c r="BP12" s="3">
        <v>30652000</v>
      </c>
      <c r="BQ12" s="3">
        <v>145524000</v>
      </c>
      <c r="BR12" s="3">
        <v>0</v>
      </c>
      <c r="BS12" s="3">
        <v>176176000</v>
      </c>
      <c r="BT12" s="3">
        <v>30652000</v>
      </c>
      <c r="BU12" s="3">
        <v>145524000</v>
      </c>
      <c r="BV12" s="3">
        <v>0</v>
      </c>
      <c r="BW12" s="3">
        <v>176176000</v>
      </c>
      <c r="BX12" s="3">
        <v>31298890.82</v>
      </c>
      <c r="BY12" s="3">
        <v>144877109.18000001</v>
      </c>
      <c r="BZ12" s="3">
        <v>0</v>
      </c>
      <c r="CA12" s="3">
        <v>176176000</v>
      </c>
      <c r="CB12" s="3">
        <v>31298890.82</v>
      </c>
      <c r="CC12" s="3">
        <v>144877109.18000001</v>
      </c>
      <c r="CD12" s="3">
        <v>0</v>
      </c>
      <c r="CE12" s="3">
        <v>176176000</v>
      </c>
      <c r="CF12" s="3">
        <v>31259466.489999998</v>
      </c>
      <c r="CG12" s="3">
        <v>120685136.34</v>
      </c>
      <c r="CH12" s="3">
        <v>0</v>
      </c>
      <c r="CI12" s="3">
        <v>151944602.83000001</v>
      </c>
      <c r="CJ12" s="3">
        <v>30099523.109999999</v>
      </c>
      <c r="CK12" s="3">
        <v>78277667.540000007</v>
      </c>
      <c r="CL12" s="3">
        <v>0</v>
      </c>
      <c r="CM12" s="3">
        <v>108377190.65000001</v>
      </c>
      <c r="CN12" s="3">
        <v>28478000</v>
      </c>
      <c r="CO12" s="3">
        <v>145181000</v>
      </c>
      <c r="CP12" s="3">
        <v>0</v>
      </c>
      <c r="CQ12" s="3">
        <v>173659000</v>
      </c>
      <c r="CR12" s="3">
        <v>28478000</v>
      </c>
      <c r="CS12" s="3">
        <v>145181000</v>
      </c>
      <c r="CT12" s="3">
        <v>0</v>
      </c>
      <c r="CU12" s="3">
        <v>173659000</v>
      </c>
      <c r="CV12" s="3">
        <v>28478000</v>
      </c>
      <c r="CW12" s="3">
        <v>145181000</v>
      </c>
      <c r="CX12" s="3">
        <v>0</v>
      </c>
      <c r="CY12" s="3">
        <v>173659000</v>
      </c>
      <c r="CZ12" s="3">
        <v>29478000</v>
      </c>
      <c r="DA12" s="3">
        <v>144181000</v>
      </c>
      <c r="DB12" s="3">
        <v>0</v>
      </c>
      <c r="DC12" s="3">
        <v>173659000</v>
      </c>
      <c r="DD12" s="3">
        <v>29478000</v>
      </c>
      <c r="DE12" s="3">
        <v>144181000</v>
      </c>
      <c r="DF12" s="3">
        <v>0</v>
      </c>
      <c r="DG12" s="3">
        <v>173659000</v>
      </c>
      <c r="DH12" s="3">
        <v>29477021.940000001</v>
      </c>
      <c r="DI12" s="3">
        <v>127637048.95999999</v>
      </c>
      <c r="DJ12" s="3">
        <v>0</v>
      </c>
      <c r="DK12" s="3">
        <v>157114070.90000001</v>
      </c>
      <c r="DL12" s="3">
        <v>29370551.140000001</v>
      </c>
      <c r="DM12" s="3">
        <v>112103892.78</v>
      </c>
      <c r="DN12" s="3">
        <v>0</v>
      </c>
      <c r="DO12" s="3">
        <v>141474443.91999999</v>
      </c>
      <c r="DP12" s="3">
        <v>34398000</v>
      </c>
      <c r="DQ12" s="3">
        <v>250781000</v>
      </c>
      <c r="DR12" s="3">
        <v>0</v>
      </c>
      <c r="DS12" s="3">
        <v>285179000</v>
      </c>
      <c r="DT12" s="3">
        <v>34398000</v>
      </c>
      <c r="DU12" s="3">
        <v>294681000</v>
      </c>
      <c r="DV12" s="3">
        <v>0</v>
      </c>
      <c r="DW12" s="3">
        <v>329079000</v>
      </c>
      <c r="DX12" s="3">
        <v>34398000</v>
      </c>
      <c r="DY12" s="3">
        <v>294681000</v>
      </c>
      <c r="DZ12" s="3">
        <v>0</v>
      </c>
      <c r="EA12" s="3">
        <v>329079000</v>
      </c>
      <c r="EB12" s="3">
        <v>54579000</v>
      </c>
      <c r="EC12" s="3">
        <v>274500000</v>
      </c>
      <c r="ED12" s="3">
        <v>0</v>
      </c>
      <c r="EE12" s="3">
        <v>329079000</v>
      </c>
      <c r="EF12" s="3">
        <v>54579000</v>
      </c>
      <c r="EG12" s="3">
        <v>274500000</v>
      </c>
      <c r="EH12" s="3">
        <v>0</v>
      </c>
      <c r="EI12" s="3">
        <v>329079000</v>
      </c>
      <c r="EJ12" s="3">
        <v>54579000</v>
      </c>
      <c r="EK12" s="3">
        <v>240422789.30000001</v>
      </c>
      <c r="EL12" s="3">
        <v>0</v>
      </c>
      <c r="EM12" s="3">
        <v>295001789.30000001</v>
      </c>
      <c r="EN12" s="3">
        <v>48790291.770000003</v>
      </c>
      <c r="EO12" s="3">
        <v>206081529.69999999</v>
      </c>
      <c r="EP12" s="3">
        <v>0</v>
      </c>
      <c r="EQ12" s="3">
        <v>254871821.47</v>
      </c>
      <c r="ER12" s="3">
        <v>39418000</v>
      </c>
      <c r="ES12" s="3">
        <v>125976000</v>
      </c>
      <c r="ET12" s="3">
        <v>0</v>
      </c>
      <c r="EU12" s="3">
        <v>165394000</v>
      </c>
      <c r="EV12" s="3">
        <v>39418000</v>
      </c>
      <c r="EW12" s="3">
        <v>125976000</v>
      </c>
      <c r="EX12" s="3">
        <v>0</v>
      </c>
      <c r="EY12" s="3">
        <v>165394000</v>
      </c>
      <c r="EZ12" s="3">
        <v>39418000</v>
      </c>
      <c r="FA12" s="3">
        <v>125976000</v>
      </c>
      <c r="FB12" s="3">
        <v>0</v>
      </c>
      <c r="FC12" s="3">
        <v>165394000</v>
      </c>
      <c r="FD12" s="3">
        <v>39418000</v>
      </c>
      <c r="FE12" s="3">
        <v>125976000</v>
      </c>
      <c r="FF12" s="3">
        <v>0</v>
      </c>
      <c r="FG12" s="3">
        <v>165394000</v>
      </c>
      <c r="FH12" s="3">
        <v>39418000</v>
      </c>
      <c r="FI12" s="3">
        <v>125976000</v>
      </c>
      <c r="FJ12" s="3">
        <v>0</v>
      </c>
      <c r="FK12" s="3">
        <v>165394000</v>
      </c>
      <c r="FL12" s="3">
        <v>39415843.57</v>
      </c>
      <c r="FM12" s="3">
        <v>104115279.37</v>
      </c>
      <c r="FN12" s="3">
        <v>0</v>
      </c>
      <c r="FO12" s="3">
        <v>143531122.94</v>
      </c>
      <c r="FP12" s="3">
        <v>38582109.539999999</v>
      </c>
      <c r="FQ12" s="3">
        <v>81189826.819999993</v>
      </c>
      <c r="FR12" s="3">
        <v>0</v>
      </c>
      <c r="FS12" s="3">
        <v>119771936.36</v>
      </c>
      <c r="FT12" s="3">
        <v>42349000</v>
      </c>
      <c r="FU12" s="3">
        <v>112854000</v>
      </c>
      <c r="FV12" s="3">
        <v>0</v>
      </c>
      <c r="FW12" s="3">
        <v>155203000</v>
      </c>
      <c r="FX12" s="3">
        <v>42349000</v>
      </c>
      <c r="FY12" s="3">
        <v>112854000</v>
      </c>
      <c r="FZ12" s="3">
        <v>0</v>
      </c>
      <c r="GA12" s="3">
        <v>155203000</v>
      </c>
      <c r="GB12" s="3">
        <v>42349000</v>
      </c>
      <c r="GC12" s="3">
        <v>112854000</v>
      </c>
      <c r="GD12" s="3">
        <v>0</v>
      </c>
      <c r="GE12" s="3">
        <v>155203000</v>
      </c>
      <c r="GF12" s="3">
        <v>43848999.880000003</v>
      </c>
      <c r="GG12" s="3">
        <v>111354000.12</v>
      </c>
      <c r="GH12" s="3">
        <v>0</v>
      </c>
      <c r="GI12" s="3">
        <v>155203000</v>
      </c>
      <c r="GJ12" s="3">
        <v>43848999.880000003</v>
      </c>
      <c r="GK12" s="3">
        <v>111354000.12</v>
      </c>
      <c r="GL12" s="3">
        <v>0</v>
      </c>
      <c r="GM12" s="3">
        <v>155203000</v>
      </c>
      <c r="GN12" s="3">
        <v>43779292</v>
      </c>
      <c r="GO12" s="3">
        <v>89501812.280000001</v>
      </c>
      <c r="GP12" s="3">
        <v>0</v>
      </c>
      <c r="GQ12" s="3">
        <v>133281104.28</v>
      </c>
      <c r="GR12" s="3">
        <v>43475908.079999998</v>
      </c>
      <c r="GS12" s="3">
        <v>67042199.299999997</v>
      </c>
      <c r="GT12" s="3">
        <v>0</v>
      </c>
      <c r="GU12" s="3">
        <v>110518107.38</v>
      </c>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row>
    <row r="13" spans="1:267" x14ac:dyDescent="0.25">
      <c r="A13" t="s">
        <v>197</v>
      </c>
      <c r="B13" t="s">
        <v>198</v>
      </c>
      <c r="C13" t="s">
        <v>199</v>
      </c>
      <c r="D13" t="s">
        <v>200</v>
      </c>
      <c r="E13" t="s">
        <v>224</v>
      </c>
      <c r="F13" t="s">
        <v>227</v>
      </c>
      <c r="G13" t="s">
        <v>228</v>
      </c>
      <c r="H13" s="3">
        <v>0</v>
      </c>
      <c r="I13" s="3">
        <v>0</v>
      </c>
      <c r="J13" s="3">
        <v>29030054000</v>
      </c>
      <c r="K13" s="3">
        <v>29030054000</v>
      </c>
      <c r="L13" s="3">
        <v>0</v>
      </c>
      <c r="M13" s="3">
        <v>0</v>
      </c>
      <c r="N13" s="3">
        <v>30266705000</v>
      </c>
      <c r="O13" s="3">
        <v>30266705000</v>
      </c>
      <c r="P13" s="3">
        <v>0</v>
      </c>
      <c r="Q13" s="3">
        <v>0</v>
      </c>
      <c r="R13" s="3">
        <v>3302854000</v>
      </c>
      <c r="S13" s="3">
        <v>3302854000</v>
      </c>
      <c r="T13" s="3">
        <v>0</v>
      </c>
      <c r="U13" s="3">
        <v>0</v>
      </c>
      <c r="V13" s="3">
        <v>30266705000</v>
      </c>
      <c r="W13" s="3">
        <v>30266705000</v>
      </c>
      <c r="X13" s="3">
        <v>0</v>
      </c>
      <c r="Y13" s="3">
        <v>0</v>
      </c>
      <c r="Z13" s="3">
        <v>30266525905</v>
      </c>
      <c r="AA13" s="3">
        <v>30266525905</v>
      </c>
      <c r="AB13" s="3">
        <v>0</v>
      </c>
      <c r="AC13" s="3">
        <v>0</v>
      </c>
      <c r="AD13" s="3">
        <v>28275755633.779999</v>
      </c>
      <c r="AE13" s="3">
        <v>28275755633.779999</v>
      </c>
      <c r="AF13" s="3">
        <v>0</v>
      </c>
      <c r="AG13" s="3">
        <v>0</v>
      </c>
      <c r="AH13" s="3">
        <v>8385123838.25</v>
      </c>
      <c r="AI13" s="3">
        <v>8385123838.25</v>
      </c>
      <c r="AJ13" s="3">
        <v>0</v>
      </c>
      <c r="AK13" s="3">
        <v>50000000</v>
      </c>
      <c r="AL13" s="3">
        <v>0</v>
      </c>
      <c r="AM13" s="3">
        <v>50000000</v>
      </c>
      <c r="AN13" s="3">
        <v>0</v>
      </c>
      <c r="AO13" s="3">
        <v>50000000</v>
      </c>
      <c r="AP13" s="3">
        <v>15869319000</v>
      </c>
      <c r="AQ13" s="3">
        <v>15919319000</v>
      </c>
      <c r="AR13" s="3">
        <v>0</v>
      </c>
      <c r="AS13" s="3">
        <v>50000000</v>
      </c>
      <c r="AT13" s="3">
        <v>15869319000</v>
      </c>
      <c r="AU13" s="3">
        <v>15919319000</v>
      </c>
      <c r="AV13" s="3">
        <v>0</v>
      </c>
      <c r="AW13" s="3">
        <v>50000000</v>
      </c>
      <c r="AX13" s="3">
        <v>15947475000</v>
      </c>
      <c r="AY13" s="3">
        <v>15997475000</v>
      </c>
      <c r="AZ13" s="3">
        <v>0</v>
      </c>
      <c r="BA13" s="3">
        <v>50000000</v>
      </c>
      <c r="BB13" s="3">
        <v>15595096015</v>
      </c>
      <c r="BC13" s="3">
        <v>15645096015</v>
      </c>
      <c r="BD13" s="3">
        <v>0</v>
      </c>
      <c r="BE13" s="3">
        <v>24103135.32</v>
      </c>
      <c r="BF13" s="3">
        <v>11673035702.629999</v>
      </c>
      <c r="BG13" s="3">
        <v>11697138837.950001</v>
      </c>
      <c r="BH13" s="3">
        <v>0</v>
      </c>
      <c r="BI13" s="3">
        <v>20017051.82</v>
      </c>
      <c r="BJ13" s="3">
        <v>1967067463.99</v>
      </c>
      <c r="BK13" s="3">
        <v>1987084515.8099999</v>
      </c>
      <c r="BL13" s="3">
        <v>0</v>
      </c>
      <c r="BM13" s="3">
        <v>32771000</v>
      </c>
      <c r="BN13" s="3">
        <v>5864710000</v>
      </c>
      <c r="BO13" s="3">
        <v>5897481000</v>
      </c>
      <c r="BP13" s="3">
        <v>0</v>
      </c>
      <c r="BQ13" s="3">
        <v>32771000</v>
      </c>
      <c r="BR13" s="3">
        <v>8351610000</v>
      </c>
      <c r="BS13" s="3">
        <v>8384381000</v>
      </c>
      <c r="BT13" s="3">
        <v>0</v>
      </c>
      <c r="BU13" s="3">
        <v>32771000</v>
      </c>
      <c r="BV13" s="3">
        <v>8351610000</v>
      </c>
      <c r="BW13" s="3">
        <v>8384381000</v>
      </c>
      <c r="BX13" s="3">
        <v>0</v>
      </c>
      <c r="BY13" s="3">
        <v>32771000</v>
      </c>
      <c r="BZ13" s="3">
        <v>8351610000</v>
      </c>
      <c r="CA13" s="3">
        <v>8384381000</v>
      </c>
      <c r="CB13" s="3">
        <v>0</v>
      </c>
      <c r="CC13" s="3">
        <v>32771000</v>
      </c>
      <c r="CD13" s="3">
        <v>8256282950</v>
      </c>
      <c r="CE13" s="3">
        <v>8289053950</v>
      </c>
      <c r="CF13" s="3">
        <v>0</v>
      </c>
      <c r="CG13" s="3">
        <v>21787379.460000001</v>
      </c>
      <c r="CH13" s="3">
        <v>6859330653.4099998</v>
      </c>
      <c r="CI13" s="3">
        <v>6881118032.8699999</v>
      </c>
      <c r="CJ13" s="3">
        <v>0</v>
      </c>
      <c r="CK13" s="3">
        <v>17244052.809999999</v>
      </c>
      <c r="CL13" s="3">
        <v>2658236023.27</v>
      </c>
      <c r="CM13" s="3">
        <v>2675480076.0799999</v>
      </c>
      <c r="CN13" s="3">
        <v>0</v>
      </c>
      <c r="CO13" s="3">
        <v>82000000</v>
      </c>
      <c r="CP13" s="3">
        <v>4701828000</v>
      </c>
      <c r="CQ13" s="3">
        <v>4783828000</v>
      </c>
      <c r="CR13" s="3">
        <v>0</v>
      </c>
      <c r="CS13" s="3">
        <v>82000000</v>
      </c>
      <c r="CT13" s="3">
        <v>7757298000</v>
      </c>
      <c r="CU13" s="3">
        <v>7839298000</v>
      </c>
      <c r="CV13" s="3">
        <v>0</v>
      </c>
      <c r="CW13" s="3">
        <v>82000000</v>
      </c>
      <c r="CX13" s="3">
        <v>7757298000</v>
      </c>
      <c r="CY13" s="3">
        <v>7839298000</v>
      </c>
      <c r="CZ13" s="3">
        <v>0</v>
      </c>
      <c r="DA13" s="3">
        <v>82000000</v>
      </c>
      <c r="DB13" s="3">
        <v>7757298000</v>
      </c>
      <c r="DC13" s="3">
        <v>7839298000</v>
      </c>
      <c r="DD13" s="3">
        <v>0</v>
      </c>
      <c r="DE13" s="3">
        <v>82000000</v>
      </c>
      <c r="DF13" s="3">
        <v>7757298000</v>
      </c>
      <c r="DG13" s="3">
        <v>7839298000</v>
      </c>
      <c r="DH13" s="3">
        <v>0</v>
      </c>
      <c r="DI13" s="3">
        <v>67562652.469999999</v>
      </c>
      <c r="DJ13" s="3">
        <v>6818641866.3500004</v>
      </c>
      <c r="DK13" s="3">
        <v>6886204518.8199997</v>
      </c>
      <c r="DL13" s="3">
        <v>0</v>
      </c>
      <c r="DM13" s="3">
        <v>55282281.600000001</v>
      </c>
      <c r="DN13" s="3">
        <v>2452363658.8800001</v>
      </c>
      <c r="DO13" s="3">
        <v>2507645940.48</v>
      </c>
      <c r="DP13" s="3">
        <v>0</v>
      </c>
      <c r="DQ13" s="3">
        <v>82000000</v>
      </c>
      <c r="DR13" s="3">
        <v>19478440000</v>
      </c>
      <c r="DS13" s="3">
        <v>19560440000</v>
      </c>
      <c r="DT13" s="3">
        <v>0</v>
      </c>
      <c r="DU13" s="3">
        <v>72000000</v>
      </c>
      <c r="DV13" s="3">
        <v>22994567000</v>
      </c>
      <c r="DW13" s="3">
        <v>23066567000</v>
      </c>
      <c r="DX13" s="3">
        <v>0</v>
      </c>
      <c r="DY13" s="3">
        <v>72000000</v>
      </c>
      <c r="DZ13" s="3">
        <v>22994567000</v>
      </c>
      <c r="EA13" s="3">
        <v>23066567000</v>
      </c>
      <c r="EB13" s="3">
        <v>500000</v>
      </c>
      <c r="EC13" s="3">
        <v>71500000</v>
      </c>
      <c r="ED13" s="3">
        <v>22994567000</v>
      </c>
      <c r="EE13" s="3">
        <v>23066567000</v>
      </c>
      <c r="EF13" s="3">
        <v>500000</v>
      </c>
      <c r="EG13" s="3">
        <v>71500000</v>
      </c>
      <c r="EH13" s="3">
        <v>22994567000</v>
      </c>
      <c r="EI13" s="3">
        <v>23066567000</v>
      </c>
      <c r="EJ13" s="3">
        <v>500000</v>
      </c>
      <c r="EK13" s="3">
        <v>63359720.299999997</v>
      </c>
      <c r="EL13" s="3">
        <v>19524855551.360001</v>
      </c>
      <c r="EM13" s="3">
        <v>19588715271.66</v>
      </c>
      <c r="EN13" s="3">
        <v>500000</v>
      </c>
      <c r="EO13" s="3">
        <v>55860306.329999998</v>
      </c>
      <c r="EP13" s="3">
        <v>6667413257.2399998</v>
      </c>
      <c r="EQ13" s="3">
        <v>6723773563.5699997</v>
      </c>
      <c r="ER13" s="3">
        <v>0</v>
      </c>
      <c r="ES13" s="3">
        <v>73583000</v>
      </c>
      <c r="ET13" s="3">
        <v>22920200000</v>
      </c>
      <c r="EU13" s="3">
        <v>22993783000</v>
      </c>
      <c r="EV13" s="3">
        <v>0</v>
      </c>
      <c r="EW13" s="3">
        <v>73583000</v>
      </c>
      <c r="EX13" s="3">
        <v>26737815000</v>
      </c>
      <c r="EY13" s="3">
        <v>26811398000</v>
      </c>
      <c r="EZ13" s="3">
        <v>0</v>
      </c>
      <c r="FA13" s="3">
        <v>73583000</v>
      </c>
      <c r="FB13" s="3">
        <v>26737815000</v>
      </c>
      <c r="FC13" s="3">
        <v>26811398000</v>
      </c>
      <c r="FD13" s="3">
        <v>0</v>
      </c>
      <c r="FE13" s="3">
        <v>73583000</v>
      </c>
      <c r="FF13" s="3">
        <v>26737815000</v>
      </c>
      <c r="FG13" s="3">
        <v>26811398000</v>
      </c>
      <c r="FH13" s="3">
        <v>0</v>
      </c>
      <c r="FI13" s="3">
        <v>73583000</v>
      </c>
      <c r="FJ13" s="3">
        <v>26737815000</v>
      </c>
      <c r="FK13" s="3">
        <v>26811398000</v>
      </c>
      <c r="FL13" s="3">
        <v>0</v>
      </c>
      <c r="FM13" s="3">
        <v>62369146.689999998</v>
      </c>
      <c r="FN13" s="3">
        <v>21257252109.810001</v>
      </c>
      <c r="FO13" s="3">
        <v>21319621256.5</v>
      </c>
      <c r="FP13" s="3">
        <v>0</v>
      </c>
      <c r="FQ13" s="3">
        <v>54188887.649999999</v>
      </c>
      <c r="FR13" s="3">
        <v>7642923077.0900002</v>
      </c>
      <c r="FS13" s="3">
        <v>7697111964.7399998</v>
      </c>
      <c r="FT13" s="3">
        <v>0</v>
      </c>
      <c r="FU13" s="3">
        <v>63672000</v>
      </c>
      <c r="FV13" s="3">
        <v>22920200000</v>
      </c>
      <c r="FW13" s="3">
        <v>22983872000</v>
      </c>
      <c r="FX13" s="3">
        <v>0</v>
      </c>
      <c r="FY13" s="3">
        <v>63672000</v>
      </c>
      <c r="FZ13" s="3">
        <v>28518465000</v>
      </c>
      <c r="GA13" s="3">
        <v>28582137000</v>
      </c>
      <c r="GB13" s="3">
        <v>0</v>
      </c>
      <c r="GC13" s="3">
        <v>63672000</v>
      </c>
      <c r="GD13" s="3">
        <v>28518465000</v>
      </c>
      <c r="GE13" s="3">
        <v>28582137000</v>
      </c>
      <c r="GF13" s="3">
        <v>800000</v>
      </c>
      <c r="GG13" s="3">
        <v>62872000</v>
      </c>
      <c r="GH13" s="3">
        <v>18010610000</v>
      </c>
      <c r="GI13" s="3">
        <v>18074282000</v>
      </c>
      <c r="GJ13" s="3">
        <v>800000</v>
      </c>
      <c r="GK13" s="3">
        <v>62872000</v>
      </c>
      <c r="GL13" s="3">
        <v>18010610000</v>
      </c>
      <c r="GM13" s="3">
        <v>18074282000</v>
      </c>
      <c r="GN13" s="3">
        <v>800000</v>
      </c>
      <c r="GO13" s="3">
        <v>51359941.869999997</v>
      </c>
      <c r="GP13" s="3">
        <v>13701649804.110001</v>
      </c>
      <c r="GQ13" s="3">
        <v>13753809745.98</v>
      </c>
      <c r="GR13" s="3">
        <v>800000</v>
      </c>
      <c r="GS13" s="3">
        <v>40561283.740000002</v>
      </c>
      <c r="GT13" s="3">
        <v>4160330529.1999998</v>
      </c>
      <c r="GU13" s="3">
        <v>4201691812.9400001</v>
      </c>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row>
    <row r="14" spans="1:267" x14ac:dyDescent="0.25">
      <c r="A14" t="s">
        <v>197</v>
      </c>
      <c r="B14" t="s">
        <v>198</v>
      </c>
      <c r="C14" t="s">
        <v>199</v>
      </c>
      <c r="D14" t="s">
        <v>200</v>
      </c>
      <c r="E14" t="s">
        <v>224</v>
      </c>
      <c r="F14" t="s">
        <v>229</v>
      </c>
      <c r="G14" t="s">
        <v>230</v>
      </c>
      <c r="H14" s="3">
        <v>0</v>
      </c>
      <c r="I14" s="3">
        <v>404103000</v>
      </c>
      <c r="J14" s="3">
        <v>0</v>
      </c>
      <c r="K14" s="3">
        <v>404103000</v>
      </c>
      <c r="L14" s="3">
        <v>0</v>
      </c>
      <c r="M14" s="3">
        <v>404103000</v>
      </c>
      <c r="N14" s="3">
        <v>0</v>
      </c>
      <c r="O14" s="3">
        <v>404103000</v>
      </c>
      <c r="P14" s="3">
        <v>0</v>
      </c>
      <c r="Q14" s="3">
        <v>404103000</v>
      </c>
      <c r="R14" s="3">
        <v>0</v>
      </c>
      <c r="S14" s="3">
        <v>404103000</v>
      </c>
      <c r="T14" s="3">
        <v>0</v>
      </c>
      <c r="U14" s="3">
        <v>404103000</v>
      </c>
      <c r="V14" s="3">
        <v>0</v>
      </c>
      <c r="W14" s="3">
        <v>404103000</v>
      </c>
      <c r="X14" s="3">
        <v>0</v>
      </c>
      <c r="Y14" s="3">
        <v>404103000</v>
      </c>
      <c r="Z14" s="3">
        <v>0</v>
      </c>
      <c r="AA14" s="3">
        <v>404103000</v>
      </c>
      <c r="AB14" s="3">
        <v>0</v>
      </c>
      <c r="AC14" s="3">
        <v>366322429.61000001</v>
      </c>
      <c r="AD14" s="3">
        <v>0</v>
      </c>
      <c r="AE14" s="3">
        <v>366322429.61000001</v>
      </c>
      <c r="AF14" s="3">
        <v>0</v>
      </c>
      <c r="AG14" s="3">
        <v>162049955.19</v>
      </c>
      <c r="AH14" s="3">
        <v>0</v>
      </c>
      <c r="AI14" s="3">
        <v>162049955.19</v>
      </c>
      <c r="AJ14" s="3">
        <v>10514000</v>
      </c>
      <c r="AK14" s="3">
        <v>256063000</v>
      </c>
      <c r="AL14" s="3">
        <v>0</v>
      </c>
      <c r="AM14" s="3">
        <v>266577000</v>
      </c>
      <c r="AN14" s="3">
        <v>10514000</v>
      </c>
      <c r="AO14" s="3">
        <v>256063000</v>
      </c>
      <c r="AP14" s="3">
        <v>0</v>
      </c>
      <c r="AQ14" s="3">
        <v>266577000</v>
      </c>
      <c r="AR14" s="3">
        <v>10514000</v>
      </c>
      <c r="AS14" s="3">
        <v>256063000</v>
      </c>
      <c r="AT14" s="3">
        <v>0</v>
      </c>
      <c r="AU14" s="3">
        <v>266577000</v>
      </c>
      <c r="AV14" s="3">
        <v>10660480</v>
      </c>
      <c r="AW14" s="3">
        <v>255916520</v>
      </c>
      <c r="AX14" s="3">
        <v>0</v>
      </c>
      <c r="AY14" s="3">
        <v>266577000</v>
      </c>
      <c r="AZ14" s="3">
        <v>10660480</v>
      </c>
      <c r="BA14" s="3">
        <v>255916520</v>
      </c>
      <c r="BB14" s="3">
        <v>0</v>
      </c>
      <c r="BC14" s="3">
        <v>266577000</v>
      </c>
      <c r="BD14" s="3">
        <v>10514000</v>
      </c>
      <c r="BE14" s="3">
        <v>217544519.72999999</v>
      </c>
      <c r="BF14" s="3">
        <v>0</v>
      </c>
      <c r="BG14" s="3">
        <v>228058519.72999999</v>
      </c>
      <c r="BH14" s="3">
        <v>10514000</v>
      </c>
      <c r="BI14" s="3">
        <v>152717677.59</v>
      </c>
      <c r="BJ14" s="3">
        <v>0</v>
      </c>
      <c r="BK14" s="3">
        <v>163231677.59</v>
      </c>
      <c r="BL14" s="3">
        <v>7092000</v>
      </c>
      <c r="BM14" s="3">
        <v>256063000</v>
      </c>
      <c r="BN14" s="3">
        <v>0</v>
      </c>
      <c r="BO14" s="3">
        <v>263155000</v>
      </c>
      <c r="BP14" s="3">
        <v>7092000</v>
      </c>
      <c r="BQ14" s="3">
        <v>256063000</v>
      </c>
      <c r="BR14" s="3">
        <v>0</v>
      </c>
      <c r="BS14" s="3">
        <v>263155000</v>
      </c>
      <c r="BT14" s="3">
        <v>7092000</v>
      </c>
      <c r="BU14" s="3">
        <v>256063000</v>
      </c>
      <c r="BV14" s="3">
        <v>0</v>
      </c>
      <c r="BW14" s="3">
        <v>263155000</v>
      </c>
      <c r="BX14" s="3">
        <v>7094200</v>
      </c>
      <c r="BY14" s="3">
        <v>256060800</v>
      </c>
      <c r="BZ14" s="3">
        <v>0</v>
      </c>
      <c r="CA14" s="3">
        <v>263155000</v>
      </c>
      <c r="CB14" s="3">
        <v>7094200</v>
      </c>
      <c r="CC14" s="3">
        <v>256060800</v>
      </c>
      <c r="CD14" s="3">
        <v>0</v>
      </c>
      <c r="CE14" s="3">
        <v>263155000</v>
      </c>
      <c r="CF14" s="3">
        <v>7093656.04</v>
      </c>
      <c r="CG14" s="3">
        <v>201859858.46000001</v>
      </c>
      <c r="CH14" s="3">
        <v>0</v>
      </c>
      <c r="CI14" s="3">
        <v>208953514.5</v>
      </c>
      <c r="CJ14" s="3">
        <v>7093656.04</v>
      </c>
      <c r="CK14" s="3">
        <v>110771653.23999999</v>
      </c>
      <c r="CL14" s="3">
        <v>0</v>
      </c>
      <c r="CM14" s="3">
        <v>117865309.28</v>
      </c>
      <c r="CN14" s="3">
        <v>10727000</v>
      </c>
      <c r="CO14" s="3">
        <v>342880000</v>
      </c>
      <c r="CP14" s="3">
        <v>0</v>
      </c>
      <c r="CQ14" s="3">
        <v>353607000</v>
      </c>
      <c r="CR14" s="3">
        <v>10727000</v>
      </c>
      <c r="CS14" s="3">
        <v>492880000</v>
      </c>
      <c r="CT14" s="3">
        <v>0</v>
      </c>
      <c r="CU14" s="3">
        <v>503607000</v>
      </c>
      <c r="CV14" s="3">
        <v>10727000</v>
      </c>
      <c r="CW14" s="3">
        <v>492880000</v>
      </c>
      <c r="CX14" s="3">
        <v>0</v>
      </c>
      <c r="CY14" s="3">
        <v>503607000</v>
      </c>
      <c r="CZ14" s="3">
        <v>10727000</v>
      </c>
      <c r="DA14" s="3">
        <v>491447000</v>
      </c>
      <c r="DB14" s="3">
        <v>0</v>
      </c>
      <c r="DC14" s="3">
        <v>502174000</v>
      </c>
      <c r="DD14" s="3">
        <v>10727000</v>
      </c>
      <c r="DE14" s="3">
        <v>491447000</v>
      </c>
      <c r="DF14" s="3">
        <v>0</v>
      </c>
      <c r="DG14" s="3">
        <v>502174000</v>
      </c>
      <c r="DH14" s="3">
        <v>10726937.609999999</v>
      </c>
      <c r="DI14" s="3">
        <v>436736122.36000001</v>
      </c>
      <c r="DJ14" s="3">
        <v>0</v>
      </c>
      <c r="DK14" s="3">
        <v>447463059.97000003</v>
      </c>
      <c r="DL14" s="3">
        <v>10453137.17</v>
      </c>
      <c r="DM14" s="3">
        <v>287780153.76999998</v>
      </c>
      <c r="DN14" s="3">
        <v>0</v>
      </c>
      <c r="DO14" s="3">
        <v>298233290.94</v>
      </c>
      <c r="DP14" s="3">
        <v>11025000</v>
      </c>
      <c r="DQ14" s="3">
        <v>492880000</v>
      </c>
      <c r="DR14" s="3">
        <v>0</v>
      </c>
      <c r="DS14" s="3">
        <v>503905000</v>
      </c>
      <c r="DT14" s="3">
        <v>11025000</v>
      </c>
      <c r="DU14" s="3">
        <v>492880000</v>
      </c>
      <c r="DV14" s="3">
        <v>0</v>
      </c>
      <c r="DW14" s="3">
        <v>503905000</v>
      </c>
      <c r="DX14" s="3">
        <v>11025000</v>
      </c>
      <c r="DY14" s="3">
        <v>492880000</v>
      </c>
      <c r="DZ14" s="3">
        <v>0</v>
      </c>
      <c r="EA14" s="3">
        <v>503905000</v>
      </c>
      <c r="EB14" s="3">
        <v>13310605</v>
      </c>
      <c r="EC14" s="3">
        <v>490594395</v>
      </c>
      <c r="ED14" s="3">
        <v>0</v>
      </c>
      <c r="EE14" s="3">
        <v>503905000</v>
      </c>
      <c r="EF14" s="3">
        <v>13310605</v>
      </c>
      <c r="EG14" s="3">
        <v>490594395</v>
      </c>
      <c r="EH14" s="3">
        <v>0</v>
      </c>
      <c r="EI14" s="3">
        <v>503905000</v>
      </c>
      <c r="EJ14" s="3">
        <v>13309821.300000001</v>
      </c>
      <c r="EK14" s="3">
        <v>466907744.07999998</v>
      </c>
      <c r="EL14" s="3">
        <v>0</v>
      </c>
      <c r="EM14" s="3">
        <v>480217565.38</v>
      </c>
      <c r="EN14" s="3">
        <v>13309821.300000001</v>
      </c>
      <c r="EO14" s="3">
        <v>365509084.76999998</v>
      </c>
      <c r="EP14" s="3">
        <v>0</v>
      </c>
      <c r="EQ14" s="3">
        <v>378818906.06999999</v>
      </c>
      <c r="ER14" s="3">
        <v>11318000</v>
      </c>
      <c r="ES14" s="3">
        <v>590592000</v>
      </c>
      <c r="ET14" s="3">
        <v>0</v>
      </c>
      <c r="EU14" s="3">
        <v>601910000</v>
      </c>
      <c r="EV14" s="3">
        <v>11318000</v>
      </c>
      <c r="EW14" s="3">
        <v>600592000</v>
      </c>
      <c r="EX14" s="3">
        <v>170000000</v>
      </c>
      <c r="EY14" s="3">
        <v>781910000</v>
      </c>
      <c r="EZ14" s="3">
        <v>11318000</v>
      </c>
      <c r="FA14" s="3">
        <v>600592000</v>
      </c>
      <c r="FB14" s="3">
        <v>170000000</v>
      </c>
      <c r="FC14" s="3">
        <v>781910000</v>
      </c>
      <c r="FD14" s="3">
        <v>13113160.43</v>
      </c>
      <c r="FE14" s="3">
        <v>598796839.57000005</v>
      </c>
      <c r="FF14" s="3">
        <v>170000000</v>
      </c>
      <c r="FG14" s="3">
        <v>781910000</v>
      </c>
      <c r="FH14" s="3">
        <v>13113160.43</v>
      </c>
      <c r="FI14" s="3">
        <v>598796839.57000005</v>
      </c>
      <c r="FJ14" s="3">
        <v>170000000</v>
      </c>
      <c r="FK14" s="3">
        <v>781910000</v>
      </c>
      <c r="FL14" s="3">
        <v>13100660.43</v>
      </c>
      <c r="FM14" s="3">
        <v>546745011.71000004</v>
      </c>
      <c r="FN14" s="3">
        <v>0</v>
      </c>
      <c r="FO14" s="3">
        <v>559845672.13999999</v>
      </c>
      <c r="FP14" s="3">
        <v>13094366.27</v>
      </c>
      <c r="FQ14" s="3">
        <v>449716180.80000001</v>
      </c>
      <c r="FR14" s="3">
        <v>0</v>
      </c>
      <c r="FS14" s="3">
        <v>462810547.06999999</v>
      </c>
      <c r="FT14" s="3">
        <v>12502000</v>
      </c>
      <c r="FU14" s="3">
        <v>612032000</v>
      </c>
      <c r="FV14" s="3">
        <v>0</v>
      </c>
      <c r="FW14" s="3">
        <v>624534000</v>
      </c>
      <c r="FX14" s="3">
        <v>12502000</v>
      </c>
      <c r="FY14" s="3">
        <v>616532000</v>
      </c>
      <c r="FZ14" s="3">
        <v>0</v>
      </c>
      <c r="GA14" s="3">
        <v>629034000</v>
      </c>
      <c r="GB14" s="3">
        <v>12502000</v>
      </c>
      <c r="GC14" s="3">
        <v>616532000</v>
      </c>
      <c r="GD14" s="3">
        <v>0</v>
      </c>
      <c r="GE14" s="3">
        <v>629034000</v>
      </c>
      <c r="GF14" s="3">
        <v>20533067</v>
      </c>
      <c r="GG14" s="3">
        <v>611082119</v>
      </c>
      <c r="GH14" s="3">
        <v>0</v>
      </c>
      <c r="GI14" s="3">
        <v>631615186</v>
      </c>
      <c r="GJ14" s="3">
        <v>20533067</v>
      </c>
      <c r="GK14" s="3">
        <v>611082119</v>
      </c>
      <c r="GL14" s="3">
        <v>0</v>
      </c>
      <c r="GM14" s="3">
        <v>631615186</v>
      </c>
      <c r="GN14" s="3">
        <v>20470453.100000001</v>
      </c>
      <c r="GO14" s="3">
        <v>547833287.66999996</v>
      </c>
      <c r="GP14" s="3">
        <v>0</v>
      </c>
      <c r="GQ14" s="3">
        <v>568303740.76999998</v>
      </c>
      <c r="GR14" s="3">
        <v>19823266.030000001</v>
      </c>
      <c r="GS14" s="3">
        <v>430328006.38999999</v>
      </c>
      <c r="GT14" s="3">
        <v>0</v>
      </c>
      <c r="GU14" s="3">
        <v>450151272.42000002</v>
      </c>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row>
    <row r="15" spans="1:267" x14ac:dyDescent="0.25">
      <c r="A15" t="s">
        <v>197</v>
      </c>
      <c r="B15" t="s">
        <v>198</v>
      </c>
      <c r="C15" t="s">
        <v>199</v>
      </c>
      <c r="D15" t="s">
        <v>200</v>
      </c>
      <c r="E15" t="s">
        <v>224</v>
      </c>
      <c r="F15" t="s">
        <v>231</v>
      </c>
      <c r="G15" t="s">
        <v>232</v>
      </c>
      <c r="H15" s="3">
        <v>0</v>
      </c>
      <c r="I15" s="3">
        <v>164528000</v>
      </c>
      <c r="J15" s="3">
        <v>0</v>
      </c>
      <c r="K15" s="3">
        <v>164528000</v>
      </c>
      <c r="L15" s="3">
        <v>0</v>
      </c>
      <c r="M15" s="3">
        <v>164528000</v>
      </c>
      <c r="N15" s="3">
        <v>0</v>
      </c>
      <c r="O15" s="3">
        <v>164528000</v>
      </c>
      <c r="P15" s="3">
        <v>0</v>
      </c>
      <c r="Q15" s="3">
        <v>164528000</v>
      </c>
      <c r="R15" s="3">
        <v>0</v>
      </c>
      <c r="S15" s="3">
        <v>164528000</v>
      </c>
      <c r="T15" s="3">
        <v>0</v>
      </c>
      <c r="U15" s="3">
        <v>164528000</v>
      </c>
      <c r="V15" s="3">
        <v>0</v>
      </c>
      <c r="W15" s="3">
        <v>164528000</v>
      </c>
      <c r="X15" s="3">
        <v>0</v>
      </c>
      <c r="Y15" s="3">
        <v>164528000</v>
      </c>
      <c r="Z15" s="3">
        <v>0</v>
      </c>
      <c r="AA15" s="3">
        <v>164528000</v>
      </c>
      <c r="AB15" s="3">
        <v>0</v>
      </c>
      <c r="AC15" s="3">
        <v>144303473.81999999</v>
      </c>
      <c r="AD15" s="3">
        <v>0</v>
      </c>
      <c r="AE15" s="3">
        <v>144303473.81999999</v>
      </c>
      <c r="AF15" s="3">
        <v>0</v>
      </c>
      <c r="AG15" s="3">
        <v>58257520.299999997</v>
      </c>
      <c r="AH15" s="3">
        <v>0</v>
      </c>
      <c r="AI15" s="3">
        <v>58257520.299999997</v>
      </c>
      <c r="AJ15" s="3">
        <v>0</v>
      </c>
      <c r="AK15" s="3">
        <v>416395000</v>
      </c>
      <c r="AL15" s="3">
        <v>0</v>
      </c>
      <c r="AM15" s="3">
        <v>416395000</v>
      </c>
      <c r="AN15" s="3">
        <v>0</v>
      </c>
      <c r="AO15" s="3">
        <v>500772000</v>
      </c>
      <c r="AP15" s="3">
        <v>0</v>
      </c>
      <c r="AQ15" s="3">
        <v>500772000</v>
      </c>
      <c r="AR15" s="3">
        <v>0</v>
      </c>
      <c r="AS15" s="3">
        <v>500772000</v>
      </c>
      <c r="AT15" s="3">
        <v>0</v>
      </c>
      <c r="AU15" s="3">
        <v>500772000</v>
      </c>
      <c r="AV15" s="3">
        <v>15262168</v>
      </c>
      <c r="AW15" s="3">
        <v>485509832</v>
      </c>
      <c r="AX15" s="3">
        <v>0</v>
      </c>
      <c r="AY15" s="3">
        <v>500772000</v>
      </c>
      <c r="AZ15" s="3">
        <v>15262168</v>
      </c>
      <c r="BA15" s="3">
        <v>475764997</v>
      </c>
      <c r="BB15" s="3">
        <v>0</v>
      </c>
      <c r="BC15" s="3">
        <v>491027165</v>
      </c>
      <c r="BD15" s="3">
        <v>0</v>
      </c>
      <c r="BE15" s="3">
        <v>249496989.63</v>
      </c>
      <c r="BF15" s="3">
        <v>0</v>
      </c>
      <c r="BG15" s="3">
        <v>249496989.63</v>
      </c>
      <c r="BH15" s="3">
        <v>0</v>
      </c>
      <c r="BI15" s="3">
        <v>47326582.68</v>
      </c>
      <c r="BJ15" s="3">
        <v>0</v>
      </c>
      <c r="BK15" s="3">
        <v>47326582.68</v>
      </c>
      <c r="BL15" s="3">
        <v>0</v>
      </c>
      <c r="BM15" s="3">
        <v>99017000</v>
      </c>
      <c r="BN15" s="3">
        <v>0</v>
      </c>
      <c r="BO15" s="3">
        <v>99017000</v>
      </c>
      <c r="BP15" s="3">
        <v>0</v>
      </c>
      <c r="BQ15" s="3">
        <v>102017000</v>
      </c>
      <c r="BR15" s="3">
        <v>0</v>
      </c>
      <c r="BS15" s="3">
        <v>102017000</v>
      </c>
      <c r="BT15" s="3">
        <v>0</v>
      </c>
      <c r="BU15" s="3">
        <v>102017000</v>
      </c>
      <c r="BV15" s="3">
        <v>0</v>
      </c>
      <c r="BW15" s="3">
        <v>102017000</v>
      </c>
      <c r="BX15" s="3">
        <v>154858.92000000001</v>
      </c>
      <c r="BY15" s="3">
        <v>101862141.08</v>
      </c>
      <c r="BZ15" s="3">
        <v>0</v>
      </c>
      <c r="CA15" s="3">
        <v>102017000</v>
      </c>
      <c r="CB15" s="3">
        <v>154858.92000000001</v>
      </c>
      <c r="CC15" s="3">
        <v>98862141.079999998</v>
      </c>
      <c r="CD15" s="3">
        <v>0</v>
      </c>
      <c r="CE15" s="3">
        <v>99017000</v>
      </c>
      <c r="CF15" s="3">
        <v>154858.92000000001</v>
      </c>
      <c r="CG15" s="3">
        <v>75820673.329999998</v>
      </c>
      <c r="CH15" s="3">
        <v>0</v>
      </c>
      <c r="CI15" s="3">
        <v>75975532.25</v>
      </c>
      <c r="CJ15" s="3">
        <v>154858.92000000001</v>
      </c>
      <c r="CK15" s="3">
        <v>47559741.229999997</v>
      </c>
      <c r="CL15" s="3">
        <v>0</v>
      </c>
      <c r="CM15" s="3">
        <v>47714600.149999999</v>
      </c>
      <c r="CN15" s="3">
        <v>0</v>
      </c>
      <c r="CO15" s="3">
        <v>279875000</v>
      </c>
      <c r="CP15" s="3">
        <v>0</v>
      </c>
      <c r="CQ15" s="3">
        <v>279875000</v>
      </c>
      <c r="CR15" s="3">
        <v>0</v>
      </c>
      <c r="CS15" s="3">
        <v>284375000</v>
      </c>
      <c r="CT15" s="3">
        <v>0</v>
      </c>
      <c r="CU15" s="3">
        <v>284375000</v>
      </c>
      <c r="CV15" s="3">
        <v>0</v>
      </c>
      <c r="CW15" s="3">
        <v>284375000</v>
      </c>
      <c r="CX15" s="3">
        <v>0</v>
      </c>
      <c r="CY15" s="3">
        <v>284375000</v>
      </c>
      <c r="CZ15" s="3">
        <v>0</v>
      </c>
      <c r="DA15" s="3">
        <v>284375000</v>
      </c>
      <c r="DB15" s="3">
        <v>0</v>
      </c>
      <c r="DC15" s="3">
        <v>284375000</v>
      </c>
      <c r="DD15" s="3">
        <v>0</v>
      </c>
      <c r="DE15" s="3">
        <v>284375000</v>
      </c>
      <c r="DF15" s="3">
        <v>0</v>
      </c>
      <c r="DG15" s="3">
        <v>284375000</v>
      </c>
      <c r="DH15" s="3">
        <v>0</v>
      </c>
      <c r="DI15" s="3">
        <v>268753862.69</v>
      </c>
      <c r="DJ15" s="3">
        <v>0</v>
      </c>
      <c r="DK15" s="3">
        <v>268753862.69</v>
      </c>
      <c r="DL15" s="3">
        <v>0</v>
      </c>
      <c r="DM15" s="3">
        <v>67267541.549999997</v>
      </c>
      <c r="DN15" s="3">
        <v>0</v>
      </c>
      <c r="DO15" s="3">
        <v>67267541.549999997</v>
      </c>
      <c r="DP15" s="3">
        <v>0</v>
      </c>
      <c r="DQ15" s="3">
        <v>279875000</v>
      </c>
      <c r="DR15" s="3">
        <v>0</v>
      </c>
      <c r="DS15" s="3">
        <v>279875000</v>
      </c>
      <c r="DT15" s="3">
        <v>0</v>
      </c>
      <c r="DU15" s="3">
        <v>114528000</v>
      </c>
      <c r="DV15" s="3">
        <v>0</v>
      </c>
      <c r="DW15" s="3">
        <v>114528000</v>
      </c>
      <c r="DX15" s="3">
        <v>0</v>
      </c>
      <c r="DY15" s="3">
        <v>114528000</v>
      </c>
      <c r="DZ15" s="3">
        <v>0</v>
      </c>
      <c r="EA15" s="3">
        <v>114528000</v>
      </c>
      <c r="EB15" s="3">
        <v>0</v>
      </c>
      <c r="EC15" s="3">
        <v>114528000</v>
      </c>
      <c r="ED15" s="3">
        <v>0</v>
      </c>
      <c r="EE15" s="3">
        <v>114528000</v>
      </c>
      <c r="EF15" s="3">
        <v>0</v>
      </c>
      <c r="EG15" s="3">
        <v>114528000</v>
      </c>
      <c r="EH15" s="3">
        <v>0</v>
      </c>
      <c r="EI15" s="3">
        <v>114528000</v>
      </c>
      <c r="EJ15" s="3">
        <v>0</v>
      </c>
      <c r="EK15" s="3">
        <v>84173467.620000005</v>
      </c>
      <c r="EL15" s="3">
        <v>0</v>
      </c>
      <c r="EM15" s="3">
        <v>84173467.620000005</v>
      </c>
      <c r="EN15" s="3">
        <v>0</v>
      </c>
      <c r="EO15" s="3">
        <v>68221322.930000007</v>
      </c>
      <c r="EP15" s="3">
        <v>0</v>
      </c>
      <c r="EQ15" s="3">
        <v>68221322.930000007</v>
      </c>
      <c r="ER15" s="3">
        <v>0</v>
      </c>
      <c r="ES15" s="3">
        <v>137981000</v>
      </c>
      <c r="ET15" s="3">
        <v>0</v>
      </c>
      <c r="EU15" s="3">
        <v>137981000</v>
      </c>
      <c r="EV15" s="3">
        <v>0</v>
      </c>
      <c r="EW15" s="3">
        <v>137981000</v>
      </c>
      <c r="EX15" s="3">
        <v>0</v>
      </c>
      <c r="EY15" s="3">
        <v>137981000</v>
      </c>
      <c r="EZ15" s="3">
        <v>0</v>
      </c>
      <c r="FA15" s="3">
        <v>137981000</v>
      </c>
      <c r="FB15" s="3">
        <v>0</v>
      </c>
      <c r="FC15" s="3">
        <v>137981000</v>
      </c>
      <c r="FD15" s="3">
        <v>0</v>
      </c>
      <c r="FE15" s="3">
        <v>137981000</v>
      </c>
      <c r="FF15" s="3">
        <v>0</v>
      </c>
      <c r="FG15" s="3">
        <v>137981000</v>
      </c>
      <c r="FH15" s="3">
        <v>0</v>
      </c>
      <c r="FI15" s="3">
        <v>137981000</v>
      </c>
      <c r="FJ15" s="3">
        <v>0</v>
      </c>
      <c r="FK15" s="3">
        <v>137981000</v>
      </c>
      <c r="FL15" s="3">
        <v>0</v>
      </c>
      <c r="FM15" s="3">
        <v>90705470.359999999</v>
      </c>
      <c r="FN15" s="3">
        <v>0</v>
      </c>
      <c r="FO15" s="3">
        <v>90705470.359999999</v>
      </c>
      <c r="FP15" s="3">
        <v>0</v>
      </c>
      <c r="FQ15" s="3">
        <v>70983946.709999993</v>
      </c>
      <c r="FR15" s="3">
        <v>0</v>
      </c>
      <c r="FS15" s="3">
        <v>70983946.709999993</v>
      </c>
      <c r="FT15" s="3">
        <v>0</v>
      </c>
      <c r="FU15" s="3">
        <v>119395000</v>
      </c>
      <c r="FV15" s="3">
        <v>0</v>
      </c>
      <c r="FW15" s="3">
        <v>119395000</v>
      </c>
      <c r="FX15" s="3">
        <v>0</v>
      </c>
      <c r="FY15" s="3">
        <v>119395000</v>
      </c>
      <c r="FZ15" s="3">
        <v>0</v>
      </c>
      <c r="GA15" s="3">
        <v>119395000</v>
      </c>
      <c r="GB15" s="3">
        <v>0</v>
      </c>
      <c r="GC15" s="3">
        <v>119395000</v>
      </c>
      <c r="GD15" s="3">
        <v>0</v>
      </c>
      <c r="GE15" s="3">
        <v>119395000</v>
      </c>
      <c r="GF15" s="3">
        <v>0</v>
      </c>
      <c r="GG15" s="3">
        <v>119395000</v>
      </c>
      <c r="GH15" s="3">
        <v>0</v>
      </c>
      <c r="GI15" s="3">
        <v>119395000</v>
      </c>
      <c r="GJ15" s="3">
        <v>0</v>
      </c>
      <c r="GK15" s="3">
        <v>119395000</v>
      </c>
      <c r="GL15" s="3">
        <v>0</v>
      </c>
      <c r="GM15" s="3">
        <v>119395000</v>
      </c>
      <c r="GN15" s="3">
        <v>0</v>
      </c>
      <c r="GO15" s="3">
        <v>99787126.329999998</v>
      </c>
      <c r="GP15" s="3">
        <v>0</v>
      </c>
      <c r="GQ15" s="3">
        <v>99787126.329999998</v>
      </c>
      <c r="GR15" s="3">
        <v>0</v>
      </c>
      <c r="GS15" s="3">
        <v>76748961.469999999</v>
      </c>
      <c r="GT15" s="3">
        <v>0</v>
      </c>
      <c r="GU15" s="3">
        <v>76748961.469999999</v>
      </c>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row>
    <row r="16" spans="1:267" x14ac:dyDescent="0.25">
      <c r="A16" t="s">
        <v>197</v>
      </c>
      <c r="B16" t="s">
        <v>198</v>
      </c>
      <c r="C16" t="s">
        <v>199</v>
      </c>
      <c r="D16" t="s">
        <v>200</v>
      </c>
      <c r="E16" t="s">
        <v>224</v>
      </c>
      <c r="F16" t="s">
        <v>233</v>
      </c>
      <c r="G16" t="s">
        <v>234</v>
      </c>
      <c r="H16" s="3">
        <v>341237000</v>
      </c>
      <c r="I16" s="3">
        <v>9258361000</v>
      </c>
      <c r="J16" s="3">
        <v>0</v>
      </c>
      <c r="K16" s="3">
        <v>9599598000</v>
      </c>
      <c r="L16" s="3">
        <v>341237000</v>
      </c>
      <c r="M16" s="3">
        <v>9258361000</v>
      </c>
      <c r="N16" s="3">
        <v>0</v>
      </c>
      <c r="O16" s="3">
        <v>9599598000</v>
      </c>
      <c r="P16" s="3">
        <v>341237000</v>
      </c>
      <c r="Q16" s="3">
        <v>9258361000</v>
      </c>
      <c r="R16" s="3">
        <v>0</v>
      </c>
      <c r="S16" s="3">
        <v>9599598000</v>
      </c>
      <c r="T16" s="3">
        <v>341237000</v>
      </c>
      <c r="U16" s="3">
        <v>9258361000</v>
      </c>
      <c r="V16" s="3">
        <v>0</v>
      </c>
      <c r="W16" s="3">
        <v>9599598000</v>
      </c>
      <c r="X16" s="3">
        <v>341237000</v>
      </c>
      <c r="Y16" s="3">
        <v>9258361000</v>
      </c>
      <c r="Z16" s="3">
        <v>0</v>
      </c>
      <c r="AA16" s="3">
        <v>9599598000</v>
      </c>
      <c r="AB16" s="3">
        <v>340505394.23000002</v>
      </c>
      <c r="AC16" s="3">
        <v>9040740500.5599995</v>
      </c>
      <c r="AD16" s="3">
        <v>0</v>
      </c>
      <c r="AE16" s="3">
        <v>9381245894.7900009</v>
      </c>
      <c r="AF16" s="3">
        <v>316564157.23000002</v>
      </c>
      <c r="AG16" s="3">
        <v>6708314744.3800001</v>
      </c>
      <c r="AH16" s="3">
        <v>0</v>
      </c>
      <c r="AI16" s="3">
        <v>7024878901.6099997</v>
      </c>
      <c r="AJ16" s="3">
        <v>341237000</v>
      </c>
      <c r="AK16" s="3">
        <v>828728000</v>
      </c>
      <c r="AL16" s="3">
        <v>0</v>
      </c>
      <c r="AM16" s="3">
        <v>1169965000</v>
      </c>
      <c r="AN16" s="3">
        <v>5138237000</v>
      </c>
      <c r="AO16" s="3">
        <v>3432068000</v>
      </c>
      <c r="AP16" s="3">
        <v>0</v>
      </c>
      <c r="AQ16" s="3">
        <v>8570305000</v>
      </c>
      <c r="AR16" s="3">
        <v>5138237000</v>
      </c>
      <c r="AS16" s="3">
        <v>3432068000</v>
      </c>
      <c r="AT16" s="3">
        <v>0</v>
      </c>
      <c r="AU16" s="3">
        <v>8570305000</v>
      </c>
      <c r="AV16" s="3">
        <v>5138237000</v>
      </c>
      <c r="AW16" s="3">
        <v>3432068000</v>
      </c>
      <c r="AX16" s="3">
        <v>0</v>
      </c>
      <c r="AY16" s="3">
        <v>8570305000</v>
      </c>
      <c r="AZ16" s="3">
        <v>5138237000</v>
      </c>
      <c r="BA16" s="3">
        <v>2667886878</v>
      </c>
      <c r="BB16" s="3">
        <v>0</v>
      </c>
      <c r="BC16" s="3">
        <v>7806123878</v>
      </c>
      <c r="BD16" s="3">
        <v>5023524683.1000004</v>
      </c>
      <c r="BE16" s="3">
        <v>2130326781.5699999</v>
      </c>
      <c r="BF16" s="3">
        <v>0</v>
      </c>
      <c r="BG16" s="3">
        <v>7153851464.6700001</v>
      </c>
      <c r="BH16" s="3">
        <v>4834574953.0699997</v>
      </c>
      <c r="BI16" s="3">
        <v>1933791786.98</v>
      </c>
      <c r="BJ16" s="3">
        <v>0</v>
      </c>
      <c r="BK16" s="3">
        <v>6768366740.0500002</v>
      </c>
      <c r="BL16" s="3">
        <v>0</v>
      </c>
      <c r="BM16" s="3">
        <v>2453532000</v>
      </c>
      <c r="BN16" s="3">
        <v>0</v>
      </c>
      <c r="BO16" s="3">
        <v>2453532000</v>
      </c>
      <c r="BP16" s="3">
        <v>7500000000</v>
      </c>
      <c r="BQ16" s="3">
        <v>2453532000</v>
      </c>
      <c r="BR16" s="3">
        <v>0</v>
      </c>
      <c r="BS16" s="3">
        <v>9953532000</v>
      </c>
      <c r="BT16" s="3">
        <v>7500000000</v>
      </c>
      <c r="BU16" s="3">
        <v>2453532000</v>
      </c>
      <c r="BV16" s="3">
        <v>0</v>
      </c>
      <c r="BW16" s="3">
        <v>9953532000</v>
      </c>
      <c r="BX16" s="3">
        <v>7500000000</v>
      </c>
      <c r="BY16" s="3">
        <v>2453532000</v>
      </c>
      <c r="BZ16" s="3">
        <v>0</v>
      </c>
      <c r="CA16" s="3">
        <v>9953532000</v>
      </c>
      <c r="CB16" s="3">
        <v>7500000000</v>
      </c>
      <c r="CC16" s="3">
        <v>2453532000</v>
      </c>
      <c r="CD16" s="3">
        <v>0</v>
      </c>
      <c r="CE16" s="3">
        <v>9953532000</v>
      </c>
      <c r="CF16" s="3">
        <v>7485070763.1800003</v>
      </c>
      <c r="CG16" s="3">
        <v>1898944082.25</v>
      </c>
      <c r="CH16" s="3">
        <v>0</v>
      </c>
      <c r="CI16" s="3">
        <v>9384014845.4300003</v>
      </c>
      <c r="CJ16" s="3">
        <v>7451998264.8699999</v>
      </c>
      <c r="CK16" s="3">
        <v>1711593102.6600001</v>
      </c>
      <c r="CL16" s="3">
        <v>0</v>
      </c>
      <c r="CM16" s="3">
        <v>9163591367.5300007</v>
      </c>
      <c r="CN16" s="3">
        <v>15741266000</v>
      </c>
      <c r="CO16" s="3">
        <v>841654000</v>
      </c>
      <c r="CP16" s="3">
        <v>0</v>
      </c>
      <c r="CQ16" s="3">
        <v>16582920000</v>
      </c>
      <c r="CR16" s="3">
        <v>15741266000</v>
      </c>
      <c r="CS16" s="3">
        <v>841654000</v>
      </c>
      <c r="CT16" s="3">
        <v>0</v>
      </c>
      <c r="CU16" s="3">
        <v>16582920000</v>
      </c>
      <c r="CV16" s="3">
        <v>15741266000</v>
      </c>
      <c r="CW16" s="3">
        <v>841654000</v>
      </c>
      <c r="CX16" s="3">
        <v>0</v>
      </c>
      <c r="CY16" s="3">
        <v>16582920000</v>
      </c>
      <c r="CZ16" s="3">
        <v>15741266000</v>
      </c>
      <c r="DA16" s="3">
        <v>841654000</v>
      </c>
      <c r="DB16" s="3">
        <v>0</v>
      </c>
      <c r="DC16" s="3">
        <v>16582920000</v>
      </c>
      <c r="DD16" s="3">
        <v>15741266000</v>
      </c>
      <c r="DE16" s="3">
        <v>841654000</v>
      </c>
      <c r="DF16" s="3">
        <v>0</v>
      </c>
      <c r="DG16" s="3">
        <v>16582920000</v>
      </c>
      <c r="DH16" s="3">
        <v>15673330131.32</v>
      </c>
      <c r="DI16" s="3">
        <v>718355624.45000005</v>
      </c>
      <c r="DJ16" s="3">
        <v>0</v>
      </c>
      <c r="DK16" s="3">
        <v>16391685755.77</v>
      </c>
      <c r="DL16" s="3">
        <v>15007304665.389999</v>
      </c>
      <c r="DM16" s="3">
        <v>610733215.11000001</v>
      </c>
      <c r="DN16" s="3">
        <v>0</v>
      </c>
      <c r="DO16" s="3">
        <v>15618037880.5</v>
      </c>
      <c r="DP16" s="3">
        <v>16283728000</v>
      </c>
      <c r="DQ16" s="3">
        <v>721516000</v>
      </c>
      <c r="DR16" s="3">
        <v>0</v>
      </c>
      <c r="DS16" s="3">
        <v>17005244000</v>
      </c>
      <c r="DT16" s="3">
        <v>0</v>
      </c>
      <c r="DU16" s="3">
        <v>0</v>
      </c>
      <c r="DV16" s="3">
        <v>0</v>
      </c>
      <c r="DW16" s="3">
        <v>0</v>
      </c>
      <c r="DX16" s="3">
        <v>0</v>
      </c>
      <c r="DY16" s="3">
        <v>0</v>
      </c>
      <c r="DZ16" s="3">
        <v>0</v>
      </c>
      <c r="EA16" s="3">
        <v>0</v>
      </c>
      <c r="EB16" s="3">
        <v>0</v>
      </c>
      <c r="EC16" s="3">
        <v>0</v>
      </c>
      <c r="ED16" s="3">
        <v>0</v>
      </c>
      <c r="EE16" s="3">
        <v>0</v>
      </c>
      <c r="EF16" s="3">
        <v>0</v>
      </c>
      <c r="EG16" s="3">
        <v>0</v>
      </c>
      <c r="EH16" s="3">
        <v>0</v>
      </c>
      <c r="EI16" s="3">
        <v>0</v>
      </c>
      <c r="EJ16" s="3">
        <v>0</v>
      </c>
      <c r="EK16" s="3">
        <v>0</v>
      </c>
      <c r="EL16" s="3">
        <v>0</v>
      </c>
      <c r="EM16" s="3">
        <v>0</v>
      </c>
      <c r="EN16" s="3"/>
      <c r="EO16" s="3"/>
      <c r="EP16" s="3"/>
      <c r="EQ16" s="3">
        <v>0</v>
      </c>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row>
    <row r="17" spans="1:267" x14ac:dyDescent="0.25">
      <c r="A17" t="s">
        <v>197</v>
      </c>
      <c r="B17" t="s">
        <v>198</v>
      </c>
      <c r="C17" t="s">
        <v>199</v>
      </c>
      <c r="D17" t="s">
        <v>200</v>
      </c>
      <c r="E17" t="s">
        <v>224</v>
      </c>
      <c r="F17" t="s">
        <v>235</v>
      </c>
      <c r="G17" t="s">
        <v>236</v>
      </c>
      <c r="H17" s="3">
        <v>54026000</v>
      </c>
      <c r="I17" s="3">
        <v>184662000</v>
      </c>
      <c r="J17" s="3">
        <v>0</v>
      </c>
      <c r="K17" s="3">
        <v>238688000</v>
      </c>
      <c r="L17" s="3">
        <v>54026000</v>
      </c>
      <c r="M17" s="3">
        <v>184662000</v>
      </c>
      <c r="N17" s="3">
        <v>0</v>
      </c>
      <c r="O17" s="3">
        <v>238688000</v>
      </c>
      <c r="P17" s="3">
        <v>54026000</v>
      </c>
      <c r="Q17" s="3">
        <v>184662000</v>
      </c>
      <c r="R17" s="3">
        <v>0</v>
      </c>
      <c r="S17" s="3">
        <v>238688000</v>
      </c>
      <c r="T17" s="3">
        <v>54492156</v>
      </c>
      <c r="U17" s="3">
        <v>184195844</v>
      </c>
      <c r="V17" s="3">
        <v>0</v>
      </c>
      <c r="W17" s="3">
        <v>238688000</v>
      </c>
      <c r="X17" s="3">
        <v>54492156</v>
      </c>
      <c r="Y17" s="3">
        <v>184195844</v>
      </c>
      <c r="Z17" s="3">
        <v>0</v>
      </c>
      <c r="AA17" s="3">
        <v>238688000</v>
      </c>
      <c r="AB17" s="3">
        <v>54492156</v>
      </c>
      <c r="AC17" s="3">
        <v>164235342.49000001</v>
      </c>
      <c r="AD17" s="3">
        <v>0</v>
      </c>
      <c r="AE17" s="3">
        <v>218727498.49000001</v>
      </c>
      <c r="AF17" s="3">
        <v>54492156</v>
      </c>
      <c r="AG17" s="3">
        <v>105265788.25</v>
      </c>
      <c r="AH17" s="3">
        <v>0</v>
      </c>
      <c r="AI17" s="3">
        <v>159757944.25</v>
      </c>
      <c r="AJ17" s="3">
        <v>31046000</v>
      </c>
      <c r="AK17" s="3">
        <v>127815000</v>
      </c>
      <c r="AL17" s="3">
        <v>0</v>
      </c>
      <c r="AM17" s="3">
        <v>158861000</v>
      </c>
      <c r="AN17" s="3">
        <v>31046000</v>
      </c>
      <c r="AO17" s="3">
        <v>127815000</v>
      </c>
      <c r="AP17" s="3">
        <v>0</v>
      </c>
      <c r="AQ17" s="3">
        <v>158861000</v>
      </c>
      <c r="AR17" s="3">
        <v>31046000</v>
      </c>
      <c r="AS17" s="3">
        <v>127815000</v>
      </c>
      <c r="AT17" s="3">
        <v>0</v>
      </c>
      <c r="AU17" s="3">
        <v>158861000</v>
      </c>
      <c r="AV17" s="3">
        <v>33147091</v>
      </c>
      <c r="AW17" s="3">
        <v>125713909</v>
      </c>
      <c r="AX17" s="3">
        <v>0</v>
      </c>
      <c r="AY17" s="3">
        <v>158861000</v>
      </c>
      <c r="AZ17" s="3">
        <v>33147091</v>
      </c>
      <c r="BA17" s="3">
        <v>125713909</v>
      </c>
      <c r="BB17" s="3">
        <v>0</v>
      </c>
      <c r="BC17" s="3">
        <v>158861000</v>
      </c>
      <c r="BD17" s="3">
        <v>31045332.079999998</v>
      </c>
      <c r="BE17" s="3">
        <v>113214305.08</v>
      </c>
      <c r="BF17" s="3">
        <v>0</v>
      </c>
      <c r="BG17" s="3">
        <v>144259637.16</v>
      </c>
      <c r="BH17" s="3">
        <v>31035710.960000001</v>
      </c>
      <c r="BI17" s="3">
        <v>80743820.760000005</v>
      </c>
      <c r="BJ17" s="3">
        <v>0</v>
      </c>
      <c r="BK17" s="3">
        <v>111779531.72</v>
      </c>
      <c r="BL17" s="3">
        <v>39588000</v>
      </c>
      <c r="BM17" s="3">
        <v>116048000</v>
      </c>
      <c r="BN17" s="3">
        <v>0</v>
      </c>
      <c r="BO17" s="3">
        <v>155636000</v>
      </c>
      <c r="BP17" s="3">
        <v>39588000</v>
      </c>
      <c r="BQ17" s="3">
        <v>116048000</v>
      </c>
      <c r="BR17" s="3">
        <v>0</v>
      </c>
      <c r="BS17" s="3">
        <v>155636000</v>
      </c>
      <c r="BT17" s="3">
        <v>39588000</v>
      </c>
      <c r="BU17" s="3">
        <v>116048000</v>
      </c>
      <c r="BV17" s="3">
        <v>0</v>
      </c>
      <c r="BW17" s="3">
        <v>155636000</v>
      </c>
      <c r="BX17" s="3">
        <v>39588000</v>
      </c>
      <c r="BY17" s="3">
        <v>116048000</v>
      </c>
      <c r="BZ17" s="3">
        <v>0</v>
      </c>
      <c r="CA17" s="3">
        <v>155636000</v>
      </c>
      <c r="CB17" s="3">
        <v>39588000</v>
      </c>
      <c r="CC17" s="3">
        <v>116048000</v>
      </c>
      <c r="CD17" s="3">
        <v>0</v>
      </c>
      <c r="CE17" s="3">
        <v>155636000</v>
      </c>
      <c r="CF17" s="3">
        <v>39474659.5</v>
      </c>
      <c r="CG17" s="3">
        <v>78849038.480000004</v>
      </c>
      <c r="CH17" s="3">
        <v>0</v>
      </c>
      <c r="CI17" s="3">
        <v>118323697.98</v>
      </c>
      <c r="CJ17" s="3">
        <v>31779703.23</v>
      </c>
      <c r="CK17" s="3">
        <v>46441079.850000001</v>
      </c>
      <c r="CL17" s="3">
        <v>0</v>
      </c>
      <c r="CM17" s="3">
        <v>78220783.079999998</v>
      </c>
      <c r="CN17" s="3">
        <v>37575000</v>
      </c>
      <c r="CO17" s="3">
        <v>102462000</v>
      </c>
      <c r="CP17" s="3">
        <v>0</v>
      </c>
      <c r="CQ17" s="3">
        <v>140037000</v>
      </c>
      <c r="CR17" s="3">
        <v>37575000</v>
      </c>
      <c r="CS17" s="3">
        <v>102462000</v>
      </c>
      <c r="CT17" s="3">
        <v>0</v>
      </c>
      <c r="CU17" s="3">
        <v>140037000</v>
      </c>
      <c r="CV17" s="3">
        <v>37575000</v>
      </c>
      <c r="CW17" s="3">
        <v>102462000</v>
      </c>
      <c r="CX17" s="3">
        <v>0</v>
      </c>
      <c r="CY17" s="3">
        <v>140037000</v>
      </c>
      <c r="CZ17" s="3">
        <v>40175000</v>
      </c>
      <c r="DA17" s="3">
        <v>98163248.760000005</v>
      </c>
      <c r="DB17" s="3">
        <v>0</v>
      </c>
      <c r="DC17" s="3">
        <v>138338248.75999999</v>
      </c>
      <c r="DD17" s="3">
        <v>40175000</v>
      </c>
      <c r="DE17" s="3">
        <v>98163248.760000005</v>
      </c>
      <c r="DF17" s="3">
        <v>0</v>
      </c>
      <c r="DG17" s="3">
        <v>138338248.75999999</v>
      </c>
      <c r="DH17" s="3">
        <v>40158280.560000002</v>
      </c>
      <c r="DI17" s="3">
        <v>76913517.650000006</v>
      </c>
      <c r="DJ17" s="3">
        <v>0</v>
      </c>
      <c r="DK17" s="3">
        <v>117071798.20999999</v>
      </c>
      <c r="DL17" s="3">
        <v>39846654.140000001</v>
      </c>
      <c r="DM17" s="3">
        <v>50115637.759999998</v>
      </c>
      <c r="DN17" s="3">
        <v>0</v>
      </c>
      <c r="DO17" s="3">
        <v>89962291.900000006</v>
      </c>
      <c r="DP17" s="3">
        <v>42691000</v>
      </c>
      <c r="DQ17" s="3">
        <v>222600000</v>
      </c>
      <c r="DR17" s="3">
        <v>0</v>
      </c>
      <c r="DS17" s="3">
        <v>265291000</v>
      </c>
      <c r="DT17" s="3">
        <v>42691000</v>
      </c>
      <c r="DU17" s="3">
        <v>222600000</v>
      </c>
      <c r="DV17" s="3">
        <v>0</v>
      </c>
      <c r="DW17" s="3">
        <v>265291000</v>
      </c>
      <c r="DX17" s="3">
        <v>42691000</v>
      </c>
      <c r="DY17" s="3">
        <v>222600000</v>
      </c>
      <c r="DZ17" s="3">
        <v>0</v>
      </c>
      <c r="EA17" s="3">
        <v>265291000</v>
      </c>
      <c r="EB17" s="3">
        <v>44212289.270000003</v>
      </c>
      <c r="EC17" s="3">
        <v>221078710.72999999</v>
      </c>
      <c r="ED17" s="3">
        <v>0</v>
      </c>
      <c r="EE17" s="3">
        <v>265291000</v>
      </c>
      <c r="EF17" s="3">
        <v>44212289.270000003</v>
      </c>
      <c r="EG17" s="3">
        <v>221078710.72999999</v>
      </c>
      <c r="EH17" s="3">
        <v>0</v>
      </c>
      <c r="EI17" s="3">
        <v>265291000</v>
      </c>
      <c r="EJ17" s="3">
        <v>44212046.07</v>
      </c>
      <c r="EK17" s="3">
        <v>169543708.25999999</v>
      </c>
      <c r="EL17" s="3">
        <v>0</v>
      </c>
      <c r="EM17" s="3">
        <v>213755754.33000001</v>
      </c>
      <c r="EN17" s="3">
        <v>36571119.909999996</v>
      </c>
      <c r="EO17" s="3">
        <v>110499141.89</v>
      </c>
      <c r="EP17" s="3">
        <v>0</v>
      </c>
      <c r="EQ17" s="3">
        <v>147070261.80000001</v>
      </c>
      <c r="ER17" s="3">
        <v>43046000</v>
      </c>
      <c r="ES17" s="3">
        <v>139264000</v>
      </c>
      <c r="ET17" s="3">
        <v>0</v>
      </c>
      <c r="EU17" s="3">
        <v>182310000</v>
      </c>
      <c r="EV17" s="3">
        <v>43046000</v>
      </c>
      <c r="EW17" s="3">
        <v>139264000</v>
      </c>
      <c r="EX17" s="3">
        <v>0</v>
      </c>
      <c r="EY17" s="3">
        <v>182310000</v>
      </c>
      <c r="EZ17" s="3">
        <v>43046000</v>
      </c>
      <c r="FA17" s="3">
        <v>139264000</v>
      </c>
      <c r="FB17" s="3">
        <v>0</v>
      </c>
      <c r="FC17" s="3">
        <v>182310000</v>
      </c>
      <c r="FD17" s="3">
        <v>43051613.270000003</v>
      </c>
      <c r="FE17" s="3">
        <v>139258386.72999999</v>
      </c>
      <c r="FF17" s="3">
        <v>0</v>
      </c>
      <c r="FG17" s="3">
        <v>182310000</v>
      </c>
      <c r="FH17" s="3">
        <v>43051613.270000003</v>
      </c>
      <c r="FI17" s="3">
        <v>139258386.72999999</v>
      </c>
      <c r="FJ17" s="3">
        <v>0</v>
      </c>
      <c r="FK17" s="3">
        <v>182310000</v>
      </c>
      <c r="FL17" s="3">
        <v>43051489.579999998</v>
      </c>
      <c r="FM17" s="3">
        <v>109608696.77</v>
      </c>
      <c r="FN17" s="3">
        <v>0</v>
      </c>
      <c r="FO17" s="3">
        <v>152660186.34999999</v>
      </c>
      <c r="FP17" s="3">
        <v>42825412.82</v>
      </c>
      <c r="FQ17" s="3">
        <v>68351683.670000002</v>
      </c>
      <c r="FR17" s="3">
        <v>0</v>
      </c>
      <c r="FS17" s="3">
        <v>111177096.48999999</v>
      </c>
      <c r="FT17" s="3">
        <v>37619000</v>
      </c>
      <c r="FU17" s="3">
        <v>227324000</v>
      </c>
      <c r="FV17" s="3">
        <v>0</v>
      </c>
      <c r="FW17" s="3">
        <v>264943000</v>
      </c>
      <c r="FX17" s="3">
        <v>37619000</v>
      </c>
      <c r="FY17" s="3">
        <v>227324000</v>
      </c>
      <c r="FZ17" s="3">
        <v>0</v>
      </c>
      <c r="GA17" s="3">
        <v>264943000</v>
      </c>
      <c r="GB17" s="3">
        <v>37619000</v>
      </c>
      <c r="GC17" s="3">
        <v>227324000</v>
      </c>
      <c r="GD17" s="3">
        <v>0</v>
      </c>
      <c r="GE17" s="3">
        <v>264943000</v>
      </c>
      <c r="GF17" s="3">
        <v>37669000</v>
      </c>
      <c r="GG17" s="3">
        <v>227274000</v>
      </c>
      <c r="GH17" s="3">
        <v>0</v>
      </c>
      <c r="GI17" s="3">
        <v>264943000</v>
      </c>
      <c r="GJ17" s="3">
        <v>37669000</v>
      </c>
      <c r="GK17" s="3">
        <v>227274000</v>
      </c>
      <c r="GL17" s="3">
        <v>0</v>
      </c>
      <c r="GM17" s="3">
        <v>264943000</v>
      </c>
      <c r="GN17" s="3">
        <v>37667177.469999999</v>
      </c>
      <c r="GO17" s="3">
        <v>201409842.66999999</v>
      </c>
      <c r="GP17" s="3">
        <v>0</v>
      </c>
      <c r="GQ17" s="3">
        <v>239077020.13999999</v>
      </c>
      <c r="GR17" s="3">
        <v>37425389.450000003</v>
      </c>
      <c r="GS17" s="3">
        <v>141535638.19999999</v>
      </c>
      <c r="GT17" s="3">
        <v>0</v>
      </c>
      <c r="GU17" s="3">
        <v>178961027.65000001</v>
      </c>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row>
    <row r="18" spans="1:267" x14ac:dyDescent="0.25">
      <c r="A18" t="s">
        <v>197</v>
      </c>
      <c r="B18" t="s">
        <v>198</v>
      </c>
      <c r="C18" t="s">
        <v>199</v>
      </c>
      <c r="D18" t="s">
        <v>200</v>
      </c>
      <c r="E18" t="s">
        <v>224</v>
      </c>
      <c r="F18" t="s">
        <v>237</v>
      </c>
      <c r="G18" t="s">
        <v>238</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v>0</v>
      </c>
      <c r="DQ18" s="3">
        <v>0</v>
      </c>
      <c r="DR18" s="3">
        <v>0</v>
      </c>
      <c r="DS18" s="3">
        <v>0</v>
      </c>
      <c r="DT18" s="3">
        <v>16293728000</v>
      </c>
      <c r="DU18" s="3">
        <v>721516000</v>
      </c>
      <c r="DV18" s="3">
        <v>0</v>
      </c>
      <c r="DW18" s="3">
        <v>17015244000</v>
      </c>
      <c r="DX18" s="3">
        <v>16293728000</v>
      </c>
      <c r="DY18" s="3">
        <v>721516000</v>
      </c>
      <c r="DZ18" s="3">
        <v>0</v>
      </c>
      <c r="EA18" s="3">
        <v>17015244000</v>
      </c>
      <c r="EB18" s="3">
        <v>16393728000</v>
      </c>
      <c r="EC18" s="3">
        <v>621516000</v>
      </c>
      <c r="ED18" s="3">
        <v>0</v>
      </c>
      <c r="EE18" s="3">
        <v>17015244000</v>
      </c>
      <c r="EF18" s="3">
        <v>16393728000</v>
      </c>
      <c r="EG18" s="3">
        <v>621516000</v>
      </c>
      <c r="EH18" s="3">
        <v>0</v>
      </c>
      <c r="EI18" s="3">
        <v>17015244000</v>
      </c>
      <c r="EJ18" s="3">
        <v>16392536460.299999</v>
      </c>
      <c r="EK18" s="3">
        <v>542112107.34000003</v>
      </c>
      <c r="EL18" s="3">
        <v>0</v>
      </c>
      <c r="EM18" s="3">
        <v>16934648567.639999</v>
      </c>
      <c r="EN18" s="3">
        <v>16152655540.48</v>
      </c>
      <c r="EO18" s="3">
        <v>502676043.69</v>
      </c>
      <c r="EP18" s="3">
        <v>0</v>
      </c>
      <c r="EQ18" s="3">
        <v>16655331584.17</v>
      </c>
      <c r="ER18" s="3">
        <v>16315993000</v>
      </c>
      <c r="ES18" s="3">
        <v>631492000</v>
      </c>
      <c r="ET18" s="3">
        <v>0</v>
      </c>
      <c r="EU18" s="3">
        <v>16947485000</v>
      </c>
      <c r="EV18" s="3">
        <v>16315993000</v>
      </c>
      <c r="EW18" s="3">
        <v>631492000</v>
      </c>
      <c r="EX18" s="3">
        <v>0</v>
      </c>
      <c r="EY18" s="3">
        <v>16947485000</v>
      </c>
      <c r="EZ18" s="3">
        <v>16315993000</v>
      </c>
      <c r="FA18" s="3">
        <v>631492000</v>
      </c>
      <c r="FB18" s="3">
        <v>0</v>
      </c>
      <c r="FC18" s="3">
        <v>16947485000</v>
      </c>
      <c r="FD18" s="3">
        <v>16315993000</v>
      </c>
      <c r="FE18" s="3">
        <v>631492000</v>
      </c>
      <c r="FF18" s="3">
        <v>0</v>
      </c>
      <c r="FG18" s="3">
        <v>16947485000</v>
      </c>
      <c r="FH18" s="3">
        <v>16315993000</v>
      </c>
      <c r="FI18" s="3">
        <v>631492000</v>
      </c>
      <c r="FJ18" s="3">
        <v>0</v>
      </c>
      <c r="FK18" s="3">
        <v>16947485000</v>
      </c>
      <c r="FL18" s="3">
        <v>16304896912.139999</v>
      </c>
      <c r="FM18" s="3">
        <v>501549750.73000002</v>
      </c>
      <c r="FN18" s="3">
        <v>0</v>
      </c>
      <c r="FO18" s="3">
        <v>16806446662.870001</v>
      </c>
      <c r="FP18" s="3">
        <v>15442428815.959999</v>
      </c>
      <c r="FQ18" s="3">
        <v>458613901.88999999</v>
      </c>
      <c r="FR18" s="3">
        <v>0</v>
      </c>
      <c r="FS18" s="3">
        <v>15901042717.85</v>
      </c>
      <c r="FT18" s="3">
        <v>17202095000</v>
      </c>
      <c r="FU18" s="3">
        <v>776588000</v>
      </c>
      <c r="FV18" s="3">
        <v>0</v>
      </c>
      <c r="FW18" s="3">
        <v>17978683000</v>
      </c>
      <c r="FX18" s="3">
        <v>17202095000</v>
      </c>
      <c r="FY18" s="3">
        <v>776588000</v>
      </c>
      <c r="FZ18" s="3">
        <v>0</v>
      </c>
      <c r="GA18" s="3">
        <v>17978683000</v>
      </c>
      <c r="GB18" s="3">
        <v>17202095000</v>
      </c>
      <c r="GC18" s="3">
        <v>776588000</v>
      </c>
      <c r="GD18" s="3">
        <v>0</v>
      </c>
      <c r="GE18" s="3">
        <v>17978683000</v>
      </c>
      <c r="GF18" s="3">
        <v>17431930566</v>
      </c>
      <c r="GG18" s="3">
        <v>529804834</v>
      </c>
      <c r="GH18" s="3">
        <v>0</v>
      </c>
      <c r="GI18" s="3">
        <v>17961735400</v>
      </c>
      <c r="GJ18" s="3">
        <v>17431930566</v>
      </c>
      <c r="GK18" s="3">
        <v>529804834</v>
      </c>
      <c r="GL18" s="3">
        <v>0</v>
      </c>
      <c r="GM18" s="3">
        <v>17961735400</v>
      </c>
      <c r="GN18" s="3">
        <v>17431886600.150002</v>
      </c>
      <c r="GO18" s="3">
        <v>489433595.67000002</v>
      </c>
      <c r="GP18" s="3">
        <v>0</v>
      </c>
      <c r="GQ18" s="3">
        <v>17921320195.82</v>
      </c>
      <c r="GR18" s="3">
        <v>16646460508.629999</v>
      </c>
      <c r="GS18" s="3">
        <v>363909509.32999998</v>
      </c>
      <c r="GT18" s="3">
        <v>0</v>
      </c>
      <c r="GU18" s="3">
        <v>17010370017.959999</v>
      </c>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row>
    <row r="19" spans="1:267" x14ac:dyDescent="0.25">
      <c r="A19" t="s">
        <v>197</v>
      </c>
      <c r="B19" t="s">
        <v>198</v>
      </c>
      <c r="C19" t="s">
        <v>199</v>
      </c>
      <c r="D19" t="s">
        <v>200</v>
      </c>
      <c r="E19" t="s">
        <v>224</v>
      </c>
      <c r="F19" t="s">
        <v>239</v>
      </c>
      <c r="G19" t="s">
        <v>240</v>
      </c>
      <c r="H19" s="3">
        <v>42984000</v>
      </c>
      <c r="I19" s="3">
        <v>279225000</v>
      </c>
      <c r="J19" s="3">
        <v>0</v>
      </c>
      <c r="K19" s="3">
        <v>322209000</v>
      </c>
      <c r="L19" s="3">
        <v>42984000</v>
      </c>
      <c r="M19" s="3">
        <v>279225000</v>
      </c>
      <c r="N19" s="3">
        <v>0</v>
      </c>
      <c r="O19" s="3">
        <v>322209000</v>
      </c>
      <c r="P19" s="3">
        <v>42984000</v>
      </c>
      <c r="Q19" s="3">
        <v>279225000</v>
      </c>
      <c r="R19" s="3">
        <v>0</v>
      </c>
      <c r="S19" s="3">
        <v>322209000</v>
      </c>
      <c r="T19" s="3">
        <v>43427135</v>
      </c>
      <c r="U19" s="3">
        <v>278781865</v>
      </c>
      <c r="V19" s="3">
        <v>0</v>
      </c>
      <c r="W19" s="3">
        <v>322209000</v>
      </c>
      <c r="X19" s="3">
        <v>43427135</v>
      </c>
      <c r="Y19" s="3">
        <v>278781865</v>
      </c>
      <c r="Z19" s="3">
        <v>0</v>
      </c>
      <c r="AA19" s="3">
        <v>322209000</v>
      </c>
      <c r="AB19" s="3">
        <v>43427135</v>
      </c>
      <c r="AC19" s="3">
        <v>228397371.99000001</v>
      </c>
      <c r="AD19" s="3">
        <v>0</v>
      </c>
      <c r="AE19" s="3">
        <v>271824506.99000001</v>
      </c>
      <c r="AF19" s="3">
        <v>43409135</v>
      </c>
      <c r="AG19" s="3">
        <v>64400073.240000002</v>
      </c>
      <c r="AH19" s="3">
        <v>0</v>
      </c>
      <c r="AI19" s="3">
        <v>107809208.23999999</v>
      </c>
      <c r="AJ19" s="3">
        <v>27834000</v>
      </c>
      <c r="AK19" s="3">
        <v>264366000</v>
      </c>
      <c r="AL19" s="3">
        <v>0</v>
      </c>
      <c r="AM19" s="3">
        <v>292200000</v>
      </c>
      <c r="AN19" s="3">
        <v>27834000</v>
      </c>
      <c r="AO19" s="3">
        <v>264366000</v>
      </c>
      <c r="AP19" s="3">
        <v>0</v>
      </c>
      <c r="AQ19" s="3">
        <v>292200000</v>
      </c>
      <c r="AR19" s="3">
        <v>27834000</v>
      </c>
      <c r="AS19" s="3">
        <v>264366000</v>
      </c>
      <c r="AT19" s="3">
        <v>0</v>
      </c>
      <c r="AU19" s="3">
        <v>292200000</v>
      </c>
      <c r="AV19" s="3">
        <v>32006920</v>
      </c>
      <c r="AW19" s="3">
        <v>258269080</v>
      </c>
      <c r="AX19" s="3">
        <v>0</v>
      </c>
      <c r="AY19" s="3">
        <v>290276000</v>
      </c>
      <c r="AZ19" s="3">
        <v>32006920</v>
      </c>
      <c r="BA19" s="3">
        <v>258269080</v>
      </c>
      <c r="BB19" s="3">
        <v>0</v>
      </c>
      <c r="BC19" s="3">
        <v>290276000</v>
      </c>
      <c r="BD19" s="3">
        <v>28236500</v>
      </c>
      <c r="BE19" s="3">
        <v>233357162.97999999</v>
      </c>
      <c r="BF19" s="3">
        <v>0</v>
      </c>
      <c r="BG19" s="3">
        <v>261593662.97999999</v>
      </c>
      <c r="BH19" s="3">
        <v>28226759</v>
      </c>
      <c r="BI19" s="3">
        <v>113320887.47</v>
      </c>
      <c r="BJ19" s="3">
        <v>0</v>
      </c>
      <c r="BK19" s="3">
        <v>141547646.47</v>
      </c>
      <c r="BL19" s="3">
        <v>26115000</v>
      </c>
      <c r="BM19" s="3">
        <v>571312000</v>
      </c>
      <c r="BN19" s="3">
        <v>0</v>
      </c>
      <c r="BO19" s="3">
        <v>597427000</v>
      </c>
      <c r="BP19" s="3">
        <v>26115000</v>
      </c>
      <c r="BQ19" s="3">
        <v>271312000</v>
      </c>
      <c r="BR19" s="3">
        <v>0</v>
      </c>
      <c r="BS19" s="3">
        <v>297427000</v>
      </c>
      <c r="BT19" s="3">
        <v>26115000</v>
      </c>
      <c r="BU19" s="3">
        <v>271312000</v>
      </c>
      <c r="BV19" s="3">
        <v>0</v>
      </c>
      <c r="BW19" s="3">
        <v>297427000</v>
      </c>
      <c r="BX19" s="3">
        <v>26115000</v>
      </c>
      <c r="BY19" s="3">
        <v>270012000</v>
      </c>
      <c r="BZ19" s="3">
        <v>0</v>
      </c>
      <c r="CA19" s="3">
        <v>296127000</v>
      </c>
      <c r="CB19" s="3">
        <v>26115000</v>
      </c>
      <c r="CC19" s="3">
        <v>270012000</v>
      </c>
      <c r="CD19" s="3">
        <v>0</v>
      </c>
      <c r="CE19" s="3">
        <v>296127000</v>
      </c>
      <c r="CF19" s="3">
        <v>24253579.399999999</v>
      </c>
      <c r="CG19" s="3">
        <v>241377099.84999999</v>
      </c>
      <c r="CH19" s="3">
        <v>0</v>
      </c>
      <c r="CI19" s="3">
        <v>265630679.25</v>
      </c>
      <c r="CJ19" s="3">
        <v>21988393.09</v>
      </c>
      <c r="CK19" s="3">
        <v>93494870.790000007</v>
      </c>
      <c r="CL19" s="3">
        <v>0</v>
      </c>
      <c r="CM19" s="3">
        <v>115483263.88</v>
      </c>
      <c r="CN19" s="3">
        <v>28514000</v>
      </c>
      <c r="CO19" s="3">
        <v>225448000</v>
      </c>
      <c r="CP19" s="3">
        <v>0</v>
      </c>
      <c r="CQ19" s="3">
        <v>253962000</v>
      </c>
      <c r="CR19" s="3">
        <v>28514000</v>
      </c>
      <c r="CS19" s="3">
        <v>225448000</v>
      </c>
      <c r="CT19" s="3">
        <v>0</v>
      </c>
      <c r="CU19" s="3">
        <v>253962000</v>
      </c>
      <c r="CV19" s="3">
        <v>28514000</v>
      </c>
      <c r="CW19" s="3">
        <v>225448000</v>
      </c>
      <c r="CX19" s="3">
        <v>0</v>
      </c>
      <c r="CY19" s="3">
        <v>253962000</v>
      </c>
      <c r="CZ19" s="3">
        <v>28834000</v>
      </c>
      <c r="DA19" s="3">
        <v>224916575</v>
      </c>
      <c r="DB19" s="3">
        <v>0</v>
      </c>
      <c r="DC19" s="3">
        <v>253750575</v>
      </c>
      <c r="DD19" s="3">
        <v>28834000</v>
      </c>
      <c r="DE19" s="3">
        <v>224916575</v>
      </c>
      <c r="DF19" s="3">
        <v>0</v>
      </c>
      <c r="DG19" s="3">
        <v>253750575</v>
      </c>
      <c r="DH19" s="3">
        <v>28834000</v>
      </c>
      <c r="DI19" s="3">
        <v>197717784.02000001</v>
      </c>
      <c r="DJ19" s="3">
        <v>0</v>
      </c>
      <c r="DK19" s="3">
        <v>226551784.02000001</v>
      </c>
      <c r="DL19" s="3">
        <v>27769802.329999998</v>
      </c>
      <c r="DM19" s="3">
        <v>118344063.69</v>
      </c>
      <c r="DN19" s="3">
        <v>0</v>
      </c>
      <c r="DO19" s="3">
        <v>146113866.02000001</v>
      </c>
      <c r="DP19" s="3">
        <v>29056000</v>
      </c>
      <c r="DQ19" s="3">
        <v>449560000</v>
      </c>
      <c r="DR19" s="3">
        <v>0</v>
      </c>
      <c r="DS19" s="3">
        <v>478616000</v>
      </c>
      <c r="DT19" s="3">
        <v>29056000</v>
      </c>
      <c r="DU19" s="3">
        <v>499670000</v>
      </c>
      <c r="DV19" s="3">
        <v>0</v>
      </c>
      <c r="DW19" s="3">
        <v>528726000</v>
      </c>
      <c r="DX19" s="3">
        <v>29056000</v>
      </c>
      <c r="DY19" s="3">
        <v>499670000</v>
      </c>
      <c r="DZ19" s="3">
        <v>0</v>
      </c>
      <c r="EA19" s="3">
        <v>528726000</v>
      </c>
      <c r="EB19" s="3">
        <v>40202780</v>
      </c>
      <c r="EC19" s="3">
        <v>488523220</v>
      </c>
      <c r="ED19" s="3">
        <v>0</v>
      </c>
      <c r="EE19" s="3">
        <v>528726000</v>
      </c>
      <c r="EF19" s="3">
        <v>40202780</v>
      </c>
      <c r="EG19" s="3">
        <v>488523220</v>
      </c>
      <c r="EH19" s="3">
        <v>0</v>
      </c>
      <c r="EI19" s="3">
        <v>528726000</v>
      </c>
      <c r="EJ19" s="3">
        <v>40202780</v>
      </c>
      <c r="EK19" s="3">
        <v>411101608.07999998</v>
      </c>
      <c r="EL19" s="3">
        <v>0</v>
      </c>
      <c r="EM19" s="3">
        <v>451304388.07999998</v>
      </c>
      <c r="EN19" s="3">
        <v>38424524.340000004</v>
      </c>
      <c r="EO19" s="3">
        <v>276302313.80000001</v>
      </c>
      <c r="EP19" s="3">
        <v>0</v>
      </c>
      <c r="EQ19" s="3">
        <v>314726838.13999999</v>
      </c>
      <c r="ER19" s="3">
        <v>24505000</v>
      </c>
      <c r="ES19" s="3">
        <v>2118964000</v>
      </c>
      <c r="ET19" s="3">
        <v>0</v>
      </c>
      <c r="EU19" s="3">
        <v>2143469000</v>
      </c>
      <c r="EV19" s="3">
        <v>24505000</v>
      </c>
      <c r="EW19" s="3">
        <v>1968964000</v>
      </c>
      <c r="EX19" s="3">
        <v>0</v>
      </c>
      <c r="EY19" s="3">
        <v>1993469000</v>
      </c>
      <c r="EZ19" s="3">
        <v>24505000</v>
      </c>
      <c r="FA19" s="3">
        <v>1968964000</v>
      </c>
      <c r="FB19" s="3">
        <v>0</v>
      </c>
      <c r="FC19" s="3">
        <v>1993469000</v>
      </c>
      <c r="FD19" s="3">
        <v>31477358.09</v>
      </c>
      <c r="FE19" s="3">
        <v>1920991641.9100001</v>
      </c>
      <c r="FF19" s="3">
        <v>0</v>
      </c>
      <c r="FG19" s="3">
        <v>1952469000</v>
      </c>
      <c r="FH19" s="3">
        <v>31477358.09</v>
      </c>
      <c r="FI19" s="3">
        <v>1920991641.9100001</v>
      </c>
      <c r="FJ19" s="3">
        <v>0</v>
      </c>
      <c r="FK19" s="3">
        <v>1952469000</v>
      </c>
      <c r="FL19" s="3">
        <v>31477358.09</v>
      </c>
      <c r="FM19" s="3">
        <v>1545456479.4300001</v>
      </c>
      <c r="FN19" s="3">
        <v>0</v>
      </c>
      <c r="FO19" s="3">
        <v>1576933837.52</v>
      </c>
      <c r="FP19" s="3">
        <v>28871514.07</v>
      </c>
      <c r="FQ19" s="3">
        <v>748452443.67999995</v>
      </c>
      <c r="FR19" s="3">
        <v>0</v>
      </c>
      <c r="FS19" s="3">
        <v>777323957.75</v>
      </c>
      <c r="FT19" s="3">
        <v>28413000</v>
      </c>
      <c r="FU19" s="3">
        <v>2059989000</v>
      </c>
      <c r="FV19" s="3">
        <v>0</v>
      </c>
      <c r="FW19" s="3">
        <v>2088402000</v>
      </c>
      <c r="FX19" s="3">
        <v>28413000</v>
      </c>
      <c r="FY19" s="3">
        <v>1713989000</v>
      </c>
      <c r="FZ19" s="3">
        <v>0</v>
      </c>
      <c r="GA19" s="3">
        <v>1742402000</v>
      </c>
      <c r="GB19" s="3">
        <v>28413000</v>
      </c>
      <c r="GC19" s="3">
        <v>1713989000</v>
      </c>
      <c r="GD19" s="3">
        <v>0</v>
      </c>
      <c r="GE19" s="3">
        <v>1742402000</v>
      </c>
      <c r="GF19" s="3">
        <v>43012717.909999996</v>
      </c>
      <c r="GG19" s="3">
        <v>1694486704.0899999</v>
      </c>
      <c r="GH19" s="3">
        <v>0</v>
      </c>
      <c r="GI19" s="3">
        <v>1737499422</v>
      </c>
      <c r="GJ19" s="3">
        <v>43012717.909999996</v>
      </c>
      <c r="GK19" s="3">
        <v>1694486704.0899999</v>
      </c>
      <c r="GL19" s="3">
        <v>0</v>
      </c>
      <c r="GM19" s="3">
        <v>1737499422</v>
      </c>
      <c r="GN19" s="3">
        <v>43006778.479999997</v>
      </c>
      <c r="GO19" s="3">
        <v>1283512167.4100001</v>
      </c>
      <c r="GP19" s="3">
        <v>0</v>
      </c>
      <c r="GQ19" s="3">
        <v>1326518945.8900001</v>
      </c>
      <c r="GR19" s="3">
        <v>41851729.25</v>
      </c>
      <c r="GS19" s="3">
        <v>650834608.19000006</v>
      </c>
      <c r="GT19" s="3">
        <v>0</v>
      </c>
      <c r="GU19" s="3">
        <v>692686337.44000006</v>
      </c>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row>
    <row r="20" spans="1:267" x14ac:dyDescent="0.25">
      <c r="A20" t="s">
        <v>197</v>
      </c>
      <c r="B20" t="s">
        <v>198</v>
      </c>
      <c r="C20" t="s">
        <v>199</v>
      </c>
      <c r="D20" t="s">
        <v>200</v>
      </c>
      <c r="E20" t="s">
        <v>241</v>
      </c>
      <c r="F20" t="s">
        <v>242</v>
      </c>
      <c r="G20" t="s">
        <v>243</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v>0</v>
      </c>
      <c r="CO20" s="3">
        <v>0</v>
      </c>
      <c r="CP20" s="3">
        <v>0</v>
      </c>
      <c r="CQ20" s="3">
        <v>0</v>
      </c>
      <c r="CR20" s="3">
        <v>0</v>
      </c>
      <c r="CS20" s="3">
        <v>124000000</v>
      </c>
      <c r="CT20" s="3">
        <v>0</v>
      </c>
      <c r="CU20" s="3">
        <v>124000000</v>
      </c>
      <c r="CV20" s="3">
        <v>0</v>
      </c>
      <c r="CW20" s="3">
        <v>124000000</v>
      </c>
      <c r="CX20" s="3">
        <v>0</v>
      </c>
      <c r="CY20" s="3">
        <v>124000000</v>
      </c>
      <c r="CZ20" s="3">
        <v>0</v>
      </c>
      <c r="DA20" s="3">
        <v>124000000</v>
      </c>
      <c r="DB20" s="3">
        <v>0</v>
      </c>
      <c r="DC20" s="3">
        <v>124000000</v>
      </c>
      <c r="DD20" s="3">
        <v>0</v>
      </c>
      <c r="DE20" s="3">
        <v>124000000</v>
      </c>
      <c r="DF20" s="3">
        <v>0</v>
      </c>
      <c r="DG20" s="3">
        <v>124000000</v>
      </c>
      <c r="DH20" s="3">
        <v>0</v>
      </c>
      <c r="DI20" s="3">
        <v>113736322.66</v>
      </c>
      <c r="DJ20" s="3">
        <v>0</v>
      </c>
      <c r="DK20" s="3">
        <v>113736322.66</v>
      </c>
      <c r="DL20" s="3">
        <v>0</v>
      </c>
      <c r="DM20" s="3">
        <v>29222197.260000002</v>
      </c>
      <c r="DN20" s="3">
        <v>0</v>
      </c>
      <c r="DO20" s="3">
        <v>29222197.260000002</v>
      </c>
      <c r="DP20" s="3">
        <v>0</v>
      </c>
      <c r="DQ20" s="3">
        <v>5091994000</v>
      </c>
      <c r="DR20" s="3">
        <v>0</v>
      </c>
      <c r="DS20" s="3">
        <v>5091994000</v>
      </c>
      <c r="DT20" s="3">
        <v>0</v>
      </c>
      <c r="DU20" s="3">
        <v>7921904000</v>
      </c>
      <c r="DV20" s="3">
        <v>0</v>
      </c>
      <c r="DW20" s="3">
        <v>7921904000</v>
      </c>
      <c r="DX20" s="3">
        <v>0</v>
      </c>
      <c r="DY20" s="3">
        <v>7921904000</v>
      </c>
      <c r="DZ20" s="3">
        <v>0</v>
      </c>
      <c r="EA20" s="3">
        <v>7921904000</v>
      </c>
      <c r="EB20" s="3">
        <v>0</v>
      </c>
      <c r="EC20" s="3">
        <v>7921904000</v>
      </c>
      <c r="ED20" s="3">
        <v>0</v>
      </c>
      <c r="EE20" s="3">
        <v>7921904000</v>
      </c>
      <c r="EF20" s="3">
        <v>0</v>
      </c>
      <c r="EG20" s="3">
        <v>7921904000</v>
      </c>
      <c r="EH20" s="3">
        <v>0</v>
      </c>
      <c r="EI20" s="3">
        <v>7921904000</v>
      </c>
      <c r="EJ20" s="3">
        <v>0</v>
      </c>
      <c r="EK20" s="3">
        <v>3247934247.54</v>
      </c>
      <c r="EL20" s="3">
        <v>0</v>
      </c>
      <c r="EM20" s="3">
        <v>3247934247.54</v>
      </c>
      <c r="EN20" s="3">
        <v>0</v>
      </c>
      <c r="EO20" s="3">
        <v>1882393253.72</v>
      </c>
      <c r="EP20" s="3">
        <v>0</v>
      </c>
      <c r="EQ20" s="3">
        <v>1882393253.72</v>
      </c>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row>
    <row r="21" spans="1:267" x14ac:dyDescent="0.25">
      <c r="A21" t="s">
        <v>197</v>
      </c>
      <c r="B21" t="s">
        <v>198</v>
      </c>
      <c r="C21" t="s">
        <v>199</v>
      </c>
      <c r="D21" t="s">
        <v>200</v>
      </c>
      <c r="E21" t="s">
        <v>241</v>
      </c>
      <c r="F21" t="s">
        <v>244</v>
      </c>
      <c r="G21" t="s">
        <v>245</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v>0</v>
      </c>
      <c r="DQ21" s="3">
        <v>3800417000</v>
      </c>
      <c r="DR21" s="3">
        <v>0</v>
      </c>
      <c r="DS21" s="3">
        <v>3800417000</v>
      </c>
      <c r="DT21" s="3">
        <v>0</v>
      </c>
      <c r="DU21" s="3">
        <v>4332525000</v>
      </c>
      <c r="DV21" s="3">
        <v>0</v>
      </c>
      <c r="DW21" s="3">
        <v>4332525000</v>
      </c>
      <c r="DX21" s="3">
        <v>0</v>
      </c>
      <c r="DY21" s="3">
        <v>4332525000</v>
      </c>
      <c r="DZ21" s="3">
        <v>0</v>
      </c>
      <c r="EA21" s="3">
        <v>4332525000</v>
      </c>
      <c r="EB21" s="3">
        <v>0</v>
      </c>
      <c r="EC21" s="3">
        <v>4332525000</v>
      </c>
      <c r="ED21" s="3">
        <v>0</v>
      </c>
      <c r="EE21" s="3">
        <v>4332525000</v>
      </c>
      <c r="EF21" s="3">
        <v>0</v>
      </c>
      <c r="EG21" s="3">
        <v>4332525000</v>
      </c>
      <c r="EH21" s="3">
        <v>0</v>
      </c>
      <c r="EI21" s="3">
        <v>4332525000</v>
      </c>
      <c r="EJ21" s="3">
        <v>0</v>
      </c>
      <c r="EK21" s="3">
        <v>4216614615.46</v>
      </c>
      <c r="EL21" s="3">
        <v>0</v>
      </c>
      <c r="EM21" s="3">
        <v>4216614615.46</v>
      </c>
      <c r="EN21" s="3">
        <v>0</v>
      </c>
      <c r="EO21" s="3">
        <v>3982152756.4899998</v>
      </c>
      <c r="EP21" s="3">
        <v>0</v>
      </c>
      <c r="EQ21" s="3">
        <v>3982152756.4899998</v>
      </c>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row>
    <row r="22" spans="1:267" x14ac:dyDescent="0.25">
      <c r="A22" t="s">
        <v>197</v>
      </c>
      <c r="B22" t="s">
        <v>198</v>
      </c>
      <c r="C22" t="s">
        <v>199</v>
      </c>
      <c r="D22" t="s">
        <v>200</v>
      </c>
      <c r="E22" t="s">
        <v>241</v>
      </c>
      <c r="F22" t="s">
        <v>246</v>
      </c>
      <c r="G22" t="s">
        <v>247</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v>0</v>
      </c>
      <c r="DQ22" s="3">
        <v>0</v>
      </c>
      <c r="DR22" s="3">
        <v>0</v>
      </c>
      <c r="DS22" s="3">
        <v>0</v>
      </c>
      <c r="DT22" s="3">
        <v>4500000000</v>
      </c>
      <c r="DU22" s="3">
        <v>4500000000</v>
      </c>
      <c r="DV22" s="3">
        <v>0</v>
      </c>
      <c r="DW22" s="3">
        <v>9000000000</v>
      </c>
      <c r="DX22" s="3">
        <v>4500000000</v>
      </c>
      <c r="DY22" s="3">
        <v>4500000000</v>
      </c>
      <c r="DZ22" s="3">
        <v>0</v>
      </c>
      <c r="EA22" s="3">
        <v>9000000000</v>
      </c>
      <c r="EB22" s="3">
        <v>4500000000</v>
      </c>
      <c r="EC22" s="3">
        <v>4500000000</v>
      </c>
      <c r="ED22" s="3">
        <v>0</v>
      </c>
      <c r="EE22" s="3">
        <v>9000000000</v>
      </c>
      <c r="EF22" s="3">
        <v>4500000000</v>
      </c>
      <c r="EG22" s="3">
        <v>4500000000</v>
      </c>
      <c r="EH22" s="3">
        <v>0</v>
      </c>
      <c r="EI22" s="3">
        <v>9000000000</v>
      </c>
      <c r="EJ22" s="3">
        <v>4490447968.8500004</v>
      </c>
      <c r="EK22" s="3">
        <v>4161177150.8899999</v>
      </c>
      <c r="EL22" s="3">
        <v>0</v>
      </c>
      <c r="EM22" s="3">
        <v>8651625119.7399998</v>
      </c>
      <c r="EN22" s="3">
        <v>4450807597.5500002</v>
      </c>
      <c r="EO22" s="3">
        <v>4092832367.79</v>
      </c>
      <c r="EP22" s="3">
        <v>0</v>
      </c>
      <c r="EQ22" s="3">
        <v>8543639965.3400002</v>
      </c>
      <c r="ER22" s="3">
        <v>0</v>
      </c>
      <c r="ES22" s="3">
        <v>19962172000</v>
      </c>
      <c r="ET22" s="3">
        <v>0</v>
      </c>
      <c r="EU22" s="3">
        <v>19962172000</v>
      </c>
      <c r="EV22" s="3">
        <v>0</v>
      </c>
      <c r="EW22" s="3">
        <v>19962172000</v>
      </c>
      <c r="EX22" s="3">
        <v>0</v>
      </c>
      <c r="EY22" s="3">
        <v>19962172000</v>
      </c>
      <c r="EZ22" s="3">
        <v>0</v>
      </c>
      <c r="FA22" s="3">
        <v>19962172000</v>
      </c>
      <c r="FB22" s="3">
        <v>0</v>
      </c>
      <c r="FC22" s="3">
        <v>19962172000</v>
      </c>
      <c r="FD22" s="3">
        <v>0</v>
      </c>
      <c r="FE22" s="3">
        <v>19962172000</v>
      </c>
      <c r="FF22" s="3">
        <v>0</v>
      </c>
      <c r="FG22" s="3">
        <v>19962172000</v>
      </c>
      <c r="FH22" s="3">
        <v>0</v>
      </c>
      <c r="FI22" s="3">
        <v>19962172000</v>
      </c>
      <c r="FJ22" s="3">
        <v>0</v>
      </c>
      <c r="FK22" s="3">
        <v>19962172000</v>
      </c>
      <c r="FL22" s="3">
        <v>0</v>
      </c>
      <c r="FM22" s="3">
        <v>19888504303.310001</v>
      </c>
      <c r="FN22" s="3">
        <v>0</v>
      </c>
      <c r="FO22" s="3">
        <v>19888504303.310001</v>
      </c>
      <c r="FP22" s="3">
        <v>0</v>
      </c>
      <c r="FQ22" s="3">
        <v>19771875359.099998</v>
      </c>
      <c r="FR22" s="3">
        <v>0</v>
      </c>
      <c r="FS22" s="3">
        <v>19771875359.099998</v>
      </c>
      <c r="FT22" s="3">
        <v>0</v>
      </c>
      <c r="FU22" s="3">
        <v>19962172000</v>
      </c>
      <c r="FV22" s="3">
        <v>0</v>
      </c>
      <c r="FW22" s="3">
        <v>19962172000</v>
      </c>
      <c r="FX22" s="3">
        <v>0</v>
      </c>
      <c r="FY22" s="3">
        <v>19962172000</v>
      </c>
      <c r="FZ22" s="3">
        <v>0</v>
      </c>
      <c r="GA22" s="3">
        <v>19962172000</v>
      </c>
      <c r="GB22" s="3">
        <v>0</v>
      </c>
      <c r="GC22" s="3">
        <v>19962172000</v>
      </c>
      <c r="GD22" s="3">
        <v>0</v>
      </c>
      <c r="GE22" s="3">
        <v>19962172000</v>
      </c>
      <c r="GF22" s="3">
        <v>0</v>
      </c>
      <c r="GG22" s="3">
        <v>19962172000</v>
      </c>
      <c r="GH22" s="3">
        <v>0</v>
      </c>
      <c r="GI22" s="3">
        <v>19962172000</v>
      </c>
      <c r="GJ22" s="3">
        <v>0</v>
      </c>
      <c r="GK22" s="3">
        <v>19962172000</v>
      </c>
      <c r="GL22" s="3">
        <v>0</v>
      </c>
      <c r="GM22" s="3">
        <v>19962172000</v>
      </c>
      <c r="GN22" s="3">
        <v>0</v>
      </c>
      <c r="GO22" s="3">
        <v>19942066980.84</v>
      </c>
      <c r="GP22" s="3">
        <v>0</v>
      </c>
      <c r="GQ22" s="3">
        <v>19942066980.84</v>
      </c>
      <c r="GR22" s="3">
        <v>0</v>
      </c>
      <c r="GS22" s="3">
        <v>19855469449.560001</v>
      </c>
      <c r="GT22" s="3">
        <v>0</v>
      </c>
      <c r="GU22" s="3">
        <v>19855469449.560001</v>
      </c>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row>
    <row r="23" spans="1:267" x14ac:dyDescent="0.25">
      <c r="A23" t="s">
        <v>197</v>
      </c>
      <c r="B23" t="s">
        <v>198</v>
      </c>
      <c r="C23" t="s">
        <v>199</v>
      </c>
      <c r="D23" t="s">
        <v>200</v>
      </c>
      <c r="E23" t="s">
        <v>241</v>
      </c>
      <c r="F23" t="s">
        <v>248</v>
      </c>
      <c r="G23" t="s">
        <v>249</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v>0</v>
      </c>
      <c r="CO23" s="3">
        <v>1358076000</v>
      </c>
      <c r="CP23" s="3">
        <v>2847428000</v>
      </c>
      <c r="CQ23" s="3">
        <v>4205504000</v>
      </c>
      <c r="CR23" s="3">
        <v>0</v>
      </c>
      <c r="CS23" s="3">
        <v>1358076000</v>
      </c>
      <c r="CT23" s="3">
        <v>2847428000</v>
      </c>
      <c r="CU23" s="3">
        <v>4205504000</v>
      </c>
      <c r="CV23" s="3">
        <v>0</v>
      </c>
      <c r="CW23" s="3">
        <v>1358076000</v>
      </c>
      <c r="CX23" s="3">
        <v>2847428000</v>
      </c>
      <c r="CY23" s="3">
        <v>4205504000</v>
      </c>
      <c r="CZ23" s="3">
        <v>0</v>
      </c>
      <c r="DA23" s="3">
        <v>1358076000</v>
      </c>
      <c r="DB23" s="3">
        <v>2847428000</v>
      </c>
      <c r="DC23" s="3">
        <v>4205504000</v>
      </c>
      <c r="DD23" s="3">
        <v>0</v>
      </c>
      <c r="DE23" s="3">
        <v>1358076000</v>
      </c>
      <c r="DF23" s="3">
        <v>2847428000</v>
      </c>
      <c r="DG23" s="3">
        <v>4205504000</v>
      </c>
      <c r="DH23" s="3">
        <v>0</v>
      </c>
      <c r="DI23" s="3">
        <v>1287158765.9000001</v>
      </c>
      <c r="DJ23" s="3">
        <v>2847428000</v>
      </c>
      <c r="DK23" s="3">
        <v>4134586765.9000001</v>
      </c>
      <c r="DL23" s="3">
        <v>0</v>
      </c>
      <c r="DM23" s="3">
        <v>1257162310.96</v>
      </c>
      <c r="DN23" s="3">
        <v>2184963141.0300002</v>
      </c>
      <c r="DO23" s="3">
        <v>3442125451.9899998</v>
      </c>
      <c r="DP23" s="3">
        <v>0</v>
      </c>
      <c r="DQ23" s="3">
        <v>36873000</v>
      </c>
      <c r="DR23" s="3">
        <v>65355000</v>
      </c>
      <c r="DS23" s="3">
        <v>102228000</v>
      </c>
      <c r="DT23" s="3">
        <v>0</v>
      </c>
      <c r="DU23" s="3">
        <v>36873000</v>
      </c>
      <c r="DV23" s="3">
        <v>27884000</v>
      </c>
      <c r="DW23" s="3">
        <v>64757000</v>
      </c>
      <c r="DX23" s="3">
        <v>0</v>
      </c>
      <c r="DY23" s="3">
        <v>36873000</v>
      </c>
      <c r="DZ23" s="3">
        <v>27884000</v>
      </c>
      <c r="EA23" s="3">
        <v>64757000</v>
      </c>
      <c r="EB23" s="3">
        <v>0</v>
      </c>
      <c r="EC23" s="3">
        <v>36873000</v>
      </c>
      <c r="ED23" s="3">
        <v>27884000</v>
      </c>
      <c r="EE23" s="3">
        <v>64757000</v>
      </c>
      <c r="EF23" s="3">
        <v>0</v>
      </c>
      <c r="EG23" s="3">
        <v>36873000</v>
      </c>
      <c r="EH23" s="3">
        <v>27884000</v>
      </c>
      <c r="EI23" s="3">
        <v>64757000</v>
      </c>
      <c r="EJ23" s="3">
        <v>0</v>
      </c>
      <c r="EK23" s="3">
        <v>22963081.77</v>
      </c>
      <c r="EL23" s="3">
        <v>27884000</v>
      </c>
      <c r="EM23" s="3">
        <v>50847081.770000003</v>
      </c>
      <c r="EN23" s="3">
        <v>0</v>
      </c>
      <c r="EO23" s="3">
        <v>21743372.32</v>
      </c>
      <c r="EP23" s="3">
        <v>0</v>
      </c>
      <c r="EQ23" s="3">
        <v>21743372.32</v>
      </c>
      <c r="ER23" s="3">
        <v>0</v>
      </c>
      <c r="ES23" s="3">
        <v>29000000</v>
      </c>
      <c r="ET23" s="3">
        <v>142513000</v>
      </c>
      <c r="EU23" s="3">
        <v>171513000</v>
      </c>
      <c r="EV23" s="3">
        <v>0</v>
      </c>
      <c r="EW23" s="3">
        <v>0</v>
      </c>
      <c r="EX23" s="3">
        <v>0</v>
      </c>
      <c r="EY23" s="3">
        <v>0</v>
      </c>
      <c r="EZ23" s="3">
        <v>0</v>
      </c>
      <c r="FA23" s="3">
        <v>0</v>
      </c>
      <c r="FB23" s="3">
        <v>0</v>
      </c>
      <c r="FC23" s="3">
        <v>0</v>
      </c>
      <c r="FD23" s="3">
        <v>0</v>
      </c>
      <c r="FE23" s="3">
        <v>0</v>
      </c>
      <c r="FF23" s="3">
        <v>0</v>
      </c>
      <c r="FG23" s="3">
        <v>0</v>
      </c>
      <c r="FH23" s="3">
        <v>0</v>
      </c>
      <c r="FI23" s="3">
        <v>0</v>
      </c>
      <c r="FJ23" s="3">
        <v>0</v>
      </c>
      <c r="FK23" s="3">
        <v>0</v>
      </c>
      <c r="FL23" s="3">
        <v>0</v>
      </c>
      <c r="FM23" s="3">
        <v>0</v>
      </c>
      <c r="FN23" s="3">
        <v>0</v>
      </c>
      <c r="FO23" s="3">
        <v>0</v>
      </c>
      <c r="FP23" s="3">
        <v>0</v>
      </c>
      <c r="FQ23" s="3">
        <v>0</v>
      </c>
      <c r="FR23" s="3">
        <v>0</v>
      </c>
      <c r="FS23" s="3">
        <v>0</v>
      </c>
      <c r="FT23" s="3">
        <v>0</v>
      </c>
      <c r="FU23" s="3">
        <v>30000000</v>
      </c>
      <c r="FV23" s="3">
        <v>145971000</v>
      </c>
      <c r="FW23" s="3">
        <v>175971000</v>
      </c>
      <c r="FX23" s="3">
        <v>0</v>
      </c>
      <c r="FY23" s="3">
        <v>0</v>
      </c>
      <c r="FZ23" s="3">
        <v>0</v>
      </c>
      <c r="GA23" s="3">
        <v>0</v>
      </c>
      <c r="GB23" s="3">
        <v>0</v>
      </c>
      <c r="GC23" s="3">
        <v>0</v>
      </c>
      <c r="GD23" s="3">
        <v>0</v>
      </c>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row>
    <row r="24" spans="1:267" x14ac:dyDescent="0.25">
      <c r="A24" t="s">
        <v>197</v>
      </c>
      <c r="B24" t="s">
        <v>198</v>
      </c>
      <c r="C24" t="s">
        <v>199</v>
      </c>
      <c r="D24" t="s">
        <v>200</v>
      </c>
      <c r="E24" t="s">
        <v>241</v>
      </c>
      <c r="F24" t="s">
        <v>250</v>
      </c>
      <c r="G24" t="s">
        <v>251</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v>0</v>
      </c>
      <c r="CO24" s="3">
        <v>370994000</v>
      </c>
      <c r="CP24" s="3">
        <v>680000000</v>
      </c>
      <c r="CQ24" s="3">
        <v>1050994000</v>
      </c>
      <c r="CR24" s="3">
        <v>0</v>
      </c>
      <c r="CS24" s="3">
        <v>370994000</v>
      </c>
      <c r="CT24" s="3">
        <v>680000000</v>
      </c>
      <c r="CU24" s="3">
        <v>1050994000</v>
      </c>
      <c r="CV24" s="3">
        <v>0</v>
      </c>
      <c r="CW24" s="3">
        <v>370994000</v>
      </c>
      <c r="CX24" s="3">
        <v>680000000</v>
      </c>
      <c r="CY24" s="3">
        <v>1050994000</v>
      </c>
      <c r="CZ24" s="3">
        <v>0</v>
      </c>
      <c r="DA24" s="3">
        <v>370994000</v>
      </c>
      <c r="DB24" s="3">
        <v>680000000</v>
      </c>
      <c r="DC24" s="3">
        <v>1050994000</v>
      </c>
      <c r="DD24" s="3">
        <v>0</v>
      </c>
      <c r="DE24" s="3">
        <v>370994000</v>
      </c>
      <c r="DF24" s="3">
        <v>680000000</v>
      </c>
      <c r="DG24" s="3">
        <v>1050994000</v>
      </c>
      <c r="DH24" s="3">
        <v>0</v>
      </c>
      <c r="DI24" s="3">
        <v>227819742.81</v>
      </c>
      <c r="DJ24" s="3">
        <v>526051776.55000001</v>
      </c>
      <c r="DK24" s="3">
        <v>753871519.36000001</v>
      </c>
      <c r="DL24" s="3">
        <v>0</v>
      </c>
      <c r="DM24" s="3">
        <v>192953320.88</v>
      </c>
      <c r="DN24" s="3">
        <v>13405761.43</v>
      </c>
      <c r="DO24" s="3">
        <v>206359082.31</v>
      </c>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row>
    <row r="25" spans="1:267" x14ac:dyDescent="0.25">
      <c r="A25" t="s">
        <v>197</v>
      </c>
      <c r="B25" t="s">
        <v>198</v>
      </c>
      <c r="C25" t="s">
        <v>199</v>
      </c>
      <c r="D25" t="s">
        <v>200</v>
      </c>
      <c r="E25" t="s">
        <v>241</v>
      </c>
      <c r="F25" t="s">
        <v>252</v>
      </c>
      <c r="G25" t="s">
        <v>253</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v>0</v>
      </c>
      <c r="DQ25" s="3">
        <v>221739000</v>
      </c>
      <c r="DR25" s="3">
        <v>965565000</v>
      </c>
      <c r="DS25" s="3">
        <v>1187304000</v>
      </c>
      <c r="DT25" s="3">
        <v>0</v>
      </c>
      <c r="DU25" s="3">
        <v>221739000</v>
      </c>
      <c r="DV25" s="3">
        <v>805000000</v>
      </c>
      <c r="DW25" s="3">
        <v>1026739000</v>
      </c>
      <c r="DX25" s="3">
        <v>0</v>
      </c>
      <c r="DY25" s="3">
        <v>221739000</v>
      </c>
      <c r="DZ25" s="3">
        <v>805000000</v>
      </c>
      <c r="EA25" s="3">
        <v>1026739000</v>
      </c>
      <c r="EB25" s="3">
        <v>0</v>
      </c>
      <c r="EC25" s="3">
        <v>221739000</v>
      </c>
      <c r="ED25" s="3">
        <v>805000000</v>
      </c>
      <c r="EE25" s="3">
        <v>1026739000</v>
      </c>
      <c r="EF25" s="3">
        <v>0</v>
      </c>
      <c r="EG25" s="3">
        <v>221739000</v>
      </c>
      <c r="EH25" s="3">
        <v>805000000</v>
      </c>
      <c r="EI25" s="3">
        <v>1026739000</v>
      </c>
      <c r="EJ25" s="3">
        <v>0</v>
      </c>
      <c r="EK25" s="3">
        <v>216139061.58000001</v>
      </c>
      <c r="EL25" s="3">
        <v>638213178.17999995</v>
      </c>
      <c r="EM25" s="3">
        <v>854352239.75999999</v>
      </c>
      <c r="EN25" s="3">
        <v>0</v>
      </c>
      <c r="EO25" s="3">
        <v>314257.08</v>
      </c>
      <c r="EP25" s="3">
        <v>8539021.2400000002</v>
      </c>
      <c r="EQ25" s="3">
        <v>8853278.3200000003</v>
      </c>
      <c r="ER25" s="3">
        <v>0</v>
      </c>
      <c r="ES25" s="3">
        <v>50000000</v>
      </c>
      <c r="ET25" s="3">
        <v>0</v>
      </c>
      <c r="EU25" s="3">
        <v>50000000</v>
      </c>
      <c r="EV25" s="3">
        <v>0</v>
      </c>
      <c r="EW25" s="3">
        <v>0</v>
      </c>
      <c r="EX25" s="3">
        <v>0</v>
      </c>
      <c r="EY25" s="3">
        <v>0</v>
      </c>
      <c r="EZ25" s="3">
        <v>0</v>
      </c>
      <c r="FA25" s="3">
        <v>0</v>
      </c>
      <c r="FB25" s="3">
        <v>0</v>
      </c>
      <c r="FC25" s="3">
        <v>0</v>
      </c>
      <c r="FD25" s="3">
        <v>0</v>
      </c>
      <c r="FE25" s="3">
        <v>0</v>
      </c>
      <c r="FF25" s="3">
        <v>0</v>
      </c>
      <c r="FG25" s="3">
        <v>0</v>
      </c>
      <c r="FH25" s="3">
        <v>0</v>
      </c>
      <c r="FI25" s="3">
        <v>0</v>
      </c>
      <c r="FJ25" s="3">
        <v>0</v>
      </c>
      <c r="FK25" s="3">
        <v>0</v>
      </c>
      <c r="FL25" s="3">
        <v>0</v>
      </c>
      <c r="FM25" s="3">
        <v>0</v>
      </c>
      <c r="FN25" s="3">
        <v>0</v>
      </c>
      <c r="FO25" s="3">
        <v>0</v>
      </c>
      <c r="FP25" s="3">
        <v>0</v>
      </c>
      <c r="FQ25" s="3">
        <v>0</v>
      </c>
      <c r="FR25" s="3">
        <v>0</v>
      </c>
      <c r="FS25" s="3">
        <v>0</v>
      </c>
      <c r="FT25" s="3">
        <v>0</v>
      </c>
      <c r="FU25" s="3">
        <v>103000000</v>
      </c>
      <c r="FV25" s="3">
        <v>46365000</v>
      </c>
      <c r="FW25" s="3">
        <v>149365000</v>
      </c>
      <c r="FX25" s="3">
        <v>0</v>
      </c>
      <c r="FY25" s="3">
        <v>0</v>
      </c>
      <c r="FZ25" s="3">
        <v>0</v>
      </c>
      <c r="GA25" s="3">
        <v>0</v>
      </c>
      <c r="GB25" s="3">
        <v>0</v>
      </c>
      <c r="GC25" s="3">
        <v>0</v>
      </c>
      <c r="GD25" s="3">
        <v>0</v>
      </c>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row>
    <row r="26" spans="1:267" x14ac:dyDescent="0.25">
      <c r="A26" t="s">
        <v>197</v>
      </c>
      <c r="B26" t="s">
        <v>198</v>
      </c>
      <c r="C26" t="s">
        <v>199</v>
      </c>
      <c r="D26" t="s">
        <v>200</v>
      </c>
      <c r="E26" t="s">
        <v>241</v>
      </c>
      <c r="F26" t="s">
        <v>254</v>
      </c>
      <c r="G26" t="s">
        <v>255</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v>0</v>
      </c>
      <c r="DQ26" s="3">
        <v>0</v>
      </c>
      <c r="DR26" s="3">
        <v>0</v>
      </c>
      <c r="DS26" s="3">
        <v>0</v>
      </c>
      <c r="DT26" s="3">
        <v>0</v>
      </c>
      <c r="DU26" s="3">
        <v>492516000</v>
      </c>
      <c r="DV26" s="3">
        <v>0</v>
      </c>
      <c r="DW26" s="3">
        <v>492516000</v>
      </c>
      <c r="DX26" s="3">
        <v>0</v>
      </c>
      <c r="DY26" s="3">
        <v>492516000</v>
      </c>
      <c r="DZ26" s="3">
        <v>0</v>
      </c>
      <c r="EA26" s="3">
        <v>492516000</v>
      </c>
      <c r="EB26" s="3">
        <v>0</v>
      </c>
      <c r="EC26" s="3">
        <v>492516000</v>
      </c>
      <c r="ED26" s="3">
        <v>0</v>
      </c>
      <c r="EE26" s="3">
        <v>492516000</v>
      </c>
      <c r="EF26" s="3">
        <v>0</v>
      </c>
      <c r="EG26" s="3">
        <v>492516000</v>
      </c>
      <c r="EH26" s="3">
        <v>0</v>
      </c>
      <c r="EI26" s="3">
        <v>492516000</v>
      </c>
      <c r="EJ26" s="3">
        <v>0</v>
      </c>
      <c r="EK26" s="3">
        <v>0</v>
      </c>
      <c r="EL26" s="3">
        <v>0</v>
      </c>
      <c r="EM26" s="3">
        <v>0</v>
      </c>
      <c r="EN26" s="3">
        <v>0</v>
      </c>
      <c r="EO26" s="3">
        <v>0</v>
      </c>
      <c r="EP26" s="3">
        <v>0</v>
      </c>
      <c r="EQ26" s="3">
        <v>0</v>
      </c>
      <c r="ER26" s="3">
        <v>0</v>
      </c>
      <c r="ES26" s="3">
        <v>2526871000</v>
      </c>
      <c r="ET26" s="3">
        <v>0</v>
      </c>
      <c r="EU26" s="3">
        <v>2526871000</v>
      </c>
      <c r="EV26" s="3">
        <v>0</v>
      </c>
      <c r="EW26" s="3">
        <v>0</v>
      </c>
      <c r="EX26" s="3">
        <v>0</v>
      </c>
      <c r="EY26" s="3">
        <v>0</v>
      </c>
      <c r="EZ26" s="3">
        <v>0</v>
      </c>
      <c r="FA26" s="3">
        <v>0</v>
      </c>
      <c r="FB26" s="3">
        <v>0</v>
      </c>
      <c r="FC26" s="3">
        <v>0</v>
      </c>
      <c r="FD26" s="3">
        <v>0</v>
      </c>
      <c r="FE26" s="3">
        <v>0</v>
      </c>
      <c r="FF26" s="3">
        <v>0</v>
      </c>
      <c r="FG26" s="3">
        <v>0</v>
      </c>
      <c r="FH26" s="3">
        <v>0</v>
      </c>
      <c r="FI26" s="3">
        <v>0</v>
      </c>
      <c r="FJ26" s="3">
        <v>0</v>
      </c>
      <c r="FK26" s="3">
        <v>0</v>
      </c>
      <c r="FL26" s="3">
        <v>0</v>
      </c>
      <c r="FM26" s="3">
        <v>0</v>
      </c>
      <c r="FN26" s="3">
        <v>0</v>
      </c>
      <c r="FO26" s="3">
        <v>0</v>
      </c>
      <c r="FP26" s="3">
        <v>0</v>
      </c>
      <c r="FQ26" s="3">
        <v>0</v>
      </c>
      <c r="FR26" s="3">
        <v>0</v>
      </c>
      <c r="FS26" s="3">
        <v>0</v>
      </c>
      <c r="FT26" s="3">
        <v>0</v>
      </c>
      <c r="FU26" s="3">
        <v>2148740000</v>
      </c>
      <c r="FV26" s="3">
        <v>0</v>
      </c>
      <c r="FW26" s="3">
        <v>2148740000</v>
      </c>
      <c r="FX26" s="3">
        <v>0</v>
      </c>
      <c r="FY26" s="3">
        <v>0</v>
      </c>
      <c r="FZ26" s="3">
        <v>0</v>
      </c>
      <c r="GA26" s="3">
        <v>0</v>
      </c>
      <c r="GB26" s="3">
        <v>0</v>
      </c>
      <c r="GC26" s="3">
        <v>0</v>
      </c>
      <c r="GD26" s="3">
        <v>0</v>
      </c>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row>
    <row r="27" spans="1:267" x14ac:dyDescent="0.25">
      <c r="A27" t="s">
        <v>197</v>
      </c>
      <c r="B27" t="s">
        <v>198</v>
      </c>
      <c r="C27" t="s">
        <v>199</v>
      </c>
      <c r="D27" t="s">
        <v>200</v>
      </c>
      <c r="E27" t="s">
        <v>241</v>
      </c>
      <c r="F27" t="s">
        <v>256</v>
      </c>
      <c r="G27" t="s">
        <v>257</v>
      </c>
      <c r="H27" s="3">
        <v>473873000</v>
      </c>
      <c r="I27" s="3">
        <v>4148737000</v>
      </c>
      <c r="J27" s="3">
        <v>0</v>
      </c>
      <c r="K27" s="3">
        <v>4622610000</v>
      </c>
      <c r="L27" s="3">
        <v>473873000</v>
      </c>
      <c r="M27" s="3">
        <v>4148737000</v>
      </c>
      <c r="N27" s="3">
        <v>0</v>
      </c>
      <c r="O27" s="3">
        <v>4622610000</v>
      </c>
      <c r="P27" s="3">
        <v>473873000</v>
      </c>
      <c r="Q27" s="3">
        <v>4148737000</v>
      </c>
      <c r="R27" s="3">
        <v>0</v>
      </c>
      <c r="S27" s="3">
        <v>4622610000</v>
      </c>
      <c r="T27" s="3">
        <v>507290728</v>
      </c>
      <c r="U27" s="3">
        <v>4102775522</v>
      </c>
      <c r="V27" s="3">
        <v>0</v>
      </c>
      <c r="W27" s="3">
        <v>4610066250</v>
      </c>
      <c r="X27" s="3">
        <v>507290728</v>
      </c>
      <c r="Y27" s="3">
        <v>4102775522</v>
      </c>
      <c r="Z27" s="3">
        <v>0</v>
      </c>
      <c r="AA27" s="3">
        <v>4610066250</v>
      </c>
      <c r="AB27" s="3">
        <v>505343244.05000001</v>
      </c>
      <c r="AC27" s="3">
        <v>3870453700.8899999</v>
      </c>
      <c r="AD27" s="3">
        <v>0</v>
      </c>
      <c r="AE27" s="3">
        <v>4375796944.9399996</v>
      </c>
      <c r="AF27" s="3">
        <v>458170261.75</v>
      </c>
      <c r="AG27" s="3">
        <v>1897003220.6099999</v>
      </c>
      <c r="AH27" s="3">
        <v>0</v>
      </c>
      <c r="AI27" s="3">
        <v>2355173482.3600001</v>
      </c>
      <c r="AJ27" s="3">
        <v>604897000</v>
      </c>
      <c r="AK27" s="3">
        <v>3432902000</v>
      </c>
      <c r="AL27" s="3">
        <v>0</v>
      </c>
      <c r="AM27" s="3">
        <v>4037799000</v>
      </c>
      <c r="AN27" s="3">
        <v>604897000</v>
      </c>
      <c r="AO27" s="3">
        <v>3432902000</v>
      </c>
      <c r="AP27" s="3">
        <v>0</v>
      </c>
      <c r="AQ27" s="3">
        <v>4037799000</v>
      </c>
      <c r="AR27" s="3">
        <v>604897000</v>
      </c>
      <c r="AS27" s="3">
        <v>3432902000</v>
      </c>
      <c r="AT27" s="3">
        <v>0</v>
      </c>
      <c r="AU27" s="3">
        <v>4037799000</v>
      </c>
      <c r="AV27" s="3">
        <v>651214500</v>
      </c>
      <c r="AW27" s="3">
        <v>3375815750</v>
      </c>
      <c r="AX27" s="3">
        <v>0</v>
      </c>
      <c r="AY27" s="3">
        <v>4027030250</v>
      </c>
      <c r="AZ27" s="3">
        <v>651214500</v>
      </c>
      <c r="BA27" s="3">
        <v>3375815750</v>
      </c>
      <c r="BB27" s="3">
        <v>0</v>
      </c>
      <c r="BC27" s="3">
        <v>4027030250</v>
      </c>
      <c r="BD27" s="3">
        <v>641485076.35000002</v>
      </c>
      <c r="BE27" s="3">
        <v>3085199469.5799999</v>
      </c>
      <c r="BF27" s="3">
        <v>0</v>
      </c>
      <c r="BG27" s="3">
        <v>3726684545.9299998</v>
      </c>
      <c r="BH27" s="3">
        <v>639975813.78999996</v>
      </c>
      <c r="BI27" s="3">
        <v>2248930253.6500001</v>
      </c>
      <c r="BJ27" s="3">
        <v>0</v>
      </c>
      <c r="BK27" s="3">
        <v>2888906067.4400001</v>
      </c>
      <c r="BL27" s="3">
        <v>597294000</v>
      </c>
      <c r="BM27" s="3">
        <v>3326425000</v>
      </c>
      <c r="BN27" s="3">
        <v>0</v>
      </c>
      <c r="BO27" s="3">
        <v>3923719000</v>
      </c>
      <c r="BP27" s="3">
        <v>597294000</v>
      </c>
      <c r="BQ27" s="3">
        <v>3561425000</v>
      </c>
      <c r="BR27" s="3">
        <v>0</v>
      </c>
      <c r="BS27" s="3">
        <v>4158719000</v>
      </c>
      <c r="BT27" s="3">
        <v>597294000</v>
      </c>
      <c r="BU27" s="3">
        <v>3561425000</v>
      </c>
      <c r="BV27" s="3">
        <v>0</v>
      </c>
      <c r="BW27" s="3">
        <v>4158719000</v>
      </c>
      <c r="BX27" s="3">
        <v>673984290.23000002</v>
      </c>
      <c r="BY27" s="3">
        <v>3486206484.77</v>
      </c>
      <c r="BZ27" s="3">
        <v>188500</v>
      </c>
      <c r="CA27" s="3">
        <v>4160379275</v>
      </c>
      <c r="CB27" s="3">
        <v>673984290.23000002</v>
      </c>
      <c r="CC27" s="3">
        <v>3466206484.77</v>
      </c>
      <c r="CD27" s="3">
        <v>188500</v>
      </c>
      <c r="CE27" s="3">
        <v>4140379275</v>
      </c>
      <c r="CF27" s="3">
        <v>671188187.86000001</v>
      </c>
      <c r="CG27" s="3">
        <v>2845958455.4000001</v>
      </c>
      <c r="CH27" s="3">
        <v>188500</v>
      </c>
      <c r="CI27" s="3">
        <v>3517335143.2600002</v>
      </c>
      <c r="CJ27" s="3">
        <v>636471549.57000005</v>
      </c>
      <c r="CK27" s="3">
        <v>1935607155.97</v>
      </c>
      <c r="CL27" s="3">
        <v>0</v>
      </c>
      <c r="CM27" s="3">
        <v>2572078705.54</v>
      </c>
      <c r="CN27" s="3">
        <v>633657000</v>
      </c>
      <c r="CO27" s="3">
        <v>3231163000</v>
      </c>
      <c r="CP27" s="3">
        <v>0</v>
      </c>
      <c r="CQ27" s="3">
        <v>3864820000</v>
      </c>
      <c r="CR27" s="3">
        <v>633657000</v>
      </c>
      <c r="CS27" s="3">
        <v>2281163000</v>
      </c>
      <c r="CT27" s="3">
        <v>0</v>
      </c>
      <c r="CU27" s="3">
        <v>2914820000</v>
      </c>
      <c r="CV27" s="3">
        <v>633657000</v>
      </c>
      <c r="CW27" s="3">
        <v>2281163000</v>
      </c>
      <c r="CX27" s="3">
        <v>0</v>
      </c>
      <c r="CY27" s="3">
        <v>2914820000</v>
      </c>
      <c r="CZ27" s="3">
        <v>701586218.88</v>
      </c>
      <c r="DA27" s="3">
        <v>2209796662.1199999</v>
      </c>
      <c r="DB27" s="3">
        <v>0</v>
      </c>
      <c r="DC27" s="3">
        <v>2911382881</v>
      </c>
      <c r="DD27" s="3">
        <v>701586218.88</v>
      </c>
      <c r="DE27" s="3">
        <v>2209796662.1199999</v>
      </c>
      <c r="DF27" s="3">
        <v>0</v>
      </c>
      <c r="DG27" s="3">
        <v>2911382881</v>
      </c>
      <c r="DH27" s="3">
        <v>694214158.38999999</v>
      </c>
      <c r="DI27" s="3">
        <v>2054609031.2</v>
      </c>
      <c r="DJ27" s="3">
        <v>0</v>
      </c>
      <c r="DK27" s="3">
        <v>2748823189.5900002</v>
      </c>
      <c r="DL27" s="3">
        <v>675646498.97000003</v>
      </c>
      <c r="DM27" s="3">
        <v>1423491522.4300001</v>
      </c>
      <c r="DN27" s="3">
        <v>0</v>
      </c>
      <c r="DO27" s="3">
        <v>2099138021.4100001</v>
      </c>
      <c r="DP27" s="3">
        <v>654111000</v>
      </c>
      <c r="DQ27" s="3">
        <v>3231163000</v>
      </c>
      <c r="DR27" s="3">
        <v>0</v>
      </c>
      <c r="DS27" s="3">
        <v>3885274000</v>
      </c>
      <c r="DT27" s="3">
        <v>654111000</v>
      </c>
      <c r="DU27" s="3">
        <v>3044663000</v>
      </c>
      <c r="DV27" s="3">
        <v>0</v>
      </c>
      <c r="DW27" s="3">
        <v>3698774000</v>
      </c>
      <c r="DX27" s="3">
        <v>654111000</v>
      </c>
      <c r="DY27" s="3">
        <v>3044663000</v>
      </c>
      <c r="DZ27" s="3">
        <v>0</v>
      </c>
      <c r="EA27" s="3">
        <v>3698774000</v>
      </c>
      <c r="EB27" s="3">
        <v>806927609.07000005</v>
      </c>
      <c r="EC27" s="3">
        <v>2887186390.9299998</v>
      </c>
      <c r="ED27" s="3">
        <v>2000000</v>
      </c>
      <c r="EE27" s="3">
        <v>3696114000</v>
      </c>
      <c r="EF27" s="3">
        <v>806927609.07000005</v>
      </c>
      <c r="EG27" s="3">
        <v>2887186390.9299998</v>
      </c>
      <c r="EH27" s="3">
        <v>2000000</v>
      </c>
      <c r="EI27" s="3">
        <v>3696114000</v>
      </c>
      <c r="EJ27" s="3">
        <v>806895970.60000002</v>
      </c>
      <c r="EK27" s="3">
        <v>2604984799.8699999</v>
      </c>
      <c r="EL27" s="3">
        <v>1495940</v>
      </c>
      <c r="EM27" s="3">
        <v>3413376710.4699998</v>
      </c>
      <c r="EN27" s="3">
        <v>774432746</v>
      </c>
      <c r="EO27" s="3">
        <v>2086110578.8199999</v>
      </c>
      <c r="EP27" s="3">
        <v>0</v>
      </c>
      <c r="EQ27" s="3">
        <v>2860543324.8200002</v>
      </c>
      <c r="ER27" s="3">
        <v>658653000</v>
      </c>
      <c r="ES27" s="3">
        <v>4151442000</v>
      </c>
      <c r="ET27" s="3">
        <v>0</v>
      </c>
      <c r="EU27" s="3">
        <v>4810095000</v>
      </c>
      <c r="EV27" s="3">
        <v>658653000</v>
      </c>
      <c r="EW27" s="3">
        <v>4184442000</v>
      </c>
      <c r="EX27" s="3">
        <v>0</v>
      </c>
      <c r="EY27" s="3">
        <v>4843095000</v>
      </c>
      <c r="EZ27" s="3">
        <v>658653000</v>
      </c>
      <c r="FA27" s="3">
        <v>4184442000</v>
      </c>
      <c r="FB27" s="3">
        <v>0</v>
      </c>
      <c r="FC27" s="3">
        <v>4843095000</v>
      </c>
      <c r="FD27" s="3">
        <v>1035202585.75</v>
      </c>
      <c r="FE27" s="3">
        <v>3703342414.25</v>
      </c>
      <c r="FF27" s="3">
        <v>0</v>
      </c>
      <c r="FG27" s="3">
        <v>4738545000</v>
      </c>
      <c r="FH27" s="3">
        <v>1035202585.75</v>
      </c>
      <c r="FI27" s="3">
        <v>3703342414.25</v>
      </c>
      <c r="FJ27" s="3">
        <v>0</v>
      </c>
      <c r="FK27" s="3">
        <v>4738545000</v>
      </c>
      <c r="FL27" s="3">
        <v>1034369520.33</v>
      </c>
      <c r="FM27" s="3">
        <v>3244713610.3200002</v>
      </c>
      <c r="FN27" s="3">
        <v>0</v>
      </c>
      <c r="FO27" s="3">
        <v>4279083130.6500001</v>
      </c>
      <c r="FP27" s="3">
        <v>982724617.96000004</v>
      </c>
      <c r="FQ27" s="3">
        <v>2573761062.6700001</v>
      </c>
      <c r="FR27" s="3">
        <v>0</v>
      </c>
      <c r="FS27" s="3">
        <v>3556485680.6300001</v>
      </c>
      <c r="FT27" s="3">
        <v>671227000</v>
      </c>
      <c r="FU27" s="3">
        <v>3845813000</v>
      </c>
      <c r="FV27" s="3">
        <v>0</v>
      </c>
      <c r="FW27" s="3">
        <v>4517040000</v>
      </c>
      <c r="FX27" s="3">
        <v>671227000</v>
      </c>
      <c r="FY27" s="3">
        <v>4120037000</v>
      </c>
      <c r="FZ27" s="3">
        <v>0</v>
      </c>
      <c r="GA27" s="3">
        <v>4791264000</v>
      </c>
      <c r="GB27" s="3">
        <v>671227000</v>
      </c>
      <c r="GC27" s="3">
        <v>4120037000</v>
      </c>
      <c r="GD27" s="3">
        <v>0</v>
      </c>
      <c r="GE27" s="3">
        <v>4791264000</v>
      </c>
      <c r="GF27" s="3">
        <v>799537003.49000001</v>
      </c>
      <c r="GG27" s="3">
        <v>3946648388.5100002</v>
      </c>
      <c r="GH27" s="3">
        <v>0</v>
      </c>
      <c r="GI27" s="3">
        <v>4746185392</v>
      </c>
      <c r="GJ27" s="3">
        <v>799537003.49000001</v>
      </c>
      <c r="GK27" s="3">
        <v>3946648388.5100002</v>
      </c>
      <c r="GL27" s="3">
        <v>0</v>
      </c>
      <c r="GM27" s="3">
        <v>4746185392</v>
      </c>
      <c r="GN27" s="3">
        <v>799230315.79999995</v>
      </c>
      <c r="GO27" s="3">
        <v>3497226685.3899999</v>
      </c>
      <c r="GP27" s="3">
        <v>0</v>
      </c>
      <c r="GQ27" s="3">
        <v>4296457001.1899996</v>
      </c>
      <c r="GR27" s="3">
        <v>768342484.73000002</v>
      </c>
      <c r="GS27" s="3">
        <v>2491769590.3099999</v>
      </c>
      <c r="GT27" s="3">
        <v>0</v>
      </c>
      <c r="GU27" s="3">
        <v>3260112075.04</v>
      </c>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row>
    <row r="28" spans="1:267" x14ac:dyDescent="0.25">
      <c r="A28" t="s">
        <v>197</v>
      </c>
      <c r="B28" t="s">
        <v>198</v>
      </c>
      <c r="C28" t="s">
        <v>199</v>
      </c>
      <c r="D28" t="s">
        <v>200</v>
      </c>
      <c r="E28" t="s">
        <v>241</v>
      </c>
      <c r="F28" t="s">
        <v>258</v>
      </c>
      <c r="G28" t="s">
        <v>259</v>
      </c>
      <c r="H28" s="3">
        <v>4372000</v>
      </c>
      <c r="I28" s="3">
        <v>7085000</v>
      </c>
      <c r="J28" s="3">
        <v>0</v>
      </c>
      <c r="K28" s="3">
        <v>11457000</v>
      </c>
      <c r="L28" s="3">
        <v>4372000</v>
      </c>
      <c r="M28" s="3">
        <v>7085000</v>
      </c>
      <c r="N28" s="3">
        <v>0</v>
      </c>
      <c r="O28" s="3">
        <v>11457000</v>
      </c>
      <c r="P28" s="3">
        <v>4372000</v>
      </c>
      <c r="Q28" s="3">
        <v>7085000</v>
      </c>
      <c r="R28" s="3">
        <v>0</v>
      </c>
      <c r="S28" s="3">
        <v>11457000</v>
      </c>
      <c r="T28" s="3">
        <v>4372000</v>
      </c>
      <c r="U28" s="3">
        <v>7085000</v>
      </c>
      <c r="V28" s="3">
        <v>0</v>
      </c>
      <c r="W28" s="3">
        <v>11457000</v>
      </c>
      <c r="X28" s="3">
        <v>4372000</v>
      </c>
      <c r="Y28" s="3">
        <v>7085000</v>
      </c>
      <c r="Z28" s="3">
        <v>0</v>
      </c>
      <c r="AA28" s="3">
        <v>11457000</v>
      </c>
      <c r="AB28" s="3">
        <v>4372000</v>
      </c>
      <c r="AC28" s="3">
        <v>6905460.3899999997</v>
      </c>
      <c r="AD28" s="3">
        <v>0</v>
      </c>
      <c r="AE28" s="3">
        <v>11277460.390000001</v>
      </c>
      <c r="AF28" s="3">
        <v>4372000</v>
      </c>
      <c r="AG28" s="3">
        <v>3781472.3</v>
      </c>
      <c r="AH28" s="3">
        <v>0</v>
      </c>
      <c r="AI28" s="3">
        <v>8153472.2999999998</v>
      </c>
      <c r="AJ28" s="3">
        <v>4624000</v>
      </c>
      <c r="AK28" s="3">
        <v>3713000</v>
      </c>
      <c r="AL28" s="3">
        <v>0</v>
      </c>
      <c r="AM28" s="3">
        <v>8337000</v>
      </c>
      <c r="AN28" s="3">
        <v>4624000</v>
      </c>
      <c r="AO28" s="3">
        <v>3713000</v>
      </c>
      <c r="AP28" s="3">
        <v>0</v>
      </c>
      <c r="AQ28" s="3">
        <v>8337000</v>
      </c>
      <c r="AR28" s="3">
        <v>4624000</v>
      </c>
      <c r="AS28" s="3">
        <v>3713000</v>
      </c>
      <c r="AT28" s="3">
        <v>0</v>
      </c>
      <c r="AU28" s="3">
        <v>8337000</v>
      </c>
      <c r="AV28" s="3">
        <v>4624000</v>
      </c>
      <c r="AW28" s="3">
        <v>3713000</v>
      </c>
      <c r="AX28" s="3">
        <v>0</v>
      </c>
      <c r="AY28" s="3">
        <v>8337000</v>
      </c>
      <c r="AZ28" s="3">
        <v>4624000</v>
      </c>
      <c r="BA28" s="3">
        <v>3713000</v>
      </c>
      <c r="BB28" s="3">
        <v>0</v>
      </c>
      <c r="BC28" s="3">
        <v>8337000</v>
      </c>
      <c r="BD28" s="3">
        <v>4624000</v>
      </c>
      <c r="BE28" s="3">
        <v>3469869.53</v>
      </c>
      <c r="BF28" s="3">
        <v>0</v>
      </c>
      <c r="BG28" s="3">
        <v>8093869.5300000003</v>
      </c>
      <c r="BH28" s="3">
        <v>4624000</v>
      </c>
      <c r="BI28" s="3">
        <v>3441213.09</v>
      </c>
      <c r="BJ28" s="3">
        <v>0</v>
      </c>
      <c r="BK28" s="3">
        <v>8065213.0899999999</v>
      </c>
      <c r="BL28" s="3">
        <v>4624000</v>
      </c>
      <c r="BM28" s="3">
        <v>9734000</v>
      </c>
      <c r="BN28" s="3">
        <v>0</v>
      </c>
      <c r="BO28" s="3">
        <v>14358000</v>
      </c>
      <c r="BP28" s="3">
        <v>4624000</v>
      </c>
      <c r="BQ28" s="3">
        <v>9734000</v>
      </c>
      <c r="BR28" s="3">
        <v>0</v>
      </c>
      <c r="BS28" s="3">
        <v>14358000</v>
      </c>
      <c r="BT28" s="3">
        <v>4624000</v>
      </c>
      <c r="BU28" s="3">
        <v>9734000</v>
      </c>
      <c r="BV28" s="3">
        <v>0</v>
      </c>
      <c r="BW28" s="3">
        <v>14358000</v>
      </c>
      <c r="BX28" s="3">
        <v>4624000</v>
      </c>
      <c r="BY28" s="3">
        <v>9734000</v>
      </c>
      <c r="BZ28" s="3">
        <v>0</v>
      </c>
      <c r="CA28" s="3">
        <v>14358000</v>
      </c>
      <c r="CB28" s="3">
        <v>4624000</v>
      </c>
      <c r="CC28" s="3">
        <v>9734000</v>
      </c>
      <c r="CD28" s="3">
        <v>0</v>
      </c>
      <c r="CE28" s="3">
        <v>14358000</v>
      </c>
      <c r="CF28" s="3">
        <v>4604413.92</v>
      </c>
      <c r="CG28" s="3">
        <v>9642943.5999999996</v>
      </c>
      <c r="CH28" s="3">
        <v>0</v>
      </c>
      <c r="CI28" s="3">
        <v>14247357.52</v>
      </c>
      <c r="CJ28" s="3">
        <v>4405169.43</v>
      </c>
      <c r="CK28" s="3">
        <v>9311614.6099999994</v>
      </c>
      <c r="CL28" s="3">
        <v>0</v>
      </c>
      <c r="CM28" s="3">
        <v>13716784.039999999</v>
      </c>
      <c r="CN28" s="3">
        <v>24592000</v>
      </c>
      <c r="CO28" s="3">
        <v>6196000</v>
      </c>
      <c r="CP28" s="3">
        <v>2013000</v>
      </c>
      <c r="CQ28" s="3">
        <v>32801000</v>
      </c>
      <c r="CR28" s="3">
        <v>24592000</v>
      </c>
      <c r="CS28" s="3">
        <v>6196000</v>
      </c>
      <c r="CT28" s="3">
        <v>2013000</v>
      </c>
      <c r="CU28" s="3">
        <v>32801000</v>
      </c>
      <c r="CV28" s="3">
        <v>24592000</v>
      </c>
      <c r="CW28" s="3">
        <v>6196000</v>
      </c>
      <c r="CX28" s="3">
        <v>2013000</v>
      </c>
      <c r="CY28" s="3">
        <v>32801000</v>
      </c>
      <c r="CZ28" s="3">
        <v>24592000</v>
      </c>
      <c r="DA28" s="3">
        <v>6196000</v>
      </c>
      <c r="DB28" s="3">
        <v>2013000</v>
      </c>
      <c r="DC28" s="3">
        <v>32801000</v>
      </c>
      <c r="DD28" s="3">
        <v>24592000</v>
      </c>
      <c r="DE28" s="3">
        <v>6196000</v>
      </c>
      <c r="DF28" s="3">
        <v>2013000</v>
      </c>
      <c r="DG28" s="3">
        <v>32801000</v>
      </c>
      <c r="DH28" s="3">
        <v>23877862.5</v>
      </c>
      <c r="DI28" s="3">
        <v>3154524.43</v>
      </c>
      <c r="DJ28" s="3">
        <v>0</v>
      </c>
      <c r="DK28" s="3">
        <v>27032386.93</v>
      </c>
      <c r="DL28" s="3">
        <v>22322924.489999998</v>
      </c>
      <c r="DM28" s="3">
        <v>2535539.71</v>
      </c>
      <c r="DN28" s="3">
        <v>0</v>
      </c>
      <c r="DO28" s="3">
        <v>24858464.199999999</v>
      </c>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row>
    <row r="29" spans="1:267" x14ac:dyDescent="0.25">
      <c r="A29" t="s">
        <v>197</v>
      </c>
      <c r="B29" t="s">
        <v>198</v>
      </c>
      <c r="C29" t="s">
        <v>199</v>
      </c>
      <c r="D29" t="s">
        <v>200</v>
      </c>
      <c r="E29" t="s">
        <v>241</v>
      </c>
      <c r="F29" t="s">
        <v>260</v>
      </c>
      <c r="G29" t="s">
        <v>261</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v>0</v>
      </c>
      <c r="BQ29" s="3">
        <v>62000000</v>
      </c>
      <c r="BR29" s="3">
        <v>0</v>
      </c>
      <c r="BS29" s="3">
        <v>62000000</v>
      </c>
      <c r="BT29" s="3">
        <v>0</v>
      </c>
      <c r="BU29" s="3">
        <v>62000000</v>
      </c>
      <c r="BV29" s="3">
        <v>0</v>
      </c>
      <c r="BW29" s="3">
        <v>62000000</v>
      </c>
      <c r="BX29" s="3">
        <v>0</v>
      </c>
      <c r="BY29" s="3">
        <v>62000000</v>
      </c>
      <c r="BZ29" s="3">
        <v>0</v>
      </c>
      <c r="CA29" s="3">
        <v>62000000</v>
      </c>
      <c r="CB29" s="3">
        <v>0</v>
      </c>
      <c r="CC29" s="3">
        <v>62000000</v>
      </c>
      <c r="CD29" s="3">
        <v>0</v>
      </c>
      <c r="CE29" s="3">
        <v>62000000</v>
      </c>
      <c r="CF29" s="3">
        <v>0</v>
      </c>
      <c r="CG29" s="3">
        <v>0</v>
      </c>
      <c r="CH29" s="3">
        <v>0</v>
      </c>
      <c r="CI29" s="3">
        <v>0</v>
      </c>
      <c r="CJ29" s="3">
        <v>0</v>
      </c>
      <c r="CK29" s="3">
        <v>0</v>
      </c>
      <c r="CL29" s="3">
        <v>0</v>
      </c>
      <c r="CM29" s="3">
        <v>0</v>
      </c>
      <c r="CN29" s="3">
        <v>0</v>
      </c>
      <c r="CO29" s="3">
        <v>0</v>
      </c>
      <c r="CP29" s="3">
        <v>0</v>
      </c>
      <c r="CQ29" s="3">
        <v>0</v>
      </c>
      <c r="CR29" s="3">
        <v>0</v>
      </c>
      <c r="CS29" s="3">
        <v>100000000</v>
      </c>
      <c r="CT29" s="3">
        <v>0</v>
      </c>
      <c r="CU29" s="3">
        <v>100000000</v>
      </c>
      <c r="CV29" s="3">
        <v>0</v>
      </c>
      <c r="CW29" s="3">
        <v>100000000</v>
      </c>
      <c r="CX29" s="3">
        <v>0</v>
      </c>
      <c r="CY29" s="3">
        <v>100000000</v>
      </c>
      <c r="CZ29" s="3">
        <v>0</v>
      </c>
      <c r="DA29" s="3">
        <v>100000000</v>
      </c>
      <c r="DB29" s="3">
        <v>0</v>
      </c>
      <c r="DC29" s="3">
        <v>100000000</v>
      </c>
      <c r="DD29" s="3">
        <v>0</v>
      </c>
      <c r="DE29" s="3">
        <v>100000000</v>
      </c>
      <c r="DF29" s="3">
        <v>0</v>
      </c>
      <c r="DG29" s="3">
        <v>100000000</v>
      </c>
      <c r="DH29" s="3">
        <v>0</v>
      </c>
      <c r="DI29" s="3">
        <v>100000000</v>
      </c>
      <c r="DJ29" s="3">
        <v>0</v>
      </c>
      <c r="DK29" s="3">
        <v>100000000</v>
      </c>
      <c r="DL29" s="3">
        <v>0</v>
      </c>
      <c r="DM29" s="3">
        <v>0</v>
      </c>
      <c r="DN29" s="3">
        <v>0</v>
      </c>
      <c r="DO29" s="3">
        <v>0</v>
      </c>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row>
    <row r="30" spans="1:267" x14ac:dyDescent="0.25">
      <c r="A30" t="s">
        <v>197</v>
      </c>
      <c r="B30" t="s">
        <v>198</v>
      </c>
      <c r="C30" t="s">
        <v>199</v>
      </c>
      <c r="D30" t="s">
        <v>200</v>
      </c>
      <c r="E30" t="s">
        <v>241</v>
      </c>
      <c r="F30" t="s">
        <v>262</v>
      </c>
      <c r="G30" t="s">
        <v>263</v>
      </c>
      <c r="H30" s="3">
        <v>0</v>
      </c>
      <c r="I30" s="3">
        <v>3740000</v>
      </c>
      <c r="J30" s="3">
        <v>0</v>
      </c>
      <c r="K30" s="3">
        <v>3740000</v>
      </c>
      <c r="L30" s="3">
        <v>0</v>
      </c>
      <c r="M30" s="3">
        <v>3740000</v>
      </c>
      <c r="N30" s="3">
        <v>0</v>
      </c>
      <c r="O30" s="3">
        <v>3740000</v>
      </c>
      <c r="P30" s="3">
        <v>0</v>
      </c>
      <c r="Q30" s="3">
        <v>3740000</v>
      </c>
      <c r="R30" s="3">
        <v>0</v>
      </c>
      <c r="S30" s="3">
        <v>3740000</v>
      </c>
      <c r="T30" s="3">
        <v>51245</v>
      </c>
      <c r="U30" s="3">
        <v>3688755</v>
      </c>
      <c r="V30" s="3">
        <v>0</v>
      </c>
      <c r="W30" s="3">
        <v>3740000</v>
      </c>
      <c r="X30" s="3">
        <v>51245</v>
      </c>
      <c r="Y30" s="3">
        <v>3688755</v>
      </c>
      <c r="Z30" s="3">
        <v>0</v>
      </c>
      <c r="AA30" s="3">
        <v>3740000</v>
      </c>
      <c r="AB30" s="3">
        <v>51245</v>
      </c>
      <c r="AC30" s="3">
        <v>1467182.92</v>
      </c>
      <c r="AD30" s="3">
        <v>0</v>
      </c>
      <c r="AE30" s="3">
        <v>1518427.92</v>
      </c>
      <c r="AF30" s="3">
        <v>51245</v>
      </c>
      <c r="AG30" s="3">
        <v>710782.92</v>
      </c>
      <c r="AH30" s="3">
        <v>0</v>
      </c>
      <c r="AI30" s="3">
        <v>762027.92</v>
      </c>
      <c r="AJ30" s="3">
        <v>0</v>
      </c>
      <c r="AK30" s="3">
        <v>31026000</v>
      </c>
      <c r="AL30" s="3">
        <v>0</v>
      </c>
      <c r="AM30" s="3">
        <v>31026000</v>
      </c>
      <c r="AN30" s="3">
        <v>0</v>
      </c>
      <c r="AO30" s="3">
        <v>31026000</v>
      </c>
      <c r="AP30" s="3">
        <v>0</v>
      </c>
      <c r="AQ30" s="3">
        <v>31026000</v>
      </c>
      <c r="AR30" s="3">
        <v>0</v>
      </c>
      <c r="AS30" s="3">
        <v>31026000</v>
      </c>
      <c r="AT30" s="3">
        <v>0</v>
      </c>
      <c r="AU30" s="3">
        <v>31026000</v>
      </c>
      <c r="AV30" s="3">
        <v>0</v>
      </c>
      <c r="AW30" s="3">
        <v>31026000</v>
      </c>
      <c r="AX30" s="3">
        <v>0</v>
      </c>
      <c r="AY30" s="3">
        <v>31026000</v>
      </c>
      <c r="AZ30" s="3">
        <v>0</v>
      </c>
      <c r="BA30" s="3">
        <v>31026000</v>
      </c>
      <c r="BB30" s="3">
        <v>0</v>
      </c>
      <c r="BC30" s="3">
        <v>31026000</v>
      </c>
      <c r="BD30" s="3">
        <v>0</v>
      </c>
      <c r="BE30" s="3">
        <v>11552252.74</v>
      </c>
      <c r="BF30" s="3">
        <v>0</v>
      </c>
      <c r="BG30" s="3">
        <v>11552252.74</v>
      </c>
      <c r="BH30" s="3">
        <v>0</v>
      </c>
      <c r="BI30" s="3">
        <v>4368870.5</v>
      </c>
      <c r="BJ30" s="3">
        <v>0</v>
      </c>
      <c r="BK30" s="3">
        <v>4368870.5</v>
      </c>
      <c r="BL30" s="3">
        <v>0</v>
      </c>
      <c r="BM30" s="3">
        <v>2025000</v>
      </c>
      <c r="BN30" s="3">
        <v>0</v>
      </c>
      <c r="BO30" s="3">
        <v>2025000</v>
      </c>
      <c r="BP30" s="3">
        <v>0</v>
      </c>
      <c r="BQ30" s="3">
        <v>2025000</v>
      </c>
      <c r="BR30" s="3">
        <v>350000000</v>
      </c>
      <c r="BS30" s="3">
        <v>352025000</v>
      </c>
      <c r="BT30" s="3">
        <v>0</v>
      </c>
      <c r="BU30" s="3">
        <v>2025000</v>
      </c>
      <c r="BV30" s="3">
        <v>350000000</v>
      </c>
      <c r="BW30" s="3">
        <v>352025000</v>
      </c>
      <c r="BX30" s="3">
        <v>0</v>
      </c>
      <c r="BY30" s="3">
        <v>2025000</v>
      </c>
      <c r="BZ30" s="3">
        <v>0</v>
      </c>
      <c r="CA30" s="3">
        <v>2025000</v>
      </c>
      <c r="CB30" s="3">
        <v>0</v>
      </c>
      <c r="CC30" s="3">
        <v>2025000</v>
      </c>
      <c r="CD30" s="3">
        <v>0</v>
      </c>
      <c r="CE30" s="3">
        <v>2025000</v>
      </c>
      <c r="CF30" s="3">
        <v>0</v>
      </c>
      <c r="CG30" s="3">
        <v>1856961.59</v>
      </c>
      <c r="CH30" s="3">
        <v>0</v>
      </c>
      <c r="CI30" s="3">
        <v>1856961.59</v>
      </c>
      <c r="CJ30" s="3">
        <v>0</v>
      </c>
      <c r="CK30" s="3">
        <v>1228399.69</v>
      </c>
      <c r="CL30" s="3">
        <v>0</v>
      </c>
      <c r="CM30" s="3">
        <v>1228399.69</v>
      </c>
      <c r="CN30" s="3">
        <v>0</v>
      </c>
      <c r="CO30" s="3">
        <v>2062000</v>
      </c>
      <c r="CP30" s="3">
        <v>0</v>
      </c>
      <c r="CQ30" s="3">
        <v>2062000</v>
      </c>
      <c r="CR30" s="3">
        <v>0</v>
      </c>
      <c r="CS30" s="3">
        <v>2062000</v>
      </c>
      <c r="CT30" s="3">
        <v>0</v>
      </c>
      <c r="CU30" s="3">
        <v>2062000</v>
      </c>
      <c r="CV30" s="3">
        <v>0</v>
      </c>
      <c r="CW30" s="3">
        <v>2062000</v>
      </c>
      <c r="CX30" s="3">
        <v>0</v>
      </c>
      <c r="CY30" s="3">
        <v>2062000</v>
      </c>
      <c r="CZ30" s="3">
        <v>0</v>
      </c>
      <c r="DA30" s="3">
        <v>2062000</v>
      </c>
      <c r="DB30" s="3">
        <v>0</v>
      </c>
      <c r="DC30" s="3">
        <v>2062000</v>
      </c>
      <c r="DD30" s="3">
        <v>0</v>
      </c>
      <c r="DE30" s="3">
        <v>2062000</v>
      </c>
      <c r="DF30" s="3">
        <v>0</v>
      </c>
      <c r="DG30" s="3">
        <v>2062000</v>
      </c>
      <c r="DH30" s="3">
        <v>0</v>
      </c>
      <c r="DI30" s="3">
        <v>878562</v>
      </c>
      <c r="DJ30" s="3">
        <v>0</v>
      </c>
      <c r="DK30" s="3">
        <v>878562</v>
      </c>
      <c r="DL30" s="3">
        <v>0</v>
      </c>
      <c r="DM30" s="3">
        <v>30000</v>
      </c>
      <c r="DN30" s="3">
        <v>0</v>
      </c>
      <c r="DO30" s="3">
        <v>30000</v>
      </c>
      <c r="DP30" s="3">
        <v>0</v>
      </c>
      <c r="DQ30" s="3">
        <v>5260000</v>
      </c>
      <c r="DR30" s="3">
        <v>0</v>
      </c>
      <c r="DS30" s="3">
        <v>5260000</v>
      </c>
      <c r="DT30" s="3">
        <v>0</v>
      </c>
      <c r="DU30" s="3">
        <v>5260000</v>
      </c>
      <c r="DV30" s="3">
        <v>0</v>
      </c>
      <c r="DW30" s="3">
        <v>5260000</v>
      </c>
      <c r="DX30" s="3">
        <v>0</v>
      </c>
      <c r="DY30" s="3">
        <v>5260000</v>
      </c>
      <c r="DZ30" s="3">
        <v>0</v>
      </c>
      <c r="EA30" s="3">
        <v>5260000</v>
      </c>
      <c r="EB30" s="3">
        <v>0</v>
      </c>
      <c r="EC30" s="3">
        <v>5260000</v>
      </c>
      <c r="ED30" s="3">
        <v>0</v>
      </c>
      <c r="EE30" s="3">
        <v>5260000</v>
      </c>
      <c r="EF30" s="3">
        <v>0</v>
      </c>
      <c r="EG30" s="3">
        <v>5260000</v>
      </c>
      <c r="EH30" s="3">
        <v>0</v>
      </c>
      <c r="EI30" s="3">
        <v>5260000</v>
      </c>
      <c r="EJ30" s="3">
        <v>0</v>
      </c>
      <c r="EK30" s="3">
        <v>3794952.06</v>
      </c>
      <c r="EL30" s="3">
        <v>0</v>
      </c>
      <c r="EM30" s="3">
        <v>3794952.06</v>
      </c>
      <c r="EN30" s="3"/>
      <c r="EO30" s="3">
        <v>738180.07</v>
      </c>
      <c r="EP30" s="3">
        <v>0</v>
      </c>
      <c r="EQ30" s="3">
        <v>738180.07</v>
      </c>
      <c r="ER30" s="3">
        <v>0</v>
      </c>
      <c r="ES30" s="3">
        <v>86097000</v>
      </c>
      <c r="ET30" s="3">
        <v>0</v>
      </c>
      <c r="EU30" s="3">
        <v>86097000</v>
      </c>
      <c r="EV30" s="3">
        <v>0</v>
      </c>
      <c r="EW30" s="3">
        <v>86097000</v>
      </c>
      <c r="EX30" s="3">
        <v>0</v>
      </c>
      <c r="EY30" s="3">
        <v>86097000</v>
      </c>
      <c r="EZ30" s="3">
        <v>0</v>
      </c>
      <c r="FA30" s="3">
        <v>86097000</v>
      </c>
      <c r="FB30" s="3">
        <v>0</v>
      </c>
      <c r="FC30" s="3">
        <v>86097000</v>
      </c>
      <c r="FD30" s="3">
        <v>0</v>
      </c>
      <c r="FE30" s="3">
        <v>86097000</v>
      </c>
      <c r="FF30" s="3">
        <v>0</v>
      </c>
      <c r="FG30" s="3">
        <v>86097000</v>
      </c>
      <c r="FH30" s="3">
        <v>0</v>
      </c>
      <c r="FI30" s="3">
        <v>86097000</v>
      </c>
      <c r="FJ30" s="3">
        <v>0</v>
      </c>
      <c r="FK30" s="3">
        <v>86097000</v>
      </c>
      <c r="FL30" s="3">
        <v>0</v>
      </c>
      <c r="FM30" s="3">
        <v>69819551</v>
      </c>
      <c r="FN30" s="3">
        <v>0</v>
      </c>
      <c r="FO30" s="3">
        <v>69819551</v>
      </c>
      <c r="FP30" s="3">
        <v>0</v>
      </c>
      <c r="FQ30" s="3">
        <v>48079882.100000001</v>
      </c>
      <c r="FR30" s="3">
        <v>0</v>
      </c>
      <c r="FS30" s="3">
        <v>48079882.100000001</v>
      </c>
      <c r="FT30" s="3">
        <v>0</v>
      </c>
      <c r="FU30" s="3">
        <v>119988000</v>
      </c>
      <c r="FV30" s="3">
        <v>0</v>
      </c>
      <c r="FW30" s="3">
        <v>119988000</v>
      </c>
      <c r="FX30" s="3">
        <v>0</v>
      </c>
      <c r="FY30" s="3">
        <v>119988000</v>
      </c>
      <c r="FZ30" s="3">
        <v>0</v>
      </c>
      <c r="GA30" s="3">
        <v>119988000</v>
      </c>
      <c r="GB30" s="3">
        <v>0</v>
      </c>
      <c r="GC30" s="3">
        <v>119988000</v>
      </c>
      <c r="GD30" s="3">
        <v>0</v>
      </c>
      <c r="GE30" s="3">
        <v>119988000</v>
      </c>
      <c r="GF30" s="3">
        <v>0</v>
      </c>
      <c r="GG30" s="3">
        <v>119988000</v>
      </c>
      <c r="GH30" s="3">
        <v>0</v>
      </c>
      <c r="GI30" s="3">
        <v>119988000</v>
      </c>
      <c r="GJ30" s="3">
        <v>0</v>
      </c>
      <c r="GK30" s="3">
        <v>119988000</v>
      </c>
      <c r="GL30" s="3">
        <v>0</v>
      </c>
      <c r="GM30" s="3">
        <v>119988000</v>
      </c>
      <c r="GN30" s="3">
        <v>0</v>
      </c>
      <c r="GO30" s="3">
        <v>107304690.40000001</v>
      </c>
      <c r="GP30" s="3">
        <v>0</v>
      </c>
      <c r="GQ30" s="3">
        <v>107304690.40000001</v>
      </c>
      <c r="GR30" s="3">
        <v>0</v>
      </c>
      <c r="GS30" s="3">
        <v>72072640.340000004</v>
      </c>
      <c r="GT30" s="3">
        <v>0</v>
      </c>
      <c r="GU30" s="3">
        <v>72072640.340000004</v>
      </c>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row>
    <row r="31" spans="1:267" x14ac:dyDescent="0.25">
      <c r="A31" t="s">
        <v>197</v>
      </c>
      <c r="B31" t="s">
        <v>198</v>
      </c>
      <c r="C31" t="s">
        <v>199</v>
      </c>
      <c r="D31" t="s">
        <v>200</v>
      </c>
      <c r="E31" t="s">
        <v>241</v>
      </c>
      <c r="F31" t="s">
        <v>264</v>
      </c>
      <c r="G31" t="s">
        <v>265</v>
      </c>
      <c r="H31" s="3">
        <v>0</v>
      </c>
      <c r="I31" s="3">
        <v>7437044000</v>
      </c>
      <c r="J31" s="3">
        <v>0</v>
      </c>
      <c r="K31" s="3">
        <v>7437044000</v>
      </c>
      <c r="L31" s="3">
        <v>0</v>
      </c>
      <c r="M31" s="3">
        <v>7437044000</v>
      </c>
      <c r="N31" s="3">
        <v>0</v>
      </c>
      <c r="O31" s="3">
        <v>7437044000</v>
      </c>
      <c r="P31" s="3">
        <v>0</v>
      </c>
      <c r="Q31" s="3">
        <v>7437044000</v>
      </c>
      <c r="R31" s="3">
        <v>0</v>
      </c>
      <c r="S31" s="3">
        <v>7437044000</v>
      </c>
      <c r="T31" s="3">
        <v>0</v>
      </c>
      <c r="U31" s="3">
        <v>7437044000</v>
      </c>
      <c r="V31" s="3">
        <v>0</v>
      </c>
      <c r="W31" s="3">
        <v>7437044000</v>
      </c>
      <c r="X31" s="3">
        <v>0</v>
      </c>
      <c r="Y31" s="3">
        <v>7437044000</v>
      </c>
      <c r="Z31" s="3">
        <v>0</v>
      </c>
      <c r="AA31" s="3">
        <v>7437044000</v>
      </c>
      <c r="AB31" s="3">
        <v>0</v>
      </c>
      <c r="AC31" s="3">
        <v>7299846424.6400003</v>
      </c>
      <c r="AD31" s="3">
        <v>0</v>
      </c>
      <c r="AE31" s="3">
        <v>7299846424.6400003</v>
      </c>
      <c r="AF31" s="3">
        <v>0</v>
      </c>
      <c r="AG31" s="3">
        <v>1162408133.23</v>
      </c>
      <c r="AH31" s="3">
        <v>0</v>
      </c>
      <c r="AI31" s="3">
        <v>1162408133.23</v>
      </c>
      <c r="AJ31" s="3">
        <v>0</v>
      </c>
      <c r="AK31" s="3">
        <v>7548889000</v>
      </c>
      <c r="AL31" s="3">
        <v>0</v>
      </c>
      <c r="AM31" s="3">
        <v>7548889000</v>
      </c>
      <c r="AN31" s="3">
        <v>0</v>
      </c>
      <c r="AO31" s="3">
        <v>7548889000</v>
      </c>
      <c r="AP31" s="3">
        <v>0</v>
      </c>
      <c r="AQ31" s="3">
        <v>7548889000</v>
      </c>
      <c r="AR31" s="3">
        <v>0</v>
      </c>
      <c r="AS31" s="3">
        <v>7548889000</v>
      </c>
      <c r="AT31" s="3">
        <v>0</v>
      </c>
      <c r="AU31" s="3">
        <v>7548889000</v>
      </c>
      <c r="AV31" s="3">
        <v>0</v>
      </c>
      <c r="AW31" s="3">
        <v>7548889000</v>
      </c>
      <c r="AX31" s="3">
        <v>0</v>
      </c>
      <c r="AY31" s="3">
        <v>7548889000</v>
      </c>
      <c r="AZ31" s="3">
        <v>0</v>
      </c>
      <c r="BA31" s="3">
        <v>7548889000</v>
      </c>
      <c r="BB31" s="3">
        <v>0</v>
      </c>
      <c r="BC31" s="3">
        <v>7548889000</v>
      </c>
      <c r="BD31" s="3">
        <v>0</v>
      </c>
      <c r="BE31" s="3">
        <v>6847005711.7299995</v>
      </c>
      <c r="BF31" s="3">
        <v>0</v>
      </c>
      <c r="BG31" s="3">
        <v>6847005711.7299995</v>
      </c>
      <c r="BH31" s="3">
        <v>0</v>
      </c>
      <c r="BI31" s="3">
        <v>3177277161.73</v>
      </c>
      <c r="BJ31" s="3">
        <v>0</v>
      </c>
      <c r="BK31" s="3">
        <v>3177277161.73</v>
      </c>
      <c r="BL31" s="3">
        <v>0</v>
      </c>
      <c r="BM31" s="3">
        <v>7543001000</v>
      </c>
      <c r="BN31" s="3">
        <v>0</v>
      </c>
      <c r="BO31" s="3">
        <v>7543001000</v>
      </c>
      <c r="BP31" s="3">
        <v>0</v>
      </c>
      <c r="BQ31" s="3">
        <v>7543001000</v>
      </c>
      <c r="BR31" s="3">
        <v>0</v>
      </c>
      <c r="BS31" s="3">
        <v>7543001000</v>
      </c>
      <c r="BT31" s="3">
        <v>0</v>
      </c>
      <c r="BU31" s="3">
        <v>7543001000</v>
      </c>
      <c r="BV31" s="3">
        <v>0</v>
      </c>
      <c r="BW31" s="3">
        <v>7543001000</v>
      </c>
      <c r="BX31" s="3">
        <v>0</v>
      </c>
      <c r="BY31" s="3">
        <v>7543001000</v>
      </c>
      <c r="BZ31" s="3">
        <v>0</v>
      </c>
      <c r="CA31" s="3">
        <v>7543001000</v>
      </c>
      <c r="CB31" s="3">
        <v>0</v>
      </c>
      <c r="CC31" s="3">
        <v>7543001000</v>
      </c>
      <c r="CD31" s="3">
        <v>0</v>
      </c>
      <c r="CE31" s="3">
        <v>7543001000</v>
      </c>
      <c r="CF31" s="3">
        <v>0</v>
      </c>
      <c r="CG31" s="3">
        <v>3302225084.2199998</v>
      </c>
      <c r="CH31" s="3">
        <v>0</v>
      </c>
      <c r="CI31" s="3">
        <v>3302225084.2199998</v>
      </c>
      <c r="CJ31" s="3">
        <v>0</v>
      </c>
      <c r="CK31" s="3">
        <v>2139257061.29</v>
      </c>
      <c r="CL31" s="3">
        <v>0</v>
      </c>
      <c r="CM31" s="3">
        <v>2139257061.29</v>
      </c>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row>
    <row r="32" spans="1:267" x14ac:dyDescent="0.25">
      <c r="A32" t="s">
        <v>197</v>
      </c>
      <c r="B32" t="s">
        <v>198</v>
      </c>
      <c r="C32" t="s">
        <v>199</v>
      </c>
      <c r="D32" t="s">
        <v>200</v>
      </c>
      <c r="E32" t="s">
        <v>241</v>
      </c>
      <c r="F32" t="s">
        <v>266</v>
      </c>
      <c r="G32" t="s">
        <v>267</v>
      </c>
      <c r="H32" s="3">
        <v>0</v>
      </c>
      <c r="I32" s="3">
        <v>3639663000</v>
      </c>
      <c r="J32" s="3">
        <v>0</v>
      </c>
      <c r="K32" s="3">
        <v>3639663000</v>
      </c>
      <c r="L32" s="3">
        <v>0</v>
      </c>
      <c r="M32" s="3">
        <v>3639663000</v>
      </c>
      <c r="N32" s="3">
        <v>0</v>
      </c>
      <c r="O32" s="3">
        <v>3639663000</v>
      </c>
      <c r="P32" s="3">
        <v>0</v>
      </c>
      <c r="Q32" s="3">
        <v>3639663000</v>
      </c>
      <c r="R32" s="3">
        <v>0</v>
      </c>
      <c r="S32" s="3">
        <v>3639663000</v>
      </c>
      <c r="T32" s="3">
        <v>16607774</v>
      </c>
      <c r="U32" s="3">
        <v>3623055226</v>
      </c>
      <c r="V32" s="3">
        <v>0</v>
      </c>
      <c r="W32" s="3">
        <v>3639663000</v>
      </c>
      <c r="X32" s="3">
        <v>16607774</v>
      </c>
      <c r="Y32" s="3">
        <v>3623055226</v>
      </c>
      <c r="Z32" s="3">
        <v>0</v>
      </c>
      <c r="AA32" s="3">
        <v>3639663000</v>
      </c>
      <c r="AB32" s="3">
        <v>15915274</v>
      </c>
      <c r="AC32" s="3">
        <v>2231816834.5599999</v>
      </c>
      <c r="AD32" s="3">
        <v>0</v>
      </c>
      <c r="AE32" s="3">
        <v>2247732108.5599999</v>
      </c>
      <c r="AF32" s="3">
        <v>8702774</v>
      </c>
      <c r="AG32" s="3">
        <v>16688238.289999999</v>
      </c>
      <c r="AH32" s="3">
        <v>0</v>
      </c>
      <c r="AI32" s="3">
        <v>25391012.289999999</v>
      </c>
      <c r="AJ32" s="3">
        <v>0</v>
      </c>
      <c r="AK32" s="3">
        <v>2472022000</v>
      </c>
      <c r="AL32" s="3">
        <v>0</v>
      </c>
      <c r="AM32" s="3">
        <v>2472022000</v>
      </c>
      <c r="AN32" s="3">
        <v>0</v>
      </c>
      <c r="AO32" s="3">
        <v>2472022000</v>
      </c>
      <c r="AP32" s="3">
        <v>0</v>
      </c>
      <c r="AQ32" s="3">
        <v>2472022000</v>
      </c>
      <c r="AR32" s="3">
        <v>0</v>
      </c>
      <c r="AS32" s="3">
        <v>2472022000</v>
      </c>
      <c r="AT32" s="3">
        <v>0</v>
      </c>
      <c r="AU32" s="3">
        <v>2472022000</v>
      </c>
      <c r="AV32" s="3">
        <v>0</v>
      </c>
      <c r="AW32" s="3">
        <v>2472022000</v>
      </c>
      <c r="AX32" s="3">
        <v>0</v>
      </c>
      <c r="AY32" s="3">
        <v>2472022000</v>
      </c>
      <c r="AZ32" s="3">
        <v>0</v>
      </c>
      <c r="BA32" s="3">
        <v>2472022000</v>
      </c>
      <c r="BB32" s="3">
        <v>0</v>
      </c>
      <c r="BC32" s="3">
        <v>2472022000</v>
      </c>
      <c r="BD32" s="3">
        <v>0</v>
      </c>
      <c r="BE32" s="3">
        <v>1269900275.6400001</v>
      </c>
      <c r="BF32" s="3">
        <v>0</v>
      </c>
      <c r="BG32" s="3">
        <v>1269900275.6400001</v>
      </c>
      <c r="BH32" s="3">
        <v>0</v>
      </c>
      <c r="BI32" s="3">
        <v>151678338.38999999</v>
      </c>
      <c r="BJ32" s="3">
        <v>0</v>
      </c>
      <c r="BK32" s="3">
        <v>151678338.38999999</v>
      </c>
      <c r="BL32" s="3">
        <v>0</v>
      </c>
      <c r="BM32" s="3">
        <v>2228916000</v>
      </c>
      <c r="BN32" s="3">
        <v>0</v>
      </c>
      <c r="BO32" s="3">
        <v>2228916000</v>
      </c>
      <c r="BP32" s="3">
        <v>0</v>
      </c>
      <c r="BQ32" s="3">
        <v>2033916000</v>
      </c>
      <c r="BR32" s="3">
        <v>0</v>
      </c>
      <c r="BS32" s="3">
        <v>2033916000</v>
      </c>
      <c r="BT32" s="3">
        <v>0</v>
      </c>
      <c r="BU32" s="3">
        <v>2033916000</v>
      </c>
      <c r="BV32" s="3">
        <v>0</v>
      </c>
      <c r="BW32" s="3">
        <v>2033916000</v>
      </c>
      <c r="BX32" s="3">
        <v>0</v>
      </c>
      <c r="BY32" s="3">
        <v>2033916000</v>
      </c>
      <c r="BZ32" s="3">
        <v>0</v>
      </c>
      <c r="CA32" s="3">
        <v>2033916000</v>
      </c>
      <c r="CB32" s="3">
        <v>0</v>
      </c>
      <c r="CC32" s="3">
        <v>2033916000</v>
      </c>
      <c r="CD32" s="3">
        <v>0</v>
      </c>
      <c r="CE32" s="3">
        <v>2033916000</v>
      </c>
      <c r="CF32" s="3">
        <v>0</v>
      </c>
      <c r="CG32" s="3">
        <v>1576567665.9200001</v>
      </c>
      <c r="CH32" s="3">
        <v>0</v>
      </c>
      <c r="CI32" s="3">
        <v>1576567665.9200001</v>
      </c>
      <c r="CJ32" s="3">
        <v>0</v>
      </c>
      <c r="CK32" s="3">
        <v>362056113.91000003</v>
      </c>
      <c r="CL32" s="3">
        <v>0</v>
      </c>
      <c r="CM32" s="3">
        <v>362056113.91000003</v>
      </c>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row>
    <row r="33" spans="1:267" x14ac:dyDescent="0.25">
      <c r="A33" t="s">
        <v>197</v>
      </c>
      <c r="B33" t="s">
        <v>198</v>
      </c>
      <c r="C33" t="s">
        <v>199</v>
      </c>
      <c r="D33" t="s">
        <v>200</v>
      </c>
      <c r="E33" t="s">
        <v>241</v>
      </c>
      <c r="F33" t="s">
        <v>268</v>
      </c>
      <c r="G33" t="s">
        <v>269</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v>0</v>
      </c>
      <c r="CO33" s="3">
        <v>12195012000</v>
      </c>
      <c r="CP33" s="3">
        <v>0</v>
      </c>
      <c r="CQ33" s="3">
        <v>12195012000</v>
      </c>
      <c r="CR33" s="3">
        <v>0</v>
      </c>
      <c r="CS33" s="3">
        <v>12205012000</v>
      </c>
      <c r="CT33" s="3">
        <v>0</v>
      </c>
      <c r="CU33" s="3">
        <v>12205012000</v>
      </c>
      <c r="CV33" s="3">
        <v>0</v>
      </c>
      <c r="CW33" s="3">
        <v>12205012000</v>
      </c>
      <c r="CX33" s="3">
        <v>0</v>
      </c>
      <c r="CY33" s="3">
        <v>12205012000</v>
      </c>
      <c r="CZ33" s="3">
        <v>0</v>
      </c>
      <c r="DA33" s="3">
        <v>12201012000</v>
      </c>
      <c r="DB33" s="3">
        <v>4000000</v>
      </c>
      <c r="DC33" s="3">
        <v>12205012000</v>
      </c>
      <c r="DD33" s="3">
        <v>0</v>
      </c>
      <c r="DE33" s="3">
        <v>12201012000</v>
      </c>
      <c r="DF33" s="3">
        <v>4000000</v>
      </c>
      <c r="DG33" s="3">
        <v>12205012000</v>
      </c>
      <c r="DH33" s="3">
        <v>0</v>
      </c>
      <c r="DI33" s="3">
        <v>12007238409.379999</v>
      </c>
      <c r="DJ33" s="3">
        <v>0</v>
      </c>
      <c r="DK33" s="3">
        <v>12007238409.379999</v>
      </c>
      <c r="DL33" s="3">
        <v>0</v>
      </c>
      <c r="DM33" s="3">
        <v>6091803511.5200005</v>
      </c>
      <c r="DN33" s="3">
        <v>0</v>
      </c>
      <c r="DO33" s="3">
        <v>6091803511.5200005</v>
      </c>
      <c r="DP33" s="3">
        <v>0</v>
      </c>
      <c r="DQ33" s="3">
        <v>10775016000</v>
      </c>
      <c r="DR33" s="3">
        <v>0</v>
      </c>
      <c r="DS33" s="3">
        <v>10775016000</v>
      </c>
      <c r="DT33" s="3">
        <v>0</v>
      </c>
      <c r="DU33" s="3">
        <v>7120058000</v>
      </c>
      <c r="DV33" s="3">
        <v>0</v>
      </c>
      <c r="DW33" s="3">
        <v>7120058000</v>
      </c>
      <c r="DX33" s="3">
        <v>0</v>
      </c>
      <c r="DY33" s="3">
        <v>7120058000</v>
      </c>
      <c r="DZ33" s="3">
        <v>0</v>
      </c>
      <c r="EA33" s="3">
        <v>7120058000</v>
      </c>
      <c r="EB33" s="3">
        <v>73587059</v>
      </c>
      <c r="EC33" s="3">
        <v>7044470941</v>
      </c>
      <c r="ED33" s="3">
        <v>2000000</v>
      </c>
      <c r="EE33" s="3">
        <v>7120058000</v>
      </c>
      <c r="EF33" s="3">
        <v>73587059</v>
      </c>
      <c r="EG33" s="3">
        <v>7044470941</v>
      </c>
      <c r="EH33" s="3">
        <v>2000000</v>
      </c>
      <c r="EI33" s="3">
        <v>7120058000</v>
      </c>
      <c r="EJ33" s="3">
        <v>73537058.640000001</v>
      </c>
      <c r="EK33" s="3">
        <v>6226802943.54</v>
      </c>
      <c r="EL33" s="3">
        <v>1495940</v>
      </c>
      <c r="EM33" s="3">
        <v>6301835942.1800003</v>
      </c>
      <c r="EN33" s="3">
        <v>69524944.640000001</v>
      </c>
      <c r="EO33" s="3">
        <v>1070860105.38</v>
      </c>
      <c r="EP33" s="3">
        <v>0</v>
      </c>
      <c r="EQ33" s="3">
        <v>1140385050.02</v>
      </c>
      <c r="ER33" s="3">
        <v>0</v>
      </c>
      <c r="ES33" s="3">
        <v>8261987000</v>
      </c>
      <c r="ET33" s="3">
        <v>0</v>
      </c>
      <c r="EU33" s="3">
        <v>8261987000</v>
      </c>
      <c r="EV33" s="3">
        <v>0</v>
      </c>
      <c r="EW33" s="3">
        <v>7424206000</v>
      </c>
      <c r="EX33" s="3">
        <v>0</v>
      </c>
      <c r="EY33" s="3">
        <v>7424206000</v>
      </c>
      <c r="EZ33" s="3">
        <v>0</v>
      </c>
      <c r="FA33" s="3">
        <v>7424206000</v>
      </c>
      <c r="FB33" s="3">
        <v>0</v>
      </c>
      <c r="FC33" s="3">
        <v>7424206000</v>
      </c>
      <c r="FD33" s="3">
        <v>71428410.010000005</v>
      </c>
      <c r="FE33" s="3">
        <v>7352777589.9899998</v>
      </c>
      <c r="FF33" s="3">
        <v>0</v>
      </c>
      <c r="FG33" s="3">
        <v>7424206000</v>
      </c>
      <c r="FH33" s="3">
        <v>71428410.010000005</v>
      </c>
      <c r="FI33" s="3">
        <v>7352777589.9899998</v>
      </c>
      <c r="FJ33" s="3">
        <v>0</v>
      </c>
      <c r="FK33" s="3">
        <v>7424206000</v>
      </c>
      <c r="FL33" s="3">
        <v>70114360.010000005</v>
      </c>
      <c r="FM33" s="3">
        <v>5368215307.6199999</v>
      </c>
      <c r="FN33" s="3">
        <v>0</v>
      </c>
      <c r="FO33" s="3">
        <v>5438329667.6300001</v>
      </c>
      <c r="FP33" s="3">
        <v>68908307.430000007</v>
      </c>
      <c r="FQ33" s="3">
        <v>3524621464.9099998</v>
      </c>
      <c r="FR33" s="3">
        <v>0</v>
      </c>
      <c r="FS33" s="3">
        <v>3593529772.3400002</v>
      </c>
      <c r="FT33" s="3">
        <v>0</v>
      </c>
      <c r="FU33" s="3">
        <v>8261987000</v>
      </c>
      <c r="FV33" s="3">
        <v>0</v>
      </c>
      <c r="FW33" s="3">
        <v>8261987000</v>
      </c>
      <c r="FX33" s="3">
        <v>0</v>
      </c>
      <c r="FY33" s="3">
        <v>7588296000</v>
      </c>
      <c r="FZ33" s="3">
        <v>0</v>
      </c>
      <c r="GA33" s="3">
        <v>7588296000</v>
      </c>
      <c r="GB33" s="3">
        <v>0</v>
      </c>
      <c r="GC33" s="3">
        <v>7588296000</v>
      </c>
      <c r="GD33" s="3">
        <v>0</v>
      </c>
      <c r="GE33" s="3">
        <v>7588296000</v>
      </c>
      <c r="GF33" s="3">
        <v>568499157</v>
      </c>
      <c r="GG33" s="3">
        <v>7015996843</v>
      </c>
      <c r="GH33" s="3">
        <v>0</v>
      </c>
      <c r="GI33" s="3">
        <v>7584496000</v>
      </c>
      <c r="GJ33" s="3">
        <v>568499157</v>
      </c>
      <c r="GK33" s="3">
        <v>7015996843</v>
      </c>
      <c r="GL33" s="3">
        <v>0</v>
      </c>
      <c r="GM33" s="3">
        <v>7584496000</v>
      </c>
      <c r="GN33" s="3">
        <v>568314157</v>
      </c>
      <c r="GO33" s="3">
        <v>5024959361.4300003</v>
      </c>
      <c r="GP33" s="3">
        <v>0</v>
      </c>
      <c r="GQ33" s="3">
        <v>5593273518.4300003</v>
      </c>
      <c r="GR33" s="3">
        <v>525941528.31</v>
      </c>
      <c r="GS33" s="3">
        <v>2980704504.8600001</v>
      </c>
      <c r="GT33" s="3">
        <v>0</v>
      </c>
      <c r="GU33" s="3">
        <v>3506646033.1700001</v>
      </c>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row>
    <row r="34" spans="1:267" x14ac:dyDescent="0.25">
      <c r="A34" t="s">
        <v>197</v>
      </c>
      <c r="B34" t="s">
        <v>198</v>
      </c>
      <c r="C34" t="s">
        <v>199</v>
      </c>
      <c r="D34" t="s">
        <v>200</v>
      </c>
      <c r="E34" t="s">
        <v>241</v>
      </c>
      <c r="F34" t="s">
        <v>270</v>
      </c>
      <c r="G34" t="s">
        <v>271</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v>0</v>
      </c>
      <c r="ES34" s="3">
        <v>0</v>
      </c>
      <c r="ET34" s="3">
        <v>0</v>
      </c>
      <c r="EU34" s="3">
        <v>0</v>
      </c>
      <c r="EV34" s="3">
        <v>0</v>
      </c>
      <c r="EW34" s="3">
        <v>873014000</v>
      </c>
      <c r="EX34" s="3">
        <v>0</v>
      </c>
      <c r="EY34" s="3">
        <v>873014000</v>
      </c>
      <c r="EZ34" s="3">
        <v>0</v>
      </c>
      <c r="FA34" s="3">
        <v>873014000</v>
      </c>
      <c r="FB34" s="3">
        <v>0</v>
      </c>
      <c r="FC34" s="3">
        <v>873014000</v>
      </c>
      <c r="FD34" s="3">
        <v>50000000</v>
      </c>
      <c r="FE34" s="3">
        <v>823014000</v>
      </c>
      <c r="FF34" s="3">
        <v>0</v>
      </c>
      <c r="FG34" s="3">
        <v>873014000</v>
      </c>
      <c r="FH34" s="3">
        <v>50000000</v>
      </c>
      <c r="FI34" s="3">
        <v>823014000</v>
      </c>
      <c r="FJ34" s="3">
        <v>0</v>
      </c>
      <c r="FK34" s="3">
        <v>873014000</v>
      </c>
      <c r="FL34" s="3">
        <v>49876000</v>
      </c>
      <c r="FM34" s="3">
        <v>769772243</v>
      </c>
      <c r="FN34" s="3">
        <v>0</v>
      </c>
      <c r="FO34" s="3">
        <v>819648243</v>
      </c>
      <c r="FP34" s="3">
        <v>38054885.409999996</v>
      </c>
      <c r="FQ34" s="3">
        <v>162857.15</v>
      </c>
      <c r="FR34" s="3">
        <v>0</v>
      </c>
      <c r="FS34" s="3">
        <v>38217742.560000002</v>
      </c>
      <c r="FT34" s="3">
        <v>0</v>
      </c>
      <c r="FU34" s="3">
        <v>0</v>
      </c>
      <c r="FV34" s="3">
        <v>0</v>
      </c>
      <c r="FW34" s="3">
        <v>0</v>
      </c>
      <c r="FX34" s="3">
        <v>0</v>
      </c>
      <c r="FY34" s="3">
        <v>749919000</v>
      </c>
      <c r="FZ34" s="3">
        <v>0</v>
      </c>
      <c r="GA34" s="3">
        <v>749919000</v>
      </c>
      <c r="GB34" s="3">
        <v>0</v>
      </c>
      <c r="GC34" s="3">
        <v>749919000</v>
      </c>
      <c r="GD34" s="3">
        <v>0</v>
      </c>
      <c r="GE34" s="3">
        <v>749919000</v>
      </c>
      <c r="GF34" s="3">
        <v>138880262</v>
      </c>
      <c r="GG34" s="3">
        <v>611038738</v>
      </c>
      <c r="GH34" s="3">
        <v>0</v>
      </c>
      <c r="GI34" s="3">
        <v>749919000</v>
      </c>
      <c r="GJ34" s="3">
        <v>138880262</v>
      </c>
      <c r="GK34" s="3">
        <v>611038738</v>
      </c>
      <c r="GL34" s="3">
        <v>0</v>
      </c>
      <c r="GM34" s="3">
        <v>749919000</v>
      </c>
      <c r="GN34" s="3">
        <v>138830262.88</v>
      </c>
      <c r="GO34" s="3">
        <v>475271870</v>
      </c>
      <c r="GP34" s="3">
        <v>0</v>
      </c>
      <c r="GQ34" s="3">
        <v>614102132.88</v>
      </c>
      <c r="GR34" s="3">
        <v>138119062.88</v>
      </c>
      <c r="GS34" s="3">
        <v>73081324.829999998</v>
      </c>
      <c r="GT34" s="3">
        <v>0</v>
      </c>
      <c r="GU34" s="3">
        <v>211200387.71000001</v>
      </c>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row>
    <row r="35" spans="1:267" x14ac:dyDescent="0.25">
      <c r="A35" t="s">
        <v>197</v>
      </c>
      <c r="B35" t="s">
        <v>198</v>
      </c>
      <c r="C35" t="s">
        <v>199</v>
      </c>
      <c r="D35" t="s">
        <v>200</v>
      </c>
      <c r="E35" t="s">
        <v>241</v>
      </c>
      <c r="F35" t="s">
        <v>272</v>
      </c>
      <c r="G35" t="s">
        <v>273</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v>0</v>
      </c>
      <c r="DQ35" s="3">
        <v>0</v>
      </c>
      <c r="DR35" s="3">
        <v>0</v>
      </c>
      <c r="DS35" s="3">
        <v>0</v>
      </c>
      <c r="DT35" s="3">
        <v>0</v>
      </c>
      <c r="DU35" s="3">
        <v>2792970000</v>
      </c>
      <c r="DV35" s="3">
        <v>0</v>
      </c>
      <c r="DW35" s="3">
        <v>2792970000</v>
      </c>
      <c r="DX35" s="3">
        <v>0</v>
      </c>
      <c r="DY35" s="3">
        <v>2792970000</v>
      </c>
      <c r="DZ35" s="3">
        <v>0</v>
      </c>
      <c r="EA35" s="3">
        <v>2792970000</v>
      </c>
      <c r="EB35" s="3">
        <v>0</v>
      </c>
      <c r="EC35" s="3">
        <v>2792970000</v>
      </c>
      <c r="ED35" s="3">
        <v>0</v>
      </c>
      <c r="EE35" s="3">
        <v>2792970000</v>
      </c>
      <c r="EF35" s="3"/>
      <c r="EG35" s="3"/>
      <c r="EH35" s="3"/>
      <c r="EI35" s="3">
        <v>0</v>
      </c>
      <c r="EJ35" s="3"/>
      <c r="EK35" s="3"/>
      <c r="EL35" s="3"/>
      <c r="EM35" s="3">
        <v>0</v>
      </c>
      <c r="EN35" s="3">
        <v>0</v>
      </c>
      <c r="EO35" s="3">
        <v>0</v>
      </c>
      <c r="EP35" s="3">
        <v>0</v>
      </c>
      <c r="EQ35" s="3">
        <v>0</v>
      </c>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row>
    <row r="36" spans="1:267" x14ac:dyDescent="0.25">
      <c r="A36" t="s">
        <v>197</v>
      </c>
      <c r="B36" t="s">
        <v>198</v>
      </c>
      <c r="C36" t="s">
        <v>199</v>
      </c>
      <c r="D36" t="s">
        <v>200</v>
      </c>
      <c r="E36" t="s">
        <v>241</v>
      </c>
      <c r="F36" t="s">
        <v>274</v>
      </c>
      <c r="G36" t="s">
        <v>275</v>
      </c>
      <c r="H36" s="3">
        <v>0</v>
      </c>
      <c r="I36" s="3">
        <v>372511000</v>
      </c>
      <c r="J36" s="3">
        <v>0</v>
      </c>
      <c r="K36" s="3">
        <v>372511000</v>
      </c>
      <c r="L36" s="3">
        <v>0</v>
      </c>
      <c r="M36" s="3">
        <v>372511000</v>
      </c>
      <c r="N36" s="3">
        <v>0</v>
      </c>
      <c r="O36" s="3">
        <v>372511000</v>
      </c>
      <c r="P36" s="3">
        <v>0</v>
      </c>
      <c r="Q36" s="3">
        <v>372511000</v>
      </c>
      <c r="R36" s="3">
        <v>0</v>
      </c>
      <c r="S36" s="3">
        <v>372511000</v>
      </c>
      <c r="T36" s="3">
        <v>0</v>
      </c>
      <c r="U36" s="3">
        <v>372511000</v>
      </c>
      <c r="V36" s="3">
        <v>0</v>
      </c>
      <c r="W36" s="3">
        <v>372511000</v>
      </c>
      <c r="X36" s="3">
        <v>0</v>
      </c>
      <c r="Y36" s="3">
        <v>372511000</v>
      </c>
      <c r="Z36" s="3">
        <v>0</v>
      </c>
      <c r="AA36" s="3">
        <v>372511000</v>
      </c>
      <c r="AB36" s="3">
        <v>0</v>
      </c>
      <c r="AC36" s="3">
        <v>324745987.16000003</v>
      </c>
      <c r="AD36" s="3">
        <v>0</v>
      </c>
      <c r="AE36" s="3">
        <v>324745987.16000003</v>
      </c>
      <c r="AF36" s="3">
        <v>0</v>
      </c>
      <c r="AG36" s="3">
        <v>152642474.69999999</v>
      </c>
      <c r="AH36" s="3">
        <v>0</v>
      </c>
      <c r="AI36" s="3">
        <v>152642474.69999999</v>
      </c>
      <c r="AJ36" s="3">
        <v>0</v>
      </c>
      <c r="AK36" s="3">
        <v>219365000</v>
      </c>
      <c r="AL36" s="3">
        <v>0</v>
      </c>
      <c r="AM36" s="3">
        <v>219365000</v>
      </c>
      <c r="AN36" s="3">
        <v>0</v>
      </c>
      <c r="AO36" s="3">
        <v>219365000</v>
      </c>
      <c r="AP36" s="3">
        <v>0</v>
      </c>
      <c r="AQ36" s="3">
        <v>219365000</v>
      </c>
      <c r="AR36" s="3">
        <v>0</v>
      </c>
      <c r="AS36" s="3">
        <v>219365000</v>
      </c>
      <c r="AT36" s="3">
        <v>0</v>
      </c>
      <c r="AU36" s="3">
        <v>219365000</v>
      </c>
      <c r="AV36" s="3">
        <v>0</v>
      </c>
      <c r="AW36" s="3">
        <v>219365000</v>
      </c>
      <c r="AX36" s="3">
        <v>0</v>
      </c>
      <c r="AY36" s="3">
        <v>219365000</v>
      </c>
      <c r="AZ36" s="3">
        <v>0</v>
      </c>
      <c r="BA36" s="3">
        <v>219365000</v>
      </c>
      <c r="BB36" s="3">
        <v>0</v>
      </c>
      <c r="BC36" s="3">
        <v>219365000</v>
      </c>
      <c r="BD36" s="3">
        <v>0</v>
      </c>
      <c r="BE36" s="3">
        <v>200631723.33000001</v>
      </c>
      <c r="BF36" s="3">
        <v>0</v>
      </c>
      <c r="BG36" s="3">
        <v>200631723.33000001</v>
      </c>
      <c r="BH36" s="3">
        <v>0</v>
      </c>
      <c r="BI36" s="3">
        <v>69822170.239999995</v>
      </c>
      <c r="BJ36" s="3">
        <v>0</v>
      </c>
      <c r="BK36" s="3">
        <v>69822170.239999995</v>
      </c>
      <c r="BL36" s="3">
        <v>0</v>
      </c>
      <c r="BM36" s="3">
        <v>324465000</v>
      </c>
      <c r="BN36" s="3">
        <v>0</v>
      </c>
      <c r="BO36" s="3">
        <v>324465000</v>
      </c>
      <c r="BP36" s="3">
        <v>0</v>
      </c>
      <c r="BQ36" s="3">
        <v>324465000</v>
      </c>
      <c r="BR36" s="3">
        <v>0</v>
      </c>
      <c r="BS36" s="3">
        <v>324465000</v>
      </c>
      <c r="BT36" s="3">
        <v>0</v>
      </c>
      <c r="BU36" s="3">
        <v>324465000</v>
      </c>
      <c r="BV36" s="3">
        <v>0</v>
      </c>
      <c r="BW36" s="3">
        <v>324465000</v>
      </c>
      <c r="BX36" s="3">
        <v>0</v>
      </c>
      <c r="BY36" s="3">
        <v>324465000</v>
      </c>
      <c r="BZ36" s="3">
        <v>0</v>
      </c>
      <c r="CA36" s="3">
        <v>324465000</v>
      </c>
      <c r="CB36" s="3">
        <v>0</v>
      </c>
      <c r="CC36" s="3">
        <v>324465000</v>
      </c>
      <c r="CD36" s="3">
        <v>0</v>
      </c>
      <c r="CE36" s="3">
        <v>324465000</v>
      </c>
      <c r="CF36" s="3">
        <v>0</v>
      </c>
      <c r="CG36" s="3">
        <v>313391749.75</v>
      </c>
      <c r="CH36" s="3">
        <v>0</v>
      </c>
      <c r="CI36" s="3">
        <v>313391749.75</v>
      </c>
      <c r="CJ36" s="3">
        <v>0</v>
      </c>
      <c r="CK36" s="3">
        <v>293944633.17000002</v>
      </c>
      <c r="CL36" s="3">
        <v>0</v>
      </c>
      <c r="CM36" s="3">
        <v>293944633.17000002</v>
      </c>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row>
    <row r="37" spans="1:267" x14ac:dyDescent="0.25">
      <c r="A37" t="s">
        <v>197</v>
      </c>
      <c r="B37" t="s">
        <v>198</v>
      </c>
      <c r="C37" t="s">
        <v>199</v>
      </c>
      <c r="D37" t="s">
        <v>200</v>
      </c>
      <c r="E37" t="s">
        <v>241</v>
      </c>
      <c r="F37" t="s">
        <v>276</v>
      </c>
      <c r="G37" t="s">
        <v>277</v>
      </c>
      <c r="H37" s="3">
        <v>0</v>
      </c>
      <c r="I37" s="3">
        <v>583370000</v>
      </c>
      <c r="J37" s="3">
        <v>0</v>
      </c>
      <c r="K37" s="3">
        <v>583370000</v>
      </c>
      <c r="L37" s="3">
        <v>0</v>
      </c>
      <c r="M37" s="3">
        <v>583370000</v>
      </c>
      <c r="N37" s="3">
        <v>0</v>
      </c>
      <c r="O37" s="3">
        <v>583370000</v>
      </c>
      <c r="P37" s="3">
        <v>0</v>
      </c>
      <c r="Q37" s="3">
        <v>583370000</v>
      </c>
      <c r="R37" s="3">
        <v>0</v>
      </c>
      <c r="S37" s="3">
        <v>583370000</v>
      </c>
      <c r="T37" s="3">
        <v>0</v>
      </c>
      <c r="U37" s="3">
        <v>583370000</v>
      </c>
      <c r="V37" s="3">
        <v>0</v>
      </c>
      <c r="W37" s="3">
        <v>583370000</v>
      </c>
      <c r="X37" s="3">
        <v>0</v>
      </c>
      <c r="Y37" s="3">
        <v>583370000</v>
      </c>
      <c r="Z37" s="3">
        <v>0</v>
      </c>
      <c r="AA37" s="3">
        <v>583370000</v>
      </c>
      <c r="AB37" s="3">
        <v>0</v>
      </c>
      <c r="AC37" s="3">
        <v>508412748.07999998</v>
      </c>
      <c r="AD37" s="3">
        <v>0</v>
      </c>
      <c r="AE37" s="3">
        <v>508412748.07999998</v>
      </c>
      <c r="AF37" s="3">
        <v>0</v>
      </c>
      <c r="AG37" s="3">
        <v>0</v>
      </c>
      <c r="AH37" s="3">
        <v>0</v>
      </c>
      <c r="AI37" s="3">
        <v>0</v>
      </c>
      <c r="AJ37" s="3">
        <v>0</v>
      </c>
      <c r="AK37" s="3">
        <v>908360000</v>
      </c>
      <c r="AL37" s="3">
        <v>0</v>
      </c>
      <c r="AM37" s="3">
        <v>908360000</v>
      </c>
      <c r="AN37" s="3">
        <v>0</v>
      </c>
      <c r="AO37" s="3">
        <v>908360000</v>
      </c>
      <c r="AP37" s="3">
        <v>0</v>
      </c>
      <c r="AQ37" s="3">
        <v>908360000</v>
      </c>
      <c r="AR37" s="3">
        <v>0</v>
      </c>
      <c r="AS37" s="3">
        <v>908360000</v>
      </c>
      <c r="AT37" s="3">
        <v>0</v>
      </c>
      <c r="AU37" s="3">
        <v>908360000</v>
      </c>
      <c r="AV37" s="3">
        <v>0</v>
      </c>
      <c r="AW37" s="3">
        <v>908360000</v>
      </c>
      <c r="AX37" s="3">
        <v>0</v>
      </c>
      <c r="AY37" s="3">
        <v>908360000</v>
      </c>
      <c r="AZ37" s="3">
        <v>0</v>
      </c>
      <c r="BA37" s="3">
        <v>908360000</v>
      </c>
      <c r="BB37" s="3">
        <v>0</v>
      </c>
      <c r="BC37" s="3">
        <v>908360000</v>
      </c>
      <c r="BD37" s="3">
        <v>0</v>
      </c>
      <c r="BE37" s="3">
        <v>773872042.08000004</v>
      </c>
      <c r="BF37" s="3">
        <v>0</v>
      </c>
      <c r="BG37" s="3">
        <v>773872042.08000004</v>
      </c>
      <c r="BH37" s="3">
        <v>0</v>
      </c>
      <c r="BI37" s="3">
        <v>34122834.090000004</v>
      </c>
      <c r="BJ37" s="3">
        <v>0</v>
      </c>
      <c r="BK37" s="3">
        <v>34122834.090000004</v>
      </c>
      <c r="BL37" s="3">
        <v>0</v>
      </c>
      <c r="BM37" s="3">
        <v>500366000</v>
      </c>
      <c r="BN37" s="3">
        <v>0</v>
      </c>
      <c r="BO37" s="3">
        <v>500366000</v>
      </c>
      <c r="BP37" s="3">
        <v>0</v>
      </c>
      <c r="BQ37" s="3">
        <v>500366000</v>
      </c>
      <c r="BR37" s="3">
        <v>0</v>
      </c>
      <c r="BS37" s="3">
        <v>500366000</v>
      </c>
      <c r="BT37" s="3">
        <v>0</v>
      </c>
      <c r="BU37" s="3">
        <v>500366000</v>
      </c>
      <c r="BV37" s="3">
        <v>0</v>
      </c>
      <c r="BW37" s="3">
        <v>500366000</v>
      </c>
      <c r="BX37" s="3">
        <v>0</v>
      </c>
      <c r="BY37" s="3">
        <v>500366000</v>
      </c>
      <c r="BZ37" s="3">
        <v>0</v>
      </c>
      <c r="CA37" s="3">
        <v>500366000</v>
      </c>
      <c r="CB37" s="3">
        <v>0</v>
      </c>
      <c r="CC37" s="3">
        <v>500366000</v>
      </c>
      <c r="CD37" s="3">
        <v>0</v>
      </c>
      <c r="CE37" s="3">
        <v>500366000</v>
      </c>
      <c r="CF37" s="3">
        <v>0</v>
      </c>
      <c r="CG37" s="3">
        <v>480262408.5</v>
      </c>
      <c r="CH37" s="3">
        <v>0</v>
      </c>
      <c r="CI37" s="3">
        <v>480262408.5</v>
      </c>
      <c r="CJ37" s="3">
        <v>0</v>
      </c>
      <c r="CK37" s="3">
        <v>454108086.89999998</v>
      </c>
      <c r="CL37" s="3">
        <v>0</v>
      </c>
      <c r="CM37" s="3">
        <v>454108086.89999998</v>
      </c>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row>
    <row r="38" spans="1:267" x14ac:dyDescent="0.25">
      <c r="A38" t="s">
        <v>197</v>
      </c>
      <c r="B38" t="s">
        <v>198</v>
      </c>
      <c r="C38" t="s">
        <v>199</v>
      </c>
      <c r="D38" t="s">
        <v>200</v>
      </c>
      <c r="E38" t="s">
        <v>241</v>
      </c>
      <c r="F38" t="s">
        <v>278</v>
      </c>
      <c r="G38" t="s">
        <v>279</v>
      </c>
      <c r="H38" s="3">
        <v>0</v>
      </c>
      <c r="I38" s="3">
        <v>1693697000</v>
      </c>
      <c r="J38" s="3">
        <v>0</v>
      </c>
      <c r="K38" s="3">
        <v>1693697000</v>
      </c>
      <c r="L38" s="3">
        <v>0</v>
      </c>
      <c r="M38" s="3">
        <v>1693697000</v>
      </c>
      <c r="N38" s="3">
        <v>0</v>
      </c>
      <c r="O38" s="3">
        <v>1693697000</v>
      </c>
      <c r="P38" s="3">
        <v>0</v>
      </c>
      <c r="Q38" s="3">
        <v>1693697000</v>
      </c>
      <c r="R38" s="3">
        <v>0</v>
      </c>
      <c r="S38" s="3">
        <v>1693697000</v>
      </c>
      <c r="T38" s="3">
        <v>0</v>
      </c>
      <c r="U38" s="3">
        <v>1693697000</v>
      </c>
      <c r="V38" s="3">
        <v>0</v>
      </c>
      <c r="W38" s="3">
        <v>1693697000</v>
      </c>
      <c r="X38" s="3">
        <v>0</v>
      </c>
      <c r="Y38" s="3">
        <v>1693697000</v>
      </c>
      <c r="Z38" s="3">
        <v>0</v>
      </c>
      <c r="AA38" s="3">
        <v>1693697000</v>
      </c>
      <c r="AB38" s="3">
        <v>0</v>
      </c>
      <c r="AC38" s="3">
        <v>1409930994.1199999</v>
      </c>
      <c r="AD38" s="3">
        <v>0</v>
      </c>
      <c r="AE38" s="3">
        <v>1409930994.1199999</v>
      </c>
      <c r="AF38" s="3">
        <v>0</v>
      </c>
      <c r="AG38" s="3">
        <v>90149391.459999993</v>
      </c>
      <c r="AH38" s="3">
        <v>0</v>
      </c>
      <c r="AI38" s="3">
        <v>90149391.459999993</v>
      </c>
      <c r="AJ38" s="3">
        <v>0</v>
      </c>
      <c r="AK38" s="3">
        <v>738347000</v>
      </c>
      <c r="AL38" s="3">
        <v>0</v>
      </c>
      <c r="AM38" s="3">
        <v>738347000</v>
      </c>
      <c r="AN38" s="3">
        <v>0</v>
      </c>
      <c r="AO38" s="3">
        <v>738347000</v>
      </c>
      <c r="AP38" s="3">
        <v>0</v>
      </c>
      <c r="AQ38" s="3">
        <v>738347000</v>
      </c>
      <c r="AR38" s="3">
        <v>0</v>
      </c>
      <c r="AS38" s="3">
        <v>738347000</v>
      </c>
      <c r="AT38" s="3">
        <v>0</v>
      </c>
      <c r="AU38" s="3">
        <v>738347000</v>
      </c>
      <c r="AV38" s="3">
        <v>0</v>
      </c>
      <c r="AW38" s="3">
        <v>738347000</v>
      </c>
      <c r="AX38" s="3">
        <v>0</v>
      </c>
      <c r="AY38" s="3">
        <v>738347000</v>
      </c>
      <c r="AZ38" s="3">
        <v>0</v>
      </c>
      <c r="BA38" s="3">
        <v>738347000</v>
      </c>
      <c r="BB38" s="3">
        <v>0</v>
      </c>
      <c r="BC38" s="3">
        <v>738347000</v>
      </c>
      <c r="BD38" s="3">
        <v>0</v>
      </c>
      <c r="BE38" s="3">
        <v>716784468.00999999</v>
      </c>
      <c r="BF38" s="3">
        <v>0</v>
      </c>
      <c r="BG38" s="3">
        <v>716784468.00999999</v>
      </c>
      <c r="BH38" s="3">
        <v>0</v>
      </c>
      <c r="BI38" s="3">
        <v>308133393.62</v>
      </c>
      <c r="BJ38" s="3">
        <v>0</v>
      </c>
      <c r="BK38" s="3">
        <v>308133393.62</v>
      </c>
      <c r="BL38" s="3">
        <v>0</v>
      </c>
      <c r="BM38" s="3">
        <v>1018345000</v>
      </c>
      <c r="BN38" s="3">
        <v>0</v>
      </c>
      <c r="BO38" s="3">
        <v>1018345000</v>
      </c>
      <c r="BP38" s="3">
        <v>0</v>
      </c>
      <c r="BQ38" s="3">
        <v>1058345000</v>
      </c>
      <c r="BR38" s="3">
        <v>0</v>
      </c>
      <c r="BS38" s="3">
        <v>1058345000</v>
      </c>
      <c r="BT38" s="3">
        <v>0</v>
      </c>
      <c r="BU38" s="3">
        <v>1058345000</v>
      </c>
      <c r="BV38" s="3">
        <v>0</v>
      </c>
      <c r="BW38" s="3">
        <v>1058345000</v>
      </c>
      <c r="BX38" s="3">
        <v>0</v>
      </c>
      <c r="BY38" s="3">
        <v>1058345000</v>
      </c>
      <c r="BZ38" s="3">
        <v>0</v>
      </c>
      <c r="CA38" s="3">
        <v>1058345000</v>
      </c>
      <c r="CB38" s="3">
        <v>0</v>
      </c>
      <c r="CC38" s="3">
        <v>1058345000</v>
      </c>
      <c r="CD38" s="3">
        <v>0</v>
      </c>
      <c r="CE38" s="3">
        <v>1058345000</v>
      </c>
      <c r="CF38" s="3">
        <v>0</v>
      </c>
      <c r="CG38" s="3">
        <v>957373134.14999998</v>
      </c>
      <c r="CH38" s="3">
        <v>0</v>
      </c>
      <c r="CI38" s="3">
        <v>957373134.14999998</v>
      </c>
      <c r="CJ38" s="3">
        <v>0</v>
      </c>
      <c r="CK38" s="3">
        <v>322734938.97000003</v>
      </c>
      <c r="CL38" s="3">
        <v>0</v>
      </c>
      <c r="CM38" s="3">
        <v>322734938.97000003</v>
      </c>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row>
    <row r="39" spans="1:267" x14ac:dyDescent="0.25">
      <c r="A39" t="s">
        <v>197</v>
      </c>
      <c r="B39" t="s">
        <v>198</v>
      </c>
      <c r="C39" t="s">
        <v>199</v>
      </c>
      <c r="D39" t="s">
        <v>200</v>
      </c>
      <c r="E39" t="s">
        <v>241</v>
      </c>
      <c r="F39" t="s">
        <v>280</v>
      </c>
      <c r="G39" t="s">
        <v>281</v>
      </c>
      <c r="H39" s="3">
        <v>0</v>
      </c>
      <c r="I39" s="3">
        <v>784950000</v>
      </c>
      <c r="J39" s="3">
        <v>0</v>
      </c>
      <c r="K39" s="3">
        <v>784950000</v>
      </c>
      <c r="L39" s="3">
        <v>0</v>
      </c>
      <c r="M39" s="3">
        <v>784950000</v>
      </c>
      <c r="N39" s="3">
        <v>0</v>
      </c>
      <c r="O39" s="3">
        <v>784950000</v>
      </c>
      <c r="P39" s="3">
        <v>0</v>
      </c>
      <c r="Q39" s="3">
        <v>784950000</v>
      </c>
      <c r="R39" s="3">
        <v>0</v>
      </c>
      <c r="S39" s="3">
        <v>784950000</v>
      </c>
      <c r="T39" s="3">
        <v>0</v>
      </c>
      <c r="U39" s="3">
        <v>784950000</v>
      </c>
      <c r="V39" s="3">
        <v>0</v>
      </c>
      <c r="W39" s="3">
        <v>784950000</v>
      </c>
      <c r="X39" s="3">
        <v>0</v>
      </c>
      <c r="Y39" s="3">
        <v>784950000</v>
      </c>
      <c r="Z39" s="3">
        <v>0</v>
      </c>
      <c r="AA39" s="3">
        <v>784950000</v>
      </c>
      <c r="AB39" s="3">
        <v>0</v>
      </c>
      <c r="AC39" s="3">
        <v>479175000</v>
      </c>
      <c r="AD39" s="3">
        <v>0</v>
      </c>
      <c r="AE39" s="3">
        <v>479175000</v>
      </c>
      <c r="AF39" s="3">
        <v>0</v>
      </c>
      <c r="AG39" s="3">
        <v>0</v>
      </c>
      <c r="AH39" s="3">
        <v>0</v>
      </c>
      <c r="AI39" s="3">
        <v>0</v>
      </c>
      <c r="AJ39" s="3">
        <v>0</v>
      </c>
      <c r="AK39" s="3">
        <v>880129000</v>
      </c>
      <c r="AL39" s="3">
        <v>0</v>
      </c>
      <c r="AM39" s="3">
        <v>880129000</v>
      </c>
      <c r="AN39" s="3">
        <v>0</v>
      </c>
      <c r="AO39" s="3">
        <v>880129000</v>
      </c>
      <c r="AP39" s="3">
        <v>0</v>
      </c>
      <c r="AQ39" s="3">
        <v>880129000</v>
      </c>
      <c r="AR39" s="3">
        <v>0</v>
      </c>
      <c r="AS39" s="3">
        <v>880129000</v>
      </c>
      <c r="AT39" s="3">
        <v>0</v>
      </c>
      <c r="AU39" s="3">
        <v>880129000</v>
      </c>
      <c r="AV39" s="3">
        <v>0</v>
      </c>
      <c r="AW39" s="3">
        <v>880129000</v>
      </c>
      <c r="AX39" s="3">
        <v>0</v>
      </c>
      <c r="AY39" s="3">
        <v>880129000</v>
      </c>
      <c r="AZ39" s="3">
        <v>0</v>
      </c>
      <c r="BA39" s="3">
        <v>880129000</v>
      </c>
      <c r="BB39" s="3">
        <v>0</v>
      </c>
      <c r="BC39" s="3">
        <v>880129000</v>
      </c>
      <c r="BD39" s="3">
        <v>0</v>
      </c>
      <c r="BE39" s="3">
        <v>873372435.60000002</v>
      </c>
      <c r="BF39" s="3">
        <v>0</v>
      </c>
      <c r="BG39" s="3">
        <v>873372435.60000002</v>
      </c>
      <c r="BH39" s="3">
        <v>0</v>
      </c>
      <c r="BI39" s="3">
        <v>450495159.88999999</v>
      </c>
      <c r="BJ39" s="3">
        <v>0</v>
      </c>
      <c r="BK39" s="3">
        <v>450495159.88999999</v>
      </c>
      <c r="BL39" s="3">
        <v>0</v>
      </c>
      <c r="BM39" s="3">
        <v>493944000</v>
      </c>
      <c r="BN39" s="3">
        <v>420000000</v>
      </c>
      <c r="BO39" s="3">
        <v>913944000</v>
      </c>
      <c r="BP39" s="3">
        <v>0</v>
      </c>
      <c r="BQ39" s="3">
        <v>528944000</v>
      </c>
      <c r="BR39" s="3">
        <v>420000000</v>
      </c>
      <c r="BS39" s="3">
        <v>948944000</v>
      </c>
      <c r="BT39" s="3">
        <v>0</v>
      </c>
      <c r="BU39" s="3">
        <v>528944000</v>
      </c>
      <c r="BV39" s="3">
        <v>420000000</v>
      </c>
      <c r="BW39" s="3">
        <v>948944000</v>
      </c>
      <c r="BX39" s="3">
        <v>0</v>
      </c>
      <c r="BY39" s="3">
        <v>528944000</v>
      </c>
      <c r="BZ39" s="3">
        <v>420000000</v>
      </c>
      <c r="CA39" s="3">
        <v>948944000</v>
      </c>
      <c r="CB39" s="3">
        <v>0</v>
      </c>
      <c r="CC39" s="3">
        <v>528944000</v>
      </c>
      <c r="CD39" s="3">
        <v>420000000</v>
      </c>
      <c r="CE39" s="3">
        <v>948944000</v>
      </c>
      <c r="CF39" s="3">
        <v>0</v>
      </c>
      <c r="CG39" s="3">
        <v>523126411.19999999</v>
      </c>
      <c r="CH39" s="3">
        <v>418003500</v>
      </c>
      <c r="CI39" s="3">
        <v>941129911.20000005</v>
      </c>
      <c r="CJ39" s="3">
        <v>0</v>
      </c>
      <c r="CK39" s="3">
        <v>92661308.780000001</v>
      </c>
      <c r="CL39" s="3">
        <v>418003500</v>
      </c>
      <c r="CM39" s="3">
        <v>510664808.77999997</v>
      </c>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row>
    <row r="40" spans="1:267" x14ac:dyDescent="0.25">
      <c r="A40" t="s">
        <v>197</v>
      </c>
      <c r="B40" t="s">
        <v>198</v>
      </c>
      <c r="C40" t="s">
        <v>199</v>
      </c>
      <c r="D40" t="s">
        <v>200</v>
      </c>
      <c r="E40" t="s">
        <v>241</v>
      </c>
      <c r="F40" t="s">
        <v>282</v>
      </c>
      <c r="G40" t="s">
        <v>283</v>
      </c>
      <c r="H40" s="3">
        <v>0</v>
      </c>
      <c r="I40" s="3">
        <v>13317000</v>
      </c>
      <c r="J40" s="3">
        <v>0</v>
      </c>
      <c r="K40" s="3">
        <v>13317000</v>
      </c>
      <c r="L40" s="3">
        <v>0</v>
      </c>
      <c r="M40" s="3">
        <v>13317000</v>
      </c>
      <c r="N40" s="3">
        <v>0</v>
      </c>
      <c r="O40" s="3">
        <v>13317000</v>
      </c>
      <c r="P40" s="3">
        <v>0</v>
      </c>
      <c r="Q40" s="3">
        <v>13317000</v>
      </c>
      <c r="R40" s="3">
        <v>0</v>
      </c>
      <c r="S40" s="3">
        <v>13317000</v>
      </c>
      <c r="T40" s="3">
        <v>0</v>
      </c>
      <c r="U40" s="3">
        <v>13317000</v>
      </c>
      <c r="V40" s="3">
        <v>0</v>
      </c>
      <c r="W40" s="3">
        <v>13317000</v>
      </c>
      <c r="X40" s="3">
        <v>0</v>
      </c>
      <c r="Y40" s="3">
        <v>13317000</v>
      </c>
      <c r="Z40" s="3">
        <v>0</v>
      </c>
      <c r="AA40" s="3">
        <v>13317000</v>
      </c>
      <c r="AB40" s="3">
        <v>0</v>
      </c>
      <c r="AC40" s="3">
        <v>13317000</v>
      </c>
      <c r="AD40" s="3">
        <v>0</v>
      </c>
      <c r="AE40" s="3">
        <v>13317000</v>
      </c>
      <c r="AF40" s="3">
        <v>0</v>
      </c>
      <c r="AG40" s="3">
        <v>13317000</v>
      </c>
      <c r="AH40" s="3">
        <v>0</v>
      </c>
      <c r="AI40" s="3">
        <v>13317000</v>
      </c>
      <c r="AJ40" s="3">
        <v>0</v>
      </c>
      <c r="AK40" s="3">
        <v>13557000</v>
      </c>
      <c r="AL40" s="3">
        <v>0</v>
      </c>
      <c r="AM40" s="3">
        <v>13557000</v>
      </c>
      <c r="AN40" s="3">
        <v>0</v>
      </c>
      <c r="AO40" s="3">
        <v>13557000</v>
      </c>
      <c r="AP40" s="3">
        <v>0</v>
      </c>
      <c r="AQ40" s="3">
        <v>13557000</v>
      </c>
      <c r="AR40" s="3">
        <v>0</v>
      </c>
      <c r="AS40" s="3">
        <v>13557000</v>
      </c>
      <c r="AT40" s="3">
        <v>0</v>
      </c>
      <c r="AU40" s="3">
        <v>13557000</v>
      </c>
      <c r="AV40" s="3">
        <v>0</v>
      </c>
      <c r="AW40" s="3">
        <v>13557000</v>
      </c>
      <c r="AX40" s="3">
        <v>0</v>
      </c>
      <c r="AY40" s="3">
        <v>13557000</v>
      </c>
      <c r="AZ40" s="3">
        <v>0</v>
      </c>
      <c r="BA40" s="3">
        <v>13557000</v>
      </c>
      <c r="BB40" s="3">
        <v>0</v>
      </c>
      <c r="BC40" s="3">
        <v>13557000</v>
      </c>
      <c r="BD40" s="3">
        <v>0</v>
      </c>
      <c r="BE40" s="3">
        <v>13557000</v>
      </c>
      <c r="BF40" s="3">
        <v>0</v>
      </c>
      <c r="BG40" s="3">
        <v>13557000</v>
      </c>
      <c r="BH40" s="3">
        <v>0</v>
      </c>
      <c r="BI40" s="3">
        <v>13557000</v>
      </c>
      <c r="BJ40" s="3">
        <v>0</v>
      </c>
      <c r="BK40" s="3">
        <v>13557000</v>
      </c>
      <c r="BL40" s="3">
        <v>0</v>
      </c>
      <c r="BM40" s="3">
        <v>13800000</v>
      </c>
      <c r="BN40" s="3">
        <v>0</v>
      </c>
      <c r="BO40" s="3">
        <v>13800000</v>
      </c>
      <c r="BP40" s="3">
        <v>0</v>
      </c>
      <c r="BQ40" s="3">
        <v>13800000</v>
      </c>
      <c r="BR40" s="3">
        <v>0</v>
      </c>
      <c r="BS40" s="3">
        <v>13800000</v>
      </c>
      <c r="BT40" s="3">
        <v>0</v>
      </c>
      <c r="BU40" s="3">
        <v>13800000</v>
      </c>
      <c r="BV40" s="3">
        <v>0</v>
      </c>
      <c r="BW40" s="3">
        <v>13800000</v>
      </c>
      <c r="BX40" s="3">
        <v>0</v>
      </c>
      <c r="BY40" s="3">
        <v>13800000</v>
      </c>
      <c r="BZ40" s="3">
        <v>0</v>
      </c>
      <c r="CA40" s="3">
        <v>13800000</v>
      </c>
      <c r="CB40" s="3">
        <v>0</v>
      </c>
      <c r="CC40" s="3">
        <v>13800000</v>
      </c>
      <c r="CD40" s="3">
        <v>0</v>
      </c>
      <c r="CE40" s="3">
        <v>13800000</v>
      </c>
      <c r="CF40" s="3">
        <v>0</v>
      </c>
      <c r="CG40" s="3">
        <v>13800000</v>
      </c>
      <c r="CH40" s="3">
        <v>0</v>
      </c>
      <c r="CI40" s="3">
        <v>13800000</v>
      </c>
      <c r="CJ40" s="3">
        <v>0</v>
      </c>
      <c r="CK40" s="3">
        <v>13800000</v>
      </c>
      <c r="CL40" s="3">
        <v>0</v>
      </c>
      <c r="CM40" s="3">
        <v>13800000</v>
      </c>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row>
    <row r="41" spans="1:267" x14ac:dyDescent="0.25">
      <c r="A41" t="s">
        <v>197</v>
      </c>
      <c r="B41" t="s">
        <v>198</v>
      </c>
      <c r="C41" t="s">
        <v>199</v>
      </c>
      <c r="D41" t="s">
        <v>200</v>
      </c>
      <c r="E41" t="s">
        <v>241</v>
      </c>
      <c r="F41" t="s">
        <v>284</v>
      </c>
      <c r="G41" t="s">
        <v>285</v>
      </c>
      <c r="H41" s="3">
        <v>0</v>
      </c>
      <c r="I41" s="3">
        <v>381655000</v>
      </c>
      <c r="J41" s="3">
        <v>0</v>
      </c>
      <c r="K41" s="3">
        <v>381655000</v>
      </c>
      <c r="L41" s="3">
        <v>0</v>
      </c>
      <c r="M41" s="3">
        <v>431655000</v>
      </c>
      <c r="N41" s="3">
        <v>0</v>
      </c>
      <c r="O41" s="3">
        <v>431655000</v>
      </c>
      <c r="P41" s="3">
        <v>0</v>
      </c>
      <c r="Q41" s="3">
        <v>431655000</v>
      </c>
      <c r="R41" s="3">
        <v>0</v>
      </c>
      <c r="S41" s="3">
        <v>431655000</v>
      </c>
      <c r="T41" s="3">
        <v>0</v>
      </c>
      <c r="U41" s="3">
        <v>431655000</v>
      </c>
      <c r="V41" s="3">
        <v>0</v>
      </c>
      <c r="W41" s="3">
        <v>431655000</v>
      </c>
      <c r="X41" s="3">
        <v>0</v>
      </c>
      <c r="Y41" s="3">
        <v>381655000</v>
      </c>
      <c r="Z41" s="3">
        <v>0</v>
      </c>
      <c r="AA41" s="3">
        <v>381655000</v>
      </c>
      <c r="AB41" s="3">
        <v>0</v>
      </c>
      <c r="AC41" s="3">
        <v>312077189</v>
      </c>
      <c r="AD41" s="3">
        <v>0</v>
      </c>
      <c r="AE41" s="3">
        <v>312077189</v>
      </c>
      <c r="AF41" s="3">
        <v>0</v>
      </c>
      <c r="AG41" s="3">
        <v>19619049.460000001</v>
      </c>
      <c r="AH41" s="3">
        <v>0</v>
      </c>
      <c r="AI41" s="3">
        <v>19619049.460000001</v>
      </c>
      <c r="AJ41" s="3">
        <v>0</v>
      </c>
      <c r="AK41" s="3">
        <v>555713000</v>
      </c>
      <c r="AL41" s="3">
        <v>0</v>
      </c>
      <c r="AM41" s="3">
        <v>555713000</v>
      </c>
      <c r="AN41" s="3">
        <v>0</v>
      </c>
      <c r="AO41" s="3">
        <v>605713000</v>
      </c>
      <c r="AP41" s="3">
        <v>0</v>
      </c>
      <c r="AQ41" s="3">
        <v>605713000</v>
      </c>
      <c r="AR41" s="3">
        <v>0</v>
      </c>
      <c r="AS41" s="3">
        <v>605713000</v>
      </c>
      <c r="AT41" s="3">
        <v>0</v>
      </c>
      <c r="AU41" s="3">
        <v>605713000</v>
      </c>
      <c r="AV41" s="3">
        <v>0</v>
      </c>
      <c r="AW41" s="3">
        <v>605713000</v>
      </c>
      <c r="AX41" s="3">
        <v>0</v>
      </c>
      <c r="AY41" s="3">
        <v>605713000</v>
      </c>
      <c r="AZ41" s="3">
        <v>0</v>
      </c>
      <c r="BA41" s="3">
        <v>555713000</v>
      </c>
      <c r="BB41" s="3">
        <v>0</v>
      </c>
      <c r="BC41" s="3">
        <v>555713000</v>
      </c>
      <c r="BD41" s="3">
        <v>0</v>
      </c>
      <c r="BE41" s="3">
        <v>470364312.88999999</v>
      </c>
      <c r="BF41" s="3">
        <v>0</v>
      </c>
      <c r="BG41" s="3">
        <v>470364312.88999999</v>
      </c>
      <c r="BH41" s="3">
        <v>0</v>
      </c>
      <c r="BI41" s="3">
        <v>65395074.859999999</v>
      </c>
      <c r="BJ41" s="3">
        <v>0</v>
      </c>
      <c r="BK41" s="3">
        <v>65395074.859999999</v>
      </c>
      <c r="BL41" s="3">
        <v>0</v>
      </c>
      <c r="BM41" s="3">
        <v>509063000</v>
      </c>
      <c r="BN41" s="3">
        <v>0</v>
      </c>
      <c r="BO41" s="3">
        <v>509063000</v>
      </c>
      <c r="BP41" s="3">
        <v>0</v>
      </c>
      <c r="BQ41" s="3">
        <v>509063000</v>
      </c>
      <c r="BR41" s="3">
        <v>0</v>
      </c>
      <c r="BS41" s="3">
        <v>509063000</v>
      </c>
      <c r="BT41" s="3">
        <v>0</v>
      </c>
      <c r="BU41" s="3">
        <v>509063000</v>
      </c>
      <c r="BV41" s="3">
        <v>0</v>
      </c>
      <c r="BW41" s="3">
        <v>509063000</v>
      </c>
      <c r="BX41" s="3">
        <v>0</v>
      </c>
      <c r="BY41" s="3">
        <v>509063000</v>
      </c>
      <c r="BZ41" s="3">
        <v>0</v>
      </c>
      <c r="CA41" s="3">
        <v>509063000</v>
      </c>
      <c r="CB41" s="3">
        <v>0</v>
      </c>
      <c r="CC41" s="3">
        <v>509063000</v>
      </c>
      <c r="CD41" s="3">
        <v>0</v>
      </c>
      <c r="CE41" s="3">
        <v>509063000</v>
      </c>
      <c r="CF41" s="3">
        <v>0</v>
      </c>
      <c r="CG41" s="3">
        <v>508826332.79000002</v>
      </c>
      <c r="CH41" s="3">
        <v>0</v>
      </c>
      <c r="CI41" s="3">
        <v>508826332.79000002</v>
      </c>
      <c r="CJ41" s="3">
        <v>0</v>
      </c>
      <c r="CK41" s="3">
        <v>393085401.37</v>
      </c>
      <c r="CL41" s="3">
        <v>0</v>
      </c>
      <c r="CM41" s="3">
        <v>393085401.37</v>
      </c>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row>
    <row r="42" spans="1:267" x14ac:dyDescent="0.25">
      <c r="A42" t="s">
        <v>197</v>
      </c>
      <c r="B42" t="s">
        <v>198</v>
      </c>
      <c r="C42" t="s">
        <v>199</v>
      </c>
      <c r="D42" t="s">
        <v>200</v>
      </c>
      <c r="E42" t="s">
        <v>241</v>
      </c>
      <c r="F42" t="s">
        <v>286</v>
      </c>
      <c r="G42" t="s">
        <v>287</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v>0</v>
      </c>
      <c r="CO42" s="3">
        <v>5987253000</v>
      </c>
      <c r="CP42" s="3">
        <v>0</v>
      </c>
      <c r="CQ42" s="3">
        <v>5987253000</v>
      </c>
      <c r="CR42" s="3">
        <v>0</v>
      </c>
      <c r="CS42" s="3">
        <v>8220953000</v>
      </c>
      <c r="CT42" s="3">
        <v>0</v>
      </c>
      <c r="CU42" s="3">
        <v>8220953000</v>
      </c>
      <c r="CV42" s="3">
        <v>0</v>
      </c>
      <c r="CW42" s="3">
        <v>8220953000</v>
      </c>
      <c r="CX42" s="3">
        <v>0</v>
      </c>
      <c r="CY42" s="3">
        <v>8220953000</v>
      </c>
      <c r="CZ42" s="3">
        <v>0</v>
      </c>
      <c r="DA42" s="3">
        <v>8220953000</v>
      </c>
      <c r="DB42" s="3">
        <v>0</v>
      </c>
      <c r="DC42" s="3">
        <v>8220953000</v>
      </c>
      <c r="DD42" s="3">
        <v>0</v>
      </c>
      <c r="DE42" s="3">
        <v>8220953000</v>
      </c>
      <c r="DF42" s="3">
        <v>0</v>
      </c>
      <c r="DG42" s="3">
        <v>8220953000</v>
      </c>
      <c r="DH42" s="3">
        <v>0</v>
      </c>
      <c r="DI42" s="3">
        <v>7950858611.8699999</v>
      </c>
      <c r="DJ42" s="3">
        <v>0</v>
      </c>
      <c r="DK42" s="3">
        <v>7950858611.8699999</v>
      </c>
      <c r="DL42" s="3">
        <v>0</v>
      </c>
      <c r="DM42" s="3">
        <v>3731688088.8499999</v>
      </c>
      <c r="DN42" s="3">
        <v>0</v>
      </c>
      <c r="DO42" s="3">
        <v>3731688088.8499999</v>
      </c>
      <c r="DP42" s="3">
        <v>0</v>
      </c>
      <c r="DQ42" s="3">
        <v>8151900000</v>
      </c>
      <c r="DR42" s="3">
        <v>0</v>
      </c>
      <c r="DS42" s="3">
        <v>8151900000</v>
      </c>
      <c r="DT42" s="3">
        <v>0</v>
      </c>
      <c r="DU42" s="3">
        <v>10013488000</v>
      </c>
      <c r="DV42" s="3">
        <v>0</v>
      </c>
      <c r="DW42" s="3">
        <v>10013488000</v>
      </c>
      <c r="DX42" s="3">
        <v>0</v>
      </c>
      <c r="DY42" s="3">
        <v>10013488000</v>
      </c>
      <c r="DZ42" s="3">
        <v>0</v>
      </c>
      <c r="EA42" s="3">
        <v>10013488000</v>
      </c>
      <c r="EB42" s="3">
        <v>1197534226</v>
      </c>
      <c r="EC42" s="3">
        <v>8815953774</v>
      </c>
      <c r="ED42" s="3">
        <v>0</v>
      </c>
      <c r="EE42" s="3">
        <v>10013488000</v>
      </c>
      <c r="EF42" s="3">
        <v>1197534226</v>
      </c>
      <c r="EG42" s="3">
        <v>8815953774</v>
      </c>
      <c r="EH42" s="3">
        <v>0</v>
      </c>
      <c r="EI42" s="3">
        <v>10013488000</v>
      </c>
      <c r="EJ42" s="3">
        <v>1182761617.0799999</v>
      </c>
      <c r="EK42" s="3">
        <v>2517438867.5700002</v>
      </c>
      <c r="EL42" s="3">
        <v>0</v>
      </c>
      <c r="EM42" s="3">
        <v>3700200484.6500001</v>
      </c>
      <c r="EN42" s="3">
        <v>813861579</v>
      </c>
      <c r="EO42" s="3">
        <v>850267950.99000001</v>
      </c>
      <c r="EP42" s="3">
        <v>0</v>
      </c>
      <c r="EQ42" s="3">
        <v>1664129530.3499999</v>
      </c>
      <c r="ER42" s="3">
        <v>0</v>
      </c>
      <c r="ES42" s="3">
        <v>5842377000</v>
      </c>
      <c r="ET42" s="3">
        <v>0</v>
      </c>
      <c r="EU42" s="3">
        <v>5842377000</v>
      </c>
      <c r="EV42" s="3">
        <v>0</v>
      </c>
      <c r="EW42" s="3">
        <v>5792939000</v>
      </c>
      <c r="EX42" s="3">
        <v>0</v>
      </c>
      <c r="EY42" s="3">
        <v>5792939000</v>
      </c>
      <c r="EZ42" s="3">
        <v>0</v>
      </c>
      <c r="FA42" s="3">
        <v>5792939000</v>
      </c>
      <c r="FB42" s="3">
        <v>0</v>
      </c>
      <c r="FC42" s="3">
        <v>5792939000</v>
      </c>
      <c r="FD42" s="3">
        <v>281600000</v>
      </c>
      <c r="FE42" s="3">
        <v>5511339000</v>
      </c>
      <c r="FF42" s="3">
        <v>0</v>
      </c>
      <c r="FG42" s="3">
        <v>5792939000</v>
      </c>
      <c r="FH42" s="3">
        <v>281600000</v>
      </c>
      <c r="FI42" s="3">
        <v>5511339000</v>
      </c>
      <c r="FJ42" s="3">
        <v>0</v>
      </c>
      <c r="FK42" s="3">
        <v>5792939000</v>
      </c>
      <c r="FL42" s="3">
        <v>281295252.01999998</v>
      </c>
      <c r="FM42" s="3">
        <v>3913035693.6500001</v>
      </c>
      <c r="FN42" s="3">
        <v>0</v>
      </c>
      <c r="FO42" s="3">
        <v>4194330945.6700001</v>
      </c>
      <c r="FP42" s="3">
        <v>279931973.07999998</v>
      </c>
      <c r="FQ42" s="3">
        <v>1653358759.6800001</v>
      </c>
      <c r="FR42" s="3">
        <v>0</v>
      </c>
      <c r="FS42" s="3">
        <v>1933290732.76</v>
      </c>
      <c r="FT42" s="3">
        <v>0</v>
      </c>
      <c r="FU42" s="3">
        <v>4758032000</v>
      </c>
      <c r="FV42" s="3">
        <v>0</v>
      </c>
      <c r="FW42" s="3">
        <v>4758032000</v>
      </c>
      <c r="FX42" s="3">
        <v>0</v>
      </c>
      <c r="FY42" s="3">
        <v>5953032000</v>
      </c>
      <c r="FZ42" s="3">
        <v>285000000</v>
      </c>
      <c r="GA42" s="3">
        <v>6238032000</v>
      </c>
      <c r="GB42" s="3">
        <v>0</v>
      </c>
      <c r="GC42" s="3">
        <v>5953032000</v>
      </c>
      <c r="GD42" s="3">
        <v>285000000</v>
      </c>
      <c r="GE42" s="3">
        <v>6238032000</v>
      </c>
      <c r="GF42" s="3">
        <v>1723828</v>
      </c>
      <c r="GG42" s="3">
        <v>5951308172</v>
      </c>
      <c r="GH42" s="3">
        <v>285000000</v>
      </c>
      <c r="GI42" s="3">
        <v>6238032000</v>
      </c>
      <c r="GJ42" s="3">
        <v>1723828</v>
      </c>
      <c r="GK42" s="3">
        <v>5951308172</v>
      </c>
      <c r="GL42" s="3">
        <v>285000000</v>
      </c>
      <c r="GM42" s="3">
        <v>6238032000</v>
      </c>
      <c r="GN42" s="3">
        <v>1723828</v>
      </c>
      <c r="GO42" s="3">
        <v>4537124624.2299995</v>
      </c>
      <c r="GP42" s="3">
        <v>284082140</v>
      </c>
      <c r="GQ42" s="3">
        <v>4822930592.2299995</v>
      </c>
      <c r="GR42" s="3">
        <v>1723828</v>
      </c>
      <c r="GS42" s="3">
        <v>2076223142.52</v>
      </c>
      <c r="GT42" s="3">
        <v>282418242.86000001</v>
      </c>
      <c r="GU42" s="3">
        <v>2360365213.3800001</v>
      </c>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row>
    <row r="43" spans="1:267" x14ac:dyDescent="0.25">
      <c r="A43" t="s">
        <v>197</v>
      </c>
      <c r="B43" t="s">
        <v>198</v>
      </c>
      <c r="C43" t="s">
        <v>199</v>
      </c>
      <c r="D43" t="s">
        <v>200</v>
      </c>
      <c r="E43" t="s">
        <v>241</v>
      </c>
      <c r="F43" t="s">
        <v>288</v>
      </c>
      <c r="G43" t="s">
        <v>283</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v>0</v>
      </c>
      <c r="CO43" s="3">
        <v>14048000</v>
      </c>
      <c r="CP43" s="3">
        <v>0</v>
      </c>
      <c r="CQ43" s="3">
        <v>14048000</v>
      </c>
      <c r="CR43" s="3">
        <v>0</v>
      </c>
      <c r="CS43" s="3">
        <v>14048000</v>
      </c>
      <c r="CT43" s="3">
        <v>0</v>
      </c>
      <c r="CU43" s="3">
        <v>14048000</v>
      </c>
      <c r="CV43" s="3">
        <v>0</v>
      </c>
      <c r="CW43" s="3">
        <v>14048000</v>
      </c>
      <c r="CX43" s="3">
        <v>0</v>
      </c>
      <c r="CY43" s="3">
        <v>14048000</v>
      </c>
      <c r="CZ43" s="3">
        <v>0</v>
      </c>
      <c r="DA43" s="3">
        <v>14048000</v>
      </c>
      <c r="DB43" s="3">
        <v>0</v>
      </c>
      <c r="DC43" s="3">
        <v>14048000</v>
      </c>
      <c r="DD43" s="3">
        <v>0</v>
      </c>
      <c r="DE43" s="3">
        <v>14048000</v>
      </c>
      <c r="DF43" s="3">
        <v>0</v>
      </c>
      <c r="DG43" s="3">
        <v>14048000</v>
      </c>
      <c r="DH43" s="3">
        <v>0</v>
      </c>
      <c r="DI43" s="3">
        <v>14048000</v>
      </c>
      <c r="DJ43" s="3">
        <v>0</v>
      </c>
      <c r="DK43" s="3">
        <v>14048000</v>
      </c>
      <c r="DL43" s="3">
        <v>0</v>
      </c>
      <c r="DM43" s="3">
        <v>14048000</v>
      </c>
      <c r="DN43" s="3">
        <v>0</v>
      </c>
      <c r="DO43" s="3">
        <v>14048000</v>
      </c>
      <c r="DP43" s="3">
        <v>0</v>
      </c>
      <c r="DQ43" s="3">
        <v>14301000</v>
      </c>
      <c r="DR43" s="3">
        <v>0</v>
      </c>
      <c r="DS43" s="3">
        <v>14301000</v>
      </c>
      <c r="DT43" s="3">
        <v>0</v>
      </c>
      <c r="DU43" s="3">
        <v>14301000</v>
      </c>
      <c r="DV43" s="3">
        <v>0</v>
      </c>
      <c r="DW43" s="3">
        <v>14301000</v>
      </c>
      <c r="DX43" s="3">
        <v>0</v>
      </c>
      <c r="DY43" s="3">
        <v>14301000</v>
      </c>
      <c r="DZ43" s="3">
        <v>0</v>
      </c>
      <c r="EA43" s="3">
        <v>14301000</v>
      </c>
      <c r="EB43" s="3">
        <v>0</v>
      </c>
      <c r="EC43" s="3">
        <v>14301000</v>
      </c>
      <c r="ED43" s="3">
        <v>0</v>
      </c>
      <c r="EE43" s="3">
        <v>14301000</v>
      </c>
      <c r="EF43" s="3">
        <v>0</v>
      </c>
      <c r="EG43" s="3">
        <v>14301000</v>
      </c>
      <c r="EH43" s="3">
        <v>0</v>
      </c>
      <c r="EI43" s="3">
        <v>14301000</v>
      </c>
      <c r="EJ43" s="3">
        <v>0</v>
      </c>
      <c r="EK43" s="3">
        <v>14301000</v>
      </c>
      <c r="EL43" s="3">
        <v>0</v>
      </c>
      <c r="EM43" s="3">
        <v>14301000</v>
      </c>
      <c r="EN43" s="3">
        <v>0</v>
      </c>
      <c r="EO43" s="3">
        <v>0</v>
      </c>
      <c r="EP43" s="3">
        <v>0</v>
      </c>
      <c r="EQ43" s="3">
        <v>0</v>
      </c>
      <c r="ER43" s="3">
        <v>0</v>
      </c>
      <c r="ES43" s="3">
        <v>14559000</v>
      </c>
      <c r="ET43" s="3">
        <v>0</v>
      </c>
      <c r="EU43" s="3">
        <v>14559000</v>
      </c>
      <c r="EV43" s="3">
        <v>0</v>
      </c>
      <c r="EW43" s="3">
        <v>14559000</v>
      </c>
      <c r="EX43" s="3">
        <v>0</v>
      </c>
      <c r="EY43" s="3">
        <v>14559000</v>
      </c>
      <c r="EZ43" s="3">
        <v>0</v>
      </c>
      <c r="FA43" s="3">
        <v>14559000</v>
      </c>
      <c r="FB43" s="3">
        <v>0</v>
      </c>
      <c r="FC43" s="3">
        <v>14559000</v>
      </c>
      <c r="FD43" s="3">
        <v>0</v>
      </c>
      <c r="FE43" s="3">
        <v>14559000</v>
      </c>
      <c r="FF43" s="3">
        <v>0</v>
      </c>
      <c r="FG43" s="3">
        <v>14559000</v>
      </c>
      <c r="FH43" s="3">
        <v>0</v>
      </c>
      <c r="FI43" s="3">
        <v>14559000</v>
      </c>
      <c r="FJ43" s="3">
        <v>0</v>
      </c>
      <c r="FK43" s="3">
        <v>14559000</v>
      </c>
      <c r="FL43" s="3">
        <v>0</v>
      </c>
      <c r="FM43" s="3">
        <v>14559000</v>
      </c>
      <c r="FN43" s="3">
        <v>0</v>
      </c>
      <c r="FO43" s="3">
        <v>14559000</v>
      </c>
      <c r="FP43" s="3">
        <v>0</v>
      </c>
      <c r="FQ43" s="3">
        <v>14559000</v>
      </c>
      <c r="FR43" s="3">
        <v>0</v>
      </c>
      <c r="FS43" s="3">
        <v>14559000</v>
      </c>
      <c r="FT43" s="3">
        <v>0</v>
      </c>
      <c r="FU43" s="3">
        <v>14821000</v>
      </c>
      <c r="FV43" s="3">
        <v>0</v>
      </c>
      <c r="FW43" s="3">
        <v>14821000</v>
      </c>
      <c r="FX43" s="3">
        <v>0</v>
      </c>
      <c r="FY43" s="3">
        <v>14821000</v>
      </c>
      <c r="FZ43" s="3">
        <v>0</v>
      </c>
      <c r="GA43" s="3">
        <v>14821000</v>
      </c>
      <c r="GB43" s="3">
        <v>0</v>
      </c>
      <c r="GC43" s="3">
        <v>14821000</v>
      </c>
      <c r="GD43" s="3">
        <v>0</v>
      </c>
      <c r="GE43" s="3">
        <v>14821000</v>
      </c>
      <c r="GF43" s="3">
        <v>0</v>
      </c>
      <c r="GG43" s="3">
        <v>14821000</v>
      </c>
      <c r="GH43" s="3">
        <v>0</v>
      </c>
      <c r="GI43" s="3">
        <v>14821000</v>
      </c>
      <c r="GJ43" s="3">
        <v>0</v>
      </c>
      <c r="GK43" s="3">
        <v>14821000</v>
      </c>
      <c r="GL43" s="3">
        <v>0</v>
      </c>
      <c r="GM43" s="3">
        <v>14821000</v>
      </c>
      <c r="GN43" s="3">
        <v>0</v>
      </c>
      <c r="GO43" s="3">
        <v>14821000</v>
      </c>
      <c r="GP43" s="3">
        <v>0</v>
      </c>
      <c r="GQ43" s="3">
        <v>14821000</v>
      </c>
      <c r="GR43" s="3">
        <v>0</v>
      </c>
      <c r="GS43" s="3">
        <v>14821000</v>
      </c>
      <c r="GT43" s="3">
        <v>0</v>
      </c>
      <c r="GU43" s="3">
        <v>14821000</v>
      </c>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row>
    <row r="44" spans="1:267" x14ac:dyDescent="0.25">
      <c r="A44" t="s">
        <v>197</v>
      </c>
      <c r="B44" t="s">
        <v>198</v>
      </c>
      <c r="C44" t="s">
        <v>199</v>
      </c>
      <c r="D44" t="s">
        <v>200</v>
      </c>
      <c r="E44" t="s">
        <v>241</v>
      </c>
      <c r="F44" t="s">
        <v>289</v>
      </c>
      <c r="G44" t="s">
        <v>285</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v>0</v>
      </c>
      <c r="CO44" s="3">
        <v>373417000</v>
      </c>
      <c r="CP44" s="3">
        <v>0</v>
      </c>
      <c r="CQ44" s="3">
        <v>373417000</v>
      </c>
      <c r="CR44" s="3">
        <v>0</v>
      </c>
      <c r="CS44" s="3">
        <v>562443000</v>
      </c>
      <c r="CT44" s="3">
        <v>0</v>
      </c>
      <c r="CU44" s="3">
        <v>562443000</v>
      </c>
      <c r="CV44" s="3">
        <v>0</v>
      </c>
      <c r="CW44" s="3">
        <v>562443000</v>
      </c>
      <c r="CX44" s="3">
        <v>0</v>
      </c>
      <c r="CY44" s="3">
        <v>562443000</v>
      </c>
      <c r="CZ44" s="3">
        <v>0</v>
      </c>
      <c r="DA44" s="3">
        <v>562443000</v>
      </c>
      <c r="DB44" s="3">
        <v>0</v>
      </c>
      <c r="DC44" s="3">
        <v>562443000</v>
      </c>
      <c r="DD44" s="3">
        <v>0</v>
      </c>
      <c r="DE44" s="3">
        <v>562443000</v>
      </c>
      <c r="DF44" s="3">
        <v>0</v>
      </c>
      <c r="DG44" s="3">
        <v>562443000</v>
      </c>
      <c r="DH44" s="3">
        <v>0</v>
      </c>
      <c r="DI44" s="3">
        <v>562435978.05999994</v>
      </c>
      <c r="DJ44" s="3">
        <v>0</v>
      </c>
      <c r="DK44" s="3">
        <v>562435978.05999994</v>
      </c>
      <c r="DL44" s="3">
        <v>0</v>
      </c>
      <c r="DM44" s="3">
        <v>562423119.36000001</v>
      </c>
      <c r="DN44" s="3">
        <v>0</v>
      </c>
      <c r="DO44" s="3">
        <v>562423119.36000001</v>
      </c>
      <c r="DP44" s="3">
        <v>0</v>
      </c>
      <c r="DQ44" s="3">
        <v>1377445000</v>
      </c>
      <c r="DR44" s="3">
        <v>0</v>
      </c>
      <c r="DS44" s="3">
        <v>1377445000</v>
      </c>
      <c r="DT44" s="3">
        <v>0</v>
      </c>
      <c r="DU44" s="3">
        <v>1377445000</v>
      </c>
      <c r="DV44" s="3">
        <v>0</v>
      </c>
      <c r="DW44" s="3">
        <v>1377445000</v>
      </c>
      <c r="DX44" s="3">
        <v>0</v>
      </c>
      <c r="DY44" s="3">
        <v>1377445000</v>
      </c>
      <c r="DZ44" s="3">
        <v>0</v>
      </c>
      <c r="EA44" s="3">
        <v>1377445000</v>
      </c>
      <c r="EB44" s="3">
        <v>0</v>
      </c>
      <c r="EC44" s="3">
        <v>1377445000</v>
      </c>
      <c r="ED44" s="3">
        <v>0</v>
      </c>
      <c r="EE44" s="3">
        <v>1377445000</v>
      </c>
      <c r="EF44" s="3">
        <v>0</v>
      </c>
      <c r="EG44" s="3">
        <v>1377445000</v>
      </c>
      <c r="EH44" s="3">
        <v>0</v>
      </c>
      <c r="EI44" s="3">
        <v>1377445000</v>
      </c>
      <c r="EJ44" s="3">
        <v>0</v>
      </c>
      <c r="EK44" s="3">
        <v>1107262881.4200001</v>
      </c>
      <c r="EL44" s="3">
        <v>0</v>
      </c>
      <c r="EM44" s="3">
        <v>1107262881.4200001</v>
      </c>
      <c r="EN44" s="3">
        <v>0</v>
      </c>
      <c r="EO44" s="3">
        <v>455350380.74000001</v>
      </c>
      <c r="EP44" s="3">
        <v>0</v>
      </c>
      <c r="EQ44" s="3">
        <v>455350380.74000001</v>
      </c>
      <c r="ER44" s="3">
        <v>0</v>
      </c>
      <c r="ES44" s="3">
        <v>2095741000</v>
      </c>
      <c r="ET44" s="3">
        <v>0</v>
      </c>
      <c r="EU44" s="3">
        <v>2095741000</v>
      </c>
      <c r="EV44" s="3">
        <v>0</v>
      </c>
      <c r="EW44" s="3">
        <v>2921305000</v>
      </c>
      <c r="EX44" s="3">
        <v>0</v>
      </c>
      <c r="EY44" s="3">
        <v>2921305000</v>
      </c>
      <c r="EZ44" s="3">
        <v>0</v>
      </c>
      <c r="FA44" s="3">
        <v>2921305000</v>
      </c>
      <c r="FB44" s="3">
        <v>0</v>
      </c>
      <c r="FC44" s="3">
        <v>2921305000</v>
      </c>
      <c r="FD44" s="3">
        <v>0</v>
      </c>
      <c r="FE44" s="3">
        <v>2921305000</v>
      </c>
      <c r="FF44" s="3">
        <v>0</v>
      </c>
      <c r="FG44" s="3">
        <v>2921305000</v>
      </c>
      <c r="FH44" s="3">
        <v>0</v>
      </c>
      <c r="FI44" s="3">
        <v>2921305000</v>
      </c>
      <c r="FJ44" s="3">
        <v>0</v>
      </c>
      <c r="FK44" s="3">
        <v>2921305000</v>
      </c>
      <c r="FL44" s="3">
        <v>0</v>
      </c>
      <c r="FM44" s="3">
        <v>2361187561.9699998</v>
      </c>
      <c r="FN44" s="3">
        <v>0</v>
      </c>
      <c r="FO44" s="3">
        <v>2361187561.9699998</v>
      </c>
      <c r="FP44" s="3">
        <v>0</v>
      </c>
      <c r="FQ44" s="3">
        <v>98027243.400000006</v>
      </c>
      <c r="FR44" s="3">
        <v>0</v>
      </c>
      <c r="FS44" s="3">
        <v>98027243.400000006</v>
      </c>
      <c r="FT44" s="3">
        <v>0</v>
      </c>
      <c r="FU44" s="3">
        <v>1706772000</v>
      </c>
      <c r="FV44" s="3">
        <v>0</v>
      </c>
      <c r="FW44" s="3">
        <v>1706772000</v>
      </c>
      <c r="FX44" s="3">
        <v>0</v>
      </c>
      <c r="FY44" s="3">
        <v>1746772000</v>
      </c>
      <c r="FZ44" s="3">
        <v>0</v>
      </c>
      <c r="GA44" s="3">
        <v>1746772000</v>
      </c>
      <c r="GB44" s="3">
        <v>0</v>
      </c>
      <c r="GC44" s="3">
        <v>1746772000</v>
      </c>
      <c r="GD44" s="3">
        <v>0</v>
      </c>
      <c r="GE44" s="3">
        <v>1746772000</v>
      </c>
      <c r="GF44" s="3">
        <v>0</v>
      </c>
      <c r="GG44" s="3">
        <v>1746772000</v>
      </c>
      <c r="GH44" s="3">
        <v>0</v>
      </c>
      <c r="GI44" s="3">
        <v>1746772000</v>
      </c>
      <c r="GJ44" s="3">
        <v>0</v>
      </c>
      <c r="GK44" s="3">
        <v>1746772000</v>
      </c>
      <c r="GL44" s="3">
        <v>0</v>
      </c>
      <c r="GM44" s="3">
        <v>1746772000</v>
      </c>
      <c r="GN44" s="3">
        <v>0</v>
      </c>
      <c r="GO44" s="3">
        <v>1299242921.1300001</v>
      </c>
      <c r="GP44" s="3">
        <v>0</v>
      </c>
      <c r="GQ44" s="3">
        <v>1299242921.1300001</v>
      </c>
      <c r="GR44" s="3">
        <v>0</v>
      </c>
      <c r="GS44" s="3">
        <v>533949963.17000002</v>
      </c>
      <c r="GT44" s="3">
        <v>0</v>
      </c>
      <c r="GU44" s="3">
        <v>533949963.17000002</v>
      </c>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row>
    <row r="45" spans="1:267" x14ac:dyDescent="0.25">
      <c r="A45" t="s">
        <v>197</v>
      </c>
      <c r="B45" t="s">
        <v>198</v>
      </c>
      <c r="C45" t="s">
        <v>199</v>
      </c>
      <c r="D45" t="s">
        <v>200</v>
      </c>
      <c r="E45" t="s">
        <v>241</v>
      </c>
      <c r="F45" t="s">
        <v>290</v>
      </c>
      <c r="G45" t="s">
        <v>291</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v>0</v>
      </c>
      <c r="CO45" s="3">
        <v>0</v>
      </c>
      <c r="CP45" s="3">
        <v>0</v>
      </c>
      <c r="CQ45" s="3">
        <v>0</v>
      </c>
      <c r="CR45" s="3">
        <v>0</v>
      </c>
      <c r="CS45" s="3">
        <v>500000000</v>
      </c>
      <c r="CT45" s="3">
        <v>0</v>
      </c>
      <c r="CU45" s="3">
        <v>500000000</v>
      </c>
      <c r="CV45" s="3">
        <v>0</v>
      </c>
      <c r="CW45" s="3">
        <v>500000000</v>
      </c>
      <c r="CX45" s="3">
        <v>0</v>
      </c>
      <c r="CY45" s="3">
        <v>500000000</v>
      </c>
      <c r="CZ45" s="3">
        <v>0</v>
      </c>
      <c r="DA45" s="3">
        <v>500000000</v>
      </c>
      <c r="DB45" s="3">
        <v>0</v>
      </c>
      <c r="DC45" s="3">
        <v>500000000</v>
      </c>
      <c r="DD45" s="3">
        <v>0</v>
      </c>
      <c r="DE45" s="3">
        <v>500000000</v>
      </c>
      <c r="DF45" s="3">
        <v>0</v>
      </c>
      <c r="DG45" s="3">
        <v>500000000</v>
      </c>
      <c r="DH45" s="3">
        <v>0</v>
      </c>
      <c r="DI45" s="3">
        <v>500000000</v>
      </c>
      <c r="DJ45" s="3">
        <v>0</v>
      </c>
      <c r="DK45" s="3">
        <v>500000000</v>
      </c>
      <c r="DL45" s="3">
        <v>0</v>
      </c>
      <c r="DM45" s="3">
        <v>500000000</v>
      </c>
      <c r="DN45" s="3">
        <v>0</v>
      </c>
      <c r="DO45" s="3">
        <v>500000000</v>
      </c>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row>
    <row r="46" spans="1:267" x14ac:dyDescent="0.25">
      <c r="A46" t="s">
        <v>197</v>
      </c>
      <c r="B46" t="s">
        <v>198</v>
      </c>
      <c r="C46" t="s">
        <v>199</v>
      </c>
      <c r="D46" t="s">
        <v>200</v>
      </c>
      <c r="E46" t="s">
        <v>292</v>
      </c>
      <c r="F46" t="s">
        <v>293</v>
      </c>
      <c r="G46" t="s">
        <v>294</v>
      </c>
      <c r="H46" s="3">
        <v>0</v>
      </c>
      <c r="I46" s="3">
        <v>63668000</v>
      </c>
      <c r="J46" s="3">
        <v>0</v>
      </c>
      <c r="K46" s="3">
        <v>63668000</v>
      </c>
      <c r="L46" s="3">
        <v>0</v>
      </c>
      <c r="M46" s="3">
        <v>63668000</v>
      </c>
      <c r="N46" s="3">
        <v>0</v>
      </c>
      <c r="O46" s="3">
        <v>63668000</v>
      </c>
      <c r="P46" s="3">
        <v>0</v>
      </c>
      <c r="Q46" s="3">
        <v>63668000</v>
      </c>
      <c r="R46" s="3">
        <v>0</v>
      </c>
      <c r="S46" s="3">
        <v>63668000</v>
      </c>
      <c r="T46" s="3">
        <v>0</v>
      </c>
      <c r="U46" s="3">
        <v>63668000</v>
      </c>
      <c r="V46" s="3">
        <v>0</v>
      </c>
      <c r="W46" s="3">
        <v>63668000</v>
      </c>
      <c r="X46" s="3">
        <v>0</v>
      </c>
      <c r="Y46" s="3">
        <v>63668000</v>
      </c>
      <c r="Z46" s="3">
        <v>0</v>
      </c>
      <c r="AA46" s="3">
        <v>63668000</v>
      </c>
      <c r="AB46" s="3">
        <v>0</v>
      </c>
      <c r="AC46" s="3">
        <v>59451586.689999998</v>
      </c>
      <c r="AD46" s="3">
        <v>0</v>
      </c>
      <c r="AE46" s="3">
        <v>59451586.689999998</v>
      </c>
      <c r="AF46" s="3">
        <v>0</v>
      </c>
      <c r="AG46" s="3">
        <v>32254104.760000002</v>
      </c>
      <c r="AH46" s="3">
        <v>0</v>
      </c>
      <c r="AI46" s="3">
        <v>32254104.760000002</v>
      </c>
      <c r="AJ46" s="3">
        <v>15678000</v>
      </c>
      <c r="AK46" s="3">
        <v>247319000</v>
      </c>
      <c r="AL46" s="3">
        <v>0</v>
      </c>
      <c r="AM46" s="3">
        <v>262997000</v>
      </c>
      <c r="AN46" s="3">
        <v>15678000</v>
      </c>
      <c r="AO46" s="3">
        <v>247319000</v>
      </c>
      <c r="AP46" s="3">
        <v>0</v>
      </c>
      <c r="AQ46" s="3">
        <v>262997000</v>
      </c>
      <c r="AR46" s="3">
        <v>15678000</v>
      </c>
      <c r="AS46" s="3">
        <v>247319000</v>
      </c>
      <c r="AT46" s="3">
        <v>0</v>
      </c>
      <c r="AU46" s="3">
        <v>262997000</v>
      </c>
      <c r="AV46" s="3">
        <v>15678000</v>
      </c>
      <c r="AW46" s="3">
        <v>247319000</v>
      </c>
      <c r="AX46" s="3">
        <v>0</v>
      </c>
      <c r="AY46" s="3">
        <v>262997000</v>
      </c>
      <c r="AZ46" s="3">
        <v>15678000</v>
      </c>
      <c r="BA46" s="3">
        <v>247319000</v>
      </c>
      <c r="BB46" s="3">
        <v>0</v>
      </c>
      <c r="BC46" s="3">
        <v>262997000</v>
      </c>
      <c r="BD46" s="3">
        <v>15678000</v>
      </c>
      <c r="BE46" s="3">
        <v>201278175.63</v>
      </c>
      <c r="BF46" s="3">
        <v>0</v>
      </c>
      <c r="BG46" s="3">
        <v>216956175.63</v>
      </c>
      <c r="BH46" s="3">
        <v>15655924.98</v>
      </c>
      <c r="BI46" s="3">
        <v>156507499.68000001</v>
      </c>
      <c r="BJ46" s="3">
        <v>0</v>
      </c>
      <c r="BK46" s="3">
        <v>172163424.66</v>
      </c>
      <c r="BL46" s="3">
        <v>14418000</v>
      </c>
      <c r="BM46" s="3">
        <v>101083000</v>
      </c>
      <c r="BN46" s="3">
        <v>0</v>
      </c>
      <c r="BO46" s="3">
        <v>115501000</v>
      </c>
      <c r="BP46" s="3">
        <v>14418000</v>
      </c>
      <c r="BQ46" s="3">
        <v>101083000</v>
      </c>
      <c r="BR46" s="3">
        <v>0</v>
      </c>
      <c r="BS46" s="3">
        <v>115501000</v>
      </c>
      <c r="BT46" s="3">
        <v>14418000</v>
      </c>
      <c r="BU46" s="3">
        <v>101083000</v>
      </c>
      <c r="BV46" s="3">
        <v>0</v>
      </c>
      <c r="BW46" s="3">
        <v>115501000</v>
      </c>
      <c r="BX46" s="3">
        <v>14418000</v>
      </c>
      <c r="BY46" s="3">
        <v>101083000</v>
      </c>
      <c r="BZ46" s="3">
        <v>0</v>
      </c>
      <c r="CA46" s="3">
        <v>115501000</v>
      </c>
      <c r="CB46" s="3">
        <v>14418000</v>
      </c>
      <c r="CC46" s="3">
        <v>101083000</v>
      </c>
      <c r="CD46" s="3">
        <v>0</v>
      </c>
      <c r="CE46" s="3">
        <v>115501000</v>
      </c>
      <c r="CF46" s="3">
        <v>14346558.99</v>
      </c>
      <c r="CG46" s="3">
        <v>81033168.680000007</v>
      </c>
      <c r="CH46" s="3">
        <v>0</v>
      </c>
      <c r="CI46" s="3">
        <v>95379727.670000002</v>
      </c>
      <c r="CJ46" s="3">
        <v>14310220.970000001</v>
      </c>
      <c r="CK46" s="3">
        <v>63359113.770000003</v>
      </c>
      <c r="CL46" s="3">
        <v>0</v>
      </c>
      <c r="CM46" s="3">
        <v>77669334.739999995</v>
      </c>
      <c r="CN46" s="3">
        <v>15154000</v>
      </c>
      <c r="CO46" s="3">
        <v>97477000</v>
      </c>
      <c r="CP46" s="3">
        <v>0</v>
      </c>
      <c r="CQ46" s="3">
        <v>112631000</v>
      </c>
      <c r="CR46" s="3">
        <v>15154000</v>
      </c>
      <c r="CS46" s="3">
        <v>143477000</v>
      </c>
      <c r="CT46" s="3">
        <v>0</v>
      </c>
      <c r="CU46" s="3">
        <v>158631000</v>
      </c>
      <c r="CV46" s="3">
        <v>15154000</v>
      </c>
      <c r="CW46" s="3">
        <v>143477000</v>
      </c>
      <c r="CX46" s="3">
        <v>0</v>
      </c>
      <c r="CY46" s="3">
        <v>158631000</v>
      </c>
      <c r="CZ46" s="3">
        <v>15484000</v>
      </c>
      <c r="DA46" s="3">
        <v>143147000</v>
      </c>
      <c r="DB46" s="3">
        <v>0</v>
      </c>
      <c r="DC46" s="3">
        <v>158631000</v>
      </c>
      <c r="DD46" s="3">
        <v>15484000</v>
      </c>
      <c r="DE46" s="3">
        <v>143147000</v>
      </c>
      <c r="DF46" s="3">
        <v>0</v>
      </c>
      <c r="DG46" s="3">
        <v>158631000</v>
      </c>
      <c r="DH46" s="3">
        <v>15484000</v>
      </c>
      <c r="DI46" s="3">
        <v>131375584.01000001</v>
      </c>
      <c r="DJ46" s="3">
        <v>0</v>
      </c>
      <c r="DK46" s="3">
        <v>146859584.00999999</v>
      </c>
      <c r="DL46" s="3">
        <v>14728297.76</v>
      </c>
      <c r="DM46" s="3">
        <v>119102475.03</v>
      </c>
      <c r="DN46" s="3">
        <v>0</v>
      </c>
      <c r="DO46" s="3">
        <v>133830772.79000001</v>
      </c>
      <c r="DP46" s="3">
        <v>15592000</v>
      </c>
      <c r="DQ46" s="3">
        <v>97477000</v>
      </c>
      <c r="DR46" s="3">
        <v>0</v>
      </c>
      <c r="DS46" s="3">
        <v>113069000</v>
      </c>
      <c r="DT46" s="3">
        <v>15592000</v>
      </c>
      <c r="DU46" s="3">
        <v>815246000</v>
      </c>
      <c r="DV46" s="3">
        <v>42793000</v>
      </c>
      <c r="DW46" s="3">
        <v>873631000</v>
      </c>
      <c r="DX46" s="3">
        <v>15592000</v>
      </c>
      <c r="DY46" s="3">
        <v>815246000</v>
      </c>
      <c r="DZ46" s="3">
        <v>42793000</v>
      </c>
      <c r="EA46" s="3">
        <v>873631000</v>
      </c>
      <c r="EB46" s="3">
        <v>19480070</v>
      </c>
      <c r="EC46" s="3">
        <v>809357930</v>
      </c>
      <c r="ED46" s="3">
        <v>44793000</v>
      </c>
      <c r="EE46" s="3">
        <v>873631000</v>
      </c>
      <c r="EF46" s="3">
        <v>19480070</v>
      </c>
      <c r="EG46" s="3">
        <v>809357930</v>
      </c>
      <c r="EH46" s="3">
        <v>44793000</v>
      </c>
      <c r="EI46" s="3">
        <v>873631000</v>
      </c>
      <c r="EJ46" s="3">
        <v>19479971.559999999</v>
      </c>
      <c r="EK46" s="3">
        <v>733418358.94000006</v>
      </c>
      <c r="EL46" s="3">
        <v>12851353</v>
      </c>
      <c r="EM46" s="3">
        <v>765749683.5</v>
      </c>
      <c r="EN46" s="3">
        <v>19194505.559999999</v>
      </c>
      <c r="EO46" s="3">
        <v>641752593.79999995</v>
      </c>
      <c r="EP46" s="3">
        <v>2886124.5</v>
      </c>
      <c r="EQ46" s="3">
        <v>663833223.86000001</v>
      </c>
      <c r="ER46" s="3">
        <v>16084000</v>
      </c>
      <c r="ES46" s="3">
        <v>702269000</v>
      </c>
      <c r="ET46" s="3">
        <v>0</v>
      </c>
      <c r="EU46" s="3">
        <v>718353000</v>
      </c>
      <c r="EV46" s="3">
        <v>16084000</v>
      </c>
      <c r="EW46" s="3">
        <v>1068231000</v>
      </c>
      <c r="EX46" s="3">
        <v>0</v>
      </c>
      <c r="EY46" s="3">
        <v>1084315000</v>
      </c>
      <c r="EZ46" s="3">
        <v>16084000</v>
      </c>
      <c r="FA46" s="3">
        <v>1068231000</v>
      </c>
      <c r="FB46" s="3">
        <v>0</v>
      </c>
      <c r="FC46" s="3">
        <v>1084315000</v>
      </c>
      <c r="FD46" s="3">
        <v>35584000</v>
      </c>
      <c r="FE46" s="3">
        <v>978731000</v>
      </c>
      <c r="FF46" s="3">
        <v>0</v>
      </c>
      <c r="FG46" s="3">
        <v>1014315000</v>
      </c>
      <c r="FH46" s="3">
        <v>35584000</v>
      </c>
      <c r="FI46" s="3">
        <v>978731000</v>
      </c>
      <c r="FJ46" s="3">
        <v>0</v>
      </c>
      <c r="FK46" s="3">
        <v>1014315000</v>
      </c>
      <c r="FL46" s="3">
        <v>35583879.630000003</v>
      </c>
      <c r="FM46" s="3">
        <v>602785452.79999995</v>
      </c>
      <c r="FN46" s="3">
        <v>0</v>
      </c>
      <c r="FO46" s="3">
        <v>638369332.42999995</v>
      </c>
      <c r="FP46" s="3">
        <v>35223808.049999997</v>
      </c>
      <c r="FQ46" s="3">
        <v>454889145.01999998</v>
      </c>
      <c r="FR46" s="3">
        <v>0</v>
      </c>
      <c r="FS46" s="3">
        <v>490112953.06999999</v>
      </c>
      <c r="FT46" s="3">
        <v>16409000</v>
      </c>
      <c r="FU46" s="3">
        <v>621972000</v>
      </c>
      <c r="FV46" s="3">
        <v>0</v>
      </c>
      <c r="FW46" s="3">
        <v>638381000</v>
      </c>
      <c r="FX46" s="3">
        <v>16409000</v>
      </c>
      <c r="FY46" s="3">
        <v>621972000</v>
      </c>
      <c r="FZ46" s="3">
        <v>0</v>
      </c>
      <c r="GA46" s="3">
        <v>638381000</v>
      </c>
      <c r="GB46" s="3">
        <v>16409000</v>
      </c>
      <c r="GC46" s="3">
        <v>621972000</v>
      </c>
      <c r="GD46" s="3">
        <v>0</v>
      </c>
      <c r="GE46" s="3">
        <v>638381000</v>
      </c>
      <c r="GF46" s="3">
        <v>80385684</v>
      </c>
      <c r="GG46" s="3">
        <v>557995316</v>
      </c>
      <c r="GH46" s="3">
        <v>0</v>
      </c>
      <c r="GI46" s="3">
        <v>638381000</v>
      </c>
      <c r="GJ46" s="3">
        <v>80385684</v>
      </c>
      <c r="GK46" s="3">
        <v>557995316</v>
      </c>
      <c r="GL46" s="3">
        <v>0</v>
      </c>
      <c r="GM46" s="3">
        <v>638381000</v>
      </c>
      <c r="GN46" s="3">
        <v>80240763.109999999</v>
      </c>
      <c r="GO46" s="3">
        <v>335381580.63</v>
      </c>
      <c r="GP46" s="3">
        <v>0</v>
      </c>
      <c r="GQ46" s="3">
        <v>415622343.74000001</v>
      </c>
      <c r="GR46" s="3">
        <v>79292987.290000007</v>
      </c>
      <c r="GS46" s="3">
        <v>211280379.56</v>
      </c>
      <c r="GT46" s="3">
        <v>0</v>
      </c>
      <c r="GU46" s="3">
        <v>290573366.85000002</v>
      </c>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row>
    <row r="47" spans="1:267" x14ac:dyDescent="0.25">
      <c r="A47" t="s">
        <v>197</v>
      </c>
      <c r="B47" t="s">
        <v>198</v>
      </c>
      <c r="C47" t="s">
        <v>199</v>
      </c>
      <c r="D47" t="s">
        <v>200</v>
      </c>
      <c r="E47" t="s">
        <v>295</v>
      </c>
      <c r="F47" t="s">
        <v>296</v>
      </c>
      <c r="G47" t="s">
        <v>297</v>
      </c>
      <c r="H47" s="3">
        <v>0</v>
      </c>
      <c r="I47" s="3">
        <v>317185000</v>
      </c>
      <c r="J47" s="3">
        <v>0</v>
      </c>
      <c r="K47" s="3">
        <v>317185000</v>
      </c>
      <c r="L47" s="3">
        <v>0</v>
      </c>
      <c r="M47" s="3">
        <v>317185000</v>
      </c>
      <c r="N47" s="3">
        <v>0</v>
      </c>
      <c r="O47" s="3">
        <v>317185000</v>
      </c>
      <c r="P47" s="3">
        <v>0</v>
      </c>
      <c r="Q47" s="3">
        <v>317185000</v>
      </c>
      <c r="R47" s="3">
        <v>0</v>
      </c>
      <c r="S47" s="3">
        <v>317185000</v>
      </c>
      <c r="T47" s="3">
        <v>2659153</v>
      </c>
      <c r="U47" s="3">
        <v>314525847</v>
      </c>
      <c r="V47" s="3">
        <v>0</v>
      </c>
      <c r="W47" s="3">
        <v>317185000</v>
      </c>
      <c r="X47" s="3">
        <v>2659153</v>
      </c>
      <c r="Y47" s="3">
        <v>314525847</v>
      </c>
      <c r="Z47" s="3">
        <v>0</v>
      </c>
      <c r="AA47" s="3">
        <v>317185000</v>
      </c>
      <c r="AB47" s="3">
        <v>2659153</v>
      </c>
      <c r="AC47" s="3">
        <v>260188136.61000001</v>
      </c>
      <c r="AD47" s="3">
        <v>0</v>
      </c>
      <c r="AE47" s="3">
        <v>262847289.61000001</v>
      </c>
      <c r="AF47" s="3">
        <v>2659153</v>
      </c>
      <c r="AG47" s="3">
        <v>103706883.15000001</v>
      </c>
      <c r="AH47" s="3">
        <v>0</v>
      </c>
      <c r="AI47" s="3">
        <v>106366036.15000001</v>
      </c>
      <c r="AJ47" s="3">
        <v>7680000</v>
      </c>
      <c r="AK47" s="3">
        <v>263035000</v>
      </c>
      <c r="AL47" s="3">
        <v>0</v>
      </c>
      <c r="AM47" s="3">
        <v>270715000</v>
      </c>
      <c r="AN47" s="3">
        <v>7680000</v>
      </c>
      <c r="AO47" s="3">
        <v>263035000</v>
      </c>
      <c r="AP47" s="3">
        <v>0</v>
      </c>
      <c r="AQ47" s="3">
        <v>270715000</v>
      </c>
      <c r="AR47" s="3">
        <v>7680000</v>
      </c>
      <c r="AS47" s="3">
        <v>263035000</v>
      </c>
      <c r="AT47" s="3">
        <v>0</v>
      </c>
      <c r="AU47" s="3">
        <v>270715000</v>
      </c>
      <c r="AV47" s="3">
        <v>9968818</v>
      </c>
      <c r="AW47" s="3">
        <v>260746182</v>
      </c>
      <c r="AX47" s="3">
        <v>0</v>
      </c>
      <c r="AY47" s="3">
        <v>270715000</v>
      </c>
      <c r="AZ47" s="3">
        <v>9968818</v>
      </c>
      <c r="BA47" s="3">
        <v>260746182</v>
      </c>
      <c r="BB47" s="3">
        <v>0</v>
      </c>
      <c r="BC47" s="3">
        <v>270715000</v>
      </c>
      <c r="BD47" s="3">
        <v>7680000</v>
      </c>
      <c r="BE47" s="3">
        <v>212926909.96000001</v>
      </c>
      <c r="BF47" s="3">
        <v>0</v>
      </c>
      <c r="BG47" s="3">
        <v>220606909.96000001</v>
      </c>
      <c r="BH47" s="3">
        <v>7680000</v>
      </c>
      <c r="BI47" s="3">
        <v>108922131.26000001</v>
      </c>
      <c r="BJ47" s="3">
        <v>0</v>
      </c>
      <c r="BK47" s="3">
        <v>116602131.26000001</v>
      </c>
      <c r="BL47" s="3">
        <v>7820000</v>
      </c>
      <c r="BM47" s="3">
        <v>222249000</v>
      </c>
      <c r="BN47" s="3">
        <v>0</v>
      </c>
      <c r="BO47" s="3">
        <v>230069000</v>
      </c>
      <c r="BP47" s="3">
        <v>7820000</v>
      </c>
      <c r="BQ47" s="3">
        <v>222249000</v>
      </c>
      <c r="BR47" s="3">
        <v>0</v>
      </c>
      <c r="BS47" s="3">
        <v>230069000</v>
      </c>
      <c r="BT47" s="3">
        <v>7820000</v>
      </c>
      <c r="BU47" s="3">
        <v>222249000</v>
      </c>
      <c r="BV47" s="3">
        <v>0</v>
      </c>
      <c r="BW47" s="3">
        <v>230069000</v>
      </c>
      <c r="BX47" s="3">
        <v>8285120</v>
      </c>
      <c r="BY47" s="3">
        <v>221783880</v>
      </c>
      <c r="BZ47" s="3">
        <v>0</v>
      </c>
      <c r="CA47" s="3">
        <v>230069000</v>
      </c>
      <c r="CB47" s="3">
        <v>8285120</v>
      </c>
      <c r="CC47" s="3">
        <v>221783880</v>
      </c>
      <c r="CD47" s="3">
        <v>0</v>
      </c>
      <c r="CE47" s="3">
        <v>230069000</v>
      </c>
      <c r="CF47" s="3">
        <v>8283699.0499999998</v>
      </c>
      <c r="CG47" s="3">
        <v>186062217.44</v>
      </c>
      <c r="CH47" s="3">
        <v>0</v>
      </c>
      <c r="CI47" s="3">
        <v>194345916.49000001</v>
      </c>
      <c r="CJ47" s="3">
        <v>8283599.0499999998</v>
      </c>
      <c r="CK47" s="3">
        <v>129310734.05</v>
      </c>
      <c r="CL47" s="3">
        <v>0</v>
      </c>
      <c r="CM47" s="3">
        <v>137594333.09999999</v>
      </c>
      <c r="CN47" s="3">
        <v>8628000</v>
      </c>
      <c r="CO47" s="3">
        <v>244965000</v>
      </c>
      <c r="CP47" s="3">
        <v>29547000</v>
      </c>
      <c r="CQ47" s="3">
        <v>283140000</v>
      </c>
      <c r="CR47" s="3">
        <v>8628000</v>
      </c>
      <c r="CS47" s="3">
        <v>244965000</v>
      </c>
      <c r="CT47" s="3">
        <v>29547000</v>
      </c>
      <c r="CU47" s="3">
        <v>283140000</v>
      </c>
      <c r="CV47" s="3">
        <v>8628000</v>
      </c>
      <c r="CW47" s="3">
        <v>244965000</v>
      </c>
      <c r="CX47" s="3">
        <v>29547000</v>
      </c>
      <c r="CY47" s="3">
        <v>283140000</v>
      </c>
      <c r="CZ47" s="3">
        <v>8628000</v>
      </c>
      <c r="DA47" s="3">
        <v>244965000</v>
      </c>
      <c r="DB47" s="3">
        <v>29547000</v>
      </c>
      <c r="DC47" s="3">
        <v>283140000</v>
      </c>
      <c r="DD47" s="3">
        <v>8628000</v>
      </c>
      <c r="DE47" s="3">
        <v>244965000</v>
      </c>
      <c r="DF47" s="3">
        <v>29547000</v>
      </c>
      <c r="DG47" s="3">
        <v>283140000</v>
      </c>
      <c r="DH47" s="3">
        <v>8628000</v>
      </c>
      <c r="DI47" s="3">
        <v>228401093.31</v>
      </c>
      <c r="DJ47" s="3">
        <v>29509445.399999999</v>
      </c>
      <c r="DK47" s="3">
        <v>266538538.71000001</v>
      </c>
      <c r="DL47" s="3">
        <v>8601849.7899999991</v>
      </c>
      <c r="DM47" s="3">
        <v>111631661.45999999</v>
      </c>
      <c r="DN47" s="3">
        <v>0</v>
      </c>
      <c r="DO47" s="3">
        <v>120233511.25</v>
      </c>
      <c r="DP47" s="3">
        <v>7394000</v>
      </c>
      <c r="DQ47" s="3">
        <v>244965000</v>
      </c>
      <c r="DR47" s="3">
        <v>29547000</v>
      </c>
      <c r="DS47" s="3">
        <v>281906000</v>
      </c>
      <c r="DT47" s="3">
        <v>7394000</v>
      </c>
      <c r="DU47" s="3">
        <v>276884000</v>
      </c>
      <c r="DV47" s="3">
        <v>29547000</v>
      </c>
      <c r="DW47" s="3">
        <v>313825000</v>
      </c>
      <c r="DX47" s="3">
        <v>7394000</v>
      </c>
      <c r="DY47" s="3">
        <v>276884000</v>
      </c>
      <c r="DZ47" s="3">
        <v>29547000</v>
      </c>
      <c r="EA47" s="3">
        <v>313825000</v>
      </c>
      <c r="EB47" s="3">
        <v>7644000</v>
      </c>
      <c r="EC47" s="3">
        <v>276634000</v>
      </c>
      <c r="ED47" s="3">
        <v>29547000</v>
      </c>
      <c r="EE47" s="3">
        <v>313825000</v>
      </c>
      <c r="EF47" s="3">
        <v>7644000</v>
      </c>
      <c r="EG47" s="3">
        <v>276634000</v>
      </c>
      <c r="EH47" s="3">
        <v>29547000</v>
      </c>
      <c r="EI47" s="3">
        <v>313825000</v>
      </c>
      <c r="EJ47" s="3">
        <v>7644000</v>
      </c>
      <c r="EK47" s="3">
        <v>239616506.56999999</v>
      </c>
      <c r="EL47" s="3">
        <v>14636890.5</v>
      </c>
      <c r="EM47" s="3">
        <v>261897397.06999999</v>
      </c>
      <c r="EN47" s="3">
        <v>7643399.9400000004</v>
      </c>
      <c r="EO47" s="3">
        <v>142934619.80000001</v>
      </c>
      <c r="EP47" s="3">
        <v>13474012.359999999</v>
      </c>
      <c r="EQ47" s="3">
        <v>164052032.09999999</v>
      </c>
      <c r="ER47" s="3">
        <v>9117000</v>
      </c>
      <c r="ES47" s="3">
        <v>213677000</v>
      </c>
      <c r="ET47" s="3">
        <v>29547000</v>
      </c>
      <c r="EU47" s="3">
        <v>252341000</v>
      </c>
      <c r="EV47" s="3">
        <v>9117000</v>
      </c>
      <c r="EW47" s="3">
        <v>213677000</v>
      </c>
      <c r="EX47" s="3">
        <v>29547000</v>
      </c>
      <c r="EY47" s="3">
        <v>252341000</v>
      </c>
      <c r="EZ47" s="3">
        <v>9117000</v>
      </c>
      <c r="FA47" s="3">
        <v>213677000</v>
      </c>
      <c r="FB47" s="3">
        <v>29547000</v>
      </c>
      <c r="FC47" s="3">
        <v>252341000</v>
      </c>
      <c r="FD47" s="3">
        <v>10117000</v>
      </c>
      <c r="FE47" s="3">
        <v>212677000</v>
      </c>
      <c r="FF47" s="3">
        <v>29547000</v>
      </c>
      <c r="FG47" s="3">
        <v>252341000</v>
      </c>
      <c r="FH47" s="3">
        <v>10117000</v>
      </c>
      <c r="FI47" s="3">
        <v>212677000</v>
      </c>
      <c r="FJ47" s="3">
        <v>29547000</v>
      </c>
      <c r="FK47" s="3">
        <v>252341000</v>
      </c>
      <c r="FL47" s="3">
        <v>10116427.85</v>
      </c>
      <c r="FM47" s="3">
        <v>191901433.34</v>
      </c>
      <c r="FN47" s="3">
        <v>8976909.9600000009</v>
      </c>
      <c r="FO47" s="3">
        <v>210994771.15000001</v>
      </c>
      <c r="FP47" s="3">
        <v>10097044.470000001</v>
      </c>
      <c r="FQ47" s="3">
        <v>98800703.090000004</v>
      </c>
      <c r="FR47" s="3">
        <v>36889.279999999999</v>
      </c>
      <c r="FS47" s="3">
        <v>108934636.84</v>
      </c>
      <c r="FT47" s="3">
        <v>9689000</v>
      </c>
      <c r="FU47" s="3">
        <v>180544000</v>
      </c>
      <c r="FV47" s="3">
        <v>0</v>
      </c>
      <c r="FW47" s="3">
        <v>190233000</v>
      </c>
      <c r="FX47" s="3">
        <v>9689000</v>
      </c>
      <c r="FY47" s="3">
        <v>180544000</v>
      </c>
      <c r="FZ47" s="3">
        <v>0</v>
      </c>
      <c r="GA47" s="3">
        <v>190233000</v>
      </c>
      <c r="GB47" s="3">
        <v>9689000</v>
      </c>
      <c r="GC47" s="3">
        <v>180544000</v>
      </c>
      <c r="GD47" s="3">
        <v>0</v>
      </c>
      <c r="GE47" s="3">
        <v>190233000</v>
      </c>
      <c r="GF47" s="3">
        <v>9689000</v>
      </c>
      <c r="GG47" s="3">
        <v>180544000</v>
      </c>
      <c r="GH47" s="3">
        <v>0</v>
      </c>
      <c r="GI47" s="3">
        <v>190233000</v>
      </c>
      <c r="GJ47" s="3">
        <v>9689000</v>
      </c>
      <c r="GK47" s="3">
        <v>180544000</v>
      </c>
      <c r="GL47" s="3">
        <v>0</v>
      </c>
      <c r="GM47" s="3">
        <v>190233000</v>
      </c>
      <c r="GN47" s="3">
        <v>9688778.2200000007</v>
      </c>
      <c r="GO47" s="3">
        <v>173328628.28999999</v>
      </c>
      <c r="GP47" s="3">
        <v>0</v>
      </c>
      <c r="GQ47" s="3">
        <v>183017406.50999999</v>
      </c>
      <c r="GR47" s="3">
        <v>9641632.7799999993</v>
      </c>
      <c r="GS47" s="3">
        <v>98144816.340000004</v>
      </c>
      <c r="GT47" s="3">
        <v>0</v>
      </c>
      <c r="GU47" s="3">
        <v>107786449.12</v>
      </c>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c r="IW47" s="3"/>
      <c r="IX47" s="3"/>
      <c r="IY47" s="3"/>
      <c r="IZ47" s="3"/>
      <c r="JA47" s="3"/>
      <c r="JB47" s="3"/>
      <c r="JC47" s="3"/>
      <c r="JD47" s="3"/>
      <c r="JE47" s="3"/>
      <c r="JF47" s="3"/>
      <c r="JG47" s="3"/>
    </row>
    <row r="48" spans="1:267" x14ac:dyDescent="0.25">
      <c r="A48" t="s">
        <v>197</v>
      </c>
      <c r="B48" t="s">
        <v>198</v>
      </c>
      <c r="C48" t="s">
        <v>199</v>
      </c>
      <c r="D48" t="s">
        <v>200</v>
      </c>
      <c r="E48" t="s">
        <v>295</v>
      </c>
      <c r="F48" t="s">
        <v>298</v>
      </c>
      <c r="G48" t="s">
        <v>299</v>
      </c>
      <c r="H48" s="3"/>
      <c r="I48" s="3"/>
      <c r="J48" s="3"/>
      <c r="K48" s="3">
        <v>0</v>
      </c>
      <c r="L48" s="3">
        <v>0</v>
      </c>
      <c r="M48" s="3">
        <v>200000000</v>
      </c>
      <c r="N48" s="3">
        <v>300000000</v>
      </c>
      <c r="O48" s="3">
        <v>500000000</v>
      </c>
      <c r="P48" s="3">
        <v>0</v>
      </c>
      <c r="Q48" s="3">
        <v>200000000</v>
      </c>
      <c r="R48" s="3">
        <v>300000000</v>
      </c>
      <c r="S48" s="3">
        <v>500000000</v>
      </c>
      <c r="T48" s="3">
        <v>0</v>
      </c>
      <c r="U48" s="3">
        <v>200000000</v>
      </c>
      <c r="V48" s="3">
        <v>300000000</v>
      </c>
      <c r="W48" s="3">
        <v>500000000</v>
      </c>
      <c r="X48" s="3">
        <v>0</v>
      </c>
      <c r="Y48" s="3">
        <v>200000000</v>
      </c>
      <c r="Z48" s="3">
        <v>300000000</v>
      </c>
      <c r="AA48" s="3">
        <v>500000000</v>
      </c>
      <c r="AB48" s="3">
        <v>0</v>
      </c>
      <c r="AC48" s="3">
        <v>21014388.870000001</v>
      </c>
      <c r="AD48" s="3">
        <v>168735710.47999999</v>
      </c>
      <c r="AE48" s="3">
        <v>189750099.34999999</v>
      </c>
      <c r="AF48" s="3">
        <v>0</v>
      </c>
      <c r="AG48" s="3">
        <v>11324317.41</v>
      </c>
      <c r="AH48" s="3">
        <v>57272907.640000001</v>
      </c>
      <c r="AI48" s="3">
        <v>68597225.049999997</v>
      </c>
      <c r="AJ48" s="3">
        <v>0</v>
      </c>
      <c r="AK48" s="3">
        <v>200000000</v>
      </c>
      <c r="AL48" s="3">
        <v>300000000</v>
      </c>
      <c r="AM48" s="3">
        <v>500000000</v>
      </c>
      <c r="AN48" s="3">
        <v>0</v>
      </c>
      <c r="AO48" s="3">
        <v>200000000</v>
      </c>
      <c r="AP48" s="3">
        <v>300000000</v>
      </c>
      <c r="AQ48" s="3">
        <v>500000000</v>
      </c>
      <c r="AR48" s="3">
        <v>0</v>
      </c>
      <c r="AS48" s="3">
        <v>200000000</v>
      </c>
      <c r="AT48" s="3">
        <v>300000000</v>
      </c>
      <c r="AU48" s="3">
        <v>500000000</v>
      </c>
      <c r="AV48" s="3">
        <v>0</v>
      </c>
      <c r="AW48" s="3">
        <v>200000000</v>
      </c>
      <c r="AX48" s="3">
        <v>300000000</v>
      </c>
      <c r="AY48" s="3">
        <v>500000000</v>
      </c>
      <c r="AZ48" s="3">
        <v>0</v>
      </c>
      <c r="BA48" s="3">
        <v>200000000</v>
      </c>
      <c r="BB48" s="3">
        <v>300000000</v>
      </c>
      <c r="BC48" s="3">
        <v>500000000</v>
      </c>
      <c r="BD48" s="3">
        <v>0</v>
      </c>
      <c r="BE48" s="3">
        <v>184767998.78999999</v>
      </c>
      <c r="BF48" s="3">
        <v>87251174.969999999</v>
      </c>
      <c r="BG48" s="3">
        <v>272019173.75999999</v>
      </c>
      <c r="BH48" s="3">
        <v>0</v>
      </c>
      <c r="BI48" s="3">
        <v>128059998.28</v>
      </c>
      <c r="BJ48" s="3">
        <v>51135712.5</v>
      </c>
      <c r="BK48" s="3">
        <v>179195710.78</v>
      </c>
      <c r="BL48" s="3">
        <v>0</v>
      </c>
      <c r="BM48" s="3">
        <v>200000000</v>
      </c>
      <c r="BN48" s="3">
        <v>300000000</v>
      </c>
      <c r="BO48" s="3">
        <v>500000000</v>
      </c>
      <c r="BP48" s="3">
        <v>0</v>
      </c>
      <c r="BQ48" s="3">
        <v>300000000</v>
      </c>
      <c r="BR48" s="3">
        <v>300000000</v>
      </c>
      <c r="BS48" s="3">
        <v>600000000</v>
      </c>
      <c r="BT48" s="3">
        <v>0</v>
      </c>
      <c r="BU48" s="3">
        <v>300000000</v>
      </c>
      <c r="BV48" s="3">
        <v>300000000</v>
      </c>
      <c r="BW48" s="3">
        <v>600000000</v>
      </c>
      <c r="BX48" s="3">
        <v>0</v>
      </c>
      <c r="BY48" s="3">
        <v>300000000</v>
      </c>
      <c r="BZ48" s="3">
        <v>300000000</v>
      </c>
      <c r="CA48" s="3">
        <v>600000000</v>
      </c>
      <c r="CB48" s="3">
        <v>0</v>
      </c>
      <c r="CC48" s="3">
        <v>300000000</v>
      </c>
      <c r="CD48" s="3">
        <v>300000000</v>
      </c>
      <c r="CE48" s="3">
        <v>600000000</v>
      </c>
      <c r="CF48" s="3">
        <v>0</v>
      </c>
      <c r="CG48" s="3">
        <v>279935017.81999999</v>
      </c>
      <c r="CH48" s="3">
        <v>216839583.78</v>
      </c>
      <c r="CI48" s="3">
        <v>496774601.60000002</v>
      </c>
      <c r="CJ48" s="3">
        <v>0</v>
      </c>
      <c r="CK48" s="3">
        <v>244447243.38999999</v>
      </c>
      <c r="CL48" s="3">
        <v>126628100.89</v>
      </c>
      <c r="CM48" s="3">
        <v>371075344.27999997</v>
      </c>
      <c r="CN48" s="3">
        <v>0</v>
      </c>
      <c r="CO48" s="3">
        <v>200000000</v>
      </c>
      <c r="CP48" s="3">
        <v>300000000</v>
      </c>
      <c r="CQ48" s="3">
        <v>500000000</v>
      </c>
      <c r="CR48" s="3">
        <v>0</v>
      </c>
      <c r="CS48" s="3">
        <v>220000000</v>
      </c>
      <c r="CT48" s="3">
        <v>300000000</v>
      </c>
      <c r="CU48" s="3">
        <v>520000000</v>
      </c>
      <c r="CV48" s="3">
        <v>0</v>
      </c>
      <c r="CW48" s="3">
        <v>220000000</v>
      </c>
      <c r="CX48" s="3">
        <v>300000000</v>
      </c>
      <c r="CY48" s="3">
        <v>520000000</v>
      </c>
      <c r="CZ48" s="3">
        <v>0</v>
      </c>
      <c r="DA48" s="3">
        <v>220000000</v>
      </c>
      <c r="DB48" s="3">
        <v>300000000</v>
      </c>
      <c r="DC48" s="3">
        <v>520000000</v>
      </c>
      <c r="DD48" s="3">
        <v>0</v>
      </c>
      <c r="DE48" s="3">
        <v>220000000</v>
      </c>
      <c r="DF48" s="3">
        <v>300000000</v>
      </c>
      <c r="DG48" s="3">
        <v>520000000</v>
      </c>
      <c r="DH48" s="3">
        <v>0</v>
      </c>
      <c r="DI48" s="3">
        <v>212703472.09999999</v>
      </c>
      <c r="DJ48" s="3">
        <v>211068466.69</v>
      </c>
      <c r="DK48" s="3">
        <v>423771938.79000002</v>
      </c>
      <c r="DL48" s="3">
        <v>0</v>
      </c>
      <c r="DM48" s="3">
        <v>152786582.05000001</v>
      </c>
      <c r="DN48" s="3">
        <v>156995027.28999999</v>
      </c>
      <c r="DO48" s="3">
        <v>309781609.33999997</v>
      </c>
      <c r="DP48" s="3">
        <v>0</v>
      </c>
      <c r="DQ48" s="3">
        <v>200000000</v>
      </c>
      <c r="DR48" s="3">
        <v>300000000</v>
      </c>
      <c r="DS48" s="3">
        <v>500000000</v>
      </c>
      <c r="DT48" s="3">
        <v>0</v>
      </c>
      <c r="DU48" s="3">
        <v>200000000</v>
      </c>
      <c r="DV48" s="3">
        <v>300000000</v>
      </c>
      <c r="DW48" s="3">
        <v>500000000</v>
      </c>
      <c r="DX48" s="3">
        <v>0</v>
      </c>
      <c r="DY48" s="3">
        <v>200000000</v>
      </c>
      <c r="DZ48" s="3">
        <v>300000000</v>
      </c>
      <c r="EA48" s="3">
        <v>500000000</v>
      </c>
      <c r="EB48" s="3">
        <v>0</v>
      </c>
      <c r="EC48" s="3">
        <v>200000000</v>
      </c>
      <c r="ED48" s="3">
        <v>300000000</v>
      </c>
      <c r="EE48" s="3">
        <v>500000000</v>
      </c>
      <c r="EF48" s="3">
        <v>0</v>
      </c>
      <c r="EG48" s="3">
        <v>200000000</v>
      </c>
      <c r="EH48" s="3">
        <v>300000000</v>
      </c>
      <c r="EI48" s="3">
        <v>500000000</v>
      </c>
      <c r="EJ48" s="3">
        <v>0</v>
      </c>
      <c r="EK48" s="3">
        <v>125633979.95999999</v>
      </c>
      <c r="EL48" s="3">
        <v>9170000</v>
      </c>
      <c r="EM48" s="3">
        <v>134803979.96000001</v>
      </c>
      <c r="EN48" s="3">
        <v>0</v>
      </c>
      <c r="EO48" s="3">
        <v>110345529.88</v>
      </c>
      <c r="EP48" s="3">
        <v>0</v>
      </c>
      <c r="EQ48" s="3">
        <v>110345529.88</v>
      </c>
      <c r="ER48" s="3">
        <v>0</v>
      </c>
      <c r="ES48" s="3">
        <v>200000000</v>
      </c>
      <c r="ET48" s="3">
        <v>300000000</v>
      </c>
      <c r="EU48" s="3">
        <v>500000000</v>
      </c>
      <c r="EV48" s="3">
        <v>0</v>
      </c>
      <c r="EW48" s="3">
        <v>200000000</v>
      </c>
      <c r="EX48" s="3">
        <v>300000000</v>
      </c>
      <c r="EY48" s="3">
        <v>500000000</v>
      </c>
      <c r="EZ48" s="3">
        <v>0</v>
      </c>
      <c r="FA48" s="3">
        <v>200000000</v>
      </c>
      <c r="FB48" s="3">
        <v>300000000</v>
      </c>
      <c r="FC48" s="3">
        <v>500000000</v>
      </c>
      <c r="FD48" s="3">
        <v>0</v>
      </c>
      <c r="FE48" s="3">
        <v>200000000</v>
      </c>
      <c r="FF48" s="3">
        <v>300000000</v>
      </c>
      <c r="FG48" s="3">
        <v>500000000</v>
      </c>
      <c r="FH48" s="3">
        <v>0</v>
      </c>
      <c r="FI48" s="3">
        <v>200000000</v>
      </c>
      <c r="FJ48" s="3">
        <v>300000000</v>
      </c>
      <c r="FK48" s="3">
        <v>500000000</v>
      </c>
      <c r="FL48" s="3">
        <v>0</v>
      </c>
      <c r="FM48" s="3">
        <v>14516024.4</v>
      </c>
      <c r="FN48" s="3">
        <v>12979534.810000001</v>
      </c>
      <c r="FO48" s="3">
        <v>27495559.210000001</v>
      </c>
      <c r="FP48" s="3">
        <v>0</v>
      </c>
      <c r="FQ48" s="3">
        <v>9919583.9000000004</v>
      </c>
      <c r="FR48" s="3">
        <v>0</v>
      </c>
      <c r="FS48" s="3">
        <v>9919583.9000000004</v>
      </c>
      <c r="FT48" s="3">
        <v>0</v>
      </c>
      <c r="FU48" s="3">
        <v>200000000</v>
      </c>
      <c r="FV48" s="3">
        <v>300000000</v>
      </c>
      <c r="FW48" s="3">
        <v>500000000</v>
      </c>
      <c r="FX48" s="3">
        <v>0</v>
      </c>
      <c r="FY48" s="3">
        <v>200000000</v>
      </c>
      <c r="FZ48" s="3">
        <v>300000000</v>
      </c>
      <c r="GA48" s="3">
        <v>500000000</v>
      </c>
      <c r="GB48" s="3">
        <v>0</v>
      </c>
      <c r="GC48" s="3">
        <v>200000000</v>
      </c>
      <c r="GD48" s="3">
        <v>300000000</v>
      </c>
      <c r="GE48" s="3">
        <v>500000000</v>
      </c>
      <c r="GF48" s="3">
        <v>0</v>
      </c>
      <c r="GG48" s="3">
        <v>200000000</v>
      </c>
      <c r="GH48" s="3">
        <v>300000000</v>
      </c>
      <c r="GI48" s="3">
        <v>500000000</v>
      </c>
      <c r="GJ48" s="3">
        <v>0</v>
      </c>
      <c r="GK48" s="3">
        <v>200000000</v>
      </c>
      <c r="GL48" s="3">
        <v>300000000</v>
      </c>
      <c r="GM48" s="3">
        <v>500000000</v>
      </c>
      <c r="GN48" s="3">
        <v>0</v>
      </c>
      <c r="GO48" s="3">
        <v>142984763.22999999</v>
      </c>
      <c r="GP48" s="3">
        <v>88127814</v>
      </c>
      <c r="GQ48" s="3">
        <v>231112577.22999999</v>
      </c>
      <c r="GR48" s="3">
        <v>0</v>
      </c>
      <c r="GS48" s="3">
        <v>15245403.23</v>
      </c>
      <c r="GT48" s="3">
        <v>2625277.5</v>
      </c>
      <c r="GU48" s="3">
        <v>17870680.73</v>
      </c>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c r="IM48" s="3"/>
      <c r="IN48" s="3"/>
      <c r="IO48" s="3"/>
      <c r="IP48" s="3"/>
      <c r="IQ48" s="3"/>
      <c r="IR48" s="3"/>
      <c r="IS48" s="3"/>
      <c r="IT48" s="3"/>
      <c r="IU48" s="3"/>
      <c r="IV48" s="3"/>
      <c r="IW48" s="3"/>
      <c r="IX48" s="3"/>
      <c r="IY48" s="3"/>
      <c r="IZ48" s="3"/>
      <c r="JA48" s="3"/>
      <c r="JB48" s="3"/>
      <c r="JC48" s="3"/>
      <c r="JD48" s="3"/>
      <c r="JE48" s="3"/>
      <c r="JF48" s="3"/>
      <c r="JG48" s="3"/>
    </row>
    <row r="49" spans="1:267" x14ac:dyDescent="0.25">
      <c r="A49" t="s">
        <v>197</v>
      </c>
      <c r="B49" t="s">
        <v>198</v>
      </c>
      <c r="C49" t="s">
        <v>199</v>
      </c>
      <c r="D49" t="s">
        <v>200</v>
      </c>
      <c r="E49" t="s">
        <v>300</v>
      </c>
      <c r="F49" t="s">
        <v>301</v>
      </c>
      <c r="G49" t="s">
        <v>302</v>
      </c>
      <c r="H49" s="3">
        <v>6308000</v>
      </c>
      <c r="I49" s="3">
        <v>389328000</v>
      </c>
      <c r="J49" s="3">
        <v>0</v>
      </c>
      <c r="K49" s="3">
        <v>395636000</v>
      </c>
      <c r="L49" s="3">
        <v>6308000</v>
      </c>
      <c r="M49" s="3">
        <v>389328000</v>
      </c>
      <c r="N49" s="3">
        <v>0</v>
      </c>
      <c r="O49" s="3">
        <v>395636000</v>
      </c>
      <c r="P49" s="3">
        <v>6308000</v>
      </c>
      <c r="Q49" s="3">
        <v>389328000</v>
      </c>
      <c r="R49" s="3">
        <v>0</v>
      </c>
      <c r="S49" s="3">
        <v>395636000</v>
      </c>
      <c r="T49" s="3">
        <v>6308000</v>
      </c>
      <c r="U49" s="3">
        <v>389328000</v>
      </c>
      <c r="V49" s="3">
        <v>0</v>
      </c>
      <c r="W49" s="3">
        <v>395636000</v>
      </c>
      <c r="X49" s="3">
        <v>6308000</v>
      </c>
      <c r="Y49" s="3">
        <v>389328000</v>
      </c>
      <c r="Z49" s="3">
        <v>0</v>
      </c>
      <c r="AA49" s="3">
        <v>395636000</v>
      </c>
      <c r="AB49" s="3">
        <v>6308000</v>
      </c>
      <c r="AC49" s="3">
        <v>377309388.69</v>
      </c>
      <c r="AD49" s="3">
        <v>0</v>
      </c>
      <c r="AE49" s="3">
        <v>383617388.69</v>
      </c>
      <c r="AF49" s="3">
        <v>6308000</v>
      </c>
      <c r="AG49" s="3">
        <v>92219544.680000007</v>
      </c>
      <c r="AH49" s="3">
        <v>0</v>
      </c>
      <c r="AI49" s="3">
        <v>98527544.680000007</v>
      </c>
      <c r="AJ49" s="3">
        <v>6923000</v>
      </c>
      <c r="AK49" s="3">
        <v>522993000</v>
      </c>
      <c r="AL49" s="3">
        <v>0</v>
      </c>
      <c r="AM49" s="3">
        <v>529916000</v>
      </c>
      <c r="AN49" s="3">
        <v>6923000</v>
      </c>
      <c r="AO49" s="3">
        <v>522993000</v>
      </c>
      <c r="AP49" s="3">
        <v>0</v>
      </c>
      <c r="AQ49" s="3">
        <v>529916000</v>
      </c>
      <c r="AR49" s="3">
        <v>6923000</v>
      </c>
      <c r="AS49" s="3">
        <v>522993000</v>
      </c>
      <c r="AT49" s="3">
        <v>0</v>
      </c>
      <c r="AU49" s="3">
        <v>529916000</v>
      </c>
      <c r="AV49" s="3">
        <v>6923000</v>
      </c>
      <c r="AW49" s="3">
        <v>522993000</v>
      </c>
      <c r="AX49" s="3">
        <v>0</v>
      </c>
      <c r="AY49" s="3">
        <v>529916000</v>
      </c>
      <c r="AZ49" s="3">
        <v>6923000</v>
      </c>
      <c r="BA49" s="3">
        <v>522993000</v>
      </c>
      <c r="BB49" s="3">
        <v>0</v>
      </c>
      <c r="BC49" s="3">
        <v>529916000</v>
      </c>
      <c r="BD49" s="3">
        <v>6923000</v>
      </c>
      <c r="BE49" s="3">
        <v>406195793.44999999</v>
      </c>
      <c r="BF49" s="3">
        <v>0</v>
      </c>
      <c r="BG49" s="3">
        <v>413118793.44999999</v>
      </c>
      <c r="BH49" s="3">
        <v>6923000</v>
      </c>
      <c r="BI49" s="3">
        <v>167047770.52000001</v>
      </c>
      <c r="BJ49" s="3">
        <v>0</v>
      </c>
      <c r="BK49" s="3">
        <v>173970770.52000001</v>
      </c>
      <c r="BL49" s="3">
        <v>7260000</v>
      </c>
      <c r="BM49" s="3">
        <v>595412000</v>
      </c>
      <c r="BN49" s="3">
        <v>0</v>
      </c>
      <c r="BO49" s="3">
        <v>602672000</v>
      </c>
      <c r="BP49" s="3">
        <v>7260000</v>
      </c>
      <c r="BQ49" s="3">
        <v>595412000</v>
      </c>
      <c r="BR49" s="3">
        <v>0</v>
      </c>
      <c r="BS49" s="3">
        <v>602672000</v>
      </c>
      <c r="BT49" s="3">
        <v>7260000</v>
      </c>
      <c r="BU49" s="3">
        <v>595412000</v>
      </c>
      <c r="BV49" s="3">
        <v>0</v>
      </c>
      <c r="BW49" s="3">
        <v>602672000</v>
      </c>
      <c r="BX49" s="3">
        <v>10354865</v>
      </c>
      <c r="BY49" s="3">
        <v>592317135</v>
      </c>
      <c r="BZ49" s="3">
        <v>0</v>
      </c>
      <c r="CA49" s="3">
        <v>602672000</v>
      </c>
      <c r="CB49" s="3">
        <v>10354865</v>
      </c>
      <c r="CC49" s="3">
        <v>592317135</v>
      </c>
      <c r="CD49" s="3">
        <v>0</v>
      </c>
      <c r="CE49" s="3">
        <v>602672000</v>
      </c>
      <c r="CF49" s="3">
        <v>9212277.1600000001</v>
      </c>
      <c r="CG49" s="3">
        <v>502615456.80000001</v>
      </c>
      <c r="CH49" s="3">
        <v>0</v>
      </c>
      <c r="CI49" s="3">
        <v>511827733.95999998</v>
      </c>
      <c r="CJ49" s="3">
        <v>9054580.5299999993</v>
      </c>
      <c r="CK49" s="3">
        <v>122116903.45</v>
      </c>
      <c r="CL49" s="3">
        <v>0</v>
      </c>
      <c r="CM49" s="3">
        <v>131171483.98</v>
      </c>
      <c r="CN49" s="3">
        <v>8241000</v>
      </c>
      <c r="CO49" s="3">
        <v>278683000</v>
      </c>
      <c r="CP49" s="3">
        <v>0</v>
      </c>
      <c r="CQ49" s="3">
        <v>286924000</v>
      </c>
      <c r="CR49" s="3">
        <v>8241000</v>
      </c>
      <c r="CS49" s="3">
        <v>278683000</v>
      </c>
      <c r="CT49" s="3">
        <v>0</v>
      </c>
      <c r="CU49" s="3">
        <v>286924000</v>
      </c>
      <c r="CV49" s="3">
        <v>8241000</v>
      </c>
      <c r="CW49" s="3">
        <v>278683000</v>
      </c>
      <c r="CX49" s="3">
        <v>0</v>
      </c>
      <c r="CY49" s="3">
        <v>286924000</v>
      </c>
      <c r="CZ49" s="3">
        <v>8241000</v>
      </c>
      <c r="DA49" s="3">
        <v>278621724.36000001</v>
      </c>
      <c r="DB49" s="3">
        <v>0</v>
      </c>
      <c r="DC49" s="3">
        <v>286862724.36000001</v>
      </c>
      <c r="DD49" s="3">
        <v>8241000</v>
      </c>
      <c r="DE49" s="3">
        <v>278621724.36000001</v>
      </c>
      <c r="DF49" s="3">
        <v>0</v>
      </c>
      <c r="DG49" s="3">
        <v>286862724.36000001</v>
      </c>
      <c r="DH49" s="3">
        <v>8241000</v>
      </c>
      <c r="DI49" s="3">
        <v>244590468.86000001</v>
      </c>
      <c r="DJ49" s="3">
        <v>0</v>
      </c>
      <c r="DK49" s="3">
        <v>252831468.86000001</v>
      </c>
      <c r="DL49" s="3">
        <v>8229621.7999999998</v>
      </c>
      <c r="DM49" s="3">
        <v>124779484.75</v>
      </c>
      <c r="DN49" s="3">
        <v>0</v>
      </c>
      <c r="DO49" s="3">
        <v>133009106.55</v>
      </c>
      <c r="DP49" s="3">
        <v>8456000</v>
      </c>
      <c r="DQ49" s="3">
        <v>497814000</v>
      </c>
      <c r="DR49" s="3">
        <v>0</v>
      </c>
      <c r="DS49" s="3">
        <v>506270000</v>
      </c>
      <c r="DT49" s="3">
        <v>8456000</v>
      </c>
      <c r="DU49" s="3">
        <v>497814000</v>
      </c>
      <c r="DV49" s="3">
        <v>0</v>
      </c>
      <c r="DW49" s="3">
        <v>506270000</v>
      </c>
      <c r="DX49" s="3">
        <v>8456000</v>
      </c>
      <c r="DY49" s="3">
        <v>497814000</v>
      </c>
      <c r="DZ49" s="3">
        <v>0</v>
      </c>
      <c r="EA49" s="3">
        <v>506270000</v>
      </c>
      <c r="EB49" s="3">
        <v>21143943.73</v>
      </c>
      <c r="EC49" s="3">
        <v>485126056.26999998</v>
      </c>
      <c r="ED49" s="3">
        <v>0</v>
      </c>
      <c r="EE49" s="3">
        <v>506270000</v>
      </c>
      <c r="EF49" s="3">
        <v>21143943.73</v>
      </c>
      <c r="EG49" s="3">
        <v>485126056.26999998</v>
      </c>
      <c r="EH49" s="3">
        <v>0</v>
      </c>
      <c r="EI49" s="3">
        <v>506270000</v>
      </c>
      <c r="EJ49" s="3">
        <v>21103943.73</v>
      </c>
      <c r="EK49" s="3">
        <v>442709663.80000001</v>
      </c>
      <c r="EL49" s="3">
        <v>0</v>
      </c>
      <c r="EM49" s="3">
        <v>463813607.52999997</v>
      </c>
      <c r="EN49" s="3">
        <v>19938563.77</v>
      </c>
      <c r="EO49" s="3">
        <v>304040516.87</v>
      </c>
      <c r="EP49" s="3">
        <v>0</v>
      </c>
      <c r="EQ49" s="3">
        <v>323979080.63999999</v>
      </c>
      <c r="ER49" s="3">
        <v>8821000</v>
      </c>
      <c r="ES49" s="3">
        <v>660575000</v>
      </c>
      <c r="ET49" s="3">
        <v>0</v>
      </c>
      <c r="EU49" s="3">
        <v>669396000</v>
      </c>
      <c r="EV49" s="3">
        <v>8821000</v>
      </c>
      <c r="EW49" s="3">
        <v>708487000</v>
      </c>
      <c r="EX49" s="3">
        <v>0</v>
      </c>
      <c r="EY49" s="3">
        <v>717308000</v>
      </c>
      <c r="EZ49" s="3">
        <v>8821000</v>
      </c>
      <c r="FA49" s="3">
        <v>708487000</v>
      </c>
      <c r="FB49" s="3">
        <v>0</v>
      </c>
      <c r="FC49" s="3">
        <v>717308000</v>
      </c>
      <c r="FD49" s="3">
        <v>8821000</v>
      </c>
      <c r="FE49" s="3">
        <v>708487000</v>
      </c>
      <c r="FF49" s="3">
        <v>0</v>
      </c>
      <c r="FG49" s="3">
        <v>717308000</v>
      </c>
      <c r="FH49" s="3">
        <v>8821000</v>
      </c>
      <c r="FI49" s="3">
        <v>708487000</v>
      </c>
      <c r="FJ49" s="3">
        <v>0</v>
      </c>
      <c r="FK49" s="3">
        <v>717308000</v>
      </c>
      <c r="FL49" s="3">
        <v>8821000</v>
      </c>
      <c r="FM49" s="3">
        <v>617148726.46000004</v>
      </c>
      <c r="FN49" s="3">
        <v>0</v>
      </c>
      <c r="FO49" s="3">
        <v>625969726.46000004</v>
      </c>
      <c r="FP49" s="3">
        <v>8726150.0299999993</v>
      </c>
      <c r="FQ49" s="3">
        <v>441697573.36000001</v>
      </c>
      <c r="FR49" s="3">
        <v>0</v>
      </c>
      <c r="FS49" s="3">
        <v>450423723.38999999</v>
      </c>
      <c r="FT49" s="3">
        <v>7002000</v>
      </c>
      <c r="FU49" s="3">
        <v>632117000</v>
      </c>
      <c r="FV49" s="3">
        <v>0</v>
      </c>
      <c r="FW49" s="3">
        <v>639119000</v>
      </c>
      <c r="FX49" s="3">
        <v>7002000</v>
      </c>
      <c r="FY49" s="3">
        <v>632117000</v>
      </c>
      <c r="FZ49" s="3">
        <v>0</v>
      </c>
      <c r="GA49" s="3">
        <v>639119000</v>
      </c>
      <c r="GB49" s="3">
        <v>7002000</v>
      </c>
      <c r="GC49" s="3">
        <v>632117000</v>
      </c>
      <c r="GD49" s="3">
        <v>0</v>
      </c>
      <c r="GE49" s="3">
        <v>639119000</v>
      </c>
      <c r="GF49" s="3">
        <v>12740521.800000001</v>
      </c>
      <c r="GG49" s="3">
        <v>626378478.20000005</v>
      </c>
      <c r="GH49" s="3">
        <v>0</v>
      </c>
      <c r="GI49" s="3">
        <v>639119000</v>
      </c>
      <c r="GJ49" s="3">
        <v>12740521.800000001</v>
      </c>
      <c r="GK49" s="3">
        <v>626378478.20000005</v>
      </c>
      <c r="GL49" s="3">
        <v>0</v>
      </c>
      <c r="GM49" s="3">
        <v>639119000</v>
      </c>
      <c r="GN49" s="3">
        <v>12716877.92</v>
      </c>
      <c r="GO49" s="3">
        <v>517298577.50999999</v>
      </c>
      <c r="GP49" s="3">
        <v>0</v>
      </c>
      <c r="GQ49" s="3">
        <v>530015455.43000001</v>
      </c>
      <c r="GR49" s="3">
        <v>11829635.210000001</v>
      </c>
      <c r="GS49" s="3">
        <v>426418152.67000002</v>
      </c>
      <c r="GT49" s="3">
        <v>0</v>
      </c>
      <c r="GU49" s="3">
        <v>438247787.88</v>
      </c>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row>
    <row r="50" spans="1:267" x14ac:dyDescent="0.25">
      <c r="A50" t="s">
        <v>197</v>
      </c>
      <c r="B50" t="s">
        <v>198</v>
      </c>
      <c r="C50" t="s">
        <v>199</v>
      </c>
      <c r="D50" t="s">
        <v>200</v>
      </c>
      <c r="E50" t="s">
        <v>300</v>
      </c>
      <c r="F50" t="s">
        <v>303</v>
      </c>
      <c r="G50" t="s">
        <v>304</v>
      </c>
      <c r="H50" s="3">
        <v>6669735000</v>
      </c>
      <c r="I50" s="3">
        <v>1396924000</v>
      </c>
      <c r="J50" s="3">
        <v>0</v>
      </c>
      <c r="K50" s="3">
        <v>8066659000</v>
      </c>
      <c r="L50" s="3">
        <v>6669735000</v>
      </c>
      <c r="M50" s="3">
        <v>1396924000</v>
      </c>
      <c r="N50" s="3">
        <v>0</v>
      </c>
      <c r="O50" s="3">
        <v>8066659000</v>
      </c>
      <c r="P50" s="3">
        <v>6669735000</v>
      </c>
      <c r="Q50" s="3">
        <v>1396924000</v>
      </c>
      <c r="R50" s="3">
        <v>0</v>
      </c>
      <c r="S50" s="3">
        <v>8066659000</v>
      </c>
      <c r="T50" s="3">
        <v>6950987141.7299995</v>
      </c>
      <c r="U50" s="3">
        <v>1114903737.8900001</v>
      </c>
      <c r="V50" s="3">
        <v>0</v>
      </c>
      <c r="W50" s="3">
        <v>8065890879.6199999</v>
      </c>
      <c r="X50" s="3">
        <v>6950987141.7299995</v>
      </c>
      <c r="Y50" s="3">
        <v>1114903737.8900001</v>
      </c>
      <c r="Z50" s="3">
        <v>0</v>
      </c>
      <c r="AA50" s="3">
        <v>8065890879.6199999</v>
      </c>
      <c r="AB50" s="3">
        <v>6948692898.2700005</v>
      </c>
      <c r="AC50" s="3">
        <v>1106038426.1199999</v>
      </c>
      <c r="AD50" s="3">
        <v>0</v>
      </c>
      <c r="AE50" s="3">
        <v>8054731324.3900003</v>
      </c>
      <c r="AF50" s="3">
        <v>6628315052.9399996</v>
      </c>
      <c r="AG50" s="3">
        <v>856187194.87</v>
      </c>
      <c r="AH50" s="3">
        <v>0</v>
      </c>
      <c r="AI50" s="3">
        <v>7484502247.8100004</v>
      </c>
      <c r="AJ50" s="3">
        <v>7308767000</v>
      </c>
      <c r="AK50" s="3">
        <v>1253761000</v>
      </c>
      <c r="AL50" s="3">
        <v>0</v>
      </c>
      <c r="AM50" s="3">
        <v>8562528000</v>
      </c>
      <c r="AN50" s="3">
        <v>7308767000</v>
      </c>
      <c r="AO50" s="3">
        <v>1253761000</v>
      </c>
      <c r="AP50" s="3">
        <v>20000000</v>
      </c>
      <c r="AQ50" s="3">
        <v>8582528000</v>
      </c>
      <c r="AR50" s="3">
        <v>7308767000</v>
      </c>
      <c r="AS50" s="3">
        <v>1253761000</v>
      </c>
      <c r="AT50" s="3">
        <v>20000000</v>
      </c>
      <c r="AU50" s="3">
        <v>8582528000</v>
      </c>
      <c r="AV50" s="3">
        <v>7574586998</v>
      </c>
      <c r="AW50" s="3">
        <v>987941002</v>
      </c>
      <c r="AX50" s="3">
        <v>20000000</v>
      </c>
      <c r="AY50" s="3">
        <v>8582528000</v>
      </c>
      <c r="AZ50" s="3">
        <v>7574586998</v>
      </c>
      <c r="BA50" s="3">
        <v>987941002</v>
      </c>
      <c r="BB50" s="3">
        <v>20000000</v>
      </c>
      <c r="BC50" s="3">
        <v>8582528000</v>
      </c>
      <c r="BD50" s="3">
        <v>7591510744.1599998</v>
      </c>
      <c r="BE50" s="3">
        <v>967405000.42999995</v>
      </c>
      <c r="BF50" s="3">
        <v>15894000</v>
      </c>
      <c r="BG50" s="3">
        <v>8574809744.5900002</v>
      </c>
      <c r="BH50" s="3">
        <v>7523813307.4099998</v>
      </c>
      <c r="BI50" s="3">
        <v>788407297.39999998</v>
      </c>
      <c r="BJ50" s="3">
        <v>0</v>
      </c>
      <c r="BK50" s="3">
        <v>8312220604.8100004</v>
      </c>
      <c r="BL50" s="3">
        <v>8144024000</v>
      </c>
      <c r="BM50" s="3">
        <v>2050074000</v>
      </c>
      <c r="BN50" s="3">
        <v>0</v>
      </c>
      <c r="BO50" s="3">
        <v>10194098000</v>
      </c>
      <c r="BP50" s="3">
        <v>8156024000</v>
      </c>
      <c r="BQ50" s="3">
        <v>2160070000</v>
      </c>
      <c r="BR50" s="3">
        <v>4000000</v>
      </c>
      <c r="BS50" s="3">
        <v>10320094000</v>
      </c>
      <c r="BT50" s="3">
        <v>8156024000</v>
      </c>
      <c r="BU50" s="3">
        <v>2160070000</v>
      </c>
      <c r="BV50" s="3">
        <v>4000000</v>
      </c>
      <c r="BW50" s="3">
        <v>10320094000</v>
      </c>
      <c r="BX50" s="3">
        <v>8477154545.0299997</v>
      </c>
      <c r="BY50" s="3">
        <v>1838939454.97</v>
      </c>
      <c r="BZ50" s="3">
        <v>4000000</v>
      </c>
      <c r="CA50" s="3">
        <v>10320094000</v>
      </c>
      <c r="CB50" s="3">
        <v>8477154545.0299997</v>
      </c>
      <c r="CC50" s="3">
        <v>1838939454.97</v>
      </c>
      <c r="CD50" s="3">
        <v>4000000</v>
      </c>
      <c r="CE50" s="3">
        <v>10320094000</v>
      </c>
      <c r="CF50" s="3">
        <v>8464810241.1499996</v>
      </c>
      <c r="CG50" s="3">
        <v>1628332056.6800001</v>
      </c>
      <c r="CH50" s="3">
        <v>0</v>
      </c>
      <c r="CI50" s="3">
        <v>10093142297.83</v>
      </c>
      <c r="CJ50" s="3">
        <v>8367695346.8000002</v>
      </c>
      <c r="CK50" s="3">
        <v>1124456170.79</v>
      </c>
      <c r="CL50" s="3">
        <v>0</v>
      </c>
      <c r="CM50" s="3">
        <v>9492151517.5900002</v>
      </c>
      <c r="CN50" s="3">
        <v>9576321000</v>
      </c>
      <c r="CO50" s="3">
        <v>2481558000</v>
      </c>
      <c r="CP50" s="3">
        <v>0</v>
      </c>
      <c r="CQ50" s="3">
        <v>12057879000</v>
      </c>
      <c r="CR50" s="3">
        <v>9576321000</v>
      </c>
      <c r="CS50" s="3">
        <v>2525558000</v>
      </c>
      <c r="CT50" s="3">
        <v>453000000</v>
      </c>
      <c r="CU50" s="3">
        <v>12554879000</v>
      </c>
      <c r="CV50" s="3">
        <v>9576321000</v>
      </c>
      <c r="CW50" s="3">
        <v>2525558000</v>
      </c>
      <c r="CX50" s="3">
        <v>453000000</v>
      </c>
      <c r="CY50" s="3">
        <v>12554879000</v>
      </c>
      <c r="CZ50" s="3">
        <v>9897544702</v>
      </c>
      <c r="DA50" s="3">
        <v>2204334298</v>
      </c>
      <c r="DB50" s="3">
        <v>453000000</v>
      </c>
      <c r="DC50" s="3">
        <v>12554879000</v>
      </c>
      <c r="DD50" s="3">
        <v>9897544702</v>
      </c>
      <c r="DE50" s="3">
        <v>2204334298</v>
      </c>
      <c r="DF50" s="3">
        <v>453000000</v>
      </c>
      <c r="DG50" s="3">
        <v>12554879000</v>
      </c>
      <c r="DH50" s="3">
        <v>9897432383.9799995</v>
      </c>
      <c r="DI50" s="3">
        <v>2050060724.5699999</v>
      </c>
      <c r="DJ50" s="3">
        <v>362008430.47000003</v>
      </c>
      <c r="DK50" s="3">
        <v>12309501539.02</v>
      </c>
      <c r="DL50" s="3">
        <v>9789217323.9300003</v>
      </c>
      <c r="DM50" s="3">
        <v>1576002843.49</v>
      </c>
      <c r="DN50" s="3">
        <v>130751890.83</v>
      </c>
      <c r="DO50" s="3">
        <v>11495972058.25</v>
      </c>
      <c r="DP50" s="3">
        <v>10315484000</v>
      </c>
      <c r="DQ50" s="3">
        <v>2968941000</v>
      </c>
      <c r="DR50" s="3">
        <v>200000000</v>
      </c>
      <c r="DS50" s="3">
        <v>13484425000</v>
      </c>
      <c r="DT50" s="3">
        <v>10315484000</v>
      </c>
      <c r="DU50" s="3">
        <v>3425294000</v>
      </c>
      <c r="DV50" s="3">
        <v>856824000</v>
      </c>
      <c r="DW50" s="3">
        <v>14597602000</v>
      </c>
      <c r="DX50" s="3">
        <v>10315484000</v>
      </c>
      <c r="DY50" s="3">
        <v>3425294000</v>
      </c>
      <c r="DZ50" s="3">
        <v>856824000</v>
      </c>
      <c r="EA50" s="3">
        <v>14597602000</v>
      </c>
      <c r="EB50" s="3">
        <v>10816887339.870001</v>
      </c>
      <c r="EC50" s="3">
        <v>2923890660.1300001</v>
      </c>
      <c r="ED50" s="3">
        <v>856824000</v>
      </c>
      <c r="EE50" s="3">
        <v>14597602000</v>
      </c>
      <c r="EF50" s="3">
        <v>10816887339.870001</v>
      </c>
      <c r="EG50" s="3">
        <v>2923890660.1300001</v>
      </c>
      <c r="EH50" s="3">
        <v>856824000</v>
      </c>
      <c r="EI50" s="3">
        <v>14597602000</v>
      </c>
      <c r="EJ50" s="3">
        <v>10816688303.35</v>
      </c>
      <c r="EK50" s="3">
        <v>2742550540.7800002</v>
      </c>
      <c r="EL50" s="3">
        <v>651470893.38</v>
      </c>
      <c r="EM50" s="3">
        <v>14210709737.51</v>
      </c>
      <c r="EN50" s="3">
        <v>10757890103.67</v>
      </c>
      <c r="EO50" s="3">
        <v>2172363162.9400001</v>
      </c>
      <c r="EP50" s="3">
        <v>145769809.13999999</v>
      </c>
      <c r="EQ50" s="3">
        <v>13076023075.75</v>
      </c>
      <c r="ER50" s="3">
        <v>10879587000</v>
      </c>
      <c r="ES50" s="3">
        <v>4961403000</v>
      </c>
      <c r="ET50" s="3">
        <v>217700000</v>
      </c>
      <c r="EU50" s="3">
        <v>16058690000</v>
      </c>
      <c r="EV50" s="3">
        <v>10879587000</v>
      </c>
      <c r="EW50" s="3">
        <v>5863560000</v>
      </c>
      <c r="EX50" s="3">
        <v>317700000</v>
      </c>
      <c r="EY50" s="3">
        <v>17060847000</v>
      </c>
      <c r="EZ50" s="3">
        <v>10879587000</v>
      </c>
      <c r="FA50" s="3">
        <v>5863560000</v>
      </c>
      <c r="FB50" s="3">
        <v>317700000</v>
      </c>
      <c r="FC50" s="3">
        <v>17060847000</v>
      </c>
      <c r="FD50" s="3">
        <v>11586710684.15</v>
      </c>
      <c r="FE50" s="3">
        <v>5156436315.8500004</v>
      </c>
      <c r="FF50" s="3">
        <v>317700000</v>
      </c>
      <c r="FG50" s="3">
        <v>17060847000</v>
      </c>
      <c r="FH50" s="3">
        <v>11586710684.15</v>
      </c>
      <c r="FI50" s="3">
        <v>5156436315.8500004</v>
      </c>
      <c r="FJ50" s="3">
        <v>317700000</v>
      </c>
      <c r="FK50" s="3">
        <v>17060847000</v>
      </c>
      <c r="FL50" s="3">
        <v>11584656460.43</v>
      </c>
      <c r="FM50" s="3">
        <v>4880857081.3500004</v>
      </c>
      <c r="FN50" s="3">
        <v>180717760.77000001</v>
      </c>
      <c r="FO50" s="3">
        <v>16646231302.549999</v>
      </c>
      <c r="FP50" s="3">
        <v>11487137542.16</v>
      </c>
      <c r="FQ50" s="3">
        <v>3942490355.4899998</v>
      </c>
      <c r="FR50" s="3">
        <v>92385377.280000001</v>
      </c>
      <c r="FS50" s="3">
        <v>15522013274.93</v>
      </c>
      <c r="FT50" s="3">
        <v>11037081000</v>
      </c>
      <c r="FU50" s="3">
        <v>6403994000</v>
      </c>
      <c r="FV50" s="3">
        <v>130000000</v>
      </c>
      <c r="FW50" s="3">
        <v>17571075000</v>
      </c>
      <c r="FX50" s="3">
        <v>11037081000</v>
      </c>
      <c r="FY50" s="3">
        <v>6403994000</v>
      </c>
      <c r="FZ50" s="3">
        <v>230000000</v>
      </c>
      <c r="GA50" s="3">
        <v>17671075000</v>
      </c>
      <c r="GB50" s="3">
        <v>11037081000</v>
      </c>
      <c r="GC50" s="3">
        <v>6403994000</v>
      </c>
      <c r="GD50" s="3">
        <v>230000000</v>
      </c>
      <c r="GE50" s="3">
        <v>17671075000</v>
      </c>
      <c r="GF50" s="3">
        <v>11822927292.799999</v>
      </c>
      <c r="GG50" s="3">
        <v>5566316252.1999998</v>
      </c>
      <c r="GH50" s="3">
        <v>230000000</v>
      </c>
      <c r="GI50" s="3">
        <v>17619243545</v>
      </c>
      <c r="GJ50" s="3">
        <v>11822927292.799999</v>
      </c>
      <c r="GK50" s="3">
        <v>5566316252.1999998</v>
      </c>
      <c r="GL50" s="3">
        <v>230000000</v>
      </c>
      <c r="GM50" s="3">
        <v>17619243545</v>
      </c>
      <c r="GN50" s="3">
        <v>11822441092.83</v>
      </c>
      <c r="GO50" s="3">
        <v>5323143931.9899998</v>
      </c>
      <c r="GP50" s="3">
        <v>202772419.55000001</v>
      </c>
      <c r="GQ50" s="3">
        <v>17348357444.369999</v>
      </c>
      <c r="GR50" s="3">
        <v>11748118442.91</v>
      </c>
      <c r="GS50" s="3">
        <v>4151349060.2800002</v>
      </c>
      <c r="GT50" s="3">
        <v>41908925.020000003</v>
      </c>
      <c r="GU50" s="3">
        <v>15941376428.209999</v>
      </c>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row>
    <row r="51" spans="1:267" x14ac:dyDescent="0.25">
      <c r="A51" t="s">
        <v>197</v>
      </c>
      <c r="B51" t="s">
        <v>198</v>
      </c>
      <c r="C51" t="s">
        <v>199</v>
      </c>
      <c r="D51" t="s">
        <v>200</v>
      </c>
      <c r="E51" t="s">
        <v>300</v>
      </c>
      <c r="F51" t="s">
        <v>305</v>
      </c>
      <c r="G51" t="s">
        <v>306</v>
      </c>
      <c r="H51" s="3">
        <v>15689111000</v>
      </c>
      <c r="I51" s="3">
        <v>2346419000</v>
      </c>
      <c r="J51" s="3">
        <v>0</v>
      </c>
      <c r="K51" s="3">
        <v>18035530000</v>
      </c>
      <c r="L51" s="3">
        <v>15689111000</v>
      </c>
      <c r="M51" s="3">
        <v>2437419000</v>
      </c>
      <c r="N51" s="3">
        <v>0</v>
      </c>
      <c r="O51" s="3">
        <v>18126530000</v>
      </c>
      <c r="P51" s="3">
        <v>15689111000</v>
      </c>
      <c r="Q51" s="3">
        <v>2437419000</v>
      </c>
      <c r="R51" s="3">
        <v>0</v>
      </c>
      <c r="S51" s="3">
        <v>18126530000</v>
      </c>
      <c r="T51" s="3">
        <v>15905296903</v>
      </c>
      <c r="U51" s="3">
        <v>2221233097</v>
      </c>
      <c r="V51" s="3">
        <v>0</v>
      </c>
      <c r="W51" s="3">
        <v>18126530000</v>
      </c>
      <c r="X51" s="3">
        <v>15905296903</v>
      </c>
      <c r="Y51" s="3">
        <v>2221233097</v>
      </c>
      <c r="Z51" s="3">
        <v>0</v>
      </c>
      <c r="AA51" s="3">
        <v>18126530000</v>
      </c>
      <c r="AB51" s="3">
        <v>15823293555.139999</v>
      </c>
      <c r="AC51" s="3">
        <v>2205030949.9299998</v>
      </c>
      <c r="AD51" s="3">
        <v>0</v>
      </c>
      <c r="AE51" s="3">
        <v>18028324505.080002</v>
      </c>
      <c r="AF51" s="3">
        <v>14771591826</v>
      </c>
      <c r="AG51" s="3">
        <v>1881780129.1600001</v>
      </c>
      <c r="AH51" s="3">
        <v>0</v>
      </c>
      <c r="AI51" s="3">
        <v>16653371955.16</v>
      </c>
      <c r="AJ51" s="3">
        <v>19309499000</v>
      </c>
      <c r="AK51" s="3">
        <v>2227001000</v>
      </c>
      <c r="AL51" s="3">
        <v>0</v>
      </c>
      <c r="AM51" s="3">
        <v>21536500000</v>
      </c>
      <c r="AN51" s="3">
        <v>19309499000</v>
      </c>
      <c r="AO51" s="3">
        <v>2511611000</v>
      </c>
      <c r="AP51" s="3">
        <v>20000000</v>
      </c>
      <c r="AQ51" s="3">
        <v>21841110000</v>
      </c>
      <c r="AR51" s="3">
        <v>19309499000</v>
      </c>
      <c r="AS51" s="3">
        <v>2511611000</v>
      </c>
      <c r="AT51" s="3">
        <v>20000000</v>
      </c>
      <c r="AU51" s="3">
        <v>21841110000</v>
      </c>
      <c r="AV51" s="3">
        <v>19549084591.830002</v>
      </c>
      <c r="AW51" s="3">
        <v>2193869408.1700001</v>
      </c>
      <c r="AX51" s="3">
        <v>20000000</v>
      </c>
      <c r="AY51" s="3">
        <v>21762954000</v>
      </c>
      <c r="AZ51" s="3">
        <v>19549084591.830002</v>
      </c>
      <c r="BA51" s="3">
        <v>2170369408.1700001</v>
      </c>
      <c r="BB51" s="3">
        <v>20000000</v>
      </c>
      <c r="BC51" s="3">
        <v>21739454000</v>
      </c>
      <c r="BD51" s="3">
        <v>19546395925.389999</v>
      </c>
      <c r="BE51" s="3">
        <v>2164913838.79</v>
      </c>
      <c r="BF51" s="3">
        <v>19831420.879999999</v>
      </c>
      <c r="BG51" s="3">
        <v>21731141185.07</v>
      </c>
      <c r="BH51" s="3">
        <v>19455077440.23</v>
      </c>
      <c r="BI51" s="3">
        <v>1891947160.3199999</v>
      </c>
      <c r="BJ51" s="3">
        <v>0</v>
      </c>
      <c r="BK51" s="3">
        <v>21347024600.560001</v>
      </c>
      <c r="BL51" s="3">
        <v>21016384000</v>
      </c>
      <c r="BM51" s="3">
        <v>6357200000</v>
      </c>
      <c r="BN51" s="3">
        <v>1566410000</v>
      </c>
      <c r="BO51" s="3">
        <v>28939994000</v>
      </c>
      <c r="BP51" s="3">
        <v>21016384000</v>
      </c>
      <c r="BQ51" s="3">
        <v>6677002000</v>
      </c>
      <c r="BR51" s="3">
        <v>1890410000</v>
      </c>
      <c r="BS51" s="3">
        <v>29583796000</v>
      </c>
      <c r="BT51" s="3">
        <v>21016384000</v>
      </c>
      <c r="BU51" s="3">
        <v>6677002000</v>
      </c>
      <c r="BV51" s="3">
        <v>1890410000</v>
      </c>
      <c r="BW51" s="3">
        <v>29583796000</v>
      </c>
      <c r="BX51" s="3">
        <v>21380389676.73</v>
      </c>
      <c r="BY51" s="3">
        <v>6312996323.2700005</v>
      </c>
      <c r="BZ51" s="3">
        <v>1890410000</v>
      </c>
      <c r="CA51" s="3">
        <v>29583796000</v>
      </c>
      <c r="CB51" s="3">
        <v>21380389676.73</v>
      </c>
      <c r="CC51" s="3">
        <v>6293194323.2700005</v>
      </c>
      <c r="CD51" s="3">
        <v>1616410000</v>
      </c>
      <c r="CE51" s="3">
        <v>29289994000</v>
      </c>
      <c r="CF51" s="3">
        <v>21364093868.290001</v>
      </c>
      <c r="CG51" s="3">
        <v>6060592884.3900003</v>
      </c>
      <c r="CH51" s="3">
        <v>1571403586.53</v>
      </c>
      <c r="CI51" s="3">
        <v>28996090339.209999</v>
      </c>
      <c r="CJ51" s="3">
        <v>21224179977.959999</v>
      </c>
      <c r="CK51" s="3">
        <v>4677890855.9499998</v>
      </c>
      <c r="CL51" s="3">
        <v>11158333.33</v>
      </c>
      <c r="CM51" s="3">
        <v>25913229167.240002</v>
      </c>
      <c r="CN51" s="3">
        <v>24654181000</v>
      </c>
      <c r="CO51" s="3">
        <v>7617384000</v>
      </c>
      <c r="CP51" s="3">
        <v>1515136000</v>
      </c>
      <c r="CQ51" s="3">
        <v>33786701000</v>
      </c>
      <c r="CR51" s="3">
        <v>24654181000</v>
      </c>
      <c r="CS51" s="3">
        <v>7640197000</v>
      </c>
      <c r="CT51" s="3">
        <v>2395136000</v>
      </c>
      <c r="CU51" s="3">
        <v>34689514000</v>
      </c>
      <c r="CV51" s="3">
        <v>24654181000</v>
      </c>
      <c r="CW51" s="3">
        <v>7640197000</v>
      </c>
      <c r="CX51" s="3">
        <v>2395136000</v>
      </c>
      <c r="CY51" s="3">
        <v>34689514000</v>
      </c>
      <c r="CZ51" s="3">
        <v>25076569195.470001</v>
      </c>
      <c r="DA51" s="3">
        <v>7216219207.5600004</v>
      </c>
      <c r="DB51" s="3">
        <v>2395136000</v>
      </c>
      <c r="DC51" s="3">
        <v>34687924403.029999</v>
      </c>
      <c r="DD51" s="3">
        <v>25076569195.470001</v>
      </c>
      <c r="DE51" s="3">
        <v>7216219207.5600004</v>
      </c>
      <c r="DF51" s="3">
        <v>2395136000</v>
      </c>
      <c r="DG51" s="3">
        <v>34687924403.029999</v>
      </c>
      <c r="DH51" s="3">
        <v>25076616518.259998</v>
      </c>
      <c r="DI51" s="3">
        <v>6998187350.3500004</v>
      </c>
      <c r="DJ51" s="3">
        <v>2052615236.45</v>
      </c>
      <c r="DK51" s="3">
        <v>34127419105.060001</v>
      </c>
      <c r="DL51" s="3">
        <v>24932688546.639999</v>
      </c>
      <c r="DM51" s="3">
        <v>6163245360.1099997</v>
      </c>
      <c r="DN51" s="3">
        <v>362987168.44</v>
      </c>
      <c r="DO51" s="3">
        <v>31458921075.189999</v>
      </c>
      <c r="DP51" s="3">
        <v>28014459000</v>
      </c>
      <c r="DQ51" s="3">
        <v>8898364000</v>
      </c>
      <c r="DR51" s="3">
        <v>433959000</v>
      </c>
      <c r="DS51" s="3">
        <v>37346782000</v>
      </c>
      <c r="DT51" s="3">
        <v>28086459000</v>
      </c>
      <c r="DU51" s="3">
        <v>10316980000</v>
      </c>
      <c r="DV51" s="3">
        <v>610959000</v>
      </c>
      <c r="DW51" s="3">
        <v>39014398000</v>
      </c>
      <c r="DX51" s="3">
        <v>28086459000</v>
      </c>
      <c r="DY51" s="3">
        <v>10316980000</v>
      </c>
      <c r="DZ51" s="3">
        <v>610959000</v>
      </c>
      <c r="EA51" s="3">
        <v>39014398000</v>
      </c>
      <c r="EB51" s="3">
        <v>29061479943.84</v>
      </c>
      <c r="EC51" s="3">
        <v>9341959056.1599998</v>
      </c>
      <c r="ED51" s="3">
        <v>610959000</v>
      </c>
      <c r="EE51" s="3">
        <v>39014398000</v>
      </c>
      <c r="EF51" s="3">
        <v>29061479943.84</v>
      </c>
      <c r="EG51" s="3">
        <v>9341959056.1599998</v>
      </c>
      <c r="EH51" s="3">
        <v>610959000</v>
      </c>
      <c r="EI51" s="3">
        <v>39014398000</v>
      </c>
      <c r="EJ51" s="3">
        <v>29050931108.459999</v>
      </c>
      <c r="EK51" s="3">
        <v>9115101079.9899998</v>
      </c>
      <c r="EL51" s="3">
        <v>448414019.89999998</v>
      </c>
      <c r="EM51" s="3">
        <v>38614446208.349998</v>
      </c>
      <c r="EN51" s="3">
        <v>28826457683.259998</v>
      </c>
      <c r="EO51" s="3">
        <v>7684365816.4200001</v>
      </c>
      <c r="EP51" s="3">
        <v>348688625.50999999</v>
      </c>
      <c r="EQ51" s="3">
        <v>36859512125.18</v>
      </c>
      <c r="ER51" s="3">
        <v>31115352000</v>
      </c>
      <c r="ES51" s="3">
        <v>13263933000</v>
      </c>
      <c r="ET51" s="3">
        <v>381793000</v>
      </c>
      <c r="EU51" s="3">
        <v>44761078000</v>
      </c>
      <c r="EV51" s="3">
        <v>31115352000</v>
      </c>
      <c r="EW51" s="3">
        <v>13593933000</v>
      </c>
      <c r="EX51" s="3">
        <v>3739648000</v>
      </c>
      <c r="EY51" s="3">
        <v>48448933000</v>
      </c>
      <c r="EZ51" s="3">
        <v>31115352000</v>
      </c>
      <c r="FA51" s="3">
        <v>13593933000</v>
      </c>
      <c r="FB51" s="3">
        <v>3739648000</v>
      </c>
      <c r="FC51" s="3">
        <v>48448933000</v>
      </c>
      <c r="FD51" s="3">
        <v>32434047974.580002</v>
      </c>
      <c r="FE51" s="3">
        <v>12275237025.42</v>
      </c>
      <c r="FF51" s="3">
        <v>3739648000</v>
      </c>
      <c r="FG51" s="3">
        <v>48448933000</v>
      </c>
      <c r="FH51" s="3">
        <v>32434047974.580002</v>
      </c>
      <c r="FI51" s="3">
        <v>12275237025.42</v>
      </c>
      <c r="FJ51" s="3">
        <v>3739648000</v>
      </c>
      <c r="FK51" s="3">
        <v>48448933000</v>
      </c>
      <c r="FL51" s="3">
        <v>32426401635.540001</v>
      </c>
      <c r="FM51" s="3">
        <v>11998849137.93</v>
      </c>
      <c r="FN51" s="3">
        <v>3056425561.9499998</v>
      </c>
      <c r="FO51" s="3">
        <v>47481676335.419998</v>
      </c>
      <c r="FP51" s="3">
        <v>32286762116.540001</v>
      </c>
      <c r="FQ51" s="3">
        <v>10327185005.48</v>
      </c>
      <c r="FR51" s="3">
        <v>841096851.30999994</v>
      </c>
      <c r="FS51" s="3">
        <v>43455043973.330002</v>
      </c>
      <c r="FT51" s="3">
        <v>34146976000</v>
      </c>
      <c r="FU51" s="3">
        <v>15387611000</v>
      </c>
      <c r="FV51" s="3">
        <v>220000000</v>
      </c>
      <c r="FW51" s="3">
        <v>49754587000</v>
      </c>
      <c r="FX51" s="3">
        <v>34146976000</v>
      </c>
      <c r="FY51" s="3">
        <v>15387611000</v>
      </c>
      <c r="FZ51" s="3">
        <v>1333917000</v>
      </c>
      <c r="GA51" s="3">
        <v>50868504000</v>
      </c>
      <c r="GB51" s="3">
        <v>34146976000</v>
      </c>
      <c r="GC51" s="3">
        <v>15387611000</v>
      </c>
      <c r="GD51" s="3">
        <v>1333917000</v>
      </c>
      <c r="GE51" s="3">
        <v>50868504000</v>
      </c>
      <c r="GF51" s="3">
        <v>35581995921.330002</v>
      </c>
      <c r="GG51" s="3">
        <v>13932591078.67</v>
      </c>
      <c r="GH51" s="3">
        <v>1333917000</v>
      </c>
      <c r="GI51" s="3">
        <v>50848504000</v>
      </c>
      <c r="GJ51" s="3">
        <v>35581995921.330002</v>
      </c>
      <c r="GK51" s="3">
        <v>13932591078.67</v>
      </c>
      <c r="GL51" s="3">
        <v>1333917000</v>
      </c>
      <c r="GM51" s="3">
        <v>50848504000</v>
      </c>
      <c r="GN51" s="3">
        <v>35580470180.129997</v>
      </c>
      <c r="GO51" s="3">
        <v>13765652099.77</v>
      </c>
      <c r="GP51" s="3">
        <v>859783469.92999995</v>
      </c>
      <c r="GQ51" s="3">
        <v>50205905749.830002</v>
      </c>
      <c r="GR51" s="3">
        <v>35441456428.809998</v>
      </c>
      <c r="GS51" s="3">
        <v>11205365238.48</v>
      </c>
      <c r="GT51" s="3">
        <v>223291318.11000001</v>
      </c>
      <c r="GU51" s="3">
        <v>46870112985.400002</v>
      </c>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row>
    <row r="52" spans="1:267" x14ac:dyDescent="0.25">
      <c r="A52" t="s">
        <v>197</v>
      </c>
      <c r="B52" t="s">
        <v>198</v>
      </c>
      <c r="C52" t="s">
        <v>199</v>
      </c>
      <c r="D52" t="s">
        <v>200</v>
      </c>
      <c r="E52" t="s">
        <v>300</v>
      </c>
      <c r="F52" t="s">
        <v>307</v>
      </c>
      <c r="G52" t="s">
        <v>308</v>
      </c>
      <c r="H52" s="3">
        <v>0</v>
      </c>
      <c r="I52" s="3">
        <v>173231000</v>
      </c>
      <c r="J52" s="3">
        <v>0</v>
      </c>
      <c r="K52" s="3">
        <v>173231000</v>
      </c>
      <c r="L52" s="3">
        <v>0</v>
      </c>
      <c r="M52" s="3">
        <v>173231000</v>
      </c>
      <c r="N52" s="3">
        <v>0</v>
      </c>
      <c r="O52" s="3">
        <v>173231000</v>
      </c>
      <c r="P52" s="3">
        <v>0</v>
      </c>
      <c r="Q52" s="3">
        <v>173231000</v>
      </c>
      <c r="R52" s="3">
        <v>0</v>
      </c>
      <c r="S52" s="3">
        <v>173231000</v>
      </c>
      <c r="T52" s="3">
        <v>0</v>
      </c>
      <c r="U52" s="3">
        <v>173231000</v>
      </c>
      <c r="V52" s="3">
        <v>0</v>
      </c>
      <c r="W52" s="3">
        <v>173231000</v>
      </c>
      <c r="X52" s="3">
        <v>0</v>
      </c>
      <c r="Y52" s="3">
        <v>173231000</v>
      </c>
      <c r="Z52" s="3">
        <v>0</v>
      </c>
      <c r="AA52" s="3">
        <v>173231000</v>
      </c>
      <c r="AB52" s="3">
        <v>0</v>
      </c>
      <c r="AC52" s="3">
        <v>111226089.25</v>
      </c>
      <c r="AD52" s="3">
        <v>0</v>
      </c>
      <c r="AE52" s="3">
        <v>111226089.25</v>
      </c>
      <c r="AF52" s="3">
        <v>0</v>
      </c>
      <c r="AG52" s="3">
        <v>26902183.329999998</v>
      </c>
      <c r="AH52" s="3">
        <v>0</v>
      </c>
      <c r="AI52" s="3">
        <v>26902183.329999998</v>
      </c>
      <c r="AJ52" s="3">
        <v>0</v>
      </c>
      <c r="AK52" s="3">
        <v>307217000</v>
      </c>
      <c r="AL52" s="3">
        <v>0</v>
      </c>
      <c r="AM52" s="3">
        <v>307217000</v>
      </c>
      <c r="AN52" s="3">
        <v>0</v>
      </c>
      <c r="AO52" s="3">
        <v>307217000</v>
      </c>
      <c r="AP52" s="3">
        <v>0</v>
      </c>
      <c r="AQ52" s="3">
        <v>307217000</v>
      </c>
      <c r="AR52" s="3">
        <v>0</v>
      </c>
      <c r="AS52" s="3">
        <v>307217000</v>
      </c>
      <c r="AT52" s="3">
        <v>0</v>
      </c>
      <c r="AU52" s="3">
        <v>307217000</v>
      </c>
      <c r="AV52" s="3">
        <v>0</v>
      </c>
      <c r="AW52" s="3">
        <v>307217000</v>
      </c>
      <c r="AX52" s="3">
        <v>0</v>
      </c>
      <c r="AY52" s="3">
        <v>307217000</v>
      </c>
      <c r="AZ52" s="3">
        <v>0</v>
      </c>
      <c r="BA52" s="3">
        <v>307217000</v>
      </c>
      <c r="BB52" s="3">
        <v>0</v>
      </c>
      <c r="BC52" s="3">
        <v>307217000</v>
      </c>
      <c r="BD52" s="3">
        <v>0</v>
      </c>
      <c r="BE52" s="3">
        <v>278628895.83999997</v>
      </c>
      <c r="BF52" s="3">
        <v>0</v>
      </c>
      <c r="BG52" s="3">
        <v>278628895.83999997</v>
      </c>
      <c r="BH52" s="3">
        <v>0</v>
      </c>
      <c r="BI52" s="3">
        <v>128579921.2</v>
      </c>
      <c r="BJ52" s="3">
        <v>0</v>
      </c>
      <c r="BK52" s="3">
        <v>128579921.2</v>
      </c>
      <c r="BL52" s="3">
        <v>0</v>
      </c>
      <c r="BM52" s="3">
        <v>184330000</v>
      </c>
      <c r="BN52" s="3">
        <v>0</v>
      </c>
      <c r="BO52" s="3">
        <v>184330000</v>
      </c>
      <c r="BP52" s="3">
        <v>0</v>
      </c>
      <c r="BQ52" s="3">
        <v>289330000</v>
      </c>
      <c r="BR52" s="3">
        <v>37000000</v>
      </c>
      <c r="BS52" s="3">
        <v>326330000</v>
      </c>
      <c r="BT52" s="3">
        <v>0</v>
      </c>
      <c r="BU52" s="3">
        <v>289330000</v>
      </c>
      <c r="BV52" s="3">
        <v>37000000</v>
      </c>
      <c r="BW52" s="3">
        <v>326330000</v>
      </c>
      <c r="BX52" s="3">
        <v>0</v>
      </c>
      <c r="BY52" s="3">
        <v>289330000</v>
      </c>
      <c r="BZ52" s="3">
        <v>37000000</v>
      </c>
      <c r="CA52" s="3">
        <v>326330000</v>
      </c>
      <c r="CB52" s="3">
        <v>0</v>
      </c>
      <c r="CC52" s="3">
        <v>289330000</v>
      </c>
      <c r="CD52" s="3">
        <v>0</v>
      </c>
      <c r="CE52" s="3">
        <v>289330000</v>
      </c>
      <c r="CF52" s="3">
        <v>0</v>
      </c>
      <c r="CG52" s="3">
        <v>236264206.77000001</v>
      </c>
      <c r="CH52" s="3">
        <v>0</v>
      </c>
      <c r="CI52" s="3">
        <v>236264206.77000001</v>
      </c>
      <c r="CJ52" s="3">
        <v>0</v>
      </c>
      <c r="CK52" s="3">
        <v>90516738.790000007</v>
      </c>
      <c r="CL52" s="3">
        <v>0</v>
      </c>
      <c r="CM52" s="3">
        <v>90516738.790000007</v>
      </c>
      <c r="CN52" s="3">
        <v>0</v>
      </c>
      <c r="CO52" s="3">
        <v>289330000</v>
      </c>
      <c r="CP52" s="3">
        <v>0</v>
      </c>
      <c r="CQ52" s="3">
        <v>289330000</v>
      </c>
      <c r="CR52" s="3">
        <v>0</v>
      </c>
      <c r="CS52" s="3">
        <v>459330000</v>
      </c>
      <c r="CT52" s="3">
        <v>37000000</v>
      </c>
      <c r="CU52" s="3">
        <v>496330000</v>
      </c>
      <c r="CV52" s="3">
        <v>0</v>
      </c>
      <c r="CW52" s="3">
        <v>459330000</v>
      </c>
      <c r="CX52" s="3">
        <v>37000000</v>
      </c>
      <c r="CY52" s="3">
        <v>496330000</v>
      </c>
      <c r="CZ52" s="3">
        <v>0</v>
      </c>
      <c r="DA52" s="3">
        <v>459330000</v>
      </c>
      <c r="DB52" s="3">
        <v>37000000</v>
      </c>
      <c r="DC52" s="3">
        <v>496330000</v>
      </c>
      <c r="DD52" s="3">
        <v>0</v>
      </c>
      <c r="DE52" s="3">
        <v>459330000</v>
      </c>
      <c r="DF52" s="3">
        <v>37000000</v>
      </c>
      <c r="DG52" s="3">
        <v>496330000</v>
      </c>
      <c r="DH52" s="3">
        <v>0</v>
      </c>
      <c r="DI52" s="3">
        <v>432375667.83999997</v>
      </c>
      <c r="DJ52" s="3">
        <v>36967998</v>
      </c>
      <c r="DK52" s="3">
        <v>469343665.83999997</v>
      </c>
      <c r="DL52" s="3">
        <v>0</v>
      </c>
      <c r="DM52" s="3">
        <v>158473570.34</v>
      </c>
      <c r="DN52" s="3">
        <v>25390000</v>
      </c>
      <c r="DO52" s="3">
        <v>183863570.34</v>
      </c>
      <c r="DP52" s="3">
        <v>0</v>
      </c>
      <c r="DQ52" s="3">
        <v>300603000</v>
      </c>
      <c r="DR52" s="3">
        <v>0</v>
      </c>
      <c r="DS52" s="3">
        <v>300603000</v>
      </c>
      <c r="DT52" s="3">
        <v>0</v>
      </c>
      <c r="DU52" s="3">
        <v>707659000</v>
      </c>
      <c r="DV52" s="3">
        <v>181130000</v>
      </c>
      <c r="DW52" s="3">
        <v>888789000</v>
      </c>
      <c r="DX52" s="3">
        <v>0</v>
      </c>
      <c r="DY52" s="3">
        <v>707659000</v>
      </c>
      <c r="DZ52" s="3">
        <v>181130000</v>
      </c>
      <c r="EA52" s="3">
        <v>888789000</v>
      </c>
      <c r="EB52" s="3">
        <v>15940000</v>
      </c>
      <c r="EC52" s="3">
        <v>691719000</v>
      </c>
      <c r="ED52" s="3">
        <v>181130000</v>
      </c>
      <c r="EE52" s="3">
        <v>888789000</v>
      </c>
      <c r="EF52" s="3">
        <v>15940000</v>
      </c>
      <c r="EG52" s="3">
        <v>691719000</v>
      </c>
      <c r="EH52" s="3">
        <v>181130000</v>
      </c>
      <c r="EI52" s="3">
        <v>888789000</v>
      </c>
      <c r="EJ52" s="3">
        <v>15940000</v>
      </c>
      <c r="EK52" s="3">
        <v>589853370.47000003</v>
      </c>
      <c r="EL52" s="3">
        <v>162061262.5</v>
      </c>
      <c r="EM52" s="3">
        <v>767854632.97000003</v>
      </c>
      <c r="EN52" s="3">
        <v>0</v>
      </c>
      <c r="EO52" s="3">
        <v>246241255.5</v>
      </c>
      <c r="EP52" s="3">
        <v>897017.85</v>
      </c>
      <c r="EQ52" s="3">
        <v>247138273.34999999</v>
      </c>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row>
    <row r="53" spans="1:267" x14ac:dyDescent="0.25">
      <c r="A53" t="s">
        <v>197</v>
      </c>
      <c r="B53" t="s">
        <v>198</v>
      </c>
      <c r="C53" t="s">
        <v>199</v>
      </c>
      <c r="D53" t="s">
        <v>200</v>
      </c>
      <c r="E53" t="s">
        <v>300</v>
      </c>
      <c r="F53" t="s">
        <v>309</v>
      </c>
      <c r="G53" t="s">
        <v>310</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v>0</v>
      </c>
      <c r="ES53" s="3">
        <v>765035000</v>
      </c>
      <c r="ET53" s="3">
        <v>0</v>
      </c>
      <c r="EU53" s="3">
        <v>765035000</v>
      </c>
      <c r="EV53" s="3">
        <v>0</v>
      </c>
      <c r="EW53" s="3">
        <v>765035000</v>
      </c>
      <c r="EX53" s="3">
        <v>140785000</v>
      </c>
      <c r="EY53" s="3">
        <v>905820000</v>
      </c>
      <c r="EZ53" s="3">
        <v>0</v>
      </c>
      <c r="FA53" s="3">
        <v>765035000</v>
      </c>
      <c r="FB53" s="3">
        <v>140785000</v>
      </c>
      <c r="FC53" s="3">
        <v>905820000</v>
      </c>
      <c r="FD53" s="3">
        <v>0</v>
      </c>
      <c r="FE53" s="3">
        <v>765035000</v>
      </c>
      <c r="FF53" s="3">
        <v>140785000</v>
      </c>
      <c r="FG53" s="3">
        <v>905820000</v>
      </c>
      <c r="FH53" s="3">
        <v>0</v>
      </c>
      <c r="FI53" s="3">
        <v>765035000</v>
      </c>
      <c r="FJ53" s="3">
        <v>140785000</v>
      </c>
      <c r="FK53" s="3">
        <v>905820000</v>
      </c>
      <c r="FL53" s="3">
        <v>0</v>
      </c>
      <c r="FM53" s="3">
        <v>415968508.42000002</v>
      </c>
      <c r="FN53" s="3">
        <v>126000000</v>
      </c>
      <c r="FO53" s="3">
        <v>541968508.41999996</v>
      </c>
      <c r="FP53" s="3">
        <v>0</v>
      </c>
      <c r="FQ53" s="3">
        <v>243080101.61000001</v>
      </c>
      <c r="FR53" s="3">
        <v>0</v>
      </c>
      <c r="FS53" s="3">
        <v>243080101.61000001</v>
      </c>
      <c r="FT53" s="3">
        <v>0</v>
      </c>
      <c r="FU53" s="3">
        <v>732077000</v>
      </c>
      <c r="FV53" s="3">
        <v>0</v>
      </c>
      <c r="FW53" s="3">
        <v>732077000</v>
      </c>
      <c r="FX53" s="3">
        <v>0</v>
      </c>
      <c r="FY53" s="3">
        <v>732077000</v>
      </c>
      <c r="FZ53" s="3">
        <v>0</v>
      </c>
      <c r="GA53" s="3">
        <v>732077000</v>
      </c>
      <c r="GB53" s="3">
        <v>0</v>
      </c>
      <c r="GC53" s="3">
        <v>732077000</v>
      </c>
      <c r="GD53" s="3">
        <v>0</v>
      </c>
      <c r="GE53" s="3">
        <v>732077000</v>
      </c>
      <c r="GF53" s="3">
        <v>0</v>
      </c>
      <c r="GG53" s="3">
        <v>655077000</v>
      </c>
      <c r="GH53" s="3">
        <v>0</v>
      </c>
      <c r="GI53" s="3">
        <v>655077000</v>
      </c>
      <c r="GJ53" s="3">
        <v>0</v>
      </c>
      <c r="GK53" s="3">
        <v>655077000</v>
      </c>
      <c r="GL53" s="3">
        <v>0</v>
      </c>
      <c r="GM53" s="3">
        <v>655077000</v>
      </c>
      <c r="GN53" s="3">
        <v>0</v>
      </c>
      <c r="GO53" s="3">
        <v>438158840.99000001</v>
      </c>
      <c r="GP53" s="3">
        <v>0</v>
      </c>
      <c r="GQ53" s="3">
        <v>438158840.99000001</v>
      </c>
      <c r="GR53" s="3">
        <v>0</v>
      </c>
      <c r="GS53" s="3">
        <v>241630084.69</v>
      </c>
      <c r="GT53" s="3">
        <v>0</v>
      </c>
      <c r="GU53" s="3">
        <v>241630084.69</v>
      </c>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row>
    <row r="54" spans="1:267" x14ac:dyDescent="0.25">
      <c r="A54" t="s">
        <v>197</v>
      </c>
      <c r="B54" t="s">
        <v>198</v>
      </c>
      <c r="C54" t="s">
        <v>199</v>
      </c>
      <c r="D54" t="s">
        <v>200</v>
      </c>
      <c r="E54" t="s">
        <v>300</v>
      </c>
      <c r="F54" t="s">
        <v>311</v>
      </c>
      <c r="G54" t="s">
        <v>312</v>
      </c>
      <c r="H54" s="3">
        <v>392483000</v>
      </c>
      <c r="I54" s="3">
        <v>302523000</v>
      </c>
      <c r="J54" s="3">
        <v>64588000</v>
      </c>
      <c r="K54" s="3">
        <v>759594000</v>
      </c>
      <c r="L54" s="3">
        <v>392483000</v>
      </c>
      <c r="M54" s="3">
        <v>302523000</v>
      </c>
      <c r="N54" s="3">
        <v>64588000</v>
      </c>
      <c r="O54" s="3">
        <v>759594000</v>
      </c>
      <c r="P54" s="3">
        <v>392483000</v>
      </c>
      <c r="Q54" s="3">
        <v>302523000</v>
      </c>
      <c r="R54" s="3">
        <v>64588000</v>
      </c>
      <c r="S54" s="3">
        <v>759594000</v>
      </c>
      <c r="T54" s="3">
        <v>404521940</v>
      </c>
      <c r="U54" s="3">
        <v>290484060</v>
      </c>
      <c r="V54" s="3">
        <v>123588000</v>
      </c>
      <c r="W54" s="3">
        <v>818594000</v>
      </c>
      <c r="X54" s="3">
        <v>404521940</v>
      </c>
      <c r="Y54" s="3">
        <v>290484060</v>
      </c>
      <c r="Z54" s="3">
        <v>123588000</v>
      </c>
      <c r="AA54" s="3">
        <v>818594000</v>
      </c>
      <c r="AB54" s="3">
        <v>404243673.75</v>
      </c>
      <c r="AC54" s="3">
        <v>278348307.57999998</v>
      </c>
      <c r="AD54" s="3">
        <v>117468190.59</v>
      </c>
      <c r="AE54" s="3">
        <v>800060171.91999996</v>
      </c>
      <c r="AF54" s="3">
        <v>390939978.14999998</v>
      </c>
      <c r="AG54" s="3">
        <v>233646788.62</v>
      </c>
      <c r="AH54" s="3">
        <v>32511530.460000001</v>
      </c>
      <c r="AI54" s="3">
        <v>657098297.23000002</v>
      </c>
      <c r="AJ54" s="3">
        <v>544076000</v>
      </c>
      <c r="AK54" s="3">
        <v>612238000</v>
      </c>
      <c r="AL54" s="3">
        <v>0</v>
      </c>
      <c r="AM54" s="3">
        <v>1156314000</v>
      </c>
      <c r="AN54" s="3">
        <v>573076000</v>
      </c>
      <c r="AO54" s="3">
        <v>653542000</v>
      </c>
      <c r="AP54" s="3">
        <v>8696000</v>
      </c>
      <c r="AQ54" s="3">
        <v>1235314000</v>
      </c>
      <c r="AR54" s="3">
        <v>573076000</v>
      </c>
      <c r="AS54" s="3">
        <v>653542000</v>
      </c>
      <c r="AT54" s="3">
        <v>8696000</v>
      </c>
      <c r="AU54" s="3">
        <v>1235314000</v>
      </c>
      <c r="AV54" s="3">
        <v>600705228</v>
      </c>
      <c r="AW54" s="3">
        <v>625912772</v>
      </c>
      <c r="AX54" s="3">
        <v>8696000</v>
      </c>
      <c r="AY54" s="3">
        <v>1235314000</v>
      </c>
      <c r="AZ54" s="3">
        <v>571705228</v>
      </c>
      <c r="BA54" s="3">
        <v>625912772</v>
      </c>
      <c r="BB54" s="3">
        <v>8696000</v>
      </c>
      <c r="BC54" s="3">
        <v>1206314000</v>
      </c>
      <c r="BD54" s="3">
        <v>567343078.49000001</v>
      </c>
      <c r="BE54" s="3">
        <v>549243076.58000004</v>
      </c>
      <c r="BF54" s="3">
        <v>6725370.5</v>
      </c>
      <c r="BG54" s="3">
        <v>1123311525.5699999</v>
      </c>
      <c r="BH54" s="3">
        <v>566809880.48000002</v>
      </c>
      <c r="BI54" s="3">
        <v>437837738.11000001</v>
      </c>
      <c r="BJ54" s="3">
        <v>3105592</v>
      </c>
      <c r="BK54" s="3">
        <v>1007753210.59</v>
      </c>
      <c r="BL54" s="3">
        <v>567208000</v>
      </c>
      <c r="BM54" s="3">
        <v>604508000</v>
      </c>
      <c r="BN54" s="3">
        <v>3329000</v>
      </c>
      <c r="BO54" s="3">
        <v>1175045000</v>
      </c>
      <c r="BP54" s="3">
        <v>567208000</v>
      </c>
      <c r="BQ54" s="3">
        <v>604508000</v>
      </c>
      <c r="BR54" s="3">
        <v>28329000</v>
      </c>
      <c r="BS54" s="3">
        <v>1200045000</v>
      </c>
      <c r="BT54" s="3">
        <v>567208000</v>
      </c>
      <c r="BU54" s="3">
        <v>604508000</v>
      </c>
      <c r="BV54" s="3">
        <v>28329000</v>
      </c>
      <c r="BW54" s="3">
        <v>1200045000</v>
      </c>
      <c r="BX54" s="3">
        <v>595428902.91999996</v>
      </c>
      <c r="BY54" s="3">
        <v>574843722.08000004</v>
      </c>
      <c r="BZ54" s="3">
        <v>28329000</v>
      </c>
      <c r="CA54" s="3">
        <v>1198601625</v>
      </c>
      <c r="CB54" s="3">
        <v>595428902.91999996</v>
      </c>
      <c r="CC54" s="3">
        <v>574843722.08000004</v>
      </c>
      <c r="CD54" s="3">
        <v>28329000</v>
      </c>
      <c r="CE54" s="3">
        <v>1198601625</v>
      </c>
      <c r="CF54" s="3">
        <v>587200085.40999997</v>
      </c>
      <c r="CG54" s="3">
        <v>517645896.31999999</v>
      </c>
      <c r="CH54" s="3">
        <v>0</v>
      </c>
      <c r="CI54" s="3">
        <v>1104845981.73</v>
      </c>
      <c r="CJ54" s="3">
        <v>579889061.01999998</v>
      </c>
      <c r="CK54" s="3">
        <v>434023020.44</v>
      </c>
      <c r="CL54" s="3">
        <v>0</v>
      </c>
      <c r="CM54" s="3">
        <v>1013912081.46</v>
      </c>
      <c r="CN54" s="3">
        <v>625099000</v>
      </c>
      <c r="CO54" s="3">
        <v>657604000</v>
      </c>
      <c r="CP54" s="3">
        <v>0</v>
      </c>
      <c r="CQ54" s="3">
        <v>1282703000</v>
      </c>
      <c r="CR54" s="3">
        <v>625099000</v>
      </c>
      <c r="CS54" s="3">
        <v>657604000</v>
      </c>
      <c r="CT54" s="3">
        <v>0</v>
      </c>
      <c r="CU54" s="3">
        <v>1282703000</v>
      </c>
      <c r="CV54" s="3">
        <v>625099000</v>
      </c>
      <c r="CW54" s="3">
        <v>657604000</v>
      </c>
      <c r="CX54" s="3">
        <v>0</v>
      </c>
      <c r="CY54" s="3">
        <v>1282703000</v>
      </c>
      <c r="CZ54" s="3">
        <v>657239422.55999994</v>
      </c>
      <c r="DA54" s="3">
        <v>622775577.44000006</v>
      </c>
      <c r="DB54" s="3">
        <v>0</v>
      </c>
      <c r="DC54" s="3">
        <v>1280015000</v>
      </c>
      <c r="DD54" s="3">
        <v>657239422.55999994</v>
      </c>
      <c r="DE54" s="3">
        <v>622775577.44000006</v>
      </c>
      <c r="DF54" s="3">
        <v>0</v>
      </c>
      <c r="DG54" s="3">
        <v>1280015000</v>
      </c>
      <c r="DH54" s="3">
        <v>655908050.72000003</v>
      </c>
      <c r="DI54" s="3">
        <v>561496584.12</v>
      </c>
      <c r="DJ54" s="3">
        <v>0</v>
      </c>
      <c r="DK54" s="3">
        <v>1217404634.8399999</v>
      </c>
      <c r="DL54" s="3">
        <v>648744294.59000003</v>
      </c>
      <c r="DM54" s="3">
        <v>432266902.30000001</v>
      </c>
      <c r="DN54" s="3">
        <v>0</v>
      </c>
      <c r="DO54" s="3">
        <v>1081011196.8900001</v>
      </c>
      <c r="DP54" s="3">
        <v>723367000</v>
      </c>
      <c r="DQ54" s="3">
        <v>657604000</v>
      </c>
      <c r="DR54" s="3">
        <v>0</v>
      </c>
      <c r="DS54" s="3">
        <v>1380971000</v>
      </c>
      <c r="DT54" s="3">
        <v>723367000</v>
      </c>
      <c r="DU54" s="3">
        <v>657604000</v>
      </c>
      <c r="DV54" s="3">
        <v>0</v>
      </c>
      <c r="DW54" s="3">
        <v>1380971000</v>
      </c>
      <c r="DX54" s="3">
        <v>723367000</v>
      </c>
      <c r="DY54" s="3">
        <v>657604000</v>
      </c>
      <c r="DZ54" s="3">
        <v>0</v>
      </c>
      <c r="EA54" s="3">
        <v>1380971000</v>
      </c>
      <c r="EB54" s="3">
        <v>764604650.26999998</v>
      </c>
      <c r="EC54" s="3">
        <v>616366349.73000002</v>
      </c>
      <c r="ED54" s="3">
        <v>0</v>
      </c>
      <c r="EE54" s="3">
        <v>1380971000</v>
      </c>
      <c r="EF54" s="3">
        <v>764604650.26999998</v>
      </c>
      <c r="EG54" s="3">
        <v>616366349.73000002</v>
      </c>
      <c r="EH54" s="3">
        <v>0</v>
      </c>
      <c r="EI54" s="3">
        <v>1380971000</v>
      </c>
      <c r="EJ54" s="3">
        <v>762128548.16999996</v>
      </c>
      <c r="EK54" s="3">
        <v>589107583.42999995</v>
      </c>
      <c r="EL54" s="3">
        <v>0</v>
      </c>
      <c r="EM54" s="3">
        <v>1351236131.5999999</v>
      </c>
      <c r="EN54" s="3">
        <v>752550116.40999997</v>
      </c>
      <c r="EO54" s="3">
        <v>512125756.30000001</v>
      </c>
      <c r="EP54" s="3">
        <v>0</v>
      </c>
      <c r="EQ54" s="3">
        <v>1264675872.71</v>
      </c>
      <c r="ER54" s="3">
        <v>824172000</v>
      </c>
      <c r="ES54" s="3">
        <v>657604000</v>
      </c>
      <c r="ET54" s="3">
        <v>0</v>
      </c>
      <c r="EU54" s="3">
        <v>1481776000</v>
      </c>
      <c r="EV54" s="3">
        <v>824172000</v>
      </c>
      <c r="EW54" s="3">
        <v>657604000</v>
      </c>
      <c r="EX54" s="3">
        <v>0</v>
      </c>
      <c r="EY54" s="3">
        <v>1481776000</v>
      </c>
      <c r="EZ54" s="3">
        <v>824172000</v>
      </c>
      <c r="FA54" s="3">
        <v>657604000</v>
      </c>
      <c r="FB54" s="3">
        <v>0</v>
      </c>
      <c r="FC54" s="3">
        <v>1481776000</v>
      </c>
      <c r="FD54" s="3">
        <v>870660584.29999995</v>
      </c>
      <c r="FE54" s="3">
        <v>611115415.70000005</v>
      </c>
      <c r="FF54" s="3">
        <v>0</v>
      </c>
      <c r="FG54" s="3">
        <v>1481776000</v>
      </c>
      <c r="FH54" s="3">
        <v>870660584.29999995</v>
      </c>
      <c r="FI54" s="3">
        <v>611115415.70000005</v>
      </c>
      <c r="FJ54" s="3">
        <v>0</v>
      </c>
      <c r="FK54" s="3">
        <v>1481776000</v>
      </c>
      <c r="FL54" s="3">
        <v>870556590.62</v>
      </c>
      <c r="FM54" s="3">
        <v>588449897.57000005</v>
      </c>
      <c r="FN54" s="3">
        <v>0</v>
      </c>
      <c r="FO54" s="3">
        <v>1459006488.1900001</v>
      </c>
      <c r="FP54" s="3">
        <v>867770101.39999998</v>
      </c>
      <c r="FQ54" s="3">
        <v>546744732.05999994</v>
      </c>
      <c r="FR54" s="3">
        <v>0</v>
      </c>
      <c r="FS54" s="3">
        <v>1414514833.46</v>
      </c>
      <c r="FT54" s="3">
        <v>911686000</v>
      </c>
      <c r="FU54" s="3">
        <v>669441000</v>
      </c>
      <c r="FV54" s="3">
        <v>0</v>
      </c>
      <c r="FW54" s="3">
        <v>1581127000</v>
      </c>
      <c r="FX54" s="3">
        <v>911686000</v>
      </c>
      <c r="FY54" s="3">
        <v>669441000</v>
      </c>
      <c r="FZ54" s="3">
        <v>0</v>
      </c>
      <c r="GA54" s="3">
        <v>1581127000</v>
      </c>
      <c r="GB54" s="3">
        <v>911686000</v>
      </c>
      <c r="GC54" s="3">
        <v>669441000</v>
      </c>
      <c r="GD54" s="3">
        <v>0</v>
      </c>
      <c r="GE54" s="3">
        <v>1581127000</v>
      </c>
      <c r="GF54" s="3">
        <v>971345814.25999999</v>
      </c>
      <c r="GG54" s="3">
        <v>602882196.74000001</v>
      </c>
      <c r="GH54" s="3">
        <v>0</v>
      </c>
      <c r="GI54" s="3">
        <v>1574228011</v>
      </c>
      <c r="GJ54" s="3">
        <v>971345814.25999999</v>
      </c>
      <c r="GK54" s="3">
        <v>602882196.74000001</v>
      </c>
      <c r="GL54" s="3">
        <v>0</v>
      </c>
      <c r="GM54" s="3">
        <v>1574228011</v>
      </c>
      <c r="GN54" s="3">
        <v>971331480.29999995</v>
      </c>
      <c r="GO54" s="3">
        <v>585347691.03999996</v>
      </c>
      <c r="GP54" s="3">
        <v>0</v>
      </c>
      <c r="GQ54" s="3">
        <v>1556679171.3399999</v>
      </c>
      <c r="GR54" s="3">
        <v>966094921.25</v>
      </c>
      <c r="GS54" s="3">
        <v>545803348.34000003</v>
      </c>
      <c r="GT54" s="3">
        <v>0</v>
      </c>
      <c r="GU54" s="3">
        <v>1511898269.5899999</v>
      </c>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row>
    <row r="55" spans="1:267" x14ac:dyDescent="0.25">
      <c r="A55" t="s">
        <v>197</v>
      </c>
      <c r="B55" t="s">
        <v>198</v>
      </c>
      <c r="C55" t="s">
        <v>199</v>
      </c>
      <c r="D55" t="s">
        <v>200</v>
      </c>
      <c r="E55" t="s">
        <v>313</v>
      </c>
      <c r="F55" t="s">
        <v>314</v>
      </c>
      <c r="G55" t="s">
        <v>315</v>
      </c>
      <c r="H55" s="3">
        <v>0</v>
      </c>
      <c r="I55" s="3">
        <v>15872000</v>
      </c>
      <c r="J55" s="3">
        <v>0</v>
      </c>
      <c r="K55" s="3">
        <v>15872000</v>
      </c>
      <c r="L55" s="3">
        <v>0</v>
      </c>
      <c r="M55" s="3">
        <v>15872000</v>
      </c>
      <c r="N55" s="3">
        <v>0</v>
      </c>
      <c r="O55" s="3">
        <v>15872000</v>
      </c>
      <c r="P55" s="3">
        <v>0</v>
      </c>
      <c r="Q55" s="3">
        <v>15872000</v>
      </c>
      <c r="R55" s="3">
        <v>0</v>
      </c>
      <c r="S55" s="3">
        <v>15872000</v>
      </c>
      <c r="T55" s="3">
        <v>0</v>
      </c>
      <c r="U55" s="3">
        <v>15872000</v>
      </c>
      <c r="V55" s="3">
        <v>0</v>
      </c>
      <c r="W55" s="3">
        <v>15872000</v>
      </c>
      <c r="X55" s="3">
        <v>0</v>
      </c>
      <c r="Y55" s="3">
        <v>15872000</v>
      </c>
      <c r="Z55" s="3">
        <v>0</v>
      </c>
      <c r="AA55" s="3">
        <v>15872000</v>
      </c>
      <c r="AB55" s="3">
        <v>0</v>
      </c>
      <c r="AC55" s="3">
        <v>15818449.73</v>
      </c>
      <c r="AD55" s="3">
        <v>0</v>
      </c>
      <c r="AE55" s="3">
        <v>15818449.73</v>
      </c>
      <c r="AF55" s="3">
        <v>0</v>
      </c>
      <c r="AG55" s="3">
        <v>15075576.99</v>
      </c>
      <c r="AH55" s="3">
        <v>0</v>
      </c>
      <c r="AI55" s="3">
        <v>15075576.99</v>
      </c>
      <c r="AJ55" s="3">
        <v>52799000</v>
      </c>
      <c r="AK55" s="3">
        <v>29891000</v>
      </c>
      <c r="AL55" s="3">
        <v>0</v>
      </c>
      <c r="AM55" s="3">
        <v>82690000</v>
      </c>
      <c r="AN55" s="3">
        <v>52799000</v>
      </c>
      <c r="AO55" s="3">
        <v>29891000</v>
      </c>
      <c r="AP55" s="3">
        <v>0</v>
      </c>
      <c r="AQ55" s="3">
        <v>82690000</v>
      </c>
      <c r="AR55" s="3">
        <v>52799000</v>
      </c>
      <c r="AS55" s="3">
        <v>29891000</v>
      </c>
      <c r="AT55" s="3">
        <v>0</v>
      </c>
      <c r="AU55" s="3">
        <v>82690000</v>
      </c>
      <c r="AV55" s="3">
        <v>53022527</v>
      </c>
      <c r="AW55" s="3">
        <v>29667473</v>
      </c>
      <c r="AX55" s="3">
        <v>0</v>
      </c>
      <c r="AY55" s="3">
        <v>82690000</v>
      </c>
      <c r="AZ55" s="3">
        <v>53022527</v>
      </c>
      <c r="BA55" s="3">
        <v>29667473</v>
      </c>
      <c r="BB55" s="3">
        <v>0</v>
      </c>
      <c r="BC55" s="3">
        <v>82690000</v>
      </c>
      <c r="BD55" s="3">
        <v>52799000</v>
      </c>
      <c r="BE55" s="3">
        <v>21362917.09</v>
      </c>
      <c r="BF55" s="3">
        <v>0</v>
      </c>
      <c r="BG55" s="3">
        <v>74161917.090000004</v>
      </c>
      <c r="BH55" s="3">
        <v>52799000</v>
      </c>
      <c r="BI55" s="3">
        <v>18899547.02</v>
      </c>
      <c r="BJ55" s="3">
        <v>0</v>
      </c>
      <c r="BK55" s="3">
        <v>71698547.019999996</v>
      </c>
      <c r="BL55" s="3">
        <v>45778000</v>
      </c>
      <c r="BM55" s="3">
        <v>29891000</v>
      </c>
      <c r="BN55" s="3">
        <v>0</v>
      </c>
      <c r="BO55" s="3">
        <v>75669000</v>
      </c>
      <c r="BP55" s="3">
        <v>45778000</v>
      </c>
      <c r="BQ55" s="3">
        <v>29891000</v>
      </c>
      <c r="BR55" s="3">
        <v>0</v>
      </c>
      <c r="BS55" s="3">
        <v>75669000</v>
      </c>
      <c r="BT55" s="3">
        <v>45778000</v>
      </c>
      <c r="BU55" s="3">
        <v>29891000</v>
      </c>
      <c r="BV55" s="3">
        <v>0</v>
      </c>
      <c r="BW55" s="3">
        <v>75669000</v>
      </c>
      <c r="BX55" s="3">
        <v>50253317.890000001</v>
      </c>
      <c r="BY55" s="3">
        <v>25415682.109999999</v>
      </c>
      <c r="BZ55" s="3">
        <v>0</v>
      </c>
      <c r="CA55" s="3">
        <v>75669000</v>
      </c>
      <c r="CB55" s="3">
        <v>50253317.890000001</v>
      </c>
      <c r="CC55" s="3">
        <v>25415682.109999999</v>
      </c>
      <c r="CD55" s="3">
        <v>0</v>
      </c>
      <c r="CE55" s="3">
        <v>75669000</v>
      </c>
      <c r="CF55" s="3">
        <v>50139094.969999999</v>
      </c>
      <c r="CG55" s="3">
        <v>24254220.120000001</v>
      </c>
      <c r="CH55" s="3">
        <v>0</v>
      </c>
      <c r="CI55" s="3">
        <v>74393315.090000004</v>
      </c>
      <c r="CJ55" s="3">
        <v>48467663.840000004</v>
      </c>
      <c r="CK55" s="3">
        <v>19809818.02</v>
      </c>
      <c r="CL55" s="3">
        <v>0</v>
      </c>
      <c r="CM55" s="3">
        <v>68277481.859999999</v>
      </c>
      <c r="CN55" s="3">
        <v>47136000</v>
      </c>
      <c r="CO55" s="3">
        <v>29892000</v>
      </c>
      <c r="CP55" s="3">
        <v>0</v>
      </c>
      <c r="CQ55" s="3">
        <v>77028000</v>
      </c>
      <c r="CR55" s="3">
        <v>47136000</v>
      </c>
      <c r="CS55" s="3">
        <v>29892000</v>
      </c>
      <c r="CT55" s="3">
        <v>0</v>
      </c>
      <c r="CU55" s="3">
        <v>77028000</v>
      </c>
      <c r="CV55" s="3">
        <v>47136000</v>
      </c>
      <c r="CW55" s="3">
        <v>29892000</v>
      </c>
      <c r="CX55" s="3">
        <v>0</v>
      </c>
      <c r="CY55" s="3">
        <v>77028000</v>
      </c>
      <c r="CZ55" s="3">
        <v>50281096</v>
      </c>
      <c r="DA55" s="3">
        <v>26746904</v>
      </c>
      <c r="DB55" s="3">
        <v>0</v>
      </c>
      <c r="DC55" s="3">
        <v>77028000</v>
      </c>
      <c r="DD55" s="3">
        <v>50281096</v>
      </c>
      <c r="DE55" s="3">
        <v>26746904</v>
      </c>
      <c r="DF55" s="3">
        <v>0</v>
      </c>
      <c r="DG55" s="3">
        <v>77028000</v>
      </c>
      <c r="DH55" s="3">
        <v>50256928.869999997</v>
      </c>
      <c r="DI55" s="3">
        <v>22634478.030000001</v>
      </c>
      <c r="DJ55" s="3">
        <v>0</v>
      </c>
      <c r="DK55" s="3">
        <v>72891406.900000006</v>
      </c>
      <c r="DL55" s="3">
        <v>49762011.810000002</v>
      </c>
      <c r="DM55" s="3">
        <v>18066862.82</v>
      </c>
      <c r="DN55" s="3">
        <v>0</v>
      </c>
      <c r="DO55" s="3">
        <v>67828874.629999995</v>
      </c>
      <c r="DP55" s="3">
        <v>47077000</v>
      </c>
      <c r="DQ55" s="3">
        <v>29892000</v>
      </c>
      <c r="DR55" s="3">
        <v>0</v>
      </c>
      <c r="DS55" s="3">
        <v>76969000</v>
      </c>
      <c r="DT55" s="3">
        <v>47077000</v>
      </c>
      <c r="DU55" s="3">
        <v>29892000</v>
      </c>
      <c r="DV55" s="3">
        <v>4700000</v>
      </c>
      <c r="DW55" s="3">
        <v>81669000</v>
      </c>
      <c r="DX55" s="3">
        <v>47077000</v>
      </c>
      <c r="DY55" s="3">
        <v>29892000</v>
      </c>
      <c r="DZ55" s="3">
        <v>4700000</v>
      </c>
      <c r="EA55" s="3">
        <v>81669000</v>
      </c>
      <c r="EB55" s="3">
        <v>47077000</v>
      </c>
      <c r="EC55" s="3">
        <v>29892000</v>
      </c>
      <c r="ED55" s="3">
        <v>4700000</v>
      </c>
      <c r="EE55" s="3">
        <v>81669000</v>
      </c>
      <c r="EF55" s="3">
        <v>47077000</v>
      </c>
      <c r="EG55" s="3">
        <v>29892000</v>
      </c>
      <c r="EH55" s="3">
        <v>4700000</v>
      </c>
      <c r="EI55" s="3">
        <v>81669000</v>
      </c>
      <c r="EJ55" s="3">
        <v>47077000</v>
      </c>
      <c r="EK55" s="3">
        <v>28595621.920000002</v>
      </c>
      <c r="EL55" s="3">
        <v>331398</v>
      </c>
      <c r="EM55" s="3">
        <v>76004019.920000002</v>
      </c>
      <c r="EN55" s="3">
        <v>46357979.009999998</v>
      </c>
      <c r="EO55" s="3">
        <v>21919142.809999999</v>
      </c>
      <c r="EP55" s="3">
        <v>0</v>
      </c>
      <c r="EQ55" s="3">
        <v>68277121.819999993</v>
      </c>
      <c r="ER55" s="3">
        <v>47573000</v>
      </c>
      <c r="ES55" s="3">
        <v>28044000</v>
      </c>
      <c r="ET55" s="3">
        <v>0</v>
      </c>
      <c r="EU55" s="3">
        <v>75617000</v>
      </c>
      <c r="EV55" s="3">
        <v>47573000</v>
      </c>
      <c r="EW55" s="3">
        <v>33044000</v>
      </c>
      <c r="EX55" s="3">
        <v>0</v>
      </c>
      <c r="EY55" s="3">
        <v>80617000</v>
      </c>
      <c r="EZ55" s="3">
        <v>47573000</v>
      </c>
      <c r="FA55" s="3">
        <v>33044000</v>
      </c>
      <c r="FB55" s="3">
        <v>0</v>
      </c>
      <c r="FC55" s="3">
        <v>80617000</v>
      </c>
      <c r="FD55" s="3">
        <v>47842500</v>
      </c>
      <c r="FE55" s="3">
        <v>32774500</v>
      </c>
      <c r="FF55" s="3">
        <v>0</v>
      </c>
      <c r="FG55" s="3">
        <v>80617000</v>
      </c>
      <c r="FH55" s="3">
        <v>47842500</v>
      </c>
      <c r="FI55" s="3">
        <v>32774500</v>
      </c>
      <c r="FJ55" s="3">
        <v>0</v>
      </c>
      <c r="FK55" s="3">
        <v>80617000</v>
      </c>
      <c r="FL55" s="3">
        <v>47842500</v>
      </c>
      <c r="FM55" s="3">
        <v>28937355.43</v>
      </c>
      <c r="FN55" s="3">
        <v>0</v>
      </c>
      <c r="FO55" s="3">
        <v>76779855.430000007</v>
      </c>
      <c r="FP55" s="3">
        <v>47779014.990000002</v>
      </c>
      <c r="FQ55" s="3">
        <v>23516963.620000001</v>
      </c>
      <c r="FR55" s="3">
        <v>0</v>
      </c>
      <c r="FS55" s="3">
        <v>71295978.609999999</v>
      </c>
      <c r="FT55" s="3">
        <v>44958000</v>
      </c>
      <c r="FU55" s="3">
        <v>33044000</v>
      </c>
      <c r="FV55" s="3">
        <v>0</v>
      </c>
      <c r="FW55" s="3">
        <v>78002000</v>
      </c>
      <c r="FX55" s="3">
        <v>44958000</v>
      </c>
      <c r="FY55" s="3">
        <v>38044000</v>
      </c>
      <c r="FZ55" s="3">
        <v>0</v>
      </c>
      <c r="GA55" s="3">
        <v>83002000</v>
      </c>
      <c r="GB55" s="3">
        <v>44958000</v>
      </c>
      <c r="GC55" s="3">
        <v>38044000</v>
      </c>
      <c r="GD55" s="3">
        <v>0</v>
      </c>
      <c r="GE55" s="3">
        <v>83002000</v>
      </c>
      <c r="GF55" s="3">
        <v>44958000</v>
      </c>
      <c r="GG55" s="3">
        <v>38044000</v>
      </c>
      <c r="GH55" s="3">
        <v>0</v>
      </c>
      <c r="GI55" s="3">
        <v>83002000</v>
      </c>
      <c r="GJ55" s="3">
        <v>44958000</v>
      </c>
      <c r="GK55" s="3">
        <v>38044000</v>
      </c>
      <c r="GL55" s="3">
        <v>0</v>
      </c>
      <c r="GM55" s="3">
        <v>83002000</v>
      </c>
      <c r="GN55" s="3">
        <v>44958000</v>
      </c>
      <c r="GO55" s="3">
        <v>31273664.449999999</v>
      </c>
      <c r="GP55" s="3">
        <v>0</v>
      </c>
      <c r="GQ55" s="3">
        <v>76231664.450000003</v>
      </c>
      <c r="GR55" s="3">
        <v>44818101</v>
      </c>
      <c r="GS55" s="3">
        <v>24470012.620000001</v>
      </c>
      <c r="GT55" s="3">
        <v>0</v>
      </c>
      <c r="GU55" s="3">
        <v>69288113.620000005</v>
      </c>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row>
    <row r="56" spans="1:267" x14ac:dyDescent="0.25">
      <c r="A56" t="s">
        <v>197</v>
      </c>
      <c r="B56" t="s">
        <v>198</v>
      </c>
      <c r="C56" t="s">
        <v>199</v>
      </c>
      <c r="D56" t="s">
        <v>200</v>
      </c>
      <c r="E56" t="s">
        <v>313</v>
      </c>
      <c r="F56" t="s">
        <v>316</v>
      </c>
      <c r="G56" t="s">
        <v>317</v>
      </c>
      <c r="H56" s="3">
        <v>157366000</v>
      </c>
      <c r="I56" s="3">
        <v>130490000</v>
      </c>
      <c r="J56" s="3">
        <v>0</v>
      </c>
      <c r="K56" s="3">
        <v>287856000</v>
      </c>
      <c r="L56" s="3">
        <v>157366000</v>
      </c>
      <c r="M56" s="3">
        <v>130490000</v>
      </c>
      <c r="N56" s="3">
        <v>0</v>
      </c>
      <c r="O56" s="3">
        <v>287856000</v>
      </c>
      <c r="P56" s="3">
        <v>157366000</v>
      </c>
      <c r="Q56" s="3">
        <v>130490000</v>
      </c>
      <c r="R56" s="3">
        <v>0</v>
      </c>
      <c r="S56" s="3">
        <v>287856000</v>
      </c>
      <c r="T56" s="3">
        <v>161441000</v>
      </c>
      <c r="U56" s="3">
        <v>125140000</v>
      </c>
      <c r="V56" s="3">
        <v>0</v>
      </c>
      <c r="W56" s="3">
        <v>286581000</v>
      </c>
      <c r="X56" s="3">
        <v>161441000</v>
      </c>
      <c r="Y56" s="3">
        <v>125140000</v>
      </c>
      <c r="Z56" s="3">
        <v>0</v>
      </c>
      <c r="AA56" s="3">
        <v>286581000</v>
      </c>
      <c r="AB56" s="3">
        <v>160064233.03</v>
      </c>
      <c r="AC56" s="3">
        <v>116559548.39</v>
      </c>
      <c r="AD56" s="3">
        <v>0</v>
      </c>
      <c r="AE56" s="3">
        <v>276623781.42000002</v>
      </c>
      <c r="AF56" s="3">
        <v>139538039.84999999</v>
      </c>
      <c r="AG56" s="3">
        <v>80434962.200000003</v>
      </c>
      <c r="AH56" s="3">
        <v>0</v>
      </c>
      <c r="AI56" s="3">
        <v>219973002.05000001</v>
      </c>
      <c r="AJ56" s="3">
        <v>177296000</v>
      </c>
      <c r="AK56" s="3">
        <v>84972000</v>
      </c>
      <c r="AL56" s="3">
        <v>0</v>
      </c>
      <c r="AM56" s="3">
        <v>262268000</v>
      </c>
      <c r="AN56" s="3">
        <v>177296000</v>
      </c>
      <c r="AO56" s="3">
        <v>84972000</v>
      </c>
      <c r="AP56" s="3">
        <v>0</v>
      </c>
      <c r="AQ56" s="3">
        <v>262268000</v>
      </c>
      <c r="AR56" s="3">
        <v>177296000</v>
      </c>
      <c r="AS56" s="3">
        <v>84972000</v>
      </c>
      <c r="AT56" s="3">
        <v>0</v>
      </c>
      <c r="AU56" s="3">
        <v>262268000</v>
      </c>
      <c r="AV56" s="3">
        <v>179831173</v>
      </c>
      <c r="AW56" s="3">
        <v>83236827</v>
      </c>
      <c r="AX56" s="3">
        <v>0</v>
      </c>
      <c r="AY56" s="3">
        <v>263068000</v>
      </c>
      <c r="AZ56" s="3">
        <v>179831173</v>
      </c>
      <c r="BA56" s="3">
        <v>83236827</v>
      </c>
      <c r="BB56" s="3">
        <v>0</v>
      </c>
      <c r="BC56" s="3">
        <v>263068000</v>
      </c>
      <c r="BD56" s="3">
        <v>177889951.27000001</v>
      </c>
      <c r="BE56" s="3">
        <v>78640739.390000001</v>
      </c>
      <c r="BF56" s="3">
        <v>0</v>
      </c>
      <c r="BG56" s="3">
        <v>256530690.66</v>
      </c>
      <c r="BH56" s="3">
        <v>176770563.58000001</v>
      </c>
      <c r="BI56" s="3">
        <v>71408556.989999995</v>
      </c>
      <c r="BJ56" s="3">
        <v>0</v>
      </c>
      <c r="BK56" s="3">
        <v>248179120.56999999</v>
      </c>
      <c r="BL56" s="3">
        <v>177526000</v>
      </c>
      <c r="BM56" s="3">
        <v>81365000</v>
      </c>
      <c r="BN56" s="3">
        <v>0</v>
      </c>
      <c r="BO56" s="3">
        <v>258891000</v>
      </c>
      <c r="BP56" s="3">
        <v>177526000</v>
      </c>
      <c r="BQ56" s="3">
        <v>81365000</v>
      </c>
      <c r="BR56" s="3">
        <v>0</v>
      </c>
      <c r="BS56" s="3">
        <v>258891000</v>
      </c>
      <c r="BT56" s="3">
        <v>177526000</v>
      </c>
      <c r="BU56" s="3">
        <v>81365000</v>
      </c>
      <c r="BV56" s="3">
        <v>0</v>
      </c>
      <c r="BW56" s="3">
        <v>258891000</v>
      </c>
      <c r="BX56" s="3">
        <v>179060621.75999999</v>
      </c>
      <c r="BY56" s="3">
        <v>79730378.239999995</v>
      </c>
      <c r="BZ56" s="3">
        <v>0</v>
      </c>
      <c r="CA56" s="3">
        <v>258791000</v>
      </c>
      <c r="CB56" s="3">
        <v>179060621.75999999</v>
      </c>
      <c r="CC56" s="3">
        <v>79730378.239999995</v>
      </c>
      <c r="CD56" s="3">
        <v>0</v>
      </c>
      <c r="CE56" s="3">
        <v>258791000</v>
      </c>
      <c r="CF56" s="3">
        <v>177940504.09</v>
      </c>
      <c r="CG56" s="3">
        <v>68744518.170000002</v>
      </c>
      <c r="CH56" s="3">
        <v>0</v>
      </c>
      <c r="CI56" s="3">
        <v>246685022.25999999</v>
      </c>
      <c r="CJ56" s="3">
        <v>172953546.91</v>
      </c>
      <c r="CK56" s="3">
        <v>53701227.649999999</v>
      </c>
      <c r="CL56" s="3">
        <v>0</v>
      </c>
      <c r="CM56" s="3">
        <v>226654774.56</v>
      </c>
      <c r="CN56" s="3">
        <v>187789000</v>
      </c>
      <c r="CO56" s="3">
        <v>82830000</v>
      </c>
      <c r="CP56" s="3">
        <v>0</v>
      </c>
      <c r="CQ56" s="3">
        <v>270619000</v>
      </c>
      <c r="CR56" s="3">
        <v>187789000</v>
      </c>
      <c r="CS56" s="3">
        <v>82830000</v>
      </c>
      <c r="CT56" s="3">
        <v>0</v>
      </c>
      <c r="CU56" s="3">
        <v>270619000</v>
      </c>
      <c r="CV56" s="3">
        <v>187789000</v>
      </c>
      <c r="CW56" s="3">
        <v>82830000</v>
      </c>
      <c r="CX56" s="3">
        <v>0</v>
      </c>
      <c r="CY56" s="3">
        <v>270619000</v>
      </c>
      <c r="CZ56" s="3">
        <v>192116043.06999999</v>
      </c>
      <c r="DA56" s="3">
        <v>78179527.040000007</v>
      </c>
      <c r="DB56" s="3">
        <v>0</v>
      </c>
      <c r="DC56" s="3">
        <v>270295570.11000001</v>
      </c>
      <c r="DD56" s="3">
        <v>192116043.06999999</v>
      </c>
      <c r="DE56" s="3">
        <v>78179527.040000007</v>
      </c>
      <c r="DF56" s="3">
        <v>0</v>
      </c>
      <c r="DG56" s="3">
        <v>270295570.11000001</v>
      </c>
      <c r="DH56" s="3">
        <v>191591419.03</v>
      </c>
      <c r="DI56" s="3">
        <v>72775547.219999999</v>
      </c>
      <c r="DJ56" s="3">
        <v>0</v>
      </c>
      <c r="DK56" s="3">
        <v>264366966.25</v>
      </c>
      <c r="DL56" s="3">
        <v>188183780.94999999</v>
      </c>
      <c r="DM56" s="3">
        <v>64089845.140000001</v>
      </c>
      <c r="DN56" s="3">
        <v>0</v>
      </c>
      <c r="DO56" s="3">
        <v>252273626.09</v>
      </c>
      <c r="DP56" s="3">
        <v>193872000</v>
      </c>
      <c r="DQ56" s="3">
        <v>82830000</v>
      </c>
      <c r="DR56" s="3">
        <v>0</v>
      </c>
      <c r="DS56" s="3">
        <v>276702000</v>
      </c>
      <c r="DT56" s="3">
        <v>193872000</v>
      </c>
      <c r="DU56" s="3">
        <v>82830000</v>
      </c>
      <c r="DV56" s="3">
        <v>0</v>
      </c>
      <c r="DW56" s="3">
        <v>276702000</v>
      </c>
      <c r="DX56" s="3">
        <v>193872000</v>
      </c>
      <c r="DY56" s="3">
        <v>82830000</v>
      </c>
      <c r="DZ56" s="3">
        <v>0</v>
      </c>
      <c r="EA56" s="3">
        <v>276702000</v>
      </c>
      <c r="EB56" s="3">
        <v>195223735.68000001</v>
      </c>
      <c r="EC56" s="3">
        <v>81478264.319999993</v>
      </c>
      <c r="ED56" s="3">
        <v>0</v>
      </c>
      <c r="EE56" s="3">
        <v>276702000</v>
      </c>
      <c r="EF56" s="3">
        <v>195223735.68000001</v>
      </c>
      <c r="EG56" s="3">
        <v>81478264.319999993</v>
      </c>
      <c r="EH56" s="3">
        <v>0</v>
      </c>
      <c r="EI56" s="3">
        <v>276702000</v>
      </c>
      <c r="EJ56" s="3">
        <v>195217972.31</v>
      </c>
      <c r="EK56" s="3">
        <v>79007992.879999995</v>
      </c>
      <c r="EL56" s="3">
        <v>0</v>
      </c>
      <c r="EM56" s="3">
        <v>274225965.19</v>
      </c>
      <c r="EN56" s="3">
        <v>191245941.74000001</v>
      </c>
      <c r="EO56" s="3">
        <v>73253976.659999996</v>
      </c>
      <c r="EP56" s="3">
        <v>0</v>
      </c>
      <c r="EQ56" s="3">
        <v>264499918.40000001</v>
      </c>
      <c r="ER56" s="3">
        <v>201137000</v>
      </c>
      <c r="ES56" s="3">
        <v>73581000</v>
      </c>
      <c r="ET56" s="3">
        <v>0</v>
      </c>
      <c r="EU56" s="3">
        <v>274718000</v>
      </c>
      <c r="EV56" s="3">
        <v>201137000</v>
      </c>
      <c r="EW56" s="3">
        <v>73581000</v>
      </c>
      <c r="EX56" s="3">
        <v>0</v>
      </c>
      <c r="EY56" s="3">
        <v>274718000</v>
      </c>
      <c r="EZ56" s="3">
        <v>201137000</v>
      </c>
      <c r="FA56" s="3">
        <v>73581000</v>
      </c>
      <c r="FB56" s="3">
        <v>0</v>
      </c>
      <c r="FC56" s="3">
        <v>274718000</v>
      </c>
      <c r="FD56" s="3">
        <v>202467720.80000001</v>
      </c>
      <c r="FE56" s="3">
        <v>72250279.200000003</v>
      </c>
      <c r="FF56" s="3">
        <v>0</v>
      </c>
      <c r="FG56" s="3">
        <v>274718000</v>
      </c>
      <c r="FH56" s="3">
        <v>202467720.80000001</v>
      </c>
      <c r="FI56" s="3">
        <v>72250279.200000003</v>
      </c>
      <c r="FJ56" s="3">
        <v>0</v>
      </c>
      <c r="FK56" s="3">
        <v>274718000</v>
      </c>
      <c r="FL56" s="3">
        <v>200953463.91999999</v>
      </c>
      <c r="FM56" s="3">
        <v>71668359.519999996</v>
      </c>
      <c r="FN56" s="3">
        <v>0</v>
      </c>
      <c r="FO56" s="3">
        <v>272621823.44</v>
      </c>
      <c r="FP56" s="3">
        <v>200186421.69</v>
      </c>
      <c r="FQ56" s="3">
        <v>68499324.590000004</v>
      </c>
      <c r="FR56" s="3">
        <v>0</v>
      </c>
      <c r="FS56" s="3">
        <v>268685746.27999997</v>
      </c>
      <c r="FT56" s="3">
        <v>194797000</v>
      </c>
      <c r="FU56" s="3">
        <v>101713000</v>
      </c>
      <c r="FV56" s="3">
        <v>0</v>
      </c>
      <c r="FW56" s="3">
        <v>296510000</v>
      </c>
      <c r="FX56" s="3">
        <v>194797000</v>
      </c>
      <c r="FY56" s="3">
        <v>101713000</v>
      </c>
      <c r="FZ56" s="3">
        <v>0</v>
      </c>
      <c r="GA56" s="3">
        <v>296510000</v>
      </c>
      <c r="GB56" s="3">
        <v>194797000</v>
      </c>
      <c r="GC56" s="3">
        <v>101713000</v>
      </c>
      <c r="GD56" s="3">
        <v>0</v>
      </c>
      <c r="GE56" s="3">
        <v>296510000</v>
      </c>
      <c r="GF56" s="3">
        <v>198015497</v>
      </c>
      <c r="GG56" s="3">
        <v>98494503</v>
      </c>
      <c r="GH56" s="3">
        <v>0</v>
      </c>
      <c r="GI56" s="3">
        <v>296510000</v>
      </c>
      <c r="GJ56" s="3">
        <v>198015497</v>
      </c>
      <c r="GK56" s="3">
        <v>98494503</v>
      </c>
      <c r="GL56" s="3">
        <v>0</v>
      </c>
      <c r="GM56" s="3">
        <v>296510000</v>
      </c>
      <c r="GN56" s="3">
        <v>198015497</v>
      </c>
      <c r="GO56" s="3">
        <v>97367995.569999993</v>
      </c>
      <c r="GP56" s="3">
        <v>0</v>
      </c>
      <c r="GQ56" s="3">
        <v>295383492.56999999</v>
      </c>
      <c r="GR56" s="3">
        <v>196914549.58000001</v>
      </c>
      <c r="GS56" s="3">
        <v>87952656.290000007</v>
      </c>
      <c r="GT56" s="3">
        <v>0</v>
      </c>
      <c r="GU56" s="3">
        <v>284867205.87</v>
      </c>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row>
    <row r="57" spans="1:267" x14ac:dyDescent="0.25">
      <c r="A57" t="s">
        <v>197</v>
      </c>
      <c r="B57" t="s">
        <v>198</v>
      </c>
      <c r="C57" t="s">
        <v>199</v>
      </c>
      <c r="D57" t="s">
        <v>200</v>
      </c>
      <c r="E57" t="s">
        <v>313</v>
      </c>
      <c r="F57" t="s">
        <v>318</v>
      </c>
      <c r="G57" t="s">
        <v>319</v>
      </c>
      <c r="H57" s="3">
        <v>313618000</v>
      </c>
      <c r="I57" s="3">
        <v>0</v>
      </c>
      <c r="J57" s="3">
        <v>0</v>
      </c>
      <c r="K57" s="3">
        <v>313618000</v>
      </c>
      <c r="L57" s="3">
        <v>313618000</v>
      </c>
      <c r="M57" s="3">
        <v>0</v>
      </c>
      <c r="N57" s="3">
        <v>0</v>
      </c>
      <c r="O57" s="3">
        <v>313618000</v>
      </c>
      <c r="P57" s="3">
        <v>313618000</v>
      </c>
      <c r="Q57" s="3">
        <v>0</v>
      </c>
      <c r="R57" s="3">
        <v>0</v>
      </c>
      <c r="S57" s="3">
        <v>313618000</v>
      </c>
      <c r="T57" s="3">
        <v>313618000</v>
      </c>
      <c r="U57" s="3">
        <v>0</v>
      </c>
      <c r="V57" s="3">
        <v>0</v>
      </c>
      <c r="W57" s="3">
        <v>313618000</v>
      </c>
      <c r="X57" s="3">
        <v>313618000</v>
      </c>
      <c r="Y57" s="3">
        <v>0</v>
      </c>
      <c r="Z57" s="3">
        <v>0</v>
      </c>
      <c r="AA57" s="3">
        <v>313618000</v>
      </c>
      <c r="AB57" s="3">
        <v>313571839.63</v>
      </c>
      <c r="AC57" s="3">
        <v>0</v>
      </c>
      <c r="AD57" s="3">
        <v>0</v>
      </c>
      <c r="AE57" s="3">
        <v>313571839.63</v>
      </c>
      <c r="AF57" s="3">
        <v>312917501.37</v>
      </c>
      <c r="AG57" s="3">
        <v>0</v>
      </c>
      <c r="AH57" s="3">
        <v>0</v>
      </c>
      <c r="AI57" s="3">
        <v>312917501.37</v>
      </c>
      <c r="AJ57" s="3">
        <v>319045000</v>
      </c>
      <c r="AK57" s="3">
        <v>0</v>
      </c>
      <c r="AL57" s="3">
        <v>0</v>
      </c>
      <c r="AM57" s="3">
        <v>319045000</v>
      </c>
      <c r="AN57" s="3">
        <v>319045000</v>
      </c>
      <c r="AO57" s="3">
        <v>0</v>
      </c>
      <c r="AP57" s="3">
        <v>0</v>
      </c>
      <c r="AQ57" s="3">
        <v>319045000</v>
      </c>
      <c r="AR57" s="3">
        <v>319045000</v>
      </c>
      <c r="AS57" s="3">
        <v>0</v>
      </c>
      <c r="AT57" s="3">
        <v>0</v>
      </c>
      <c r="AU57" s="3">
        <v>319045000</v>
      </c>
      <c r="AV57" s="3">
        <v>319045000</v>
      </c>
      <c r="AW57" s="3">
        <v>0</v>
      </c>
      <c r="AX57" s="3">
        <v>0</v>
      </c>
      <c r="AY57" s="3">
        <v>319045000</v>
      </c>
      <c r="AZ57" s="3">
        <v>319045000</v>
      </c>
      <c r="BA57" s="3">
        <v>0</v>
      </c>
      <c r="BB57" s="3">
        <v>0</v>
      </c>
      <c r="BC57" s="3">
        <v>319045000</v>
      </c>
      <c r="BD57" s="3">
        <v>318853004.58999997</v>
      </c>
      <c r="BE57" s="3">
        <v>0</v>
      </c>
      <c r="BF57" s="3">
        <v>0</v>
      </c>
      <c r="BG57" s="3">
        <v>318853004.58999997</v>
      </c>
      <c r="BH57" s="3">
        <v>318213979.88</v>
      </c>
      <c r="BI57" s="3">
        <v>0</v>
      </c>
      <c r="BJ57" s="3">
        <v>0</v>
      </c>
      <c r="BK57" s="3">
        <v>318213979.88</v>
      </c>
      <c r="BL57" s="3">
        <v>388137000</v>
      </c>
      <c r="BM57" s="3">
        <v>0</v>
      </c>
      <c r="BN57" s="3">
        <v>0</v>
      </c>
      <c r="BO57" s="3">
        <v>388137000</v>
      </c>
      <c r="BP57" s="3">
        <v>388137000</v>
      </c>
      <c r="BQ57" s="3">
        <v>0</v>
      </c>
      <c r="BR57" s="3">
        <v>0</v>
      </c>
      <c r="BS57" s="3">
        <v>388137000</v>
      </c>
      <c r="BT57" s="3">
        <v>388137000</v>
      </c>
      <c r="BU57" s="3">
        <v>0</v>
      </c>
      <c r="BV57" s="3">
        <v>0</v>
      </c>
      <c r="BW57" s="3">
        <v>388137000</v>
      </c>
      <c r="BX57" s="3">
        <v>388137000</v>
      </c>
      <c r="BY57" s="3">
        <v>0</v>
      </c>
      <c r="BZ57" s="3">
        <v>0</v>
      </c>
      <c r="CA57" s="3">
        <v>388137000</v>
      </c>
      <c r="CB57" s="3">
        <v>388137000</v>
      </c>
      <c r="CC57" s="3">
        <v>0</v>
      </c>
      <c r="CD57" s="3">
        <v>0</v>
      </c>
      <c r="CE57" s="3">
        <v>388137000</v>
      </c>
      <c r="CF57" s="3">
        <v>386671304.13999999</v>
      </c>
      <c r="CG57" s="3">
        <v>0</v>
      </c>
      <c r="CH57" s="3">
        <v>0</v>
      </c>
      <c r="CI57" s="3">
        <v>386671304.13999999</v>
      </c>
      <c r="CJ57" s="3">
        <v>377623527.98000002</v>
      </c>
      <c r="CK57" s="3">
        <v>0</v>
      </c>
      <c r="CL57" s="3">
        <v>0</v>
      </c>
      <c r="CM57" s="3">
        <v>377623527.98000002</v>
      </c>
      <c r="CN57" s="3">
        <v>411147000</v>
      </c>
      <c r="CO57" s="3">
        <v>0</v>
      </c>
      <c r="CP57" s="3">
        <v>0</v>
      </c>
      <c r="CQ57" s="3">
        <v>411147000</v>
      </c>
      <c r="CR57" s="3">
        <v>411147000</v>
      </c>
      <c r="CS57" s="3">
        <v>20000000</v>
      </c>
      <c r="CT57" s="3">
        <v>80000000</v>
      </c>
      <c r="CU57" s="3">
        <v>511147000</v>
      </c>
      <c r="CV57" s="3">
        <v>411147000</v>
      </c>
      <c r="CW57" s="3">
        <v>20000000</v>
      </c>
      <c r="CX57" s="3">
        <v>80000000</v>
      </c>
      <c r="CY57" s="3">
        <v>511147000</v>
      </c>
      <c r="CZ57" s="3">
        <v>411147000</v>
      </c>
      <c r="DA57" s="3">
        <v>20000000</v>
      </c>
      <c r="DB57" s="3">
        <v>80000000</v>
      </c>
      <c r="DC57" s="3">
        <v>511147000</v>
      </c>
      <c r="DD57" s="3">
        <v>411147000</v>
      </c>
      <c r="DE57" s="3">
        <v>20000000</v>
      </c>
      <c r="DF57" s="3">
        <v>80000000</v>
      </c>
      <c r="DG57" s="3">
        <v>511147000</v>
      </c>
      <c r="DH57" s="3">
        <v>411147000</v>
      </c>
      <c r="DI57" s="3">
        <v>7779609.2000000002</v>
      </c>
      <c r="DJ57" s="3">
        <v>79832000</v>
      </c>
      <c r="DK57" s="3">
        <v>498758609.19999999</v>
      </c>
      <c r="DL57" s="3">
        <v>408247858.31999999</v>
      </c>
      <c r="DM57" s="3">
        <v>229352.12</v>
      </c>
      <c r="DN57" s="3">
        <v>0</v>
      </c>
      <c r="DO57" s="3">
        <v>408477210.44</v>
      </c>
      <c r="DP57" s="3">
        <v>417788000</v>
      </c>
      <c r="DQ57" s="3">
        <v>0</v>
      </c>
      <c r="DR57" s="3">
        <v>0</v>
      </c>
      <c r="DS57" s="3">
        <v>417788000</v>
      </c>
      <c r="DT57" s="3">
        <v>417788000</v>
      </c>
      <c r="DU57" s="3">
        <v>0</v>
      </c>
      <c r="DV57" s="3">
        <v>0</v>
      </c>
      <c r="DW57" s="3">
        <v>417788000</v>
      </c>
      <c r="DX57" s="3">
        <v>417788000</v>
      </c>
      <c r="DY57" s="3">
        <v>0</v>
      </c>
      <c r="DZ57" s="3">
        <v>0</v>
      </c>
      <c r="EA57" s="3">
        <v>417788000</v>
      </c>
      <c r="EB57" s="3">
        <v>417788000</v>
      </c>
      <c r="EC57" s="3">
        <v>0</v>
      </c>
      <c r="ED57" s="3">
        <v>0</v>
      </c>
      <c r="EE57" s="3">
        <v>417788000</v>
      </c>
      <c r="EF57" s="3">
        <v>417788000</v>
      </c>
      <c r="EG57" s="3">
        <v>0</v>
      </c>
      <c r="EH57" s="3">
        <v>0</v>
      </c>
      <c r="EI57" s="3">
        <v>417788000</v>
      </c>
      <c r="EJ57" s="3">
        <v>417781041.43000001</v>
      </c>
      <c r="EK57" s="3">
        <v>0</v>
      </c>
      <c r="EL57" s="3">
        <v>0</v>
      </c>
      <c r="EM57" s="3">
        <v>417781041.43000001</v>
      </c>
      <c r="EN57" s="3">
        <v>417781041.43000001</v>
      </c>
      <c r="EO57" s="3">
        <v>0</v>
      </c>
      <c r="EP57" s="3">
        <v>0</v>
      </c>
      <c r="EQ57" s="3">
        <v>417781041.43000001</v>
      </c>
      <c r="ER57" s="3">
        <v>431339000</v>
      </c>
      <c r="ES57" s="3">
        <v>0</v>
      </c>
      <c r="ET57" s="3">
        <v>0</v>
      </c>
      <c r="EU57" s="3">
        <v>431339000</v>
      </c>
      <c r="EV57" s="3">
        <v>431339000</v>
      </c>
      <c r="EW57" s="3">
        <v>0</v>
      </c>
      <c r="EX57" s="3">
        <v>0</v>
      </c>
      <c r="EY57" s="3">
        <v>431339000</v>
      </c>
      <c r="EZ57" s="3">
        <v>431339000</v>
      </c>
      <c r="FA57" s="3">
        <v>0</v>
      </c>
      <c r="FB57" s="3">
        <v>0</v>
      </c>
      <c r="FC57" s="3">
        <v>431339000</v>
      </c>
      <c r="FD57" s="3">
        <v>431339000</v>
      </c>
      <c r="FE57" s="3">
        <v>0</v>
      </c>
      <c r="FF57" s="3">
        <v>0</v>
      </c>
      <c r="FG57" s="3">
        <v>431339000</v>
      </c>
      <c r="FH57" s="3">
        <v>431339000</v>
      </c>
      <c r="FI57" s="3">
        <v>0</v>
      </c>
      <c r="FJ57" s="3">
        <v>0</v>
      </c>
      <c r="FK57" s="3">
        <v>431339000</v>
      </c>
      <c r="FL57" s="3">
        <v>431324136.42000002</v>
      </c>
      <c r="FM57" s="3">
        <v>0</v>
      </c>
      <c r="FN57" s="3">
        <v>0</v>
      </c>
      <c r="FO57" s="3">
        <v>431324136.42000002</v>
      </c>
      <c r="FP57" s="3">
        <v>431091014.85000002</v>
      </c>
      <c r="FQ57" s="3">
        <v>0</v>
      </c>
      <c r="FR57" s="3">
        <v>0</v>
      </c>
      <c r="FS57" s="3">
        <v>431091014.85000002</v>
      </c>
      <c r="FT57" s="3">
        <v>499742000</v>
      </c>
      <c r="FU57" s="3">
        <v>0</v>
      </c>
      <c r="FV57" s="3">
        <v>0</v>
      </c>
      <c r="FW57" s="3">
        <v>499742000</v>
      </c>
      <c r="FX57" s="3">
        <v>499742000</v>
      </c>
      <c r="FY57" s="3">
        <v>0</v>
      </c>
      <c r="FZ57" s="3">
        <v>0</v>
      </c>
      <c r="GA57" s="3">
        <v>499742000</v>
      </c>
      <c r="GB57" s="3">
        <v>499742000</v>
      </c>
      <c r="GC57" s="3">
        <v>0</v>
      </c>
      <c r="GD57" s="3">
        <v>0</v>
      </c>
      <c r="GE57" s="3">
        <v>499742000</v>
      </c>
      <c r="GF57" s="3">
        <v>499742000</v>
      </c>
      <c r="GG57" s="3">
        <v>0</v>
      </c>
      <c r="GH57" s="3">
        <v>0</v>
      </c>
      <c r="GI57" s="3">
        <v>499742000</v>
      </c>
      <c r="GJ57" s="3">
        <v>499742000</v>
      </c>
      <c r="GK57" s="3">
        <v>0</v>
      </c>
      <c r="GL57" s="3">
        <v>0</v>
      </c>
      <c r="GM57" s="3">
        <v>499742000</v>
      </c>
      <c r="GN57" s="3">
        <v>499738868.48000002</v>
      </c>
      <c r="GO57" s="3">
        <v>0</v>
      </c>
      <c r="GP57" s="3">
        <v>0</v>
      </c>
      <c r="GQ57" s="3">
        <v>499738868.48000002</v>
      </c>
      <c r="GR57" s="3">
        <v>492590291.27999997</v>
      </c>
      <c r="GS57" s="3">
        <v>0</v>
      </c>
      <c r="GT57" s="3">
        <v>0</v>
      </c>
      <c r="GU57" s="3">
        <v>492590291.27999997</v>
      </c>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row>
    <row r="58" spans="1:267" x14ac:dyDescent="0.25">
      <c r="A58" t="s">
        <v>197</v>
      </c>
      <c r="B58" t="s">
        <v>198</v>
      </c>
      <c r="C58" t="s">
        <v>199</v>
      </c>
      <c r="D58" t="s">
        <v>200</v>
      </c>
      <c r="E58" t="s">
        <v>313</v>
      </c>
      <c r="F58" t="s">
        <v>320</v>
      </c>
      <c r="G58" t="s">
        <v>321</v>
      </c>
      <c r="H58" s="3">
        <v>136814000</v>
      </c>
      <c r="I58" s="3">
        <v>0</v>
      </c>
      <c r="J58" s="3">
        <v>0</v>
      </c>
      <c r="K58" s="3">
        <v>136814000</v>
      </c>
      <c r="L58" s="3">
        <v>136814000</v>
      </c>
      <c r="M58" s="3">
        <v>0</v>
      </c>
      <c r="N58" s="3">
        <v>0</v>
      </c>
      <c r="O58" s="3">
        <v>136814000</v>
      </c>
      <c r="P58" s="3">
        <v>136814000</v>
      </c>
      <c r="Q58" s="3">
        <v>0</v>
      </c>
      <c r="R58" s="3">
        <v>0</v>
      </c>
      <c r="S58" s="3">
        <v>136814000</v>
      </c>
      <c r="T58" s="3">
        <v>136814000</v>
      </c>
      <c r="U58" s="3">
        <v>0</v>
      </c>
      <c r="V58" s="3">
        <v>0</v>
      </c>
      <c r="W58" s="3">
        <v>136814000</v>
      </c>
      <c r="X58" s="3">
        <v>136814000</v>
      </c>
      <c r="Y58" s="3">
        <v>0</v>
      </c>
      <c r="Z58" s="3">
        <v>0</v>
      </c>
      <c r="AA58" s="3">
        <v>136814000</v>
      </c>
      <c r="AB58" s="3">
        <v>136739708.94999999</v>
      </c>
      <c r="AC58" s="3">
        <v>0</v>
      </c>
      <c r="AD58" s="3">
        <v>0</v>
      </c>
      <c r="AE58" s="3">
        <v>136739708.94999999</v>
      </c>
      <c r="AF58" s="3">
        <v>135018742.59</v>
      </c>
      <c r="AG58" s="3">
        <v>0</v>
      </c>
      <c r="AH58" s="3">
        <v>0</v>
      </c>
      <c r="AI58" s="3">
        <v>135018742.59</v>
      </c>
      <c r="AJ58" s="3">
        <v>152581000</v>
      </c>
      <c r="AK58" s="3">
        <v>0</v>
      </c>
      <c r="AL58" s="3">
        <v>0</v>
      </c>
      <c r="AM58" s="3">
        <v>152581000</v>
      </c>
      <c r="AN58" s="3">
        <v>152581000</v>
      </c>
      <c r="AO58" s="3">
        <v>0</v>
      </c>
      <c r="AP58" s="3">
        <v>0</v>
      </c>
      <c r="AQ58" s="3">
        <v>152581000</v>
      </c>
      <c r="AR58" s="3">
        <v>152581000</v>
      </c>
      <c r="AS58" s="3">
        <v>0</v>
      </c>
      <c r="AT58" s="3">
        <v>0</v>
      </c>
      <c r="AU58" s="3">
        <v>152581000</v>
      </c>
      <c r="AV58" s="3">
        <v>152581000</v>
      </c>
      <c r="AW58" s="3">
        <v>0</v>
      </c>
      <c r="AX58" s="3">
        <v>0</v>
      </c>
      <c r="AY58" s="3">
        <v>152581000</v>
      </c>
      <c r="AZ58" s="3">
        <v>152581000</v>
      </c>
      <c r="BA58" s="3">
        <v>0</v>
      </c>
      <c r="BB58" s="3">
        <v>0</v>
      </c>
      <c r="BC58" s="3">
        <v>152581000</v>
      </c>
      <c r="BD58" s="3">
        <v>152285612.02000001</v>
      </c>
      <c r="BE58" s="3">
        <v>0</v>
      </c>
      <c r="BF58" s="3">
        <v>0</v>
      </c>
      <c r="BG58" s="3">
        <v>152285612.02000001</v>
      </c>
      <c r="BH58" s="3">
        <v>152256944.18000001</v>
      </c>
      <c r="BI58" s="3">
        <v>0</v>
      </c>
      <c r="BJ58" s="3">
        <v>0</v>
      </c>
      <c r="BK58" s="3">
        <v>152256944.18000001</v>
      </c>
      <c r="BL58" s="3">
        <v>157682000</v>
      </c>
      <c r="BM58" s="3">
        <v>0</v>
      </c>
      <c r="BN58" s="3">
        <v>0</v>
      </c>
      <c r="BO58" s="3">
        <v>157682000</v>
      </c>
      <c r="BP58" s="3">
        <v>157682000</v>
      </c>
      <c r="BQ58" s="3">
        <v>0</v>
      </c>
      <c r="BR58" s="3">
        <v>0</v>
      </c>
      <c r="BS58" s="3">
        <v>157682000</v>
      </c>
      <c r="BT58" s="3">
        <v>157682000</v>
      </c>
      <c r="BU58" s="3">
        <v>0</v>
      </c>
      <c r="BV58" s="3">
        <v>0</v>
      </c>
      <c r="BW58" s="3">
        <v>157682000</v>
      </c>
      <c r="BX58" s="3">
        <v>157682000</v>
      </c>
      <c r="BY58" s="3">
        <v>0</v>
      </c>
      <c r="BZ58" s="3">
        <v>0</v>
      </c>
      <c r="CA58" s="3">
        <v>157682000</v>
      </c>
      <c r="CB58" s="3">
        <v>157682000</v>
      </c>
      <c r="CC58" s="3">
        <v>0</v>
      </c>
      <c r="CD58" s="3">
        <v>0</v>
      </c>
      <c r="CE58" s="3">
        <v>157682000</v>
      </c>
      <c r="CF58" s="3">
        <v>157676452.44999999</v>
      </c>
      <c r="CG58" s="3">
        <v>0</v>
      </c>
      <c r="CH58" s="3">
        <v>0</v>
      </c>
      <c r="CI58" s="3">
        <v>157676452.44999999</v>
      </c>
      <c r="CJ58" s="3">
        <v>123152096.51000001</v>
      </c>
      <c r="CK58" s="3">
        <v>0</v>
      </c>
      <c r="CL58" s="3">
        <v>0</v>
      </c>
      <c r="CM58" s="3">
        <v>123152096.51000001</v>
      </c>
      <c r="CN58" s="3">
        <v>167336000</v>
      </c>
      <c r="CO58" s="3">
        <v>0</v>
      </c>
      <c r="CP58" s="3">
        <v>0</v>
      </c>
      <c r="CQ58" s="3">
        <v>167336000</v>
      </c>
      <c r="CR58" s="3">
        <v>167336000</v>
      </c>
      <c r="CS58" s="3">
        <v>0</v>
      </c>
      <c r="CT58" s="3">
        <v>0</v>
      </c>
      <c r="CU58" s="3">
        <v>167336000</v>
      </c>
      <c r="CV58" s="3">
        <v>167336000</v>
      </c>
      <c r="CW58" s="3">
        <v>0</v>
      </c>
      <c r="CX58" s="3">
        <v>0</v>
      </c>
      <c r="CY58" s="3">
        <v>167336000</v>
      </c>
      <c r="CZ58" s="3">
        <v>167336000</v>
      </c>
      <c r="DA58" s="3">
        <v>0</v>
      </c>
      <c r="DB58" s="3">
        <v>0</v>
      </c>
      <c r="DC58" s="3">
        <v>167336000</v>
      </c>
      <c r="DD58" s="3">
        <v>167336000</v>
      </c>
      <c r="DE58" s="3">
        <v>0</v>
      </c>
      <c r="DF58" s="3">
        <v>0</v>
      </c>
      <c r="DG58" s="3">
        <v>167336000</v>
      </c>
      <c r="DH58" s="3">
        <v>167311219.13999999</v>
      </c>
      <c r="DI58" s="3">
        <v>0</v>
      </c>
      <c r="DJ58" s="3">
        <v>0</v>
      </c>
      <c r="DK58" s="3">
        <v>167311219.13999999</v>
      </c>
      <c r="DL58" s="3">
        <v>167234405.66999999</v>
      </c>
      <c r="DM58" s="3">
        <v>0</v>
      </c>
      <c r="DN58" s="3">
        <v>0</v>
      </c>
      <c r="DO58" s="3">
        <v>167234405.66999999</v>
      </c>
      <c r="DP58" s="3">
        <v>174284000</v>
      </c>
      <c r="DQ58" s="3">
        <v>0</v>
      </c>
      <c r="DR58" s="3">
        <v>0</v>
      </c>
      <c r="DS58" s="3">
        <v>174284000</v>
      </c>
      <c r="DT58" s="3">
        <v>174284000</v>
      </c>
      <c r="DU58" s="3">
        <v>20000000</v>
      </c>
      <c r="DV58" s="3">
        <v>0</v>
      </c>
      <c r="DW58" s="3">
        <v>194284000</v>
      </c>
      <c r="DX58" s="3">
        <v>174284000</v>
      </c>
      <c r="DY58" s="3">
        <v>20000000</v>
      </c>
      <c r="DZ58" s="3">
        <v>0</v>
      </c>
      <c r="EA58" s="3">
        <v>194284000</v>
      </c>
      <c r="EB58" s="3">
        <v>174284000</v>
      </c>
      <c r="EC58" s="3">
        <v>20000000</v>
      </c>
      <c r="ED58" s="3">
        <v>0</v>
      </c>
      <c r="EE58" s="3">
        <v>194284000</v>
      </c>
      <c r="EF58" s="3">
        <v>174284000</v>
      </c>
      <c r="EG58" s="3">
        <v>20000000</v>
      </c>
      <c r="EH58" s="3">
        <v>0</v>
      </c>
      <c r="EI58" s="3">
        <v>194284000</v>
      </c>
      <c r="EJ58" s="3">
        <v>174283813.28999999</v>
      </c>
      <c r="EK58" s="3">
        <v>19439069</v>
      </c>
      <c r="EL58" s="3">
        <v>0</v>
      </c>
      <c r="EM58" s="3">
        <v>193722882.28999999</v>
      </c>
      <c r="EN58" s="3">
        <v>173688897.41999999</v>
      </c>
      <c r="EO58" s="3">
        <v>19000000</v>
      </c>
      <c r="EP58" s="3">
        <v>0</v>
      </c>
      <c r="EQ58" s="3">
        <v>192688897.41999999</v>
      </c>
      <c r="ER58" s="3">
        <v>183271000</v>
      </c>
      <c r="ES58" s="3">
        <v>0</v>
      </c>
      <c r="ET58" s="3">
        <v>0</v>
      </c>
      <c r="EU58" s="3">
        <v>183271000</v>
      </c>
      <c r="EV58" s="3">
        <v>183271000</v>
      </c>
      <c r="EW58" s="3">
        <v>0</v>
      </c>
      <c r="EX58" s="3">
        <v>100000000</v>
      </c>
      <c r="EY58" s="3">
        <v>283271000</v>
      </c>
      <c r="EZ58" s="3">
        <v>183271000</v>
      </c>
      <c r="FA58" s="3">
        <v>0</v>
      </c>
      <c r="FB58" s="3">
        <v>100000000</v>
      </c>
      <c r="FC58" s="3">
        <v>283271000</v>
      </c>
      <c r="FD58" s="3">
        <v>183271000</v>
      </c>
      <c r="FE58" s="3">
        <v>0</v>
      </c>
      <c r="FF58" s="3">
        <v>100000000</v>
      </c>
      <c r="FG58" s="3">
        <v>283271000</v>
      </c>
      <c r="FH58" s="3">
        <v>183271000</v>
      </c>
      <c r="FI58" s="3">
        <v>0</v>
      </c>
      <c r="FJ58" s="3">
        <v>100000000</v>
      </c>
      <c r="FK58" s="3">
        <v>283271000</v>
      </c>
      <c r="FL58" s="3">
        <v>183270814.53</v>
      </c>
      <c r="FM58" s="3">
        <v>0</v>
      </c>
      <c r="FN58" s="3">
        <v>0</v>
      </c>
      <c r="FO58" s="3">
        <v>183270814.53</v>
      </c>
      <c r="FP58" s="3">
        <v>183232316.81</v>
      </c>
      <c r="FQ58" s="3">
        <v>0</v>
      </c>
      <c r="FR58" s="3">
        <v>0</v>
      </c>
      <c r="FS58" s="3">
        <v>183232316.81</v>
      </c>
      <c r="FT58" s="3">
        <v>181280000</v>
      </c>
      <c r="FU58" s="3">
        <v>0</v>
      </c>
      <c r="FV58" s="3">
        <v>0</v>
      </c>
      <c r="FW58" s="3">
        <v>181280000</v>
      </c>
      <c r="FX58" s="3">
        <v>181280000</v>
      </c>
      <c r="FY58" s="3">
        <v>0</v>
      </c>
      <c r="FZ58" s="3">
        <v>0</v>
      </c>
      <c r="GA58" s="3">
        <v>181280000</v>
      </c>
      <c r="GB58" s="3">
        <v>181280000</v>
      </c>
      <c r="GC58" s="3">
        <v>0</v>
      </c>
      <c r="GD58" s="3">
        <v>0</v>
      </c>
      <c r="GE58" s="3">
        <v>181280000</v>
      </c>
      <c r="GF58" s="3">
        <v>181280000</v>
      </c>
      <c r="GG58" s="3">
        <v>0</v>
      </c>
      <c r="GH58" s="3">
        <v>0</v>
      </c>
      <c r="GI58" s="3">
        <v>181280000</v>
      </c>
      <c r="GJ58" s="3">
        <v>181280000</v>
      </c>
      <c r="GK58" s="3">
        <v>0</v>
      </c>
      <c r="GL58" s="3">
        <v>0</v>
      </c>
      <c r="GM58" s="3">
        <v>181280000</v>
      </c>
      <c r="GN58" s="3">
        <v>181280000</v>
      </c>
      <c r="GO58" s="3">
        <v>0</v>
      </c>
      <c r="GP58" s="3">
        <v>0</v>
      </c>
      <c r="GQ58" s="3">
        <v>181280000</v>
      </c>
      <c r="GR58" s="3">
        <v>181254145.11000001</v>
      </c>
      <c r="GS58" s="3">
        <v>0</v>
      </c>
      <c r="GT58" s="3">
        <v>0</v>
      </c>
      <c r="GU58" s="3">
        <v>181254145.11000001</v>
      </c>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c r="IW58" s="3"/>
      <c r="IX58" s="3"/>
      <c r="IY58" s="3"/>
      <c r="IZ58" s="3"/>
      <c r="JA58" s="3"/>
      <c r="JB58" s="3"/>
      <c r="JC58" s="3"/>
      <c r="JD58" s="3"/>
      <c r="JE58" s="3"/>
      <c r="JF58" s="3"/>
      <c r="JG58" s="3"/>
    </row>
    <row r="59" spans="1:267" x14ac:dyDescent="0.25">
      <c r="A59" t="s">
        <v>197</v>
      </c>
      <c r="B59" t="s">
        <v>198</v>
      </c>
      <c r="C59" t="s">
        <v>199</v>
      </c>
      <c r="D59" t="s">
        <v>200</v>
      </c>
      <c r="E59" t="s">
        <v>313</v>
      </c>
      <c r="F59" t="s">
        <v>322</v>
      </c>
      <c r="G59" t="s">
        <v>323</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v>0</v>
      </c>
      <c r="CO59" s="3">
        <v>6352000</v>
      </c>
      <c r="CP59" s="3">
        <v>0</v>
      </c>
      <c r="CQ59" s="3">
        <v>6352000</v>
      </c>
      <c r="CR59" s="3">
        <v>0</v>
      </c>
      <c r="CS59" s="3">
        <v>50952000</v>
      </c>
      <c r="CT59" s="3">
        <v>0</v>
      </c>
      <c r="CU59" s="3">
        <v>50952000</v>
      </c>
      <c r="CV59" s="3">
        <v>0</v>
      </c>
      <c r="CW59" s="3">
        <v>50952000</v>
      </c>
      <c r="CX59" s="3">
        <v>0</v>
      </c>
      <c r="CY59" s="3">
        <v>50952000</v>
      </c>
      <c r="CZ59" s="3">
        <v>0</v>
      </c>
      <c r="DA59" s="3">
        <v>50952000</v>
      </c>
      <c r="DB59" s="3">
        <v>0</v>
      </c>
      <c r="DC59" s="3">
        <v>50952000</v>
      </c>
      <c r="DD59" s="3">
        <v>0</v>
      </c>
      <c r="DE59" s="3">
        <v>50952000</v>
      </c>
      <c r="DF59" s="3">
        <v>0</v>
      </c>
      <c r="DG59" s="3">
        <v>50952000</v>
      </c>
      <c r="DH59" s="3">
        <v>0</v>
      </c>
      <c r="DI59" s="3">
        <v>30322640.420000002</v>
      </c>
      <c r="DJ59" s="3">
        <v>0</v>
      </c>
      <c r="DK59" s="3">
        <v>30322640.420000002</v>
      </c>
      <c r="DL59" s="3">
        <v>0</v>
      </c>
      <c r="DM59" s="3">
        <v>18078698.390000001</v>
      </c>
      <c r="DN59" s="3">
        <v>0</v>
      </c>
      <c r="DO59" s="3">
        <v>18078698.390000001</v>
      </c>
      <c r="DP59" s="3">
        <v>7224000</v>
      </c>
      <c r="DQ59" s="3">
        <v>6352000</v>
      </c>
      <c r="DR59" s="3">
        <v>0</v>
      </c>
      <c r="DS59" s="3">
        <v>13576000</v>
      </c>
      <c r="DT59" s="3">
        <v>0</v>
      </c>
      <c r="DU59" s="3">
        <v>33077000</v>
      </c>
      <c r="DV59" s="3">
        <v>0</v>
      </c>
      <c r="DW59" s="3">
        <v>33077000</v>
      </c>
      <c r="DX59" s="3">
        <v>0</v>
      </c>
      <c r="DY59" s="3">
        <v>33077000</v>
      </c>
      <c r="DZ59" s="3">
        <v>0</v>
      </c>
      <c r="EA59" s="3">
        <v>33077000</v>
      </c>
      <c r="EB59" s="3">
        <v>0</v>
      </c>
      <c r="EC59" s="3">
        <v>33077000</v>
      </c>
      <c r="ED59" s="3">
        <v>0</v>
      </c>
      <c r="EE59" s="3">
        <v>33077000</v>
      </c>
      <c r="EF59" s="3">
        <v>0</v>
      </c>
      <c r="EG59" s="3">
        <v>33077000</v>
      </c>
      <c r="EH59" s="3">
        <v>0</v>
      </c>
      <c r="EI59" s="3">
        <v>33077000</v>
      </c>
      <c r="EJ59" s="3">
        <v>0</v>
      </c>
      <c r="EK59" s="3">
        <v>26771853.739999998</v>
      </c>
      <c r="EL59" s="3">
        <v>0</v>
      </c>
      <c r="EM59" s="3">
        <v>26771853.739999998</v>
      </c>
      <c r="EN59" s="3">
        <v>0</v>
      </c>
      <c r="EO59" s="3">
        <v>14780638.630000001</v>
      </c>
      <c r="EP59" s="3">
        <v>0</v>
      </c>
      <c r="EQ59" s="3">
        <v>14780638.630000001</v>
      </c>
      <c r="ER59" s="3">
        <v>7224000</v>
      </c>
      <c r="ES59" s="3">
        <v>30323000</v>
      </c>
      <c r="ET59" s="3">
        <v>0</v>
      </c>
      <c r="EU59" s="3">
        <v>37547000</v>
      </c>
      <c r="EV59" s="3">
        <v>0</v>
      </c>
      <c r="EW59" s="3">
        <v>37547000</v>
      </c>
      <c r="EX59" s="3">
        <v>0</v>
      </c>
      <c r="EY59" s="3">
        <v>37547000</v>
      </c>
      <c r="EZ59" s="3">
        <v>0</v>
      </c>
      <c r="FA59" s="3">
        <v>37547000</v>
      </c>
      <c r="FB59" s="3">
        <v>0</v>
      </c>
      <c r="FC59" s="3">
        <v>37547000</v>
      </c>
      <c r="FD59" s="3">
        <v>0</v>
      </c>
      <c r="FE59" s="3">
        <v>0</v>
      </c>
      <c r="FF59" s="3">
        <v>0</v>
      </c>
      <c r="FG59" s="3">
        <v>0</v>
      </c>
      <c r="FH59" s="3">
        <v>0</v>
      </c>
      <c r="FI59" s="3">
        <v>0</v>
      </c>
      <c r="FJ59" s="3">
        <v>0</v>
      </c>
      <c r="FK59" s="3">
        <v>0</v>
      </c>
      <c r="FL59" s="3">
        <v>0</v>
      </c>
      <c r="FM59" s="3">
        <v>0</v>
      </c>
      <c r="FN59" s="3">
        <v>0</v>
      </c>
      <c r="FO59" s="3">
        <v>0</v>
      </c>
      <c r="FP59" s="3"/>
      <c r="FQ59" s="3"/>
      <c r="FR59" s="3"/>
      <c r="FS59" s="3">
        <v>0</v>
      </c>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row>
    <row r="60" spans="1:267" x14ac:dyDescent="0.25">
      <c r="A60" t="s">
        <v>197</v>
      </c>
      <c r="B60" t="s">
        <v>198</v>
      </c>
      <c r="C60" t="s">
        <v>199</v>
      </c>
      <c r="D60" t="s">
        <v>200</v>
      </c>
      <c r="E60" t="s">
        <v>324</v>
      </c>
      <c r="F60" t="s">
        <v>325</v>
      </c>
      <c r="G60" t="s">
        <v>326</v>
      </c>
      <c r="H60" s="3">
        <v>0</v>
      </c>
      <c r="I60" s="3">
        <v>4341995000</v>
      </c>
      <c r="J60" s="3">
        <v>0</v>
      </c>
      <c r="K60" s="3">
        <v>4341995000</v>
      </c>
      <c r="L60" s="3">
        <v>0</v>
      </c>
      <c r="M60" s="3">
        <v>4870171000</v>
      </c>
      <c r="N60" s="3">
        <v>0</v>
      </c>
      <c r="O60" s="3">
        <v>4870171000</v>
      </c>
      <c r="P60" s="3">
        <v>0</v>
      </c>
      <c r="Q60" s="3">
        <v>4870171000</v>
      </c>
      <c r="R60" s="3">
        <v>0</v>
      </c>
      <c r="S60" s="3">
        <v>4870171000</v>
      </c>
      <c r="T60" s="3">
        <v>0</v>
      </c>
      <c r="U60" s="3">
        <v>4870171000</v>
      </c>
      <c r="V60" s="3">
        <v>0</v>
      </c>
      <c r="W60" s="3">
        <v>4870171000</v>
      </c>
      <c r="X60" s="3">
        <v>0</v>
      </c>
      <c r="Y60" s="3">
        <v>4870171000</v>
      </c>
      <c r="Z60" s="3">
        <v>0</v>
      </c>
      <c r="AA60" s="3">
        <v>4870171000</v>
      </c>
      <c r="AB60" s="3">
        <v>0</v>
      </c>
      <c r="AC60" s="3">
        <v>4771611649.0799999</v>
      </c>
      <c r="AD60" s="3">
        <v>0</v>
      </c>
      <c r="AE60" s="3">
        <v>4771611649.0799999</v>
      </c>
      <c r="AF60" s="3">
        <v>0</v>
      </c>
      <c r="AG60" s="3">
        <v>3198701886.6300001</v>
      </c>
      <c r="AH60" s="3">
        <v>0</v>
      </c>
      <c r="AI60" s="3">
        <v>3198701886.6300001</v>
      </c>
      <c r="AJ60" s="3">
        <v>0</v>
      </c>
      <c r="AK60" s="3">
        <v>5633961000</v>
      </c>
      <c r="AL60" s="3">
        <v>0</v>
      </c>
      <c r="AM60" s="3">
        <v>5633961000</v>
      </c>
      <c r="AN60" s="3">
        <v>0</v>
      </c>
      <c r="AO60" s="3">
        <v>9381810000</v>
      </c>
      <c r="AP60" s="3">
        <v>0</v>
      </c>
      <c r="AQ60" s="3">
        <v>9381810000</v>
      </c>
      <c r="AR60" s="3">
        <v>0</v>
      </c>
      <c r="AS60" s="3">
        <v>9381810000</v>
      </c>
      <c r="AT60" s="3">
        <v>0</v>
      </c>
      <c r="AU60" s="3">
        <v>9381810000</v>
      </c>
      <c r="AV60" s="3">
        <v>0</v>
      </c>
      <c r="AW60" s="3">
        <v>9381810000</v>
      </c>
      <c r="AX60" s="3">
        <v>0</v>
      </c>
      <c r="AY60" s="3">
        <v>9381810000</v>
      </c>
      <c r="AZ60" s="3">
        <v>0</v>
      </c>
      <c r="BA60" s="3">
        <v>9381810000</v>
      </c>
      <c r="BB60" s="3">
        <v>0</v>
      </c>
      <c r="BC60" s="3">
        <v>9381810000</v>
      </c>
      <c r="BD60" s="3">
        <v>0</v>
      </c>
      <c r="BE60" s="3">
        <v>7515064158.71</v>
      </c>
      <c r="BF60" s="3">
        <v>0</v>
      </c>
      <c r="BG60" s="3">
        <v>7515064158.71</v>
      </c>
      <c r="BH60" s="3">
        <v>0</v>
      </c>
      <c r="BI60" s="3">
        <v>6163356815.5299997</v>
      </c>
      <c r="BJ60" s="3">
        <v>0</v>
      </c>
      <c r="BK60" s="3">
        <v>6163356815.5299997</v>
      </c>
      <c r="BL60" s="3">
        <v>0</v>
      </c>
      <c r="BM60" s="3">
        <v>9439974000</v>
      </c>
      <c r="BN60" s="3">
        <v>0</v>
      </c>
      <c r="BO60" s="3">
        <v>9439974000</v>
      </c>
      <c r="BP60" s="3">
        <v>0</v>
      </c>
      <c r="BQ60" s="3">
        <v>10483474000</v>
      </c>
      <c r="BR60" s="3">
        <v>0</v>
      </c>
      <c r="BS60" s="3">
        <v>10483474000</v>
      </c>
      <c r="BT60" s="3">
        <v>0</v>
      </c>
      <c r="BU60" s="3">
        <v>10483474000</v>
      </c>
      <c r="BV60" s="3">
        <v>0</v>
      </c>
      <c r="BW60" s="3">
        <v>10483474000</v>
      </c>
      <c r="BX60" s="3">
        <v>0</v>
      </c>
      <c r="BY60" s="3">
        <v>10483474000</v>
      </c>
      <c r="BZ60" s="3">
        <v>0</v>
      </c>
      <c r="CA60" s="3">
        <v>10483474000</v>
      </c>
      <c r="CB60" s="3">
        <v>0</v>
      </c>
      <c r="CC60" s="3">
        <v>9439974000</v>
      </c>
      <c r="CD60" s="3">
        <v>0</v>
      </c>
      <c r="CE60" s="3">
        <v>9439974000</v>
      </c>
      <c r="CF60" s="3">
        <v>0</v>
      </c>
      <c r="CG60" s="3">
        <v>7150194458.1400003</v>
      </c>
      <c r="CH60" s="3">
        <v>0</v>
      </c>
      <c r="CI60" s="3">
        <v>7150194458.1400003</v>
      </c>
      <c r="CJ60" s="3">
        <v>0</v>
      </c>
      <c r="CK60" s="3">
        <v>4939303394.9499998</v>
      </c>
      <c r="CL60" s="3">
        <v>0</v>
      </c>
      <c r="CM60" s="3">
        <v>4939303394.9499998</v>
      </c>
      <c r="CN60" s="3">
        <v>0</v>
      </c>
      <c r="CO60" s="3">
        <v>17306974000</v>
      </c>
      <c r="CP60" s="3">
        <v>0</v>
      </c>
      <c r="CQ60" s="3">
        <v>17306974000</v>
      </c>
      <c r="CR60" s="3">
        <v>0</v>
      </c>
      <c r="CS60" s="3">
        <v>17008992000</v>
      </c>
      <c r="CT60" s="3">
        <v>0</v>
      </c>
      <c r="CU60" s="3">
        <v>17008992000</v>
      </c>
      <c r="CV60" s="3">
        <v>0</v>
      </c>
      <c r="CW60" s="3">
        <v>17008992000</v>
      </c>
      <c r="CX60" s="3">
        <v>0</v>
      </c>
      <c r="CY60" s="3">
        <v>17008992000</v>
      </c>
      <c r="CZ60" s="3">
        <v>0</v>
      </c>
      <c r="DA60" s="3">
        <v>17008992000</v>
      </c>
      <c r="DB60" s="3">
        <v>0</v>
      </c>
      <c r="DC60" s="3">
        <v>17008992000</v>
      </c>
      <c r="DD60" s="3">
        <v>0</v>
      </c>
      <c r="DE60" s="3">
        <v>17008992000</v>
      </c>
      <c r="DF60" s="3">
        <v>0</v>
      </c>
      <c r="DG60" s="3">
        <v>17008992000</v>
      </c>
      <c r="DH60" s="3">
        <v>0</v>
      </c>
      <c r="DI60" s="3">
        <v>12381157308.290001</v>
      </c>
      <c r="DJ60" s="3">
        <v>0</v>
      </c>
      <c r="DK60" s="3">
        <v>12381157308.290001</v>
      </c>
      <c r="DL60" s="3">
        <v>0</v>
      </c>
      <c r="DM60" s="3">
        <v>7350383706.4200001</v>
      </c>
      <c r="DN60" s="3">
        <v>0</v>
      </c>
      <c r="DO60" s="3">
        <v>7350383706.4200001</v>
      </c>
      <c r="DP60" s="3">
        <v>0</v>
      </c>
      <c r="DQ60" s="3">
        <v>16997624000</v>
      </c>
      <c r="DR60" s="3">
        <v>0</v>
      </c>
      <c r="DS60" s="3">
        <v>16997624000</v>
      </c>
      <c r="DT60" s="3">
        <v>0</v>
      </c>
      <c r="DU60" s="3">
        <v>21361029000</v>
      </c>
      <c r="DV60" s="3">
        <v>0</v>
      </c>
      <c r="DW60" s="3">
        <v>21361029000</v>
      </c>
      <c r="DX60" s="3">
        <v>0</v>
      </c>
      <c r="DY60" s="3">
        <v>21361029000</v>
      </c>
      <c r="DZ60" s="3">
        <v>0</v>
      </c>
      <c r="EA60" s="3">
        <v>21361029000</v>
      </c>
      <c r="EB60" s="3">
        <v>0</v>
      </c>
      <c r="EC60" s="3">
        <v>21361029000</v>
      </c>
      <c r="ED60" s="3">
        <v>0</v>
      </c>
      <c r="EE60" s="3">
        <v>21361029000</v>
      </c>
      <c r="EF60" s="3">
        <v>0</v>
      </c>
      <c r="EG60" s="3">
        <v>21361029000</v>
      </c>
      <c r="EH60" s="3">
        <v>0</v>
      </c>
      <c r="EI60" s="3">
        <v>21361029000</v>
      </c>
      <c r="EJ60" s="3">
        <v>0</v>
      </c>
      <c r="EK60" s="3">
        <v>17286201378.669998</v>
      </c>
      <c r="EL60" s="3">
        <v>0</v>
      </c>
      <c r="EM60" s="3">
        <v>17286201378.669998</v>
      </c>
      <c r="EN60" s="3">
        <v>0</v>
      </c>
      <c r="EO60" s="3">
        <v>12783295718.950001</v>
      </c>
      <c r="EP60" s="3">
        <v>0</v>
      </c>
      <c r="EQ60" s="3">
        <v>12783295718.950001</v>
      </c>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c r="IW60" s="3"/>
      <c r="IX60" s="3"/>
      <c r="IY60" s="3"/>
      <c r="IZ60" s="3"/>
      <c r="JA60" s="3"/>
      <c r="JB60" s="3"/>
      <c r="JC60" s="3"/>
      <c r="JD60" s="3"/>
      <c r="JE60" s="3"/>
      <c r="JF60" s="3"/>
      <c r="JG60" s="3"/>
    </row>
    <row r="61" spans="1:267" x14ac:dyDescent="0.25">
      <c r="A61" t="s">
        <v>197</v>
      </c>
      <c r="B61" t="s">
        <v>198</v>
      </c>
      <c r="C61" t="s">
        <v>199</v>
      </c>
      <c r="D61" t="s">
        <v>200</v>
      </c>
      <c r="E61" t="s">
        <v>324</v>
      </c>
      <c r="F61" t="s">
        <v>327</v>
      </c>
      <c r="G61" t="s">
        <v>328</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v>0</v>
      </c>
      <c r="CO61" s="3">
        <v>0</v>
      </c>
      <c r="CP61" s="3">
        <v>0</v>
      </c>
      <c r="CQ61" s="3">
        <v>0</v>
      </c>
      <c r="CR61" s="3">
        <v>0</v>
      </c>
      <c r="CS61" s="3">
        <v>120000000</v>
      </c>
      <c r="CT61" s="3">
        <v>0</v>
      </c>
      <c r="CU61" s="3">
        <v>120000000</v>
      </c>
      <c r="CV61" s="3">
        <v>0</v>
      </c>
      <c r="CW61" s="3">
        <v>120000000</v>
      </c>
      <c r="CX61" s="3">
        <v>0</v>
      </c>
      <c r="CY61" s="3">
        <v>120000000</v>
      </c>
      <c r="CZ61" s="3">
        <v>0</v>
      </c>
      <c r="DA61" s="3">
        <v>120000000</v>
      </c>
      <c r="DB61" s="3">
        <v>0</v>
      </c>
      <c r="DC61" s="3">
        <v>120000000</v>
      </c>
      <c r="DD61" s="3">
        <v>0</v>
      </c>
      <c r="DE61" s="3">
        <v>120000000</v>
      </c>
      <c r="DF61" s="3">
        <v>0</v>
      </c>
      <c r="DG61" s="3">
        <v>120000000</v>
      </c>
      <c r="DH61" s="3">
        <v>0</v>
      </c>
      <c r="DI61" s="3">
        <v>120000000</v>
      </c>
      <c r="DJ61" s="3">
        <v>0</v>
      </c>
      <c r="DK61" s="3">
        <v>120000000</v>
      </c>
      <c r="DL61" s="3">
        <v>0</v>
      </c>
      <c r="DM61" s="3">
        <v>120000000</v>
      </c>
      <c r="DN61" s="3">
        <v>0</v>
      </c>
      <c r="DO61" s="3">
        <v>120000000</v>
      </c>
      <c r="DP61" s="3">
        <v>0</v>
      </c>
      <c r="DQ61" s="3">
        <v>0</v>
      </c>
      <c r="DR61" s="3">
        <v>0</v>
      </c>
      <c r="DS61" s="3">
        <v>0</v>
      </c>
      <c r="DT61" s="3">
        <v>0</v>
      </c>
      <c r="DU61" s="3">
        <v>529200000</v>
      </c>
      <c r="DV61" s="3">
        <v>0</v>
      </c>
      <c r="DW61" s="3">
        <v>529200000</v>
      </c>
      <c r="DX61" s="3">
        <v>0</v>
      </c>
      <c r="DY61" s="3">
        <v>529200000</v>
      </c>
      <c r="DZ61" s="3">
        <v>0</v>
      </c>
      <c r="EA61" s="3">
        <v>529200000</v>
      </c>
      <c r="EB61" s="3">
        <v>0</v>
      </c>
      <c r="EC61" s="3">
        <v>529200000</v>
      </c>
      <c r="ED61" s="3">
        <v>0</v>
      </c>
      <c r="EE61" s="3">
        <v>529200000</v>
      </c>
      <c r="EF61" s="3">
        <v>0</v>
      </c>
      <c r="EG61" s="3">
        <v>529200000</v>
      </c>
      <c r="EH61" s="3">
        <v>0</v>
      </c>
      <c r="EI61" s="3">
        <v>529200000</v>
      </c>
      <c r="EJ61" s="3">
        <v>0</v>
      </c>
      <c r="EK61" s="3">
        <v>230796888.80000001</v>
      </c>
      <c r="EL61" s="3">
        <v>0</v>
      </c>
      <c r="EM61" s="3">
        <v>230796888.80000001</v>
      </c>
      <c r="EN61" s="3">
        <v>0</v>
      </c>
      <c r="EO61" s="3">
        <v>36241731.420000002</v>
      </c>
      <c r="EP61" s="3">
        <v>0</v>
      </c>
      <c r="EQ61" s="3">
        <v>36241731.420000002</v>
      </c>
      <c r="ER61" s="3">
        <v>0</v>
      </c>
      <c r="ES61" s="3">
        <v>0</v>
      </c>
      <c r="ET61" s="3">
        <v>0</v>
      </c>
      <c r="EU61" s="3">
        <v>0</v>
      </c>
      <c r="EV61" s="3">
        <v>0</v>
      </c>
      <c r="EW61" s="3">
        <v>500000000</v>
      </c>
      <c r="EX61" s="3">
        <v>0</v>
      </c>
      <c r="EY61" s="3">
        <v>500000000</v>
      </c>
      <c r="EZ61" s="3">
        <v>0</v>
      </c>
      <c r="FA61" s="3">
        <v>500000000</v>
      </c>
      <c r="FB61" s="3">
        <v>0</v>
      </c>
      <c r="FC61" s="3">
        <v>500000000</v>
      </c>
      <c r="FD61" s="3">
        <v>0</v>
      </c>
      <c r="FE61" s="3">
        <v>500000000</v>
      </c>
      <c r="FF61" s="3">
        <v>0</v>
      </c>
      <c r="FG61" s="3">
        <v>500000000</v>
      </c>
      <c r="FH61" s="3">
        <v>0</v>
      </c>
      <c r="FI61" s="3">
        <v>500000000</v>
      </c>
      <c r="FJ61" s="3">
        <v>0</v>
      </c>
      <c r="FK61" s="3">
        <v>500000000</v>
      </c>
      <c r="FL61" s="3">
        <v>0</v>
      </c>
      <c r="FM61" s="3">
        <v>290506313.67000002</v>
      </c>
      <c r="FN61" s="3">
        <v>0</v>
      </c>
      <c r="FO61" s="3">
        <v>290506313.67000002</v>
      </c>
      <c r="FP61" s="3">
        <v>0</v>
      </c>
      <c r="FQ61" s="3">
        <v>112370190.95999999</v>
      </c>
      <c r="FR61" s="3">
        <v>0</v>
      </c>
      <c r="FS61" s="3">
        <v>112370190.95999999</v>
      </c>
      <c r="FT61" s="3">
        <v>0</v>
      </c>
      <c r="FU61" s="3">
        <v>1000000000</v>
      </c>
      <c r="FV61" s="3">
        <v>0</v>
      </c>
      <c r="FW61" s="3">
        <v>1000000000</v>
      </c>
      <c r="FX61" s="3">
        <v>0</v>
      </c>
      <c r="FY61" s="3">
        <v>1250000000</v>
      </c>
      <c r="FZ61" s="3">
        <v>0</v>
      </c>
      <c r="GA61" s="3">
        <v>1250000000</v>
      </c>
      <c r="GB61" s="3">
        <v>0</v>
      </c>
      <c r="GC61" s="3">
        <v>1250000000</v>
      </c>
      <c r="GD61" s="3">
        <v>0</v>
      </c>
      <c r="GE61" s="3">
        <v>1250000000</v>
      </c>
      <c r="GF61" s="3">
        <v>0</v>
      </c>
      <c r="GG61" s="3">
        <v>1250000000</v>
      </c>
      <c r="GH61" s="3">
        <v>0</v>
      </c>
      <c r="GI61" s="3">
        <v>1250000000</v>
      </c>
      <c r="GJ61" s="3">
        <v>0</v>
      </c>
      <c r="GK61" s="3">
        <v>1250000000</v>
      </c>
      <c r="GL61" s="3">
        <v>0</v>
      </c>
      <c r="GM61" s="3">
        <v>1250000000</v>
      </c>
      <c r="GN61" s="3">
        <v>0</v>
      </c>
      <c r="GO61" s="3">
        <v>967554713.86000001</v>
      </c>
      <c r="GP61" s="3">
        <v>0</v>
      </c>
      <c r="GQ61" s="3">
        <v>967554713.86000001</v>
      </c>
      <c r="GR61" s="3">
        <v>0</v>
      </c>
      <c r="GS61" s="3">
        <v>678540573.35000002</v>
      </c>
      <c r="GT61" s="3">
        <v>0</v>
      </c>
      <c r="GU61" s="3">
        <v>678540573.35000002</v>
      </c>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row>
    <row r="62" spans="1:267" x14ac:dyDescent="0.25">
      <c r="A62" t="s">
        <v>197</v>
      </c>
      <c r="B62" t="s">
        <v>198</v>
      </c>
      <c r="C62" t="s">
        <v>199</v>
      </c>
      <c r="D62" t="s">
        <v>200</v>
      </c>
      <c r="E62" t="s">
        <v>324</v>
      </c>
      <c r="F62" t="s">
        <v>329</v>
      </c>
      <c r="G62" t="s">
        <v>330</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v>0</v>
      </c>
      <c r="ES62" s="3">
        <v>22394949000</v>
      </c>
      <c r="ET62" s="3">
        <v>0</v>
      </c>
      <c r="EU62" s="3">
        <v>22394949000</v>
      </c>
      <c r="EV62" s="3">
        <v>0</v>
      </c>
      <c r="EW62" s="3">
        <v>32630649000</v>
      </c>
      <c r="EX62" s="3">
        <v>0</v>
      </c>
      <c r="EY62" s="3">
        <v>32630649000</v>
      </c>
      <c r="EZ62" s="3">
        <v>0</v>
      </c>
      <c r="FA62" s="3">
        <v>32630649000</v>
      </c>
      <c r="FB62" s="3">
        <v>0</v>
      </c>
      <c r="FC62" s="3">
        <v>32630649000</v>
      </c>
      <c r="FD62" s="3">
        <v>0</v>
      </c>
      <c r="FE62" s="3">
        <v>32630649000</v>
      </c>
      <c r="FF62" s="3">
        <v>0</v>
      </c>
      <c r="FG62" s="3">
        <v>32630649000</v>
      </c>
      <c r="FH62" s="3">
        <v>0</v>
      </c>
      <c r="FI62" s="3">
        <v>32630649000</v>
      </c>
      <c r="FJ62" s="3">
        <v>0</v>
      </c>
      <c r="FK62" s="3">
        <v>32630649000</v>
      </c>
      <c r="FL62" s="3">
        <v>0</v>
      </c>
      <c r="FM62" s="3">
        <v>29502644055.529999</v>
      </c>
      <c r="FN62" s="3">
        <v>0</v>
      </c>
      <c r="FO62" s="3">
        <v>29502644055.529999</v>
      </c>
      <c r="FP62" s="3">
        <v>0</v>
      </c>
      <c r="FQ62" s="3">
        <v>23016920985.75</v>
      </c>
      <c r="FR62" s="3">
        <v>0</v>
      </c>
      <c r="FS62" s="3">
        <v>23016920985.75</v>
      </c>
      <c r="FT62" s="3">
        <v>0</v>
      </c>
      <c r="FU62" s="3">
        <v>22263949000</v>
      </c>
      <c r="FV62" s="3">
        <v>0</v>
      </c>
      <c r="FW62" s="3">
        <v>22263949000</v>
      </c>
      <c r="FX62" s="3">
        <v>0</v>
      </c>
      <c r="FY62" s="3">
        <v>58093566000</v>
      </c>
      <c r="FZ62" s="3">
        <v>0</v>
      </c>
      <c r="GA62" s="3">
        <v>58093566000</v>
      </c>
      <c r="GB62" s="3">
        <v>0</v>
      </c>
      <c r="GC62" s="3">
        <v>58093566000</v>
      </c>
      <c r="GD62" s="3">
        <v>0</v>
      </c>
      <c r="GE62" s="3">
        <v>58093566000</v>
      </c>
      <c r="GF62" s="3">
        <v>0</v>
      </c>
      <c r="GG62" s="3">
        <v>58093566000</v>
      </c>
      <c r="GH62" s="3">
        <v>0</v>
      </c>
      <c r="GI62" s="3">
        <v>58093566000</v>
      </c>
      <c r="GJ62" s="3">
        <v>0</v>
      </c>
      <c r="GK62" s="3">
        <v>58093566000</v>
      </c>
      <c r="GL62" s="3">
        <v>0</v>
      </c>
      <c r="GM62" s="3">
        <v>58093566000</v>
      </c>
      <c r="GN62" s="3">
        <v>0</v>
      </c>
      <c r="GO62" s="3">
        <v>49648085042.889999</v>
      </c>
      <c r="GP62" s="3">
        <v>0</v>
      </c>
      <c r="GQ62" s="3">
        <v>49648085042.889999</v>
      </c>
      <c r="GR62" s="3">
        <v>0</v>
      </c>
      <c r="GS62" s="3">
        <v>31735328827.779999</v>
      </c>
      <c r="GT62" s="3">
        <v>0</v>
      </c>
      <c r="GU62" s="3">
        <v>31735328827.779999</v>
      </c>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row>
    <row r="63" spans="1:267" x14ac:dyDescent="0.25">
      <c r="A63" t="s">
        <v>197</v>
      </c>
      <c r="B63" t="s">
        <v>198</v>
      </c>
      <c r="C63" t="s">
        <v>199</v>
      </c>
      <c r="D63" t="s">
        <v>200</v>
      </c>
      <c r="E63" t="s">
        <v>324</v>
      </c>
      <c r="F63" t="s">
        <v>331</v>
      </c>
      <c r="G63" t="s">
        <v>332</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v>0</v>
      </c>
      <c r="EV63" s="3">
        <v>0</v>
      </c>
      <c r="EW63" s="3">
        <v>300000000</v>
      </c>
      <c r="EX63" s="3">
        <v>0</v>
      </c>
      <c r="EY63" s="3">
        <v>300000000</v>
      </c>
      <c r="EZ63" s="3">
        <v>0</v>
      </c>
      <c r="FA63" s="3">
        <v>300000000</v>
      </c>
      <c r="FB63" s="3">
        <v>0</v>
      </c>
      <c r="FC63" s="3">
        <v>300000000</v>
      </c>
      <c r="FD63" s="3">
        <v>0</v>
      </c>
      <c r="FE63" s="3">
        <v>300000000</v>
      </c>
      <c r="FF63" s="3">
        <v>0</v>
      </c>
      <c r="FG63" s="3">
        <v>300000000</v>
      </c>
      <c r="FH63" s="3">
        <v>0</v>
      </c>
      <c r="FI63" s="3">
        <v>300000000</v>
      </c>
      <c r="FJ63" s="3">
        <v>0</v>
      </c>
      <c r="FK63" s="3">
        <v>300000000</v>
      </c>
      <c r="FL63" s="3">
        <v>0</v>
      </c>
      <c r="FM63" s="3">
        <v>276564554.54000002</v>
      </c>
      <c r="FN63" s="3">
        <v>0</v>
      </c>
      <c r="FO63" s="3">
        <v>276564554.54000002</v>
      </c>
      <c r="FP63" s="3">
        <v>0</v>
      </c>
      <c r="FQ63" s="3">
        <v>252193822.53</v>
      </c>
      <c r="FR63" s="3">
        <v>0</v>
      </c>
      <c r="FS63" s="3">
        <v>252193822.53</v>
      </c>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c r="IW63" s="3"/>
      <c r="IX63" s="3"/>
      <c r="IY63" s="3"/>
      <c r="IZ63" s="3"/>
      <c r="JA63" s="3"/>
      <c r="JB63" s="3"/>
      <c r="JC63" s="3"/>
      <c r="JD63" s="3"/>
      <c r="JE63" s="3"/>
      <c r="JF63" s="3"/>
      <c r="JG63" s="3"/>
    </row>
    <row r="64" spans="1:267" x14ac:dyDescent="0.25">
      <c r="A64" t="s">
        <v>197</v>
      </c>
      <c r="B64" t="s">
        <v>198</v>
      </c>
      <c r="C64" t="s">
        <v>199</v>
      </c>
      <c r="D64" t="s">
        <v>200</v>
      </c>
      <c r="E64" t="s">
        <v>324</v>
      </c>
      <c r="F64" t="s">
        <v>333</v>
      </c>
      <c r="G64" t="s">
        <v>334</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v>0</v>
      </c>
      <c r="FU64" s="3">
        <v>300000000</v>
      </c>
      <c r="FV64" s="3">
        <v>0</v>
      </c>
      <c r="FW64" s="3">
        <v>300000000</v>
      </c>
      <c r="FX64" s="3">
        <v>0</v>
      </c>
      <c r="FY64" s="3">
        <v>300000000</v>
      </c>
      <c r="FZ64" s="3">
        <v>0</v>
      </c>
      <c r="GA64" s="3">
        <v>300000000</v>
      </c>
      <c r="GB64" s="3">
        <v>0</v>
      </c>
      <c r="GC64" s="3">
        <v>300000000</v>
      </c>
      <c r="GD64" s="3">
        <v>0</v>
      </c>
      <c r="GE64" s="3">
        <v>300000000</v>
      </c>
      <c r="GF64" s="3">
        <v>0</v>
      </c>
      <c r="GG64" s="3">
        <v>300000000</v>
      </c>
      <c r="GH64" s="3">
        <v>0</v>
      </c>
      <c r="GI64" s="3">
        <v>300000000</v>
      </c>
      <c r="GJ64" s="3">
        <v>0</v>
      </c>
      <c r="GK64" s="3">
        <v>300000000</v>
      </c>
      <c r="GL64" s="3">
        <v>0</v>
      </c>
      <c r="GM64" s="3">
        <v>300000000</v>
      </c>
      <c r="GN64" s="3">
        <v>0</v>
      </c>
      <c r="GO64" s="3">
        <v>288023926.57999998</v>
      </c>
      <c r="GP64" s="3">
        <v>0</v>
      </c>
      <c r="GQ64" s="3">
        <v>288023926.57999998</v>
      </c>
      <c r="GR64" s="3">
        <v>0</v>
      </c>
      <c r="GS64" s="3">
        <v>275912076.39999998</v>
      </c>
      <c r="GT64" s="3">
        <v>0</v>
      </c>
      <c r="GU64" s="3">
        <v>275912076.39999998</v>
      </c>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row>
    <row r="65" spans="1:267" x14ac:dyDescent="0.25">
      <c r="A65" t="s">
        <v>197</v>
      </c>
      <c r="B65" t="s">
        <v>198</v>
      </c>
      <c r="C65" t="s">
        <v>199</v>
      </c>
      <c r="D65" t="s">
        <v>200</v>
      </c>
      <c r="E65" t="s">
        <v>335</v>
      </c>
      <c r="F65" t="s">
        <v>336</v>
      </c>
      <c r="G65" t="s">
        <v>219</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v>25059000</v>
      </c>
      <c r="GW65" s="3">
        <v>14066000</v>
      </c>
      <c r="GX65" s="3">
        <v>0</v>
      </c>
      <c r="GY65" s="3">
        <v>39125000</v>
      </c>
      <c r="GZ65" s="3">
        <v>25059000</v>
      </c>
      <c r="HA65" s="3">
        <v>14066000</v>
      </c>
      <c r="HB65" s="3">
        <v>0</v>
      </c>
      <c r="HC65" s="3">
        <v>39125000</v>
      </c>
      <c r="HD65" s="3">
        <v>25059000</v>
      </c>
      <c r="HE65" s="3">
        <v>14066000</v>
      </c>
      <c r="HF65" s="3">
        <v>0</v>
      </c>
      <c r="HG65" s="3">
        <v>39125000</v>
      </c>
      <c r="HH65" s="3">
        <v>25059000</v>
      </c>
      <c r="HI65" s="3">
        <v>14066000</v>
      </c>
      <c r="HJ65" s="3">
        <v>0</v>
      </c>
      <c r="HK65" s="3">
        <v>39125000</v>
      </c>
      <c r="HL65" s="3">
        <v>25059000</v>
      </c>
      <c r="HM65" s="3">
        <v>14066000</v>
      </c>
      <c r="HN65" s="3">
        <v>0</v>
      </c>
      <c r="HO65" s="3">
        <v>39125000</v>
      </c>
      <c r="HP65" s="3">
        <v>25049057.640000001</v>
      </c>
      <c r="HQ65" s="3">
        <v>13868427.380000001</v>
      </c>
      <c r="HR65" s="3">
        <v>0</v>
      </c>
      <c r="HS65" s="3">
        <v>38917485.020000003</v>
      </c>
      <c r="HT65" s="3">
        <v>24697452.530000001</v>
      </c>
      <c r="HU65" s="3">
        <v>10642103.5</v>
      </c>
      <c r="HV65" s="3">
        <v>0</v>
      </c>
      <c r="HW65" s="3">
        <v>35339556.030000001</v>
      </c>
      <c r="HX65" s="3">
        <v>23740000</v>
      </c>
      <c r="HY65" s="3">
        <v>164319000</v>
      </c>
      <c r="HZ65" s="3">
        <v>0</v>
      </c>
      <c r="IA65" s="3">
        <v>188059000</v>
      </c>
      <c r="IB65" s="3">
        <v>23740000</v>
      </c>
      <c r="IC65" s="3">
        <v>164319000</v>
      </c>
      <c r="ID65" s="3">
        <v>0</v>
      </c>
      <c r="IE65" s="3">
        <v>188059000</v>
      </c>
      <c r="IF65" s="3"/>
      <c r="IG65" s="3"/>
      <c r="IH65" s="3"/>
      <c r="II65" s="3"/>
      <c r="IJ65" s="3"/>
      <c r="IK65" s="3"/>
      <c r="IL65" s="3"/>
      <c r="IM65" s="3"/>
      <c r="IN65" s="3"/>
      <c r="IO65" s="3"/>
      <c r="IP65" s="3"/>
      <c r="IQ65" s="3"/>
      <c r="IR65" s="3"/>
      <c r="IS65" s="3"/>
      <c r="IT65" s="3"/>
      <c r="IU65" s="3"/>
      <c r="IV65" s="3"/>
      <c r="IW65" s="3"/>
      <c r="IX65" s="3"/>
      <c r="IY65" s="3"/>
      <c r="IZ65" s="3">
        <v>27628000</v>
      </c>
      <c r="JA65" s="3">
        <v>167277000</v>
      </c>
      <c r="JB65" s="3">
        <v>0</v>
      </c>
      <c r="JC65" s="3">
        <v>194905000</v>
      </c>
      <c r="JD65" s="3"/>
      <c r="JE65" s="3"/>
      <c r="JF65" s="3"/>
      <c r="JG65" s="3"/>
    </row>
    <row r="66" spans="1:267" x14ac:dyDescent="0.25">
      <c r="A66" t="s">
        <v>197</v>
      </c>
      <c r="B66" t="s">
        <v>198</v>
      </c>
      <c r="C66" t="s">
        <v>199</v>
      </c>
      <c r="D66" t="s">
        <v>200</v>
      </c>
      <c r="E66" t="s">
        <v>335</v>
      </c>
      <c r="F66" t="s">
        <v>337</v>
      </c>
      <c r="G66" t="s">
        <v>221</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v>47752000</v>
      </c>
      <c r="GW66" s="3">
        <v>13146000</v>
      </c>
      <c r="GX66" s="3">
        <v>0</v>
      </c>
      <c r="GY66" s="3">
        <v>60898000</v>
      </c>
      <c r="GZ66" s="3">
        <v>47752000</v>
      </c>
      <c r="HA66" s="3">
        <v>13146000</v>
      </c>
      <c r="HB66" s="3">
        <v>0</v>
      </c>
      <c r="HC66" s="3">
        <v>60898000</v>
      </c>
      <c r="HD66" s="3">
        <v>47752000</v>
      </c>
      <c r="HE66" s="3">
        <v>13146000</v>
      </c>
      <c r="HF66" s="3">
        <v>0</v>
      </c>
      <c r="HG66" s="3">
        <v>60898000</v>
      </c>
      <c r="HH66" s="3">
        <v>47752000</v>
      </c>
      <c r="HI66" s="3">
        <v>13146000</v>
      </c>
      <c r="HJ66" s="3">
        <v>0</v>
      </c>
      <c r="HK66" s="3">
        <v>60898000</v>
      </c>
      <c r="HL66" s="3">
        <v>47752000</v>
      </c>
      <c r="HM66" s="3">
        <v>13146000</v>
      </c>
      <c r="HN66" s="3">
        <v>0</v>
      </c>
      <c r="HO66" s="3">
        <v>60898000</v>
      </c>
      <c r="HP66" s="3">
        <v>47750903.469999999</v>
      </c>
      <c r="HQ66" s="3">
        <v>11600432.960000001</v>
      </c>
      <c r="HR66" s="3">
        <v>0</v>
      </c>
      <c r="HS66" s="3">
        <v>59351336.43</v>
      </c>
      <c r="HT66" s="3">
        <v>47689698.32</v>
      </c>
      <c r="HU66" s="3">
        <v>9350468.8300000001</v>
      </c>
      <c r="HV66" s="3">
        <v>0</v>
      </c>
      <c r="HW66" s="3">
        <v>57040167.149999999</v>
      </c>
      <c r="HX66" s="3">
        <v>54945000</v>
      </c>
      <c r="HY66" s="3">
        <v>13383000</v>
      </c>
      <c r="HZ66" s="3">
        <v>0</v>
      </c>
      <c r="IA66" s="3">
        <v>68328000</v>
      </c>
      <c r="IB66" s="3">
        <v>54945000</v>
      </c>
      <c r="IC66" s="3">
        <v>13383000</v>
      </c>
      <c r="ID66" s="3">
        <v>0</v>
      </c>
      <c r="IE66" s="3">
        <v>68328000</v>
      </c>
      <c r="IF66" s="3"/>
      <c r="IG66" s="3"/>
      <c r="IH66" s="3"/>
      <c r="II66" s="3"/>
      <c r="IJ66" s="3"/>
      <c r="IK66" s="3"/>
      <c r="IL66" s="3"/>
      <c r="IM66" s="3"/>
      <c r="IN66" s="3"/>
      <c r="IO66" s="3"/>
      <c r="IP66" s="3"/>
      <c r="IQ66" s="3"/>
      <c r="IR66" s="3"/>
      <c r="IS66" s="3"/>
      <c r="IT66" s="3"/>
      <c r="IU66" s="3"/>
      <c r="IV66" s="3"/>
      <c r="IW66" s="3"/>
      <c r="IX66" s="3"/>
      <c r="IY66" s="3"/>
      <c r="IZ66" s="3">
        <v>59114000</v>
      </c>
      <c r="JA66" s="3">
        <v>13624000</v>
      </c>
      <c r="JB66" s="3">
        <v>0</v>
      </c>
      <c r="JC66" s="3">
        <v>72738000</v>
      </c>
      <c r="JD66" s="3"/>
      <c r="JE66" s="3"/>
      <c r="JF66" s="3"/>
      <c r="JG66" s="3"/>
    </row>
    <row r="67" spans="1:267" x14ac:dyDescent="0.25">
      <c r="A67" t="s">
        <v>197</v>
      </c>
      <c r="B67" t="s">
        <v>198</v>
      </c>
      <c r="C67" t="s">
        <v>199</v>
      </c>
      <c r="D67" t="s">
        <v>200</v>
      </c>
      <c r="E67" t="s">
        <v>335</v>
      </c>
      <c r="F67" t="s">
        <v>338</v>
      </c>
      <c r="G67" t="s">
        <v>223</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v>0</v>
      </c>
      <c r="GW67" s="3">
        <v>78995000</v>
      </c>
      <c r="GX67" s="3">
        <v>0</v>
      </c>
      <c r="GY67" s="3">
        <v>78995000</v>
      </c>
      <c r="GZ67" s="3">
        <v>0</v>
      </c>
      <c r="HA67" s="3">
        <v>78995000</v>
      </c>
      <c r="HB67" s="3">
        <v>0</v>
      </c>
      <c r="HC67" s="3">
        <v>78995000</v>
      </c>
      <c r="HD67" s="3">
        <v>0</v>
      </c>
      <c r="HE67" s="3">
        <v>78995000</v>
      </c>
      <c r="HF67" s="3">
        <v>0</v>
      </c>
      <c r="HG67" s="3">
        <v>78995000</v>
      </c>
      <c r="HH67" s="3">
        <v>515911</v>
      </c>
      <c r="HI67" s="3">
        <v>78479089</v>
      </c>
      <c r="HJ67" s="3">
        <v>0</v>
      </c>
      <c r="HK67" s="3">
        <v>78995000</v>
      </c>
      <c r="HL67" s="3">
        <v>515911</v>
      </c>
      <c r="HM67" s="3">
        <v>78479089</v>
      </c>
      <c r="HN67" s="3">
        <v>0</v>
      </c>
      <c r="HO67" s="3">
        <v>78995000</v>
      </c>
      <c r="HP67" s="3">
        <v>515911</v>
      </c>
      <c r="HQ67" s="3">
        <v>69212686.659999996</v>
      </c>
      <c r="HR67" s="3">
        <v>0</v>
      </c>
      <c r="HS67" s="3">
        <v>69728597.659999996</v>
      </c>
      <c r="HT67" s="3">
        <v>515911</v>
      </c>
      <c r="HU67" s="3">
        <v>34721278.100000001</v>
      </c>
      <c r="HV67" s="3">
        <v>0</v>
      </c>
      <c r="HW67" s="3">
        <v>35237189.100000001</v>
      </c>
      <c r="HX67" s="3">
        <v>2163000</v>
      </c>
      <c r="HY67" s="3">
        <v>80417000</v>
      </c>
      <c r="HZ67" s="3">
        <v>0</v>
      </c>
      <c r="IA67" s="3">
        <v>82580000</v>
      </c>
      <c r="IB67" s="3">
        <v>2163000</v>
      </c>
      <c r="IC67" s="3">
        <v>90417000</v>
      </c>
      <c r="ID67" s="3">
        <v>0</v>
      </c>
      <c r="IE67" s="3">
        <v>92580000</v>
      </c>
      <c r="IF67" s="3"/>
      <c r="IG67" s="3"/>
      <c r="IH67" s="3"/>
      <c r="II67" s="3"/>
      <c r="IJ67" s="3"/>
      <c r="IK67" s="3"/>
      <c r="IL67" s="3"/>
      <c r="IM67" s="3"/>
      <c r="IN67" s="3"/>
      <c r="IO67" s="3"/>
      <c r="IP67" s="3"/>
      <c r="IQ67" s="3"/>
      <c r="IR67" s="3"/>
      <c r="IS67" s="3"/>
      <c r="IT67" s="3"/>
      <c r="IU67" s="3"/>
      <c r="IV67" s="3"/>
      <c r="IW67" s="3"/>
      <c r="IX67" s="3"/>
      <c r="IY67" s="3"/>
      <c r="IZ67" s="3">
        <v>5341000</v>
      </c>
      <c r="JA67" s="3">
        <v>83678000</v>
      </c>
      <c r="JB67" s="3">
        <v>0</v>
      </c>
      <c r="JC67" s="3">
        <v>89019000</v>
      </c>
      <c r="JD67" s="3"/>
      <c r="JE67" s="3"/>
      <c r="JF67" s="3"/>
      <c r="JG67" s="3"/>
    </row>
    <row r="68" spans="1:267" x14ac:dyDescent="0.25">
      <c r="A68" t="s">
        <v>197</v>
      </c>
      <c r="B68" t="s">
        <v>198</v>
      </c>
      <c r="C68" t="s">
        <v>199</v>
      </c>
      <c r="D68" t="s">
        <v>200</v>
      </c>
      <c r="E68" t="s">
        <v>335</v>
      </c>
      <c r="F68" t="s">
        <v>339</v>
      </c>
      <c r="G68" t="s">
        <v>226</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v>41353000</v>
      </c>
      <c r="GW68" s="3">
        <v>114885000</v>
      </c>
      <c r="GX68" s="3">
        <v>0</v>
      </c>
      <c r="GY68" s="3">
        <v>156238000</v>
      </c>
      <c r="GZ68" s="3">
        <v>41353000</v>
      </c>
      <c r="HA68" s="3">
        <v>124885000</v>
      </c>
      <c r="HB68" s="3">
        <v>0</v>
      </c>
      <c r="HC68" s="3">
        <v>166238000</v>
      </c>
      <c r="HD68" s="3">
        <v>41353000</v>
      </c>
      <c r="HE68" s="3">
        <v>124885000</v>
      </c>
      <c r="HF68" s="3">
        <v>0</v>
      </c>
      <c r="HG68" s="3">
        <v>166238000</v>
      </c>
      <c r="HH68" s="3">
        <v>44816738.969999999</v>
      </c>
      <c r="HI68" s="3">
        <v>121421261.03</v>
      </c>
      <c r="HJ68" s="3">
        <v>0</v>
      </c>
      <c r="HK68" s="3">
        <v>166238000</v>
      </c>
      <c r="HL68" s="3">
        <v>44816738.969999999</v>
      </c>
      <c r="HM68" s="3">
        <v>111421261.03</v>
      </c>
      <c r="HN68" s="3">
        <v>0</v>
      </c>
      <c r="HO68" s="3">
        <v>156238000</v>
      </c>
      <c r="HP68" s="3">
        <v>44813761.140000001</v>
      </c>
      <c r="HQ68" s="3">
        <v>84374462.340000004</v>
      </c>
      <c r="HR68" s="3">
        <v>0</v>
      </c>
      <c r="HS68" s="3">
        <v>129188223.48</v>
      </c>
      <c r="HT68" s="3">
        <v>44357119.719999999</v>
      </c>
      <c r="HU68" s="3">
        <v>67377652.390000001</v>
      </c>
      <c r="HV68" s="3">
        <v>0</v>
      </c>
      <c r="HW68" s="3">
        <v>111734772.11</v>
      </c>
      <c r="HX68" s="3">
        <v>51675000</v>
      </c>
      <c r="HY68" s="3">
        <v>116953000</v>
      </c>
      <c r="HZ68" s="3">
        <v>0</v>
      </c>
      <c r="IA68" s="3">
        <v>168628000</v>
      </c>
      <c r="IB68" s="3">
        <v>51675000</v>
      </c>
      <c r="IC68" s="3">
        <v>116953000</v>
      </c>
      <c r="ID68" s="3">
        <v>0</v>
      </c>
      <c r="IE68" s="3">
        <v>168628000</v>
      </c>
      <c r="IF68" s="3"/>
      <c r="IG68" s="3"/>
      <c r="IH68" s="3"/>
      <c r="II68" s="3"/>
      <c r="IJ68" s="3"/>
      <c r="IK68" s="3"/>
      <c r="IL68" s="3"/>
      <c r="IM68" s="3"/>
      <c r="IN68" s="3"/>
      <c r="IO68" s="3"/>
      <c r="IP68" s="3"/>
      <c r="IQ68" s="3"/>
      <c r="IR68" s="3"/>
      <c r="IS68" s="3"/>
      <c r="IT68" s="3"/>
      <c r="IU68" s="3"/>
      <c r="IV68" s="3"/>
      <c r="IW68" s="3"/>
      <c r="IX68" s="3"/>
      <c r="IY68" s="3"/>
      <c r="IZ68" s="3">
        <v>55963000</v>
      </c>
      <c r="JA68" s="3">
        <v>103580000</v>
      </c>
      <c r="JB68" s="3">
        <v>0</v>
      </c>
      <c r="JC68" s="3">
        <v>159543000</v>
      </c>
      <c r="JD68" s="3"/>
      <c r="JE68" s="3"/>
      <c r="JF68" s="3"/>
      <c r="JG68" s="3"/>
    </row>
    <row r="69" spans="1:267" x14ac:dyDescent="0.25">
      <c r="A69" t="s">
        <v>197</v>
      </c>
      <c r="B69" t="s">
        <v>198</v>
      </c>
      <c r="C69" t="s">
        <v>199</v>
      </c>
      <c r="D69" t="s">
        <v>200</v>
      </c>
      <c r="E69" t="s">
        <v>335</v>
      </c>
      <c r="F69" t="s">
        <v>340</v>
      </c>
      <c r="G69" t="s">
        <v>230</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v>24493000</v>
      </c>
      <c r="GW69" s="3">
        <v>637688000</v>
      </c>
      <c r="GX69" s="3">
        <v>0</v>
      </c>
      <c r="GY69" s="3">
        <v>662181000</v>
      </c>
      <c r="GZ69" s="3">
        <v>24493000</v>
      </c>
      <c r="HA69" s="3">
        <v>637688000</v>
      </c>
      <c r="HB69" s="3">
        <v>0</v>
      </c>
      <c r="HC69" s="3">
        <v>662181000</v>
      </c>
      <c r="HD69" s="3">
        <v>24493000</v>
      </c>
      <c r="HE69" s="3">
        <v>637688000</v>
      </c>
      <c r="HF69" s="3">
        <v>0</v>
      </c>
      <c r="HG69" s="3">
        <v>662181000</v>
      </c>
      <c r="HH69" s="3">
        <v>36224385.490000002</v>
      </c>
      <c r="HI69" s="3">
        <v>625856614.50999999</v>
      </c>
      <c r="HJ69" s="3">
        <v>0</v>
      </c>
      <c r="HK69" s="3">
        <v>662081000</v>
      </c>
      <c r="HL69" s="3">
        <v>36224385.490000002</v>
      </c>
      <c r="HM69" s="3">
        <v>625856614.50999999</v>
      </c>
      <c r="HN69" s="3">
        <v>0</v>
      </c>
      <c r="HO69" s="3">
        <v>662081000</v>
      </c>
      <c r="HP69" s="3">
        <v>36224385.490000002</v>
      </c>
      <c r="HQ69" s="3">
        <v>585627592.86000001</v>
      </c>
      <c r="HR69" s="3">
        <v>0</v>
      </c>
      <c r="HS69" s="3">
        <v>621851978.35000002</v>
      </c>
      <c r="HT69" s="3">
        <v>35756411.240000002</v>
      </c>
      <c r="HU69" s="3">
        <v>467873554.22000003</v>
      </c>
      <c r="HV69" s="3">
        <v>0</v>
      </c>
      <c r="HW69" s="3">
        <v>503629965.45999998</v>
      </c>
      <c r="HX69" s="3">
        <v>23297000</v>
      </c>
      <c r="HY69" s="3">
        <v>1383131000</v>
      </c>
      <c r="HZ69" s="3">
        <v>0</v>
      </c>
      <c r="IA69" s="3">
        <v>1406428000</v>
      </c>
      <c r="IB69" s="3">
        <v>23297000</v>
      </c>
      <c r="IC69" s="3">
        <v>1383131000</v>
      </c>
      <c r="ID69" s="3">
        <v>0</v>
      </c>
      <c r="IE69" s="3">
        <v>1406428000</v>
      </c>
      <c r="IF69" s="3"/>
      <c r="IG69" s="3"/>
      <c r="IH69" s="3"/>
      <c r="II69" s="3"/>
      <c r="IJ69" s="3"/>
      <c r="IK69" s="3"/>
      <c r="IL69" s="3"/>
      <c r="IM69" s="3"/>
      <c r="IN69" s="3"/>
      <c r="IO69" s="3"/>
      <c r="IP69" s="3"/>
      <c r="IQ69" s="3"/>
      <c r="IR69" s="3"/>
      <c r="IS69" s="3"/>
      <c r="IT69" s="3"/>
      <c r="IU69" s="3"/>
      <c r="IV69" s="3"/>
      <c r="IW69" s="3"/>
      <c r="IX69" s="3"/>
      <c r="IY69" s="3"/>
      <c r="IZ69" s="3">
        <v>25655000</v>
      </c>
      <c r="JA69" s="3">
        <v>1472027000</v>
      </c>
      <c r="JB69" s="3">
        <v>0</v>
      </c>
      <c r="JC69" s="3">
        <v>1497682000</v>
      </c>
      <c r="JD69" s="3"/>
      <c r="JE69" s="3"/>
      <c r="JF69" s="3"/>
      <c r="JG69" s="3"/>
    </row>
    <row r="70" spans="1:267" x14ac:dyDescent="0.25">
      <c r="A70" t="s">
        <v>197</v>
      </c>
      <c r="B70" t="s">
        <v>198</v>
      </c>
      <c r="C70" t="s">
        <v>199</v>
      </c>
      <c r="D70" t="s">
        <v>200</v>
      </c>
      <c r="E70" t="s">
        <v>335</v>
      </c>
      <c r="F70" t="s">
        <v>341</v>
      </c>
      <c r="G70" t="s">
        <v>232</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v>0</v>
      </c>
      <c r="GW70" s="3">
        <v>121544000</v>
      </c>
      <c r="GX70" s="3">
        <v>0</v>
      </c>
      <c r="GY70" s="3">
        <v>121544000</v>
      </c>
      <c r="GZ70" s="3">
        <v>0</v>
      </c>
      <c r="HA70" s="3">
        <v>121544000</v>
      </c>
      <c r="HB70" s="3">
        <v>0</v>
      </c>
      <c r="HC70" s="3">
        <v>121544000</v>
      </c>
      <c r="HD70" s="3">
        <v>0</v>
      </c>
      <c r="HE70" s="3">
        <v>121544000</v>
      </c>
      <c r="HF70" s="3">
        <v>0</v>
      </c>
      <c r="HG70" s="3">
        <v>121544000</v>
      </c>
      <c r="HH70" s="3">
        <v>745000</v>
      </c>
      <c r="HI70" s="3">
        <v>120799000</v>
      </c>
      <c r="HJ70" s="3">
        <v>0</v>
      </c>
      <c r="HK70" s="3">
        <v>121544000</v>
      </c>
      <c r="HL70" s="3">
        <v>745000</v>
      </c>
      <c r="HM70" s="3">
        <v>120799000</v>
      </c>
      <c r="HN70" s="3">
        <v>0</v>
      </c>
      <c r="HO70" s="3">
        <v>121544000</v>
      </c>
      <c r="HP70" s="3">
        <v>745000</v>
      </c>
      <c r="HQ70" s="3">
        <v>107041620.34999999</v>
      </c>
      <c r="HR70" s="3">
        <v>0</v>
      </c>
      <c r="HS70" s="3">
        <v>107786620.34999999</v>
      </c>
      <c r="HT70" s="3">
        <v>745000</v>
      </c>
      <c r="HU70" s="3">
        <v>85139712.25</v>
      </c>
      <c r="HV70" s="3">
        <v>0</v>
      </c>
      <c r="HW70" s="3">
        <v>85884712.25</v>
      </c>
      <c r="HX70" s="3">
        <v>0</v>
      </c>
      <c r="HY70" s="3">
        <v>123732000</v>
      </c>
      <c r="HZ70" s="3">
        <v>0</v>
      </c>
      <c r="IA70" s="3">
        <v>123732000</v>
      </c>
      <c r="IB70" s="3">
        <v>0</v>
      </c>
      <c r="IC70" s="3">
        <v>123732000</v>
      </c>
      <c r="ID70" s="3">
        <v>0</v>
      </c>
      <c r="IE70" s="3">
        <v>123732000</v>
      </c>
      <c r="IF70" s="3"/>
      <c r="IG70" s="3"/>
      <c r="IH70" s="3"/>
      <c r="II70" s="3"/>
      <c r="IJ70" s="3"/>
      <c r="IK70" s="3"/>
      <c r="IL70" s="3"/>
      <c r="IM70" s="3"/>
      <c r="IN70" s="3"/>
      <c r="IO70" s="3"/>
      <c r="IP70" s="3"/>
      <c r="IQ70" s="3"/>
      <c r="IR70" s="3"/>
      <c r="IS70" s="3"/>
      <c r="IT70" s="3"/>
      <c r="IU70" s="3"/>
      <c r="IV70" s="3"/>
      <c r="IW70" s="3"/>
      <c r="IX70" s="3"/>
      <c r="IY70" s="3"/>
      <c r="IZ70" s="3">
        <v>0</v>
      </c>
      <c r="JA70" s="3">
        <v>113363000</v>
      </c>
      <c r="JB70" s="3">
        <v>0</v>
      </c>
      <c r="JC70" s="3">
        <v>113363000</v>
      </c>
      <c r="JD70" s="3"/>
      <c r="JE70" s="3"/>
      <c r="JF70" s="3"/>
      <c r="JG70" s="3"/>
    </row>
    <row r="71" spans="1:267" x14ac:dyDescent="0.25">
      <c r="A71" t="s">
        <v>197</v>
      </c>
      <c r="B71" t="s">
        <v>198</v>
      </c>
      <c r="C71" t="s">
        <v>199</v>
      </c>
      <c r="D71" t="s">
        <v>200</v>
      </c>
      <c r="E71" t="s">
        <v>335</v>
      </c>
      <c r="F71" t="s">
        <v>342</v>
      </c>
      <c r="G71" t="s">
        <v>236</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v>34453000</v>
      </c>
      <c r="GW71" s="3">
        <v>428145000</v>
      </c>
      <c r="GX71" s="3">
        <v>0</v>
      </c>
      <c r="GY71" s="3">
        <v>462598000</v>
      </c>
      <c r="GZ71" s="3">
        <v>34453000</v>
      </c>
      <c r="HA71" s="3">
        <v>428145000</v>
      </c>
      <c r="HB71" s="3">
        <v>0</v>
      </c>
      <c r="HC71" s="3">
        <v>462598000</v>
      </c>
      <c r="HD71" s="3">
        <v>34453000</v>
      </c>
      <c r="HE71" s="3">
        <v>428145000</v>
      </c>
      <c r="HF71" s="3">
        <v>0</v>
      </c>
      <c r="HG71" s="3">
        <v>462598000</v>
      </c>
      <c r="HH71" s="3">
        <v>34983937</v>
      </c>
      <c r="HI71" s="3">
        <v>427614063</v>
      </c>
      <c r="HJ71" s="3">
        <v>0</v>
      </c>
      <c r="HK71" s="3">
        <v>462598000</v>
      </c>
      <c r="HL71" s="3">
        <v>34983937</v>
      </c>
      <c r="HM71" s="3">
        <v>427614063</v>
      </c>
      <c r="HN71" s="3">
        <v>0</v>
      </c>
      <c r="HO71" s="3">
        <v>462598000</v>
      </c>
      <c r="HP71" s="3">
        <v>34982474.299999997</v>
      </c>
      <c r="HQ71" s="3">
        <v>265749011.27000001</v>
      </c>
      <c r="HR71" s="3">
        <v>0</v>
      </c>
      <c r="HS71" s="3">
        <v>300731485.56999999</v>
      </c>
      <c r="HT71" s="3">
        <v>34862767.490000002</v>
      </c>
      <c r="HU71" s="3">
        <v>82902459.120000005</v>
      </c>
      <c r="HV71" s="3">
        <v>0</v>
      </c>
      <c r="HW71" s="3">
        <v>117765226.61</v>
      </c>
      <c r="HX71" s="3">
        <v>39709000</v>
      </c>
      <c r="HY71" s="3">
        <v>435955000</v>
      </c>
      <c r="HZ71" s="3">
        <v>0</v>
      </c>
      <c r="IA71" s="3">
        <v>475664000</v>
      </c>
      <c r="IB71" s="3">
        <v>39709000</v>
      </c>
      <c r="IC71" s="3">
        <v>435955000</v>
      </c>
      <c r="ID71" s="3">
        <v>0</v>
      </c>
      <c r="IE71" s="3">
        <v>475664000</v>
      </c>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row>
    <row r="72" spans="1:267" x14ac:dyDescent="0.25">
      <c r="A72" t="s">
        <v>197</v>
      </c>
      <c r="B72" t="s">
        <v>198</v>
      </c>
      <c r="C72" t="s">
        <v>199</v>
      </c>
      <c r="D72" t="s">
        <v>200</v>
      </c>
      <c r="E72" t="s">
        <v>335</v>
      </c>
      <c r="F72" t="s">
        <v>343</v>
      </c>
      <c r="G72" t="s">
        <v>344</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v>0</v>
      </c>
      <c r="GW72" s="3">
        <v>14000000</v>
      </c>
      <c r="GX72" s="3">
        <v>0</v>
      </c>
      <c r="GY72" s="3">
        <v>14000000</v>
      </c>
      <c r="GZ72" s="3">
        <v>0</v>
      </c>
      <c r="HA72" s="3">
        <v>14000000</v>
      </c>
      <c r="HB72" s="3">
        <v>0</v>
      </c>
      <c r="HC72" s="3">
        <v>14000000</v>
      </c>
      <c r="HD72" s="3">
        <v>0</v>
      </c>
      <c r="HE72" s="3">
        <v>14000000</v>
      </c>
      <c r="HF72" s="3">
        <v>0</v>
      </c>
      <c r="HG72" s="3">
        <v>14000000</v>
      </c>
      <c r="HH72" s="3">
        <v>0</v>
      </c>
      <c r="HI72" s="3">
        <v>14000000</v>
      </c>
      <c r="HJ72" s="3">
        <v>0</v>
      </c>
      <c r="HK72" s="3">
        <v>14000000</v>
      </c>
      <c r="HL72" s="3">
        <v>0</v>
      </c>
      <c r="HM72" s="3">
        <v>14000000</v>
      </c>
      <c r="HN72" s="3">
        <v>0</v>
      </c>
      <c r="HO72" s="3">
        <v>14000000</v>
      </c>
      <c r="HP72" s="3">
        <v>0</v>
      </c>
      <c r="HQ72" s="3">
        <v>10737666.5</v>
      </c>
      <c r="HR72" s="3">
        <v>0</v>
      </c>
      <c r="HS72" s="3">
        <v>10737666.5</v>
      </c>
      <c r="HT72" s="3">
        <v>0</v>
      </c>
      <c r="HU72" s="3">
        <v>8337334.0999999996</v>
      </c>
      <c r="HV72" s="3">
        <v>0</v>
      </c>
      <c r="HW72" s="3">
        <v>8337334.0999999996</v>
      </c>
      <c r="HX72" s="3">
        <v>0</v>
      </c>
      <c r="HY72" s="3">
        <v>74252000</v>
      </c>
      <c r="HZ72" s="3">
        <v>0</v>
      </c>
      <c r="IA72" s="3">
        <v>74252000</v>
      </c>
      <c r="IB72" s="3">
        <v>0</v>
      </c>
      <c r="IC72" s="3">
        <v>74252000</v>
      </c>
      <c r="ID72" s="3">
        <v>0</v>
      </c>
      <c r="IE72" s="3">
        <v>74252000</v>
      </c>
      <c r="IF72" s="3"/>
      <c r="IG72" s="3"/>
      <c r="IH72" s="3"/>
      <c r="II72" s="3"/>
      <c r="IJ72" s="3"/>
      <c r="IK72" s="3"/>
      <c r="IL72" s="3"/>
      <c r="IM72" s="3"/>
      <c r="IN72" s="3"/>
      <c r="IO72" s="3"/>
      <c r="IP72" s="3"/>
      <c r="IQ72" s="3"/>
      <c r="IR72" s="3"/>
      <c r="IS72" s="3"/>
      <c r="IT72" s="3"/>
      <c r="IU72" s="3"/>
      <c r="IV72" s="3"/>
      <c r="IW72" s="3"/>
      <c r="IX72" s="3"/>
      <c r="IY72" s="3"/>
      <c r="IZ72" s="3">
        <v>0</v>
      </c>
      <c r="JA72" s="3">
        <v>65762000</v>
      </c>
      <c r="JB72" s="3">
        <v>0</v>
      </c>
      <c r="JC72" s="3">
        <v>65762000</v>
      </c>
      <c r="JD72" s="3"/>
      <c r="JE72" s="3"/>
      <c r="JF72" s="3"/>
      <c r="JG72" s="3"/>
    </row>
    <row r="73" spans="1:267" x14ac:dyDescent="0.25">
      <c r="A73" t="s">
        <v>197</v>
      </c>
      <c r="B73" t="s">
        <v>198</v>
      </c>
      <c r="C73" t="s">
        <v>199</v>
      </c>
      <c r="D73" t="s">
        <v>200</v>
      </c>
      <c r="E73" t="s">
        <v>335</v>
      </c>
      <c r="F73" t="s">
        <v>345</v>
      </c>
      <c r="G73" t="s">
        <v>346</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v>0</v>
      </c>
      <c r="GW73" s="3">
        <v>20000000</v>
      </c>
      <c r="GX73" s="3">
        <v>0</v>
      </c>
      <c r="GY73" s="3">
        <v>20000000</v>
      </c>
      <c r="GZ73" s="3">
        <v>0</v>
      </c>
      <c r="HA73" s="3">
        <v>20000000</v>
      </c>
      <c r="HB73" s="3">
        <v>0</v>
      </c>
      <c r="HC73" s="3">
        <v>20000000</v>
      </c>
      <c r="HD73" s="3">
        <v>0</v>
      </c>
      <c r="HE73" s="3">
        <v>20000000</v>
      </c>
      <c r="HF73" s="3">
        <v>0</v>
      </c>
      <c r="HG73" s="3">
        <v>20000000</v>
      </c>
      <c r="HH73" s="3">
        <v>0</v>
      </c>
      <c r="HI73" s="3">
        <v>20000000</v>
      </c>
      <c r="HJ73" s="3">
        <v>0</v>
      </c>
      <c r="HK73" s="3">
        <v>20000000</v>
      </c>
      <c r="HL73" s="3">
        <v>0</v>
      </c>
      <c r="HM73" s="3">
        <v>20000000</v>
      </c>
      <c r="HN73" s="3">
        <v>0</v>
      </c>
      <c r="HO73" s="3">
        <v>20000000</v>
      </c>
      <c r="HP73" s="3">
        <v>0</v>
      </c>
      <c r="HQ73" s="3">
        <v>10403388.65</v>
      </c>
      <c r="HR73" s="3">
        <v>0</v>
      </c>
      <c r="HS73" s="3">
        <v>10403388.65</v>
      </c>
      <c r="HT73" s="3">
        <v>0</v>
      </c>
      <c r="HU73" s="3">
        <v>5586660.6799999997</v>
      </c>
      <c r="HV73" s="3">
        <v>0</v>
      </c>
      <c r="HW73" s="3">
        <v>5586660.6799999997</v>
      </c>
      <c r="HX73" s="3">
        <v>0</v>
      </c>
      <c r="HY73" s="3">
        <v>20360000</v>
      </c>
      <c r="HZ73" s="3">
        <v>0</v>
      </c>
      <c r="IA73" s="3">
        <v>20360000</v>
      </c>
      <c r="IB73" s="3">
        <v>0</v>
      </c>
      <c r="IC73" s="3">
        <v>20360000</v>
      </c>
      <c r="ID73" s="3">
        <v>0</v>
      </c>
      <c r="IE73" s="3">
        <v>20360000</v>
      </c>
      <c r="IF73" s="3"/>
      <c r="IG73" s="3"/>
      <c r="IH73" s="3"/>
      <c r="II73" s="3"/>
      <c r="IJ73" s="3"/>
      <c r="IK73" s="3"/>
      <c r="IL73" s="3"/>
      <c r="IM73" s="3"/>
      <c r="IN73" s="3"/>
      <c r="IO73" s="3"/>
      <c r="IP73" s="3"/>
      <c r="IQ73" s="3"/>
      <c r="IR73" s="3"/>
      <c r="IS73" s="3"/>
      <c r="IT73" s="3"/>
      <c r="IU73" s="3"/>
      <c r="IV73" s="3"/>
      <c r="IW73" s="3"/>
      <c r="IX73" s="3"/>
      <c r="IY73" s="3"/>
      <c r="IZ73" s="3">
        <v>0</v>
      </c>
      <c r="JA73" s="3">
        <v>11108000</v>
      </c>
      <c r="JB73" s="3">
        <v>0</v>
      </c>
      <c r="JC73" s="3">
        <v>11108000</v>
      </c>
      <c r="JD73" s="3"/>
      <c r="JE73" s="3"/>
      <c r="JF73" s="3"/>
      <c r="JG73" s="3"/>
    </row>
    <row r="74" spans="1:267" x14ac:dyDescent="0.25">
      <c r="A74" t="s">
        <v>197</v>
      </c>
      <c r="B74" t="s">
        <v>198</v>
      </c>
      <c r="C74" t="s">
        <v>199</v>
      </c>
      <c r="D74" t="s">
        <v>200</v>
      </c>
      <c r="E74" t="s">
        <v>335</v>
      </c>
      <c r="F74" t="s">
        <v>347</v>
      </c>
      <c r="G74" t="s">
        <v>348</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v>0</v>
      </c>
      <c r="GW74" s="3">
        <v>20000000</v>
      </c>
      <c r="GX74" s="3">
        <v>0</v>
      </c>
      <c r="GY74" s="3">
        <v>20000000</v>
      </c>
      <c r="GZ74" s="3">
        <v>0</v>
      </c>
      <c r="HA74" s="3">
        <v>20000000</v>
      </c>
      <c r="HB74" s="3">
        <v>0</v>
      </c>
      <c r="HC74" s="3">
        <v>20000000</v>
      </c>
      <c r="HD74" s="3">
        <v>0</v>
      </c>
      <c r="HE74" s="3">
        <v>20000000</v>
      </c>
      <c r="HF74" s="3">
        <v>0</v>
      </c>
      <c r="HG74" s="3">
        <v>20000000</v>
      </c>
      <c r="HH74" s="3">
        <v>0</v>
      </c>
      <c r="HI74" s="3">
        <v>20000000</v>
      </c>
      <c r="HJ74" s="3">
        <v>0</v>
      </c>
      <c r="HK74" s="3">
        <v>20000000</v>
      </c>
      <c r="HL74" s="3">
        <v>0</v>
      </c>
      <c r="HM74" s="3">
        <v>20000000</v>
      </c>
      <c r="HN74" s="3">
        <v>0</v>
      </c>
      <c r="HO74" s="3">
        <v>20000000</v>
      </c>
      <c r="HP74" s="3">
        <v>0</v>
      </c>
      <c r="HQ74" s="3">
        <v>14315455.93</v>
      </c>
      <c r="HR74" s="3">
        <v>0</v>
      </c>
      <c r="HS74" s="3">
        <v>14315455.93</v>
      </c>
      <c r="HT74" s="3">
        <v>0</v>
      </c>
      <c r="HU74" s="3">
        <v>8443500.1899999995</v>
      </c>
      <c r="HV74" s="3">
        <v>0</v>
      </c>
      <c r="HW74" s="3">
        <v>8443500.1899999995</v>
      </c>
      <c r="HX74" s="3">
        <v>0</v>
      </c>
      <c r="HY74" s="3">
        <v>20360000</v>
      </c>
      <c r="HZ74" s="3">
        <v>0</v>
      </c>
      <c r="IA74" s="3">
        <v>20360000</v>
      </c>
      <c r="IB74" s="3">
        <v>0</v>
      </c>
      <c r="IC74" s="3">
        <v>20360000</v>
      </c>
      <c r="ID74" s="3">
        <v>0</v>
      </c>
      <c r="IE74" s="3">
        <v>20360000</v>
      </c>
      <c r="IF74" s="3"/>
      <c r="IG74" s="3"/>
      <c r="IH74" s="3"/>
      <c r="II74" s="3"/>
      <c r="IJ74" s="3"/>
      <c r="IK74" s="3"/>
      <c r="IL74" s="3"/>
      <c r="IM74" s="3"/>
      <c r="IN74" s="3"/>
      <c r="IO74" s="3"/>
      <c r="IP74" s="3"/>
      <c r="IQ74" s="3"/>
      <c r="IR74" s="3"/>
      <c r="IS74" s="3"/>
      <c r="IT74" s="3"/>
      <c r="IU74" s="3"/>
      <c r="IV74" s="3"/>
      <c r="IW74" s="3"/>
      <c r="IX74" s="3"/>
      <c r="IY74" s="3"/>
      <c r="IZ74" s="3">
        <v>0</v>
      </c>
      <c r="JA74" s="3">
        <v>13538000</v>
      </c>
      <c r="JB74" s="3">
        <v>0</v>
      </c>
      <c r="JC74" s="3">
        <v>13538000</v>
      </c>
      <c r="JD74" s="3"/>
      <c r="JE74" s="3"/>
      <c r="JF74" s="3"/>
      <c r="JG74" s="3"/>
    </row>
    <row r="75" spans="1:267" x14ac:dyDescent="0.25">
      <c r="A75" t="s">
        <v>197</v>
      </c>
      <c r="B75" t="s">
        <v>198</v>
      </c>
      <c r="C75" t="s">
        <v>199</v>
      </c>
      <c r="D75" t="s">
        <v>200</v>
      </c>
      <c r="E75" t="s">
        <v>335</v>
      </c>
      <c r="F75" s="4" t="s">
        <v>1346</v>
      </c>
      <c r="G75" t="s">
        <v>1347</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c r="IW75" s="3"/>
      <c r="IX75" s="3"/>
      <c r="IY75" s="3"/>
      <c r="IZ75" s="3">
        <v>41359000</v>
      </c>
      <c r="JA75" s="3">
        <v>236108000</v>
      </c>
      <c r="JB75" s="3">
        <v>0</v>
      </c>
      <c r="JC75" s="3">
        <v>277467000</v>
      </c>
      <c r="JD75" s="3"/>
      <c r="JE75" s="3"/>
      <c r="JF75" s="3"/>
      <c r="JG75" s="3"/>
    </row>
    <row r="76" spans="1:267" x14ac:dyDescent="0.25">
      <c r="A76" t="s">
        <v>197</v>
      </c>
      <c r="B76" t="s">
        <v>198</v>
      </c>
      <c r="C76" t="s">
        <v>199</v>
      </c>
      <c r="D76" t="s">
        <v>200</v>
      </c>
      <c r="E76" t="s">
        <v>335</v>
      </c>
      <c r="F76" s="4" t="s">
        <v>1348</v>
      </c>
      <c r="G76" t="s">
        <v>1349</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v>0</v>
      </c>
      <c r="JA76" s="3">
        <v>35000000</v>
      </c>
      <c r="JB76" s="3">
        <v>0</v>
      </c>
      <c r="JC76" s="3">
        <v>35000000</v>
      </c>
      <c r="JD76" s="3"/>
      <c r="JE76" s="3"/>
      <c r="JF76" s="3"/>
      <c r="JG76" s="3"/>
    </row>
    <row r="77" spans="1:267" x14ac:dyDescent="0.25">
      <c r="A77" t="s">
        <v>197</v>
      </c>
      <c r="B77" t="s">
        <v>198</v>
      </c>
      <c r="C77" t="s">
        <v>199</v>
      </c>
      <c r="D77" t="s">
        <v>200</v>
      </c>
      <c r="E77" t="s">
        <v>335</v>
      </c>
      <c r="F77" t="s">
        <v>349</v>
      </c>
      <c r="G77" t="s">
        <v>240</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v>24931000</v>
      </c>
      <c r="GW77" s="3">
        <v>1866543000</v>
      </c>
      <c r="GX77" s="3">
        <v>0</v>
      </c>
      <c r="GY77" s="3">
        <v>1891474000</v>
      </c>
      <c r="GZ77" s="3">
        <v>24931000</v>
      </c>
      <c r="HA77" s="3">
        <v>1466543000</v>
      </c>
      <c r="HB77" s="3">
        <v>0</v>
      </c>
      <c r="HC77" s="3">
        <v>1491474000</v>
      </c>
      <c r="HD77" s="3">
        <v>24931000</v>
      </c>
      <c r="HE77" s="3">
        <v>1466543000</v>
      </c>
      <c r="HF77" s="3">
        <v>0</v>
      </c>
      <c r="HG77" s="3">
        <v>1491474000</v>
      </c>
      <c r="HH77" s="3">
        <v>45586748.829999998</v>
      </c>
      <c r="HI77" s="3">
        <v>1445887251.1700001</v>
      </c>
      <c r="HJ77" s="3">
        <v>0</v>
      </c>
      <c r="HK77" s="3">
        <v>1491474000</v>
      </c>
      <c r="HL77" s="3">
        <v>45586748.829999998</v>
      </c>
      <c r="HM77" s="3">
        <v>1445887251.1700001</v>
      </c>
      <c r="HN77" s="3">
        <v>0</v>
      </c>
      <c r="HO77" s="3">
        <v>1491474000</v>
      </c>
      <c r="HP77" s="3">
        <v>45586748.829999998</v>
      </c>
      <c r="HQ77" s="3">
        <v>1055928103.17</v>
      </c>
      <c r="HR77" s="3">
        <v>0</v>
      </c>
      <c r="HS77" s="3">
        <v>1101514852</v>
      </c>
      <c r="HT77" s="3">
        <v>43502740.439999998</v>
      </c>
      <c r="HU77" s="3">
        <v>644794033.35000002</v>
      </c>
      <c r="HV77" s="3">
        <v>0</v>
      </c>
      <c r="HW77" s="3">
        <v>688296773.78999996</v>
      </c>
      <c r="HX77" s="3">
        <v>28811000</v>
      </c>
      <c r="HY77" s="3">
        <v>2505900000</v>
      </c>
      <c r="HZ77" s="3">
        <v>0</v>
      </c>
      <c r="IA77" s="3">
        <v>2534711000</v>
      </c>
      <c r="IB77" s="3">
        <v>28811000</v>
      </c>
      <c r="IC77" s="3">
        <v>1085914000</v>
      </c>
      <c r="ID77" s="3">
        <v>0</v>
      </c>
      <c r="IE77" s="3">
        <v>1114725000</v>
      </c>
      <c r="IF77" s="3"/>
      <c r="IG77" s="3"/>
      <c r="IH77" s="3"/>
      <c r="II77" s="3"/>
      <c r="IJ77" s="3"/>
      <c r="IK77" s="3"/>
      <c r="IL77" s="3"/>
      <c r="IM77" s="3"/>
      <c r="IN77" s="3"/>
      <c r="IO77" s="3"/>
      <c r="IP77" s="3"/>
      <c r="IQ77" s="3"/>
      <c r="IR77" s="3"/>
      <c r="IS77" s="3"/>
      <c r="IT77" s="3"/>
      <c r="IU77" s="3"/>
      <c r="IV77" s="3"/>
      <c r="IW77" s="3"/>
      <c r="IX77" s="3"/>
      <c r="IY77" s="3"/>
      <c r="IZ77" s="3">
        <v>29233000</v>
      </c>
      <c r="JA77" s="3">
        <v>2455900000</v>
      </c>
      <c r="JB77" s="3">
        <v>50000000</v>
      </c>
      <c r="JC77" s="3">
        <v>2535133000</v>
      </c>
      <c r="JD77" s="3"/>
      <c r="JE77" s="3"/>
      <c r="JF77" s="3"/>
      <c r="JG77" s="3"/>
    </row>
    <row r="78" spans="1:267" x14ac:dyDescent="0.25">
      <c r="A78" t="s">
        <v>197</v>
      </c>
      <c r="B78" t="s">
        <v>198</v>
      </c>
      <c r="C78" t="s">
        <v>199</v>
      </c>
      <c r="D78" t="s">
        <v>200</v>
      </c>
      <c r="E78" t="s">
        <v>335</v>
      </c>
      <c r="F78" t="s">
        <v>350</v>
      </c>
      <c r="G78" t="s">
        <v>351</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v>754919000</v>
      </c>
      <c r="GW78" s="3">
        <v>3774038000</v>
      </c>
      <c r="GX78" s="3">
        <v>0</v>
      </c>
      <c r="GY78" s="3">
        <v>4528957000</v>
      </c>
      <c r="GZ78" s="3">
        <v>754919000</v>
      </c>
      <c r="HA78" s="3">
        <v>3789038000</v>
      </c>
      <c r="HB78" s="3">
        <v>0</v>
      </c>
      <c r="HC78" s="3">
        <v>4543957000</v>
      </c>
      <c r="HD78" s="3">
        <v>754919000</v>
      </c>
      <c r="HE78" s="3">
        <v>3789038000</v>
      </c>
      <c r="HF78" s="3">
        <v>0</v>
      </c>
      <c r="HG78" s="3">
        <v>4543957000</v>
      </c>
      <c r="HH78" s="3">
        <v>880184089.57000005</v>
      </c>
      <c r="HI78" s="3">
        <v>3662566910.4299998</v>
      </c>
      <c r="HJ78" s="3">
        <v>0</v>
      </c>
      <c r="HK78" s="3">
        <v>4542751000</v>
      </c>
      <c r="HL78" s="3">
        <v>880184089.57000005</v>
      </c>
      <c r="HM78" s="3">
        <v>3647566910.4299998</v>
      </c>
      <c r="HN78" s="3">
        <v>0</v>
      </c>
      <c r="HO78" s="3">
        <v>4527751000</v>
      </c>
      <c r="HP78" s="3">
        <v>880182891.45000005</v>
      </c>
      <c r="HQ78" s="3">
        <v>3098396312</v>
      </c>
      <c r="HR78" s="3">
        <v>0</v>
      </c>
      <c r="HS78" s="3">
        <v>3978579203.4499998</v>
      </c>
      <c r="HT78" s="3">
        <v>835576788.29999995</v>
      </c>
      <c r="HU78" s="3">
        <v>2382815692.8800001</v>
      </c>
      <c r="HV78" s="3">
        <v>0</v>
      </c>
      <c r="HW78" s="3">
        <v>3218392481.1799998</v>
      </c>
      <c r="HX78" s="3">
        <v>858155000</v>
      </c>
      <c r="HY78" s="3">
        <v>2441228000</v>
      </c>
      <c r="HZ78" s="3">
        <v>0</v>
      </c>
      <c r="IA78" s="3">
        <v>3299383000</v>
      </c>
      <c r="IB78" s="3">
        <v>858155000</v>
      </c>
      <c r="IC78" s="3">
        <v>2441228000</v>
      </c>
      <c r="ID78" s="3">
        <v>0</v>
      </c>
      <c r="IE78" s="3">
        <v>3299383000</v>
      </c>
      <c r="IF78" s="3"/>
      <c r="IG78" s="3"/>
      <c r="IH78" s="3"/>
      <c r="II78" s="3"/>
      <c r="IJ78" s="3"/>
      <c r="IK78" s="3"/>
      <c r="IL78" s="3"/>
      <c r="IM78" s="3"/>
      <c r="IN78" s="3"/>
      <c r="IO78" s="3"/>
      <c r="IP78" s="3"/>
      <c r="IQ78" s="3"/>
      <c r="IR78" s="3"/>
      <c r="IS78" s="3"/>
      <c r="IT78" s="3"/>
      <c r="IU78" s="3"/>
      <c r="IV78" s="3"/>
      <c r="IW78" s="3"/>
      <c r="IX78" s="3"/>
      <c r="IY78" s="3"/>
      <c r="IZ78" s="3">
        <v>895280000</v>
      </c>
      <c r="JA78" s="3">
        <v>2223301000</v>
      </c>
      <c r="JB78" s="3">
        <v>0</v>
      </c>
      <c r="JC78" s="3">
        <v>3118581000</v>
      </c>
      <c r="JD78" s="3"/>
      <c r="JE78" s="3"/>
      <c r="JF78" s="3"/>
      <c r="JG78" s="3"/>
    </row>
    <row r="79" spans="1:267" x14ac:dyDescent="0.25">
      <c r="A79" t="s">
        <v>197</v>
      </c>
      <c r="B79" t="s">
        <v>198</v>
      </c>
      <c r="C79" t="s">
        <v>199</v>
      </c>
      <c r="D79" t="s">
        <v>200</v>
      </c>
      <c r="E79" t="s">
        <v>335</v>
      </c>
      <c r="F79" t="s">
        <v>352</v>
      </c>
      <c r="G79" t="s">
        <v>294</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v>31193000</v>
      </c>
      <c r="GW79" s="3">
        <v>391129000</v>
      </c>
      <c r="GX79" s="3">
        <v>0</v>
      </c>
      <c r="GY79" s="3">
        <v>422322000</v>
      </c>
      <c r="GZ79" s="3">
        <v>31193000</v>
      </c>
      <c r="HA79" s="3">
        <v>391129000</v>
      </c>
      <c r="HB79" s="3">
        <v>0</v>
      </c>
      <c r="HC79" s="3">
        <v>422322000</v>
      </c>
      <c r="HD79" s="3">
        <v>31193000</v>
      </c>
      <c r="HE79" s="3">
        <v>391129000</v>
      </c>
      <c r="HF79" s="3">
        <v>0</v>
      </c>
      <c r="HG79" s="3">
        <v>422322000</v>
      </c>
      <c r="HH79" s="3">
        <v>37208862.189999998</v>
      </c>
      <c r="HI79" s="3">
        <v>333943137.81</v>
      </c>
      <c r="HJ79" s="3">
        <v>0</v>
      </c>
      <c r="HK79" s="3">
        <v>371152000</v>
      </c>
      <c r="HL79" s="3">
        <v>37208862.189999998</v>
      </c>
      <c r="HM79" s="3">
        <v>333943137.81</v>
      </c>
      <c r="HN79" s="3">
        <v>0</v>
      </c>
      <c r="HO79" s="3">
        <v>371152000</v>
      </c>
      <c r="HP79" s="3">
        <v>37199300.549999997</v>
      </c>
      <c r="HQ79" s="3">
        <v>273573933.17000002</v>
      </c>
      <c r="HR79" s="3">
        <v>0</v>
      </c>
      <c r="HS79" s="3">
        <v>310773233.72000003</v>
      </c>
      <c r="HT79" s="3">
        <v>37138304.780000001</v>
      </c>
      <c r="HU79" s="3">
        <v>231721980.12</v>
      </c>
      <c r="HV79" s="3">
        <v>0</v>
      </c>
      <c r="HW79" s="3">
        <v>268860284.89999998</v>
      </c>
      <c r="HX79" s="3">
        <v>33032000</v>
      </c>
      <c r="HY79" s="3">
        <v>402526000</v>
      </c>
      <c r="HZ79" s="3">
        <v>0</v>
      </c>
      <c r="IA79" s="3">
        <v>435558000</v>
      </c>
      <c r="IB79" s="3">
        <v>33032000</v>
      </c>
      <c r="IC79" s="3">
        <v>402526000</v>
      </c>
      <c r="ID79" s="3">
        <v>0</v>
      </c>
      <c r="IE79" s="3">
        <v>435558000</v>
      </c>
      <c r="IF79" s="3"/>
      <c r="IG79" s="3"/>
      <c r="IH79" s="3"/>
      <c r="II79" s="3"/>
      <c r="IJ79" s="3"/>
      <c r="IK79" s="3"/>
      <c r="IL79" s="3"/>
      <c r="IM79" s="3"/>
      <c r="IN79" s="3"/>
      <c r="IO79" s="3"/>
      <c r="IP79" s="3"/>
      <c r="IQ79" s="3"/>
      <c r="IR79" s="3"/>
      <c r="IS79" s="3"/>
      <c r="IT79" s="3"/>
      <c r="IU79" s="3"/>
      <c r="IV79" s="3"/>
      <c r="IW79" s="3"/>
      <c r="IX79" s="3"/>
      <c r="IY79" s="3"/>
      <c r="IZ79" s="3">
        <v>35721000</v>
      </c>
      <c r="JA79" s="3">
        <v>444444000</v>
      </c>
      <c r="JB79" s="3">
        <v>0</v>
      </c>
      <c r="JC79" s="3">
        <v>480165000</v>
      </c>
      <c r="JD79" s="3"/>
      <c r="JE79" s="3"/>
      <c r="JF79" s="3"/>
      <c r="JG79" s="3"/>
    </row>
    <row r="80" spans="1:267" x14ac:dyDescent="0.25">
      <c r="A80" t="s">
        <v>197</v>
      </c>
      <c r="B80" t="s">
        <v>198</v>
      </c>
      <c r="C80" t="s">
        <v>199</v>
      </c>
      <c r="D80" t="s">
        <v>200</v>
      </c>
      <c r="E80" t="s">
        <v>335</v>
      </c>
      <c r="F80" t="s">
        <v>353</v>
      </c>
      <c r="G80" t="s">
        <v>297</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v>27763000</v>
      </c>
      <c r="GW80" s="3">
        <v>281444000</v>
      </c>
      <c r="GX80" s="3">
        <v>0</v>
      </c>
      <c r="GY80" s="3">
        <v>309207000</v>
      </c>
      <c r="GZ80" s="3">
        <v>27763000</v>
      </c>
      <c r="HA80" s="3">
        <v>281444000</v>
      </c>
      <c r="HB80" s="3">
        <v>0</v>
      </c>
      <c r="HC80" s="3">
        <v>309207000</v>
      </c>
      <c r="HD80" s="3">
        <v>27763000</v>
      </c>
      <c r="HE80" s="3">
        <v>281444000</v>
      </c>
      <c r="HF80" s="3">
        <v>0</v>
      </c>
      <c r="HG80" s="3">
        <v>309207000</v>
      </c>
      <c r="HH80" s="3">
        <v>28430392.489999998</v>
      </c>
      <c r="HI80" s="3">
        <v>280776607.50999999</v>
      </c>
      <c r="HJ80" s="3">
        <v>0</v>
      </c>
      <c r="HK80" s="3">
        <v>309207000</v>
      </c>
      <c r="HL80" s="3">
        <v>28430392.489999998</v>
      </c>
      <c r="HM80" s="3">
        <v>280776607.50999999</v>
      </c>
      <c r="HN80" s="3">
        <v>0</v>
      </c>
      <c r="HO80" s="3">
        <v>309207000</v>
      </c>
      <c r="HP80" s="3">
        <v>28429568.91</v>
      </c>
      <c r="HQ80" s="3">
        <v>209012750.30000001</v>
      </c>
      <c r="HR80" s="3">
        <v>0</v>
      </c>
      <c r="HS80" s="3">
        <v>237442319.21000001</v>
      </c>
      <c r="HT80" s="3">
        <v>28322545.699999999</v>
      </c>
      <c r="HU80" s="3">
        <v>125368672.54000001</v>
      </c>
      <c r="HV80" s="3">
        <v>0</v>
      </c>
      <c r="HW80" s="3">
        <v>153691218.24000001</v>
      </c>
      <c r="HX80" s="3">
        <v>33891000</v>
      </c>
      <c r="HY80" s="3">
        <v>286796000</v>
      </c>
      <c r="HZ80" s="3">
        <v>100000000</v>
      </c>
      <c r="IA80" s="3">
        <v>420687000</v>
      </c>
      <c r="IB80" s="3">
        <v>33891000</v>
      </c>
      <c r="IC80" s="3">
        <v>695606000</v>
      </c>
      <c r="ID80" s="3">
        <v>100000000</v>
      </c>
      <c r="IE80" s="3">
        <v>829497000</v>
      </c>
      <c r="IF80" s="3"/>
      <c r="IG80" s="3"/>
      <c r="IH80" s="3"/>
      <c r="II80" s="3"/>
      <c r="IJ80" s="3"/>
      <c r="IK80" s="3"/>
      <c r="IL80" s="3"/>
      <c r="IM80" s="3"/>
      <c r="IN80" s="3"/>
      <c r="IO80" s="3"/>
      <c r="IP80" s="3"/>
      <c r="IQ80" s="3"/>
      <c r="IR80" s="3"/>
      <c r="IS80" s="3"/>
      <c r="IT80" s="3"/>
      <c r="IU80" s="3"/>
      <c r="IV80" s="3"/>
      <c r="IW80" s="3"/>
      <c r="IX80" s="3"/>
      <c r="IY80" s="3"/>
      <c r="IZ80" s="3">
        <v>36587000</v>
      </c>
      <c r="JA80" s="3">
        <v>229112000</v>
      </c>
      <c r="JB80" s="3">
        <v>0</v>
      </c>
      <c r="JC80" s="3">
        <v>265699000</v>
      </c>
      <c r="JD80" s="3"/>
      <c r="JE80" s="3"/>
      <c r="JF80" s="3"/>
      <c r="JG80" s="3"/>
    </row>
    <row r="81" spans="1:267" x14ac:dyDescent="0.25">
      <c r="A81" t="s">
        <v>197</v>
      </c>
      <c r="B81" t="s">
        <v>198</v>
      </c>
      <c r="C81" t="s">
        <v>199</v>
      </c>
      <c r="D81" t="s">
        <v>200</v>
      </c>
      <c r="E81" t="s">
        <v>335</v>
      </c>
      <c r="F81" t="s">
        <v>354</v>
      </c>
      <c r="G81" t="s">
        <v>299</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v>0</v>
      </c>
      <c r="GW81" s="3">
        <v>200000000</v>
      </c>
      <c r="GX81" s="3">
        <v>300000000</v>
      </c>
      <c r="GY81" s="3">
        <v>500000000</v>
      </c>
      <c r="GZ81" s="3">
        <v>0</v>
      </c>
      <c r="HA81" s="3">
        <v>200000000</v>
      </c>
      <c r="HB81" s="3">
        <v>300000000</v>
      </c>
      <c r="HC81" s="3">
        <v>500000000</v>
      </c>
      <c r="HD81" s="3">
        <v>0</v>
      </c>
      <c r="HE81" s="3">
        <v>200000000</v>
      </c>
      <c r="HF81" s="3">
        <v>300000000</v>
      </c>
      <c r="HG81" s="3">
        <v>500000000</v>
      </c>
      <c r="HH81" s="3">
        <v>0</v>
      </c>
      <c r="HI81" s="3">
        <v>200000000</v>
      </c>
      <c r="HJ81" s="3">
        <v>300000000</v>
      </c>
      <c r="HK81" s="3">
        <v>500000000</v>
      </c>
      <c r="HL81" s="3">
        <v>0</v>
      </c>
      <c r="HM81" s="3">
        <v>200000000</v>
      </c>
      <c r="HN81" s="3">
        <v>300000000</v>
      </c>
      <c r="HO81" s="3">
        <v>500000000</v>
      </c>
      <c r="HP81" s="3">
        <v>0</v>
      </c>
      <c r="HQ81" s="3">
        <v>106587753</v>
      </c>
      <c r="HR81" s="3">
        <v>141723358.21000001</v>
      </c>
      <c r="HS81" s="3">
        <v>248311111.21000001</v>
      </c>
      <c r="HT81" s="3">
        <v>0</v>
      </c>
      <c r="HU81" s="3">
        <v>15860468.4</v>
      </c>
      <c r="HV81" s="3">
        <v>12769095.23</v>
      </c>
      <c r="HW81" s="3">
        <v>28629563.629999999</v>
      </c>
      <c r="HX81" s="3">
        <v>0</v>
      </c>
      <c r="HY81" s="3">
        <v>200000000</v>
      </c>
      <c r="HZ81" s="3">
        <v>300000000</v>
      </c>
      <c r="IA81" s="3">
        <v>500000000</v>
      </c>
      <c r="IB81" s="3">
        <v>0</v>
      </c>
      <c r="IC81" s="3">
        <v>200000000</v>
      </c>
      <c r="ID81" s="3">
        <v>300000000</v>
      </c>
      <c r="IE81" s="3">
        <v>500000000</v>
      </c>
      <c r="IF81" s="3"/>
      <c r="IG81" s="3"/>
      <c r="IH81" s="3"/>
      <c r="II81" s="3"/>
      <c r="IJ81" s="3"/>
      <c r="IK81" s="3"/>
      <c r="IL81" s="3"/>
      <c r="IM81" s="3"/>
      <c r="IN81" s="3"/>
      <c r="IO81" s="3"/>
      <c r="IP81" s="3"/>
      <c r="IQ81" s="3"/>
      <c r="IR81" s="3"/>
      <c r="IS81" s="3"/>
      <c r="IT81" s="3"/>
      <c r="IU81" s="3"/>
      <c r="IV81" s="3"/>
      <c r="IW81" s="3"/>
      <c r="IX81" s="3"/>
      <c r="IY81" s="3"/>
      <c r="IZ81" s="3">
        <v>0</v>
      </c>
      <c r="JA81" s="3">
        <v>200000000</v>
      </c>
      <c r="JB81" s="3">
        <v>300000000</v>
      </c>
      <c r="JC81" s="3">
        <v>500000000</v>
      </c>
      <c r="JD81" s="3"/>
      <c r="JE81" s="3"/>
      <c r="JF81" s="3"/>
      <c r="JG81" s="3"/>
    </row>
    <row r="82" spans="1:267" x14ac:dyDescent="0.25">
      <c r="A82" t="s">
        <v>197</v>
      </c>
      <c r="B82" t="s">
        <v>198</v>
      </c>
      <c r="C82" t="s">
        <v>199</v>
      </c>
      <c r="D82" t="s">
        <v>200</v>
      </c>
      <c r="E82" t="s">
        <v>335</v>
      </c>
      <c r="F82" t="s">
        <v>355</v>
      </c>
      <c r="G82" t="s">
        <v>283</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v>0</v>
      </c>
      <c r="GW82" s="3">
        <v>15088000</v>
      </c>
      <c r="GX82" s="3">
        <v>0</v>
      </c>
      <c r="GY82" s="3">
        <v>15088000</v>
      </c>
      <c r="GZ82" s="3">
        <v>0</v>
      </c>
      <c r="HA82" s="3">
        <v>15088000</v>
      </c>
      <c r="HB82" s="3">
        <v>0</v>
      </c>
      <c r="HC82" s="3">
        <v>15088000</v>
      </c>
      <c r="HD82" s="3">
        <v>0</v>
      </c>
      <c r="HE82" s="3">
        <v>15088000</v>
      </c>
      <c r="HF82" s="3">
        <v>0</v>
      </c>
      <c r="HG82" s="3">
        <v>15088000</v>
      </c>
      <c r="HH82" s="3">
        <v>0</v>
      </c>
      <c r="HI82" s="3">
        <v>15088000</v>
      </c>
      <c r="HJ82" s="3">
        <v>0</v>
      </c>
      <c r="HK82" s="3">
        <v>15088000</v>
      </c>
      <c r="HL82" s="3">
        <v>0</v>
      </c>
      <c r="HM82" s="3">
        <v>15088000</v>
      </c>
      <c r="HN82" s="3">
        <v>0</v>
      </c>
      <c r="HO82" s="3">
        <v>15088000</v>
      </c>
      <c r="HP82" s="3">
        <v>0</v>
      </c>
      <c r="HQ82" s="3">
        <v>15088000</v>
      </c>
      <c r="HR82" s="3">
        <v>0</v>
      </c>
      <c r="HS82" s="3">
        <v>15088000</v>
      </c>
      <c r="HT82" s="3">
        <v>0</v>
      </c>
      <c r="HU82" s="3">
        <v>15088000</v>
      </c>
      <c r="HV82" s="3">
        <v>0</v>
      </c>
      <c r="HW82" s="3">
        <v>15088000</v>
      </c>
      <c r="HX82" s="3">
        <v>0</v>
      </c>
      <c r="HY82" s="3">
        <v>15360000</v>
      </c>
      <c r="HZ82" s="3">
        <v>0</v>
      </c>
      <c r="IA82" s="3">
        <v>15360000</v>
      </c>
      <c r="IB82" s="3">
        <v>0</v>
      </c>
      <c r="IC82" s="3">
        <v>15360000</v>
      </c>
      <c r="ID82" s="3">
        <v>0</v>
      </c>
      <c r="IE82" s="3">
        <v>15360000</v>
      </c>
      <c r="IF82" s="3"/>
      <c r="IG82" s="3"/>
      <c r="IH82" s="3"/>
      <c r="II82" s="3"/>
      <c r="IJ82" s="3"/>
      <c r="IK82" s="3"/>
      <c r="IL82" s="3"/>
      <c r="IM82" s="3"/>
      <c r="IN82" s="3"/>
      <c r="IO82" s="3"/>
      <c r="IP82" s="3"/>
      <c r="IQ82" s="3"/>
      <c r="IR82" s="3"/>
      <c r="IS82" s="3"/>
      <c r="IT82" s="3"/>
      <c r="IU82" s="3"/>
      <c r="IV82" s="3"/>
      <c r="IW82" s="3"/>
      <c r="IX82" s="3"/>
      <c r="IY82" s="3"/>
      <c r="IZ82" s="3">
        <v>0</v>
      </c>
      <c r="JA82" s="3">
        <v>15636000</v>
      </c>
      <c r="JB82" s="3">
        <v>0</v>
      </c>
      <c r="JC82" s="3">
        <v>15636000</v>
      </c>
      <c r="JD82" s="3"/>
      <c r="JE82" s="3"/>
      <c r="JF82" s="3"/>
      <c r="JG82" s="3"/>
    </row>
    <row r="83" spans="1:267" x14ac:dyDescent="0.25">
      <c r="A83" t="s">
        <v>197</v>
      </c>
      <c r="B83" t="s">
        <v>198</v>
      </c>
      <c r="C83" t="s">
        <v>199</v>
      </c>
      <c r="D83" t="s">
        <v>200</v>
      </c>
      <c r="E83" t="s">
        <v>335</v>
      </c>
      <c r="F83" t="s">
        <v>356</v>
      </c>
      <c r="G83" t="s">
        <v>357</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v>0</v>
      </c>
      <c r="GW83" s="3">
        <v>242038000</v>
      </c>
      <c r="GX83" s="3">
        <v>0</v>
      </c>
      <c r="GY83" s="3">
        <v>242038000</v>
      </c>
      <c r="GZ83" s="3">
        <v>0</v>
      </c>
      <c r="HA83" s="3">
        <v>242038000</v>
      </c>
      <c r="HB83" s="3">
        <v>0</v>
      </c>
      <c r="HC83" s="3">
        <v>242038000</v>
      </c>
      <c r="HD83" s="3">
        <v>0</v>
      </c>
      <c r="HE83" s="3">
        <v>242038000</v>
      </c>
      <c r="HF83" s="3">
        <v>0</v>
      </c>
      <c r="HG83" s="3">
        <v>242038000</v>
      </c>
      <c r="HH83" s="3">
        <v>0</v>
      </c>
      <c r="HI83" s="3">
        <v>242038000</v>
      </c>
      <c r="HJ83" s="3">
        <v>0</v>
      </c>
      <c r="HK83" s="3">
        <v>242038000</v>
      </c>
      <c r="HL83" s="3">
        <v>0</v>
      </c>
      <c r="HM83" s="3">
        <v>242038000</v>
      </c>
      <c r="HN83" s="3">
        <v>0</v>
      </c>
      <c r="HO83" s="3">
        <v>242038000</v>
      </c>
      <c r="HP83" s="3">
        <v>0</v>
      </c>
      <c r="HQ83" s="3">
        <v>218830422.25</v>
      </c>
      <c r="HR83" s="3">
        <v>0</v>
      </c>
      <c r="HS83" s="3">
        <v>218830422.25</v>
      </c>
      <c r="HT83" s="3">
        <v>0</v>
      </c>
      <c r="HU83" s="3">
        <v>180828935.59999999</v>
      </c>
      <c r="HV83" s="3">
        <v>0</v>
      </c>
      <c r="HW83" s="3">
        <v>180828935.59999999</v>
      </c>
      <c r="HX83" s="3">
        <v>0</v>
      </c>
      <c r="HY83" s="3">
        <v>242038000</v>
      </c>
      <c r="HZ83" s="3">
        <v>0</v>
      </c>
      <c r="IA83" s="3">
        <v>242038000</v>
      </c>
      <c r="IB83" s="3">
        <v>0</v>
      </c>
      <c r="IC83" s="3">
        <v>242038000</v>
      </c>
      <c r="ID83" s="3">
        <v>0</v>
      </c>
      <c r="IE83" s="3">
        <v>242038000</v>
      </c>
      <c r="IF83" s="3"/>
      <c r="IG83" s="3"/>
      <c r="IH83" s="3"/>
      <c r="II83" s="3"/>
      <c r="IJ83" s="3"/>
      <c r="IK83" s="3"/>
      <c r="IL83" s="3"/>
      <c r="IM83" s="3"/>
      <c r="IN83" s="3"/>
      <c r="IO83" s="3"/>
      <c r="IP83" s="3"/>
      <c r="IQ83" s="3"/>
      <c r="IR83" s="3"/>
      <c r="IS83" s="3"/>
      <c r="IT83" s="3"/>
      <c r="IU83" s="3"/>
      <c r="IV83" s="3"/>
      <c r="IW83" s="3"/>
      <c r="IX83" s="3"/>
      <c r="IY83" s="3"/>
      <c r="IZ83" s="3">
        <v>0</v>
      </c>
      <c r="JA83" s="3">
        <v>221755000</v>
      </c>
      <c r="JB83" s="3">
        <v>0</v>
      </c>
      <c r="JC83" s="3">
        <v>221755000</v>
      </c>
      <c r="JD83" s="3"/>
      <c r="JE83" s="3"/>
      <c r="JF83" s="3"/>
      <c r="JG83" s="3"/>
    </row>
    <row r="84" spans="1:267" x14ac:dyDescent="0.25">
      <c r="A84" t="s">
        <v>197</v>
      </c>
      <c r="B84" t="s">
        <v>198</v>
      </c>
      <c r="C84" t="s">
        <v>199</v>
      </c>
      <c r="D84" t="s">
        <v>200</v>
      </c>
      <c r="E84" t="s">
        <v>358</v>
      </c>
      <c r="F84" t="s">
        <v>359</v>
      </c>
      <c r="G84" t="s">
        <v>360</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v>0</v>
      </c>
      <c r="GW84" s="3">
        <v>380739000</v>
      </c>
      <c r="GX84" s="3">
        <v>0</v>
      </c>
      <c r="GY84" s="3">
        <v>380739000</v>
      </c>
      <c r="GZ84" s="3">
        <v>0</v>
      </c>
      <c r="HA84" s="3">
        <v>380739000</v>
      </c>
      <c r="HB84" s="3">
        <v>0</v>
      </c>
      <c r="HC84" s="3">
        <v>380739000</v>
      </c>
      <c r="HD84" s="3">
        <v>0</v>
      </c>
      <c r="HE84" s="3">
        <v>380739000</v>
      </c>
      <c r="HF84" s="3">
        <v>0</v>
      </c>
      <c r="HG84" s="3">
        <v>380739000</v>
      </c>
      <c r="HH84" s="3">
        <v>7150360</v>
      </c>
      <c r="HI84" s="3">
        <v>373588640</v>
      </c>
      <c r="HJ84" s="3">
        <v>0</v>
      </c>
      <c r="HK84" s="3">
        <v>380739000</v>
      </c>
      <c r="HL84" s="3">
        <v>7150360</v>
      </c>
      <c r="HM84" s="3">
        <v>373588640</v>
      </c>
      <c r="HN84" s="3">
        <v>0</v>
      </c>
      <c r="HO84" s="3">
        <v>380739000</v>
      </c>
      <c r="HP84" s="3">
        <v>7150360</v>
      </c>
      <c r="HQ84" s="3">
        <v>283251404.92000002</v>
      </c>
      <c r="HR84" s="3">
        <v>0</v>
      </c>
      <c r="HS84" s="3">
        <v>290401764.92000002</v>
      </c>
      <c r="HT84" s="3">
        <v>7150360</v>
      </c>
      <c r="HU84" s="3">
        <v>136402436.93000001</v>
      </c>
      <c r="HV84" s="3">
        <v>0</v>
      </c>
      <c r="HW84" s="3">
        <v>143552796.93000001</v>
      </c>
      <c r="HX84" s="3">
        <v>0</v>
      </c>
      <c r="HY84" s="3">
        <v>389155000</v>
      </c>
      <c r="HZ84" s="3">
        <v>0</v>
      </c>
      <c r="IA84" s="3">
        <v>389155000</v>
      </c>
      <c r="IB84" s="3">
        <v>0</v>
      </c>
      <c r="IC84" s="3">
        <v>389155000</v>
      </c>
      <c r="ID84" s="3">
        <v>0</v>
      </c>
      <c r="IE84" s="3">
        <v>389155000</v>
      </c>
      <c r="IF84" s="3"/>
      <c r="IG84" s="3"/>
      <c r="IH84" s="3"/>
      <c r="II84" s="3"/>
      <c r="IJ84" s="3"/>
      <c r="IK84" s="3"/>
      <c r="IL84" s="3"/>
      <c r="IM84" s="3"/>
      <c r="IN84" s="3"/>
      <c r="IO84" s="3"/>
      <c r="IP84" s="3"/>
      <c r="IQ84" s="3"/>
      <c r="IR84" s="3"/>
      <c r="IS84" s="3"/>
      <c r="IT84" s="3"/>
      <c r="IU84" s="3"/>
      <c r="IV84" s="3"/>
      <c r="IW84" s="3"/>
      <c r="IX84" s="3"/>
      <c r="IY84" s="3"/>
      <c r="IZ84" s="3">
        <v>0</v>
      </c>
      <c r="JA84" s="3">
        <v>389659000</v>
      </c>
      <c r="JB84" s="3">
        <v>0</v>
      </c>
      <c r="JC84" s="3">
        <v>389659000</v>
      </c>
      <c r="JD84" s="3"/>
      <c r="JE84" s="3"/>
      <c r="JF84" s="3"/>
      <c r="JG84" s="3"/>
    </row>
    <row r="85" spans="1:267" x14ac:dyDescent="0.25">
      <c r="A85" t="s">
        <v>197</v>
      </c>
      <c r="B85" t="s">
        <v>198</v>
      </c>
      <c r="C85" t="s">
        <v>199</v>
      </c>
      <c r="D85" t="s">
        <v>200</v>
      </c>
      <c r="E85" t="s">
        <v>358</v>
      </c>
      <c r="F85" t="s">
        <v>361</v>
      </c>
      <c r="G85" t="s">
        <v>362</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v>0</v>
      </c>
      <c r="GW85" s="3">
        <v>10178289000</v>
      </c>
      <c r="GX85" s="3">
        <v>0</v>
      </c>
      <c r="GY85" s="3">
        <v>10178289000</v>
      </c>
      <c r="GZ85" s="3">
        <v>0</v>
      </c>
      <c r="HA85" s="3">
        <v>10178289000</v>
      </c>
      <c r="HB85" s="3">
        <v>0</v>
      </c>
      <c r="HC85" s="3">
        <v>10178289000</v>
      </c>
      <c r="HD85" s="3">
        <v>0</v>
      </c>
      <c r="HE85" s="3">
        <v>10178289000</v>
      </c>
      <c r="HF85" s="3">
        <v>0</v>
      </c>
      <c r="HG85" s="3">
        <v>10178289000</v>
      </c>
      <c r="HH85" s="3">
        <v>144744530</v>
      </c>
      <c r="HI85" s="3">
        <v>10033424470</v>
      </c>
      <c r="HJ85" s="3">
        <v>0</v>
      </c>
      <c r="HK85" s="3">
        <v>10178169000</v>
      </c>
      <c r="HL85" s="3">
        <v>144744530</v>
      </c>
      <c r="HM85" s="3">
        <v>10033424470</v>
      </c>
      <c r="HN85" s="3">
        <v>0</v>
      </c>
      <c r="HO85" s="3">
        <v>10178169000</v>
      </c>
      <c r="HP85" s="3">
        <v>144744530</v>
      </c>
      <c r="HQ85" s="3">
        <v>5593473268.4099998</v>
      </c>
      <c r="HR85" s="3">
        <v>0</v>
      </c>
      <c r="HS85" s="3">
        <v>5738217798.4099998</v>
      </c>
      <c r="HT85" s="3">
        <v>143786580</v>
      </c>
      <c r="HU85" s="3">
        <v>432060981.50999999</v>
      </c>
      <c r="HV85" s="3">
        <v>0</v>
      </c>
      <c r="HW85" s="3">
        <v>575847561.50999999</v>
      </c>
      <c r="HX85" s="3">
        <v>0</v>
      </c>
      <c r="HY85" s="3">
        <v>10241198000</v>
      </c>
      <c r="HZ85" s="3">
        <v>0</v>
      </c>
      <c r="IA85" s="3">
        <v>10241198000</v>
      </c>
      <c r="IB85" s="3">
        <v>0</v>
      </c>
      <c r="IC85" s="3">
        <v>10241198000</v>
      </c>
      <c r="ID85" s="3">
        <v>0</v>
      </c>
      <c r="IE85" s="3">
        <v>10241198000</v>
      </c>
      <c r="IF85" s="3"/>
      <c r="IG85" s="3"/>
      <c r="IH85" s="3"/>
      <c r="II85" s="3"/>
      <c r="IJ85" s="3"/>
      <c r="IK85" s="3"/>
      <c r="IL85" s="3"/>
      <c r="IM85" s="3"/>
      <c r="IN85" s="3"/>
      <c r="IO85" s="3"/>
      <c r="IP85" s="3"/>
      <c r="IQ85" s="3"/>
      <c r="IR85" s="3"/>
      <c r="IS85" s="3"/>
      <c r="IT85" s="3"/>
      <c r="IU85" s="3"/>
      <c r="IV85" s="3"/>
      <c r="IW85" s="3"/>
      <c r="IX85" s="3"/>
      <c r="IY85" s="3"/>
      <c r="IZ85" s="3">
        <v>0</v>
      </c>
      <c r="JA85" s="3">
        <v>9095219000</v>
      </c>
      <c r="JB85" s="3">
        <v>0</v>
      </c>
      <c r="JC85" s="3">
        <v>9095219000</v>
      </c>
      <c r="JD85" s="3"/>
      <c r="JE85" s="3"/>
      <c r="JF85" s="3"/>
      <c r="JG85" s="3"/>
    </row>
    <row r="86" spans="1:267" x14ac:dyDescent="0.25">
      <c r="A86" t="s">
        <v>197</v>
      </c>
      <c r="B86" t="s">
        <v>198</v>
      </c>
      <c r="C86" t="s">
        <v>199</v>
      </c>
      <c r="D86" t="s">
        <v>200</v>
      </c>
      <c r="E86" t="s">
        <v>358</v>
      </c>
      <c r="F86" t="s">
        <v>363</v>
      </c>
      <c r="G86" t="s">
        <v>364</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v>0</v>
      </c>
      <c r="GW86" s="3">
        <v>749919000</v>
      </c>
      <c r="GX86" s="3">
        <v>0</v>
      </c>
      <c r="GY86" s="3">
        <v>749919000</v>
      </c>
      <c r="GZ86" s="3">
        <v>0</v>
      </c>
      <c r="HA86" s="3">
        <v>749919000</v>
      </c>
      <c r="HB86" s="3">
        <v>0</v>
      </c>
      <c r="HC86" s="3">
        <v>749919000</v>
      </c>
      <c r="HD86" s="3">
        <v>0</v>
      </c>
      <c r="HE86" s="3">
        <v>749919000</v>
      </c>
      <c r="HF86" s="3">
        <v>0</v>
      </c>
      <c r="HG86" s="3">
        <v>749919000</v>
      </c>
      <c r="HH86" s="3">
        <v>0</v>
      </c>
      <c r="HI86" s="3">
        <v>749919000</v>
      </c>
      <c r="HJ86" s="3">
        <v>0</v>
      </c>
      <c r="HK86" s="3">
        <v>749919000</v>
      </c>
      <c r="HL86" s="3">
        <v>0</v>
      </c>
      <c r="HM86" s="3">
        <v>749919000</v>
      </c>
      <c r="HN86" s="3">
        <v>0</v>
      </c>
      <c r="HO86" s="3">
        <v>749919000</v>
      </c>
      <c r="HP86" s="3">
        <v>0</v>
      </c>
      <c r="HQ86" s="3">
        <v>0</v>
      </c>
      <c r="HR86" s="3">
        <v>0</v>
      </c>
      <c r="HS86" s="3">
        <v>0</v>
      </c>
      <c r="HT86" s="3">
        <v>0</v>
      </c>
      <c r="HU86" s="3">
        <v>0</v>
      </c>
      <c r="HV86" s="3">
        <v>0</v>
      </c>
      <c r="HW86" s="3">
        <v>0</v>
      </c>
      <c r="HX86" s="3">
        <v>0</v>
      </c>
      <c r="HY86" s="3">
        <v>749919000</v>
      </c>
      <c r="HZ86" s="3">
        <v>0</v>
      </c>
      <c r="IA86" s="3">
        <v>749919000</v>
      </c>
      <c r="IB86" s="3">
        <v>0</v>
      </c>
      <c r="IC86" s="3">
        <v>749919000</v>
      </c>
      <c r="ID86" s="3">
        <v>0</v>
      </c>
      <c r="IE86" s="3">
        <v>749919000</v>
      </c>
      <c r="IF86" s="3"/>
      <c r="IG86" s="3"/>
      <c r="IH86" s="3"/>
      <c r="II86" s="3"/>
      <c r="IJ86" s="3"/>
      <c r="IK86" s="3"/>
      <c r="IL86" s="3"/>
      <c r="IM86" s="3"/>
      <c r="IN86" s="3"/>
      <c r="IO86" s="3"/>
      <c r="IP86" s="3"/>
      <c r="IQ86" s="3"/>
      <c r="IR86" s="3"/>
      <c r="IS86" s="3"/>
      <c r="IT86" s="3"/>
      <c r="IU86" s="3"/>
      <c r="IV86" s="3"/>
      <c r="IW86" s="3"/>
      <c r="IX86" s="3"/>
      <c r="IY86" s="3"/>
      <c r="IZ86" s="3">
        <v>0</v>
      </c>
      <c r="JA86" s="3">
        <v>664174000</v>
      </c>
      <c r="JB86" s="3">
        <v>0</v>
      </c>
      <c r="JC86" s="3">
        <v>664174000</v>
      </c>
      <c r="JD86" s="3"/>
      <c r="JE86" s="3"/>
      <c r="JF86" s="3"/>
      <c r="JG86" s="3"/>
    </row>
    <row r="87" spans="1:267" x14ac:dyDescent="0.25">
      <c r="A87" t="s">
        <v>197</v>
      </c>
      <c r="B87" t="s">
        <v>198</v>
      </c>
      <c r="C87" t="s">
        <v>199</v>
      </c>
      <c r="D87" t="s">
        <v>200</v>
      </c>
      <c r="E87" t="s">
        <v>358</v>
      </c>
      <c r="F87" t="s">
        <v>365</v>
      </c>
      <c r="G87" t="s">
        <v>366</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v>0</v>
      </c>
      <c r="GW87" s="3">
        <v>5143876000</v>
      </c>
      <c r="GX87" s="3">
        <v>0</v>
      </c>
      <c r="GY87" s="3">
        <v>5143876000</v>
      </c>
      <c r="GZ87" s="3">
        <v>0</v>
      </c>
      <c r="HA87" s="3">
        <v>5375720000</v>
      </c>
      <c r="HB87" s="3">
        <v>0</v>
      </c>
      <c r="HC87" s="3">
        <v>5375720000</v>
      </c>
      <c r="HD87" s="3">
        <v>0</v>
      </c>
      <c r="HE87" s="3">
        <v>5375720000</v>
      </c>
      <c r="HF87" s="3">
        <v>0</v>
      </c>
      <c r="HG87" s="3">
        <v>5375720000</v>
      </c>
      <c r="HH87" s="3">
        <v>283617829</v>
      </c>
      <c r="HI87" s="3">
        <v>5092102171</v>
      </c>
      <c r="HJ87" s="3">
        <v>0</v>
      </c>
      <c r="HK87" s="3">
        <v>5375720000</v>
      </c>
      <c r="HL87" s="3">
        <v>283617829</v>
      </c>
      <c r="HM87" s="3">
        <v>4860258171</v>
      </c>
      <c r="HN87" s="3">
        <v>0</v>
      </c>
      <c r="HO87" s="3">
        <v>5143876000</v>
      </c>
      <c r="HP87" s="3">
        <v>283615471.60000002</v>
      </c>
      <c r="HQ87" s="3">
        <v>1333875864.1900001</v>
      </c>
      <c r="HR87" s="3">
        <v>0</v>
      </c>
      <c r="HS87" s="3">
        <v>1617491335.79</v>
      </c>
      <c r="HT87" s="3">
        <v>195140328.84999999</v>
      </c>
      <c r="HU87" s="3">
        <v>908536899.54999995</v>
      </c>
      <c r="HV87" s="3">
        <v>0</v>
      </c>
      <c r="HW87" s="3">
        <v>1103677228.4000001</v>
      </c>
      <c r="HX87" s="3">
        <v>0</v>
      </c>
      <c r="HY87" s="3">
        <v>7719625000</v>
      </c>
      <c r="HZ87" s="3">
        <v>0</v>
      </c>
      <c r="IA87" s="3">
        <v>7719625000</v>
      </c>
      <c r="IB87" s="3">
        <v>0</v>
      </c>
      <c r="IC87" s="3">
        <v>7719625000</v>
      </c>
      <c r="ID87" s="3">
        <v>0</v>
      </c>
      <c r="IE87" s="3">
        <v>7719625000</v>
      </c>
      <c r="IF87" s="3"/>
      <c r="IG87" s="3"/>
      <c r="IH87" s="3"/>
      <c r="II87" s="3"/>
      <c r="IJ87" s="3"/>
      <c r="IK87" s="3"/>
      <c r="IL87" s="3"/>
      <c r="IM87" s="3"/>
      <c r="IN87" s="3"/>
      <c r="IO87" s="3"/>
      <c r="IP87" s="3"/>
      <c r="IQ87" s="3"/>
      <c r="IR87" s="3"/>
      <c r="IS87" s="3"/>
      <c r="IT87" s="3"/>
      <c r="IU87" s="3"/>
      <c r="IV87" s="3"/>
      <c r="IW87" s="3"/>
      <c r="IX87" s="3"/>
      <c r="IY87" s="3"/>
      <c r="IZ87" s="3">
        <v>0</v>
      </c>
      <c r="JA87" s="3">
        <v>6892852000</v>
      </c>
      <c r="JB87" s="3">
        <v>0</v>
      </c>
      <c r="JC87" s="3">
        <v>6892852000</v>
      </c>
      <c r="JD87" s="3"/>
      <c r="JE87" s="3"/>
      <c r="JF87" s="3"/>
      <c r="JG87" s="3"/>
    </row>
    <row r="88" spans="1:267" x14ac:dyDescent="0.25">
      <c r="A88" t="s">
        <v>197</v>
      </c>
      <c r="B88" t="s">
        <v>198</v>
      </c>
      <c r="C88" t="s">
        <v>199</v>
      </c>
      <c r="D88" t="s">
        <v>200</v>
      </c>
      <c r="E88" t="s">
        <v>358</v>
      </c>
      <c r="F88" t="s">
        <v>367</v>
      </c>
      <c r="G88" t="s">
        <v>368</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v>0</v>
      </c>
      <c r="GW88" s="3">
        <v>3477240000</v>
      </c>
      <c r="GX88" s="3">
        <v>0</v>
      </c>
      <c r="GY88" s="3">
        <v>3477240000</v>
      </c>
      <c r="GZ88" s="3">
        <v>0</v>
      </c>
      <c r="HA88" s="3">
        <v>3482240000</v>
      </c>
      <c r="HB88" s="3">
        <v>0</v>
      </c>
      <c r="HC88" s="3">
        <v>3482240000</v>
      </c>
      <c r="HD88" s="3">
        <v>0</v>
      </c>
      <c r="HE88" s="3">
        <v>3482240000</v>
      </c>
      <c r="HF88" s="3">
        <v>0</v>
      </c>
      <c r="HG88" s="3">
        <v>3482240000</v>
      </c>
      <c r="HH88" s="3">
        <v>0</v>
      </c>
      <c r="HI88" s="3">
        <v>3482240000</v>
      </c>
      <c r="HJ88" s="3">
        <v>0</v>
      </c>
      <c r="HK88" s="3">
        <v>3482240000</v>
      </c>
      <c r="HL88" s="3">
        <v>0</v>
      </c>
      <c r="HM88" s="3">
        <v>3477240000</v>
      </c>
      <c r="HN88" s="3">
        <v>0</v>
      </c>
      <c r="HO88" s="3">
        <v>3477240000</v>
      </c>
      <c r="HP88" s="3">
        <v>0</v>
      </c>
      <c r="HQ88" s="3">
        <v>458517858.50999999</v>
      </c>
      <c r="HR88" s="3">
        <v>0</v>
      </c>
      <c r="HS88" s="3">
        <v>458517858.50999999</v>
      </c>
      <c r="HT88" s="3">
        <v>0</v>
      </c>
      <c r="HU88" s="3">
        <v>13127707.289999999</v>
      </c>
      <c r="HV88" s="3">
        <v>0</v>
      </c>
      <c r="HW88" s="3">
        <v>13127707.289999999</v>
      </c>
      <c r="HX88" s="3">
        <v>0</v>
      </c>
      <c r="HY88" s="3">
        <v>2725166000</v>
      </c>
      <c r="HZ88" s="3">
        <v>0</v>
      </c>
      <c r="IA88" s="3">
        <v>2725166000</v>
      </c>
      <c r="IB88" s="3">
        <v>0</v>
      </c>
      <c r="IC88" s="3">
        <v>2725166000</v>
      </c>
      <c r="ID88" s="3">
        <v>0</v>
      </c>
      <c r="IE88" s="3">
        <v>2725166000</v>
      </c>
      <c r="IF88" s="3"/>
      <c r="IG88" s="3"/>
      <c r="IH88" s="3"/>
      <c r="II88" s="3"/>
      <c r="IJ88" s="3"/>
      <c r="IK88" s="3"/>
      <c r="IL88" s="3"/>
      <c r="IM88" s="3"/>
      <c r="IN88" s="3"/>
      <c r="IO88" s="3"/>
      <c r="IP88" s="3"/>
      <c r="IQ88" s="3"/>
      <c r="IR88" s="3"/>
      <c r="IS88" s="3"/>
      <c r="IT88" s="3"/>
      <c r="IU88" s="3"/>
      <c r="IV88" s="3"/>
      <c r="IW88" s="3"/>
      <c r="IX88" s="3"/>
      <c r="IY88" s="3"/>
      <c r="IZ88" s="3">
        <v>0</v>
      </c>
      <c r="JA88" s="3">
        <v>2725166000</v>
      </c>
      <c r="JB88" s="3">
        <v>5000000</v>
      </c>
      <c r="JC88" s="3">
        <v>2730166000</v>
      </c>
      <c r="JD88" s="3"/>
      <c r="JE88" s="3"/>
      <c r="JF88" s="3"/>
      <c r="JG88" s="3"/>
    </row>
    <row r="89" spans="1:267" x14ac:dyDescent="0.25">
      <c r="A89" t="s">
        <v>197</v>
      </c>
      <c r="B89" t="s">
        <v>198</v>
      </c>
      <c r="C89" t="s">
        <v>199</v>
      </c>
      <c r="D89" t="s">
        <v>200</v>
      </c>
      <c r="E89" t="s">
        <v>358</v>
      </c>
      <c r="F89" t="s">
        <v>369</v>
      </c>
      <c r="G89" t="s">
        <v>370</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v>26130000</v>
      </c>
      <c r="GW89" s="3">
        <v>868958000</v>
      </c>
      <c r="GX89" s="3">
        <v>0</v>
      </c>
      <c r="GY89" s="3">
        <v>895088000</v>
      </c>
      <c r="GZ89" s="3">
        <v>26130000</v>
      </c>
      <c r="HA89" s="3">
        <v>868958000</v>
      </c>
      <c r="HB89" s="3">
        <v>0</v>
      </c>
      <c r="HC89" s="3">
        <v>895088000</v>
      </c>
      <c r="HD89" s="3">
        <v>26130000</v>
      </c>
      <c r="HE89" s="3">
        <v>868958000</v>
      </c>
      <c r="HF89" s="3">
        <v>0</v>
      </c>
      <c r="HG89" s="3">
        <v>895088000</v>
      </c>
      <c r="HH89" s="3">
        <v>31325000</v>
      </c>
      <c r="HI89" s="3">
        <v>863763000</v>
      </c>
      <c r="HJ89" s="3">
        <v>0</v>
      </c>
      <c r="HK89" s="3">
        <v>895088000</v>
      </c>
      <c r="HL89" s="3">
        <v>31325000</v>
      </c>
      <c r="HM89" s="3">
        <v>863763000</v>
      </c>
      <c r="HN89" s="3">
        <v>0</v>
      </c>
      <c r="HO89" s="3">
        <v>895088000</v>
      </c>
      <c r="HP89" s="3">
        <v>31324712.300000001</v>
      </c>
      <c r="HQ89" s="3">
        <v>652604778.38999999</v>
      </c>
      <c r="HR89" s="3">
        <v>0</v>
      </c>
      <c r="HS89" s="3">
        <v>683929490.69000006</v>
      </c>
      <c r="HT89" s="3">
        <v>31318238.870000001</v>
      </c>
      <c r="HU89" s="3">
        <v>309594607.85000002</v>
      </c>
      <c r="HV89" s="3">
        <v>0</v>
      </c>
      <c r="HW89" s="3">
        <v>340912846.72000003</v>
      </c>
      <c r="HX89" s="3">
        <v>30933000</v>
      </c>
      <c r="HY89" s="3">
        <v>1184599000</v>
      </c>
      <c r="HZ89" s="3">
        <v>0</v>
      </c>
      <c r="IA89" s="3">
        <v>1215532000</v>
      </c>
      <c r="IB89" s="3">
        <v>30933000</v>
      </c>
      <c r="IC89" s="3">
        <v>1184599000</v>
      </c>
      <c r="ID89" s="3">
        <v>0</v>
      </c>
      <c r="IE89" s="3">
        <v>1215532000</v>
      </c>
      <c r="IF89" s="3"/>
      <c r="IG89" s="3"/>
      <c r="IH89" s="3"/>
      <c r="II89" s="3"/>
      <c r="IJ89" s="3"/>
      <c r="IK89" s="3"/>
      <c r="IL89" s="3"/>
      <c r="IM89" s="3"/>
      <c r="IN89" s="3"/>
      <c r="IO89" s="3"/>
      <c r="IP89" s="3"/>
      <c r="IQ89" s="3"/>
      <c r="IR89" s="3"/>
      <c r="IS89" s="3"/>
      <c r="IT89" s="3"/>
      <c r="IU89" s="3"/>
      <c r="IV89" s="3"/>
      <c r="IW89" s="3"/>
      <c r="IX89" s="3"/>
      <c r="IY89" s="3"/>
      <c r="IZ89" s="3">
        <v>30924000</v>
      </c>
      <c r="JA89" s="3">
        <v>1205922000</v>
      </c>
      <c r="JB89" s="3">
        <v>0</v>
      </c>
      <c r="JC89" s="3">
        <v>1236846000</v>
      </c>
      <c r="JD89" s="3"/>
      <c r="JE89" s="3"/>
      <c r="JF89" s="3"/>
      <c r="JG89" s="3"/>
    </row>
    <row r="90" spans="1:267" x14ac:dyDescent="0.25">
      <c r="A90" t="s">
        <v>197</v>
      </c>
      <c r="B90" t="s">
        <v>198</v>
      </c>
      <c r="C90" t="s">
        <v>199</v>
      </c>
      <c r="D90" t="s">
        <v>200</v>
      </c>
      <c r="E90" t="s">
        <v>358</v>
      </c>
      <c r="F90" t="s">
        <v>371</v>
      </c>
      <c r="G90" t="s">
        <v>238</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v>17202095000</v>
      </c>
      <c r="GW90" s="3">
        <v>768985000</v>
      </c>
      <c r="GX90" s="3">
        <v>0</v>
      </c>
      <c r="GY90" s="3">
        <v>17971080000</v>
      </c>
      <c r="GZ90" s="3">
        <v>17202095000</v>
      </c>
      <c r="HA90" s="3">
        <v>768985000</v>
      </c>
      <c r="HB90" s="3">
        <v>0</v>
      </c>
      <c r="HC90" s="3">
        <v>17971080000</v>
      </c>
      <c r="HD90" s="3">
        <v>17202095000</v>
      </c>
      <c r="HE90" s="3">
        <v>768985000</v>
      </c>
      <c r="HF90" s="3">
        <v>0</v>
      </c>
      <c r="HG90" s="3">
        <v>17971080000</v>
      </c>
      <c r="HH90" s="3">
        <v>17334045376</v>
      </c>
      <c r="HI90" s="3">
        <v>585161684</v>
      </c>
      <c r="HJ90" s="3">
        <v>0</v>
      </c>
      <c r="HK90" s="3">
        <v>17919207060</v>
      </c>
      <c r="HL90" s="3">
        <v>17334045376</v>
      </c>
      <c r="HM90" s="3">
        <v>585161684</v>
      </c>
      <c r="HN90" s="3">
        <v>0</v>
      </c>
      <c r="HO90" s="3">
        <v>17919207060</v>
      </c>
      <c r="HP90" s="3">
        <v>17334030194.669998</v>
      </c>
      <c r="HQ90" s="3">
        <v>524775088.57999998</v>
      </c>
      <c r="HR90" s="3">
        <v>0</v>
      </c>
      <c r="HS90" s="3">
        <v>17858805283.25</v>
      </c>
      <c r="HT90" s="3">
        <v>16629948552.18</v>
      </c>
      <c r="HU90" s="3">
        <v>423246945.70999998</v>
      </c>
      <c r="HV90" s="3">
        <v>0</v>
      </c>
      <c r="HW90" s="3">
        <v>17053195497.889999</v>
      </c>
      <c r="HX90" s="3">
        <v>22587533000</v>
      </c>
      <c r="HY90" s="3">
        <v>768985000</v>
      </c>
      <c r="HZ90" s="3">
        <v>0</v>
      </c>
      <c r="IA90" s="3">
        <v>23356518000</v>
      </c>
      <c r="IB90" s="3">
        <v>22587533000</v>
      </c>
      <c r="IC90" s="3">
        <v>768985000</v>
      </c>
      <c r="ID90" s="3">
        <v>0</v>
      </c>
      <c r="IE90" s="3">
        <v>23356518000</v>
      </c>
      <c r="IF90" s="3"/>
      <c r="IG90" s="3"/>
      <c r="IH90" s="3"/>
      <c r="II90" s="3"/>
      <c r="IJ90" s="3"/>
      <c r="IK90" s="3"/>
      <c r="IL90" s="3"/>
      <c r="IM90" s="3"/>
      <c r="IN90" s="3"/>
      <c r="IO90" s="3"/>
      <c r="IP90" s="3"/>
      <c r="IQ90" s="3"/>
      <c r="IR90" s="3"/>
      <c r="IS90" s="3"/>
      <c r="IT90" s="3"/>
      <c r="IU90" s="3"/>
      <c r="IV90" s="3"/>
      <c r="IW90" s="3"/>
      <c r="IX90" s="3"/>
      <c r="IY90" s="3"/>
      <c r="IZ90" s="3">
        <v>24611715000</v>
      </c>
      <c r="JA90" s="3">
        <v>782827000</v>
      </c>
      <c r="JB90" s="3">
        <v>0</v>
      </c>
      <c r="JC90" s="3">
        <v>25394542000</v>
      </c>
      <c r="JD90" s="3"/>
      <c r="JE90" s="3"/>
      <c r="JF90" s="3"/>
      <c r="JG90" s="3"/>
    </row>
    <row r="91" spans="1:267" x14ac:dyDescent="0.25">
      <c r="A91" t="s">
        <v>197</v>
      </c>
      <c r="B91" t="s">
        <v>198</v>
      </c>
      <c r="C91" t="s">
        <v>199</v>
      </c>
      <c r="D91" t="s">
        <v>200</v>
      </c>
      <c r="E91" t="s">
        <v>358</v>
      </c>
      <c r="F91" t="s">
        <v>372</v>
      </c>
      <c r="G91" t="s">
        <v>228</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v>0</v>
      </c>
      <c r="GW91" s="3">
        <v>64818000</v>
      </c>
      <c r="GX91" s="3">
        <v>22920200000</v>
      </c>
      <c r="GY91" s="3">
        <v>22985018000</v>
      </c>
      <c r="GZ91" s="3">
        <v>0</v>
      </c>
      <c r="HA91" s="3">
        <v>64818000</v>
      </c>
      <c r="HB91" s="3">
        <v>35302219000</v>
      </c>
      <c r="HC91" s="3">
        <v>35367037000</v>
      </c>
      <c r="HD91" s="3">
        <v>0</v>
      </c>
      <c r="HE91" s="3">
        <v>64818000</v>
      </c>
      <c r="HF91" s="3">
        <v>35302219000</v>
      </c>
      <c r="HG91" s="3">
        <v>35367037000</v>
      </c>
      <c r="HH91" s="3">
        <v>699100</v>
      </c>
      <c r="HI91" s="3">
        <v>64118900</v>
      </c>
      <c r="HJ91" s="3">
        <v>25940879000</v>
      </c>
      <c r="HK91" s="3">
        <v>26005697000</v>
      </c>
      <c r="HL91" s="3">
        <v>699100</v>
      </c>
      <c r="HM91" s="3">
        <v>64118900</v>
      </c>
      <c r="HN91" s="3">
        <v>16546180000</v>
      </c>
      <c r="HO91" s="3">
        <v>16610998000</v>
      </c>
      <c r="HP91" s="3">
        <v>699100</v>
      </c>
      <c r="HQ91" s="3">
        <v>51864365.520000003</v>
      </c>
      <c r="HR91" s="3">
        <v>10264284493.969999</v>
      </c>
      <c r="HS91" s="3">
        <v>10316847959.49</v>
      </c>
      <c r="HT91" s="3">
        <v>699100</v>
      </c>
      <c r="HU91" s="3">
        <v>41946820.950000003</v>
      </c>
      <c r="HV91" s="3">
        <v>3672418013.8099999</v>
      </c>
      <c r="HW91" s="3">
        <v>3715063934.7600002</v>
      </c>
      <c r="HX91" s="3">
        <v>0</v>
      </c>
      <c r="HY91" s="3">
        <v>65985000</v>
      </c>
      <c r="HZ91" s="3">
        <v>14472659000</v>
      </c>
      <c r="IA91" s="3">
        <v>14538644000</v>
      </c>
      <c r="IB91" s="3">
        <v>0</v>
      </c>
      <c r="IC91" s="3">
        <v>65985000</v>
      </c>
      <c r="ID91" s="3">
        <v>22228982000</v>
      </c>
      <c r="IE91" s="3">
        <v>22294967000</v>
      </c>
      <c r="IF91" s="3"/>
      <c r="IG91" s="3"/>
      <c r="IH91" s="3"/>
      <c r="II91" s="3"/>
      <c r="IJ91" s="3"/>
      <c r="IK91" s="3"/>
      <c r="IL91" s="3"/>
      <c r="IM91" s="3"/>
      <c r="IN91" s="3"/>
      <c r="IO91" s="3"/>
      <c r="IP91" s="3"/>
      <c r="IQ91" s="3"/>
      <c r="IR91" s="3"/>
      <c r="IS91" s="3"/>
      <c r="IT91" s="3"/>
      <c r="IU91" s="3"/>
      <c r="IV91" s="3"/>
      <c r="IW91" s="3"/>
      <c r="IX91" s="3"/>
      <c r="IY91" s="3"/>
      <c r="IZ91" s="3">
        <v>0</v>
      </c>
      <c r="JA91" s="3">
        <v>67173000</v>
      </c>
      <c r="JB91" s="3">
        <v>14472659000</v>
      </c>
      <c r="JC91" s="3">
        <v>14539832000</v>
      </c>
      <c r="JD91" s="3"/>
      <c r="JE91" s="3"/>
      <c r="JF91" s="3"/>
      <c r="JG91" s="3"/>
    </row>
    <row r="92" spans="1:267" x14ac:dyDescent="0.25">
      <c r="A92" t="s">
        <v>197</v>
      </c>
      <c r="B92" t="s">
        <v>198</v>
      </c>
      <c r="C92" t="s">
        <v>199</v>
      </c>
      <c r="D92" t="s">
        <v>200</v>
      </c>
      <c r="E92" t="s">
        <v>358</v>
      </c>
      <c r="F92" t="s">
        <v>373</v>
      </c>
      <c r="G92" t="s">
        <v>334</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v>0</v>
      </c>
      <c r="GW92" s="3">
        <v>284280000</v>
      </c>
      <c r="GX92" s="3">
        <v>0</v>
      </c>
      <c r="GY92" s="3">
        <v>284280000</v>
      </c>
      <c r="GZ92" s="3">
        <v>0</v>
      </c>
      <c r="HA92" s="3">
        <v>284280000</v>
      </c>
      <c r="HB92" s="3">
        <v>0</v>
      </c>
      <c r="HC92" s="3">
        <v>284280000</v>
      </c>
      <c r="HD92" s="3">
        <v>0</v>
      </c>
      <c r="HE92" s="3">
        <v>284280000</v>
      </c>
      <c r="HF92" s="3">
        <v>0</v>
      </c>
      <c r="HG92" s="3">
        <v>284280000</v>
      </c>
      <c r="HH92" s="3">
        <v>0</v>
      </c>
      <c r="HI92" s="3">
        <v>284280000</v>
      </c>
      <c r="HJ92" s="3">
        <v>0</v>
      </c>
      <c r="HK92" s="3">
        <v>284280000</v>
      </c>
      <c r="HL92" s="3">
        <v>0</v>
      </c>
      <c r="HM92" s="3">
        <v>284280000</v>
      </c>
      <c r="HN92" s="3">
        <v>0</v>
      </c>
      <c r="HO92" s="3">
        <v>284280000</v>
      </c>
      <c r="HP92" s="3">
        <v>0</v>
      </c>
      <c r="HQ92" s="3">
        <v>260040517.36000001</v>
      </c>
      <c r="HR92" s="3">
        <v>0</v>
      </c>
      <c r="HS92" s="3">
        <v>260040517.36000001</v>
      </c>
      <c r="HT92" s="3">
        <v>0</v>
      </c>
      <c r="HU92" s="3">
        <v>238433878.15000001</v>
      </c>
      <c r="HV92" s="3">
        <v>0</v>
      </c>
      <c r="HW92" s="3">
        <v>238433878.15000001</v>
      </c>
      <c r="HX92" s="3">
        <v>0</v>
      </c>
      <c r="HY92" s="3">
        <v>284280000</v>
      </c>
      <c r="HZ92" s="3">
        <v>0</v>
      </c>
      <c r="IA92" s="3">
        <v>284280000</v>
      </c>
      <c r="IB92" s="3">
        <v>0</v>
      </c>
      <c r="IC92" s="3">
        <v>284280000</v>
      </c>
      <c r="ID92" s="3">
        <v>0</v>
      </c>
      <c r="IE92" s="3">
        <v>284280000</v>
      </c>
      <c r="IF92" s="3"/>
      <c r="IG92" s="3"/>
      <c r="IH92" s="3"/>
      <c r="II92" s="3"/>
      <c r="IJ92" s="3"/>
      <c r="IK92" s="3"/>
      <c r="IL92" s="3"/>
      <c r="IM92" s="3"/>
      <c r="IN92" s="3"/>
      <c r="IO92" s="3"/>
      <c r="IP92" s="3"/>
      <c r="IQ92" s="3"/>
      <c r="IR92" s="3"/>
      <c r="IS92" s="3"/>
      <c r="IT92" s="3"/>
      <c r="IU92" s="3"/>
      <c r="IV92" s="3"/>
      <c r="IW92" s="3"/>
      <c r="IX92" s="3"/>
      <c r="IY92" s="3"/>
      <c r="IZ92" s="3">
        <v>0</v>
      </c>
      <c r="JA92" s="3">
        <v>266246000</v>
      </c>
      <c r="JB92" s="3">
        <v>0</v>
      </c>
      <c r="JC92" s="3">
        <v>266246000</v>
      </c>
      <c r="JD92" s="3"/>
      <c r="JE92" s="3"/>
      <c r="JF92" s="3"/>
      <c r="JG92" s="3"/>
    </row>
    <row r="93" spans="1:267" x14ac:dyDescent="0.25">
      <c r="A93" t="s">
        <v>197</v>
      </c>
      <c r="B93" t="s">
        <v>198</v>
      </c>
      <c r="C93" t="s">
        <v>199</v>
      </c>
      <c r="D93" t="s">
        <v>200</v>
      </c>
      <c r="E93" t="s">
        <v>358</v>
      </c>
      <c r="F93" t="s">
        <v>374</v>
      </c>
      <c r="G93" t="s">
        <v>375</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v>0</v>
      </c>
      <c r="GW93" s="3">
        <v>1437863000</v>
      </c>
      <c r="GX93" s="3">
        <v>0</v>
      </c>
      <c r="GY93" s="3">
        <v>1437863000</v>
      </c>
      <c r="GZ93" s="3">
        <v>0</v>
      </c>
      <c r="HA93" s="3">
        <v>1437863000</v>
      </c>
      <c r="HB93" s="3">
        <v>0</v>
      </c>
      <c r="HC93" s="3">
        <v>1437863000</v>
      </c>
      <c r="HD93" s="3">
        <v>0</v>
      </c>
      <c r="HE93" s="3">
        <v>1437863000</v>
      </c>
      <c r="HF93" s="3">
        <v>0</v>
      </c>
      <c r="HG93" s="3">
        <v>1437863000</v>
      </c>
      <c r="HH93" s="3">
        <v>0</v>
      </c>
      <c r="HI93" s="3">
        <v>1437863000</v>
      </c>
      <c r="HJ93" s="3">
        <v>0</v>
      </c>
      <c r="HK93" s="3">
        <v>1437863000</v>
      </c>
      <c r="HL93" s="3">
        <v>0</v>
      </c>
      <c r="HM93" s="3">
        <v>1437863000</v>
      </c>
      <c r="HN93" s="3">
        <v>0</v>
      </c>
      <c r="HO93" s="3">
        <v>1437863000</v>
      </c>
      <c r="HP93" s="3">
        <v>0</v>
      </c>
      <c r="HQ93" s="3">
        <v>1388503351.5999999</v>
      </c>
      <c r="HR93" s="3">
        <v>0</v>
      </c>
      <c r="HS93" s="3">
        <v>1388503351.5999999</v>
      </c>
      <c r="HT93" s="3">
        <v>0</v>
      </c>
      <c r="HU93" s="3">
        <v>1383009410.1800001</v>
      </c>
      <c r="HV93" s="3">
        <v>0</v>
      </c>
      <c r="HW93" s="3">
        <v>1383009410.1800001</v>
      </c>
      <c r="HX93" s="3">
        <v>0</v>
      </c>
      <c r="HY93" s="3">
        <v>0</v>
      </c>
      <c r="HZ93" s="3">
        <v>0</v>
      </c>
      <c r="IA93" s="3">
        <v>0</v>
      </c>
      <c r="IB93" s="3">
        <v>0</v>
      </c>
      <c r="IC93" s="3">
        <v>0</v>
      </c>
      <c r="ID93" s="3">
        <v>0</v>
      </c>
      <c r="IE93" s="3">
        <v>0</v>
      </c>
      <c r="IF93" s="3"/>
      <c r="IG93" s="3"/>
      <c r="IH93" s="3"/>
      <c r="II93" s="3"/>
      <c r="IJ93" s="3"/>
      <c r="IK93" s="3"/>
      <c r="IL93" s="3"/>
      <c r="IM93" s="3"/>
      <c r="IN93" s="3"/>
      <c r="IO93" s="3"/>
      <c r="IP93" s="3"/>
      <c r="IQ93" s="3"/>
      <c r="IR93" s="3"/>
      <c r="IS93" s="3"/>
      <c r="IT93" s="3"/>
      <c r="IU93" s="3"/>
      <c r="IV93" s="3"/>
      <c r="IW93" s="3"/>
      <c r="IX93" s="3"/>
      <c r="IY93" s="3"/>
      <c r="IZ93" s="3">
        <v>0</v>
      </c>
      <c r="JA93" s="3">
        <v>648947000</v>
      </c>
      <c r="JB93" s="3">
        <v>0</v>
      </c>
      <c r="JC93" s="3">
        <v>648947000</v>
      </c>
      <c r="JD93" s="3"/>
      <c r="JE93" s="3"/>
      <c r="JF93" s="3"/>
      <c r="JG93" s="3"/>
    </row>
    <row r="94" spans="1:267" x14ac:dyDescent="0.25">
      <c r="A94" t="s">
        <v>197</v>
      </c>
      <c r="B94" t="s">
        <v>198</v>
      </c>
      <c r="C94" t="s">
        <v>199</v>
      </c>
      <c r="D94" t="s">
        <v>200</v>
      </c>
      <c r="E94" t="s">
        <v>358</v>
      </c>
      <c r="F94" t="s">
        <v>376</v>
      </c>
      <c r="G94" t="s">
        <v>377</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v>0</v>
      </c>
      <c r="HY94" s="3">
        <v>3459347000</v>
      </c>
      <c r="HZ94" s="3">
        <v>5210184000</v>
      </c>
      <c r="IA94" s="3">
        <v>8669531000</v>
      </c>
      <c r="IB94" s="3">
        <v>0</v>
      </c>
      <c r="IC94" s="3">
        <v>3459347000</v>
      </c>
      <c r="ID94" s="3">
        <v>5210184000</v>
      </c>
      <c r="IE94" s="3">
        <v>8669531000</v>
      </c>
      <c r="IF94" s="3"/>
      <c r="IG94" s="3"/>
      <c r="IH94" s="3"/>
      <c r="II94" s="3"/>
      <c r="IJ94" s="3"/>
      <c r="IK94" s="3"/>
      <c r="IL94" s="3"/>
      <c r="IM94" s="3"/>
      <c r="IN94" s="3"/>
      <c r="IO94" s="3"/>
      <c r="IP94" s="3"/>
      <c r="IQ94" s="3"/>
      <c r="IR94" s="3"/>
      <c r="IS94" s="3"/>
      <c r="IT94" s="3"/>
      <c r="IU94" s="3"/>
      <c r="IV94" s="3"/>
      <c r="IW94" s="3"/>
      <c r="IX94" s="3"/>
      <c r="IY94" s="3"/>
      <c r="IZ94" s="3">
        <v>0</v>
      </c>
      <c r="JA94" s="3">
        <v>3529110000</v>
      </c>
      <c r="JB94" s="3">
        <v>4198000000</v>
      </c>
      <c r="JC94" s="3">
        <v>7727110000</v>
      </c>
      <c r="JD94" s="3"/>
      <c r="JE94" s="3"/>
      <c r="JF94" s="3"/>
      <c r="JG94" s="3"/>
    </row>
    <row r="95" spans="1:267" x14ac:dyDescent="0.25">
      <c r="A95" t="s">
        <v>197</v>
      </c>
      <c r="B95" t="s">
        <v>198</v>
      </c>
      <c r="C95" t="s">
        <v>199</v>
      </c>
      <c r="D95" t="s">
        <v>200</v>
      </c>
      <c r="E95" t="s">
        <v>358</v>
      </c>
      <c r="F95" s="4" t="s">
        <v>1351</v>
      </c>
      <c r="G95" t="s">
        <v>1350</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c r="IT95" s="3"/>
      <c r="IU95" s="3"/>
      <c r="IV95" s="3"/>
      <c r="IW95" s="3"/>
      <c r="IX95" s="3"/>
      <c r="IY95" s="3"/>
      <c r="IZ95" s="3">
        <v>0</v>
      </c>
      <c r="JA95" s="3">
        <v>27000000</v>
      </c>
      <c r="JB95" s="3">
        <v>0</v>
      </c>
      <c r="JC95" s="3">
        <v>27000000</v>
      </c>
      <c r="JD95" s="3"/>
      <c r="JE95" s="3"/>
      <c r="JF95" s="3"/>
      <c r="JG95" s="3"/>
    </row>
    <row r="96" spans="1:267" x14ac:dyDescent="0.25">
      <c r="A96" t="s">
        <v>197</v>
      </c>
      <c r="B96" t="s">
        <v>198</v>
      </c>
      <c r="C96" t="s">
        <v>199</v>
      </c>
      <c r="D96" t="s">
        <v>200</v>
      </c>
      <c r="E96" t="s">
        <v>378</v>
      </c>
      <c r="F96" t="s">
        <v>379</v>
      </c>
      <c r="G96" t="s">
        <v>302</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v>8478000</v>
      </c>
      <c r="GW96" s="3">
        <v>643495000</v>
      </c>
      <c r="GX96" s="3">
        <v>0</v>
      </c>
      <c r="GY96" s="3">
        <v>651973000</v>
      </c>
      <c r="GZ96" s="3">
        <v>8478000</v>
      </c>
      <c r="HA96" s="3">
        <v>643495000</v>
      </c>
      <c r="HB96" s="3">
        <v>0</v>
      </c>
      <c r="HC96" s="3">
        <v>651973000</v>
      </c>
      <c r="HD96" s="3">
        <v>8478000</v>
      </c>
      <c r="HE96" s="3">
        <v>643495000</v>
      </c>
      <c r="HF96" s="3">
        <v>0</v>
      </c>
      <c r="HG96" s="3">
        <v>651973000</v>
      </c>
      <c r="HH96" s="3">
        <v>8967040</v>
      </c>
      <c r="HI96" s="3">
        <v>643005960</v>
      </c>
      <c r="HJ96" s="3">
        <v>0</v>
      </c>
      <c r="HK96" s="3">
        <v>651973000</v>
      </c>
      <c r="HL96" s="3">
        <v>8967040</v>
      </c>
      <c r="HM96" s="3">
        <v>643005960</v>
      </c>
      <c r="HN96" s="3">
        <v>0</v>
      </c>
      <c r="HO96" s="3">
        <v>651973000</v>
      </c>
      <c r="HP96" s="3">
        <v>8961875.6799999997</v>
      </c>
      <c r="HQ96" s="3">
        <v>596344279.24000001</v>
      </c>
      <c r="HR96" s="3">
        <v>0</v>
      </c>
      <c r="HS96" s="3">
        <v>605306154.91999996</v>
      </c>
      <c r="HT96" s="3">
        <v>8936903.3200000003</v>
      </c>
      <c r="HU96" s="3">
        <v>281554695.69999999</v>
      </c>
      <c r="HV96" s="3">
        <v>0</v>
      </c>
      <c r="HW96" s="3">
        <v>290491599.01999998</v>
      </c>
      <c r="HX96" s="3">
        <v>10605000</v>
      </c>
      <c r="HY96" s="3">
        <v>655078000</v>
      </c>
      <c r="HZ96" s="3">
        <v>0</v>
      </c>
      <c r="IA96" s="3">
        <v>665683000</v>
      </c>
      <c r="IB96" s="3">
        <v>10605000</v>
      </c>
      <c r="IC96" s="3">
        <v>655078000</v>
      </c>
      <c r="ID96" s="3">
        <v>0</v>
      </c>
      <c r="IE96" s="3">
        <v>665683000</v>
      </c>
      <c r="IF96" s="3"/>
      <c r="IG96" s="3"/>
      <c r="IH96" s="3"/>
      <c r="II96" s="3"/>
      <c r="IJ96" s="3"/>
      <c r="IK96" s="3"/>
      <c r="IL96" s="3"/>
      <c r="IM96" s="3"/>
      <c r="IN96" s="3"/>
      <c r="IO96" s="3"/>
      <c r="IP96" s="3"/>
      <c r="IQ96" s="3"/>
      <c r="IR96" s="3"/>
      <c r="IS96" s="3"/>
      <c r="IT96" s="3"/>
      <c r="IU96" s="3"/>
      <c r="IV96" s="3"/>
      <c r="IW96" s="3"/>
      <c r="IX96" s="3"/>
      <c r="IY96" s="3"/>
      <c r="IZ96" s="3">
        <v>12524000</v>
      </c>
      <c r="JA96" s="3">
        <v>626857000</v>
      </c>
      <c r="JB96" s="3">
        <v>0</v>
      </c>
      <c r="JC96" s="3">
        <v>639381000</v>
      </c>
      <c r="JD96" s="3"/>
      <c r="JE96" s="3"/>
      <c r="JF96" s="3"/>
      <c r="JG96" s="3"/>
    </row>
    <row r="97" spans="1:267" x14ac:dyDescent="0.25">
      <c r="A97" t="s">
        <v>197</v>
      </c>
      <c r="B97" t="s">
        <v>198</v>
      </c>
      <c r="C97" t="s">
        <v>199</v>
      </c>
      <c r="D97" t="s">
        <v>200</v>
      </c>
      <c r="E97" t="s">
        <v>378</v>
      </c>
      <c r="F97" t="s">
        <v>380</v>
      </c>
      <c r="G97" t="s">
        <v>304</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v>11287244000</v>
      </c>
      <c r="GW97" s="3">
        <v>10772232000</v>
      </c>
      <c r="GX97" s="3">
        <v>0</v>
      </c>
      <c r="GY97" s="3">
        <v>22059476000</v>
      </c>
      <c r="GZ97" s="3">
        <v>11287244000</v>
      </c>
      <c r="HA97" s="3">
        <v>10778232000</v>
      </c>
      <c r="HB97" s="3">
        <v>0</v>
      </c>
      <c r="HC97" s="3">
        <v>22065476000</v>
      </c>
      <c r="HD97" s="3">
        <v>11287244000</v>
      </c>
      <c r="HE97" s="3">
        <v>10778232000</v>
      </c>
      <c r="HF97" s="3">
        <v>0</v>
      </c>
      <c r="HG97" s="3">
        <v>22065476000</v>
      </c>
      <c r="HH97" s="3">
        <v>12181815776.02</v>
      </c>
      <c r="HI97" s="3">
        <v>9738716223.9799995</v>
      </c>
      <c r="HJ97" s="3">
        <v>0</v>
      </c>
      <c r="HK97" s="3">
        <v>21920532000</v>
      </c>
      <c r="HL97" s="3">
        <v>12181815776.02</v>
      </c>
      <c r="HM97" s="3">
        <v>9732716223.9799995</v>
      </c>
      <c r="HN97" s="3">
        <v>0</v>
      </c>
      <c r="HO97" s="3">
        <v>21914532000</v>
      </c>
      <c r="HP97" s="3">
        <v>12181815776.02</v>
      </c>
      <c r="HQ97" s="3">
        <v>9441329459.4799995</v>
      </c>
      <c r="HR97" s="3">
        <v>0</v>
      </c>
      <c r="HS97" s="3">
        <v>21623145235.5</v>
      </c>
      <c r="HT97" s="3">
        <v>12136984481.530001</v>
      </c>
      <c r="HU97" s="3">
        <v>6692245849.4799995</v>
      </c>
      <c r="HV97" s="3">
        <v>0</v>
      </c>
      <c r="HW97" s="3">
        <v>18829230331.009998</v>
      </c>
      <c r="HX97" s="3">
        <v>13866066000</v>
      </c>
      <c r="HY97" s="3">
        <v>10903186000</v>
      </c>
      <c r="HZ97" s="3">
        <v>1699240000</v>
      </c>
      <c r="IA97" s="3">
        <v>26468492000</v>
      </c>
      <c r="IB97" s="3">
        <v>13866066000</v>
      </c>
      <c r="IC97" s="3">
        <v>14245258000</v>
      </c>
      <c r="ID97" s="3">
        <v>1869240000</v>
      </c>
      <c r="IE97" s="3">
        <v>29980564000</v>
      </c>
      <c r="IF97" s="3"/>
      <c r="IG97" s="3"/>
      <c r="IH97" s="3"/>
      <c r="II97" s="3"/>
      <c r="IJ97" s="3"/>
      <c r="IK97" s="3"/>
      <c r="IL97" s="3"/>
      <c r="IM97" s="3"/>
      <c r="IN97" s="3"/>
      <c r="IO97" s="3"/>
      <c r="IP97" s="3"/>
      <c r="IQ97" s="3"/>
      <c r="IR97" s="3"/>
      <c r="IS97" s="3"/>
      <c r="IT97" s="3"/>
      <c r="IU97" s="3"/>
      <c r="IV97" s="3"/>
      <c r="IW97" s="3"/>
      <c r="IX97" s="3"/>
      <c r="IY97" s="3"/>
      <c r="IZ97" s="3">
        <v>14129651000</v>
      </c>
      <c r="JA97" s="3">
        <v>12799724000</v>
      </c>
      <c r="JB97" s="3">
        <v>0</v>
      </c>
      <c r="JC97" s="3">
        <v>26929375000</v>
      </c>
      <c r="JD97" s="3"/>
      <c r="JE97" s="3"/>
      <c r="JF97" s="3"/>
      <c r="JG97" s="3"/>
    </row>
    <row r="98" spans="1:267" x14ac:dyDescent="0.25">
      <c r="A98" t="s">
        <v>197</v>
      </c>
      <c r="B98" t="s">
        <v>198</v>
      </c>
      <c r="C98" t="s">
        <v>199</v>
      </c>
      <c r="D98" t="s">
        <v>200</v>
      </c>
      <c r="E98" t="s">
        <v>378</v>
      </c>
      <c r="F98" t="s">
        <v>381</v>
      </c>
      <c r="G98" t="s">
        <v>306</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v>37156208000</v>
      </c>
      <c r="GW98" s="3">
        <v>35540622000</v>
      </c>
      <c r="GX98" s="3">
        <v>0</v>
      </c>
      <c r="GY98" s="3">
        <v>72696830000</v>
      </c>
      <c r="GZ98" s="3">
        <v>37156208000</v>
      </c>
      <c r="HA98" s="3">
        <v>35540622000</v>
      </c>
      <c r="HB98" s="3">
        <v>2910000000</v>
      </c>
      <c r="HC98" s="3">
        <v>75606830000</v>
      </c>
      <c r="HD98" s="3">
        <v>37156208000</v>
      </c>
      <c r="HE98" s="3">
        <v>35540622000</v>
      </c>
      <c r="HF98" s="3">
        <v>2910000000</v>
      </c>
      <c r="HG98" s="3">
        <v>75606830000</v>
      </c>
      <c r="HH98" s="3">
        <v>39555814925.989998</v>
      </c>
      <c r="HI98" s="3">
        <v>33014767074.009998</v>
      </c>
      <c r="HJ98" s="3">
        <v>2910000000</v>
      </c>
      <c r="HK98" s="3">
        <v>75480582000</v>
      </c>
      <c r="HL98" s="3">
        <v>39555814925.989998</v>
      </c>
      <c r="HM98" s="3">
        <v>33014767074.009998</v>
      </c>
      <c r="HN98" s="3">
        <v>1135000000</v>
      </c>
      <c r="HO98" s="3">
        <v>73705582000</v>
      </c>
      <c r="HP98" s="3">
        <v>39546060857.400002</v>
      </c>
      <c r="HQ98" s="3">
        <v>32091251324.110001</v>
      </c>
      <c r="HR98" s="3">
        <v>16376601.810000001</v>
      </c>
      <c r="HS98" s="3">
        <v>71653688783.309998</v>
      </c>
      <c r="HT98" s="3">
        <v>39329893836.349998</v>
      </c>
      <c r="HU98" s="3">
        <v>24619590116.299999</v>
      </c>
      <c r="HV98" s="3">
        <v>0</v>
      </c>
      <c r="HW98" s="3">
        <v>63949483952.650002</v>
      </c>
      <c r="HX98" s="3">
        <v>46816953000</v>
      </c>
      <c r="HY98" s="3">
        <v>42425757000</v>
      </c>
      <c r="HZ98" s="3">
        <v>6016727000</v>
      </c>
      <c r="IA98" s="3">
        <v>95259437000</v>
      </c>
      <c r="IB98" s="3">
        <v>46816953000</v>
      </c>
      <c r="IC98" s="3">
        <v>48460757000</v>
      </c>
      <c r="ID98" s="3">
        <v>6471727000</v>
      </c>
      <c r="IE98" s="3">
        <v>101749437000</v>
      </c>
      <c r="IF98" s="3"/>
      <c r="IG98" s="3"/>
      <c r="IH98" s="3"/>
      <c r="II98" s="3"/>
      <c r="IJ98" s="3"/>
      <c r="IK98" s="3"/>
      <c r="IL98" s="3"/>
      <c r="IM98" s="3"/>
      <c r="IN98" s="3"/>
      <c r="IO98" s="3"/>
      <c r="IP98" s="3"/>
      <c r="IQ98" s="3"/>
      <c r="IR98" s="3"/>
      <c r="IS98" s="3"/>
      <c r="IT98" s="3"/>
      <c r="IU98" s="3"/>
      <c r="IV98" s="3"/>
      <c r="IW98" s="3"/>
      <c r="IX98" s="3"/>
      <c r="IY98" s="3"/>
      <c r="IZ98" s="3">
        <v>49069193000</v>
      </c>
      <c r="JA98" s="3">
        <v>53797838000</v>
      </c>
      <c r="JB98" s="3">
        <v>0</v>
      </c>
      <c r="JC98" s="3">
        <v>102867031000</v>
      </c>
      <c r="JD98" s="3"/>
      <c r="JE98" s="3"/>
      <c r="JF98" s="3"/>
      <c r="JG98" s="3"/>
    </row>
    <row r="99" spans="1:267" x14ac:dyDescent="0.25">
      <c r="A99" t="s">
        <v>197</v>
      </c>
      <c r="B99" t="s">
        <v>198</v>
      </c>
      <c r="C99" t="s">
        <v>199</v>
      </c>
      <c r="D99" t="s">
        <v>200</v>
      </c>
      <c r="E99" t="s">
        <v>378</v>
      </c>
      <c r="F99" t="s">
        <v>382</v>
      </c>
      <c r="G99" t="s">
        <v>383</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v>0</v>
      </c>
      <c r="GW99" s="3">
        <v>745254000</v>
      </c>
      <c r="GX99" s="3">
        <v>0</v>
      </c>
      <c r="GY99" s="3">
        <v>745254000</v>
      </c>
      <c r="GZ99" s="3">
        <v>0</v>
      </c>
      <c r="HA99" s="3">
        <v>745254000</v>
      </c>
      <c r="HB99" s="3">
        <v>0</v>
      </c>
      <c r="HC99" s="3">
        <v>745254000</v>
      </c>
      <c r="HD99" s="3">
        <v>0</v>
      </c>
      <c r="HE99" s="3">
        <v>745254000</v>
      </c>
      <c r="HF99" s="3">
        <v>0</v>
      </c>
      <c r="HG99" s="3">
        <v>745254000</v>
      </c>
      <c r="HH99" s="3">
        <v>19376167.579999998</v>
      </c>
      <c r="HI99" s="3">
        <v>725877832.41999996</v>
      </c>
      <c r="HJ99" s="3">
        <v>0</v>
      </c>
      <c r="HK99" s="3">
        <v>745254000</v>
      </c>
      <c r="HL99" s="3">
        <v>19376167.579999998</v>
      </c>
      <c r="HM99" s="3">
        <v>725877832.41999996</v>
      </c>
      <c r="HN99" s="3">
        <v>0</v>
      </c>
      <c r="HO99" s="3">
        <v>745254000</v>
      </c>
      <c r="HP99" s="3">
        <v>19376167.579999998</v>
      </c>
      <c r="HQ99" s="3">
        <v>430226712.24000001</v>
      </c>
      <c r="HR99" s="3">
        <v>0</v>
      </c>
      <c r="HS99" s="3">
        <v>449602879.81999999</v>
      </c>
      <c r="HT99" s="3">
        <v>19368813.190000001</v>
      </c>
      <c r="HU99" s="3">
        <v>171692542.22</v>
      </c>
      <c r="HV99" s="3">
        <v>0</v>
      </c>
      <c r="HW99" s="3">
        <v>191061355.41</v>
      </c>
      <c r="HX99" s="3">
        <v>0</v>
      </c>
      <c r="HY99" s="3">
        <v>758669000</v>
      </c>
      <c r="HZ99" s="3">
        <v>0</v>
      </c>
      <c r="IA99" s="3">
        <v>758669000</v>
      </c>
      <c r="IB99" s="3">
        <v>0</v>
      </c>
      <c r="IC99" s="3">
        <v>758669000</v>
      </c>
      <c r="ID99" s="3">
        <v>0</v>
      </c>
      <c r="IE99" s="3">
        <v>758669000</v>
      </c>
      <c r="IF99" s="3"/>
      <c r="IG99" s="3"/>
      <c r="IH99" s="3"/>
      <c r="II99" s="3"/>
      <c r="IJ99" s="3"/>
      <c r="IK99" s="3"/>
      <c r="IL99" s="3"/>
      <c r="IM99" s="3"/>
      <c r="IN99" s="3"/>
      <c r="IO99" s="3"/>
      <c r="IP99" s="3"/>
      <c r="IQ99" s="3"/>
      <c r="IR99" s="3"/>
      <c r="IS99" s="3"/>
      <c r="IT99" s="3"/>
      <c r="IU99" s="3"/>
      <c r="IV99" s="3"/>
      <c r="IW99" s="3"/>
      <c r="IX99" s="3"/>
      <c r="IY99" s="3"/>
      <c r="IZ99" s="3">
        <v>0</v>
      </c>
      <c r="JA99" s="3">
        <v>429359000</v>
      </c>
      <c r="JB99" s="3">
        <v>0</v>
      </c>
      <c r="JC99" s="3">
        <v>429359000</v>
      </c>
      <c r="JD99" s="3"/>
      <c r="JE99" s="3"/>
      <c r="JF99" s="3"/>
      <c r="JG99" s="3"/>
    </row>
    <row r="100" spans="1:267" x14ac:dyDescent="0.25">
      <c r="A100" t="s">
        <v>197</v>
      </c>
      <c r="B100" t="s">
        <v>198</v>
      </c>
      <c r="C100" t="s">
        <v>199</v>
      </c>
      <c r="D100" t="s">
        <v>200</v>
      </c>
      <c r="E100" t="s">
        <v>378</v>
      </c>
      <c r="F100" t="s">
        <v>384</v>
      </c>
      <c r="G100" t="s">
        <v>312</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v>1008269000</v>
      </c>
      <c r="GW100" s="3">
        <v>749797000</v>
      </c>
      <c r="GX100" s="3">
        <v>0</v>
      </c>
      <c r="GY100" s="3">
        <v>1758066000</v>
      </c>
      <c r="GZ100" s="3">
        <v>1008269000</v>
      </c>
      <c r="HA100" s="3">
        <v>749797000</v>
      </c>
      <c r="HB100" s="3">
        <v>0</v>
      </c>
      <c r="HC100" s="3">
        <v>1758066000</v>
      </c>
      <c r="HD100" s="3">
        <v>1008269000</v>
      </c>
      <c r="HE100" s="3">
        <v>749797000</v>
      </c>
      <c r="HF100" s="3">
        <v>0</v>
      </c>
      <c r="HG100" s="3">
        <v>1758066000</v>
      </c>
      <c r="HH100" s="3">
        <v>1075247112.49</v>
      </c>
      <c r="HI100" s="3">
        <v>682818887.50999999</v>
      </c>
      <c r="HJ100" s="3">
        <v>0</v>
      </c>
      <c r="HK100" s="3">
        <v>1758066000</v>
      </c>
      <c r="HL100" s="3">
        <v>1075247112.49</v>
      </c>
      <c r="HM100" s="3">
        <v>682818887.50999999</v>
      </c>
      <c r="HN100" s="3">
        <v>0</v>
      </c>
      <c r="HO100" s="3">
        <v>1758066000</v>
      </c>
      <c r="HP100" s="3">
        <v>1075201750.27</v>
      </c>
      <c r="HQ100" s="3">
        <v>665499314.70000005</v>
      </c>
      <c r="HR100" s="3">
        <v>0</v>
      </c>
      <c r="HS100" s="3">
        <v>1740701064.97</v>
      </c>
      <c r="HT100" s="3">
        <v>1067622718.95</v>
      </c>
      <c r="HU100" s="3">
        <v>610416319.05999994</v>
      </c>
      <c r="HV100" s="3">
        <v>0</v>
      </c>
      <c r="HW100" s="3">
        <v>1678039038.01</v>
      </c>
      <c r="HX100" s="3">
        <v>1299079000</v>
      </c>
      <c r="HY100" s="3">
        <v>764090000</v>
      </c>
      <c r="HZ100" s="3">
        <v>731574000</v>
      </c>
      <c r="IA100" s="3">
        <v>2794743000</v>
      </c>
      <c r="IB100" s="3">
        <v>1299079000</v>
      </c>
      <c r="IC100" s="3">
        <v>764090000</v>
      </c>
      <c r="ID100" s="3">
        <v>731574000</v>
      </c>
      <c r="IE100" s="3">
        <v>2794743000</v>
      </c>
      <c r="IF100" s="3"/>
      <c r="IG100" s="3"/>
      <c r="IH100" s="3"/>
      <c r="II100" s="3"/>
      <c r="IJ100" s="3"/>
      <c r="IK100" s="3"/>
      <c r="IL100" s="3"/>
      <c r="IM100" s="3"/>
      <c r="IN100" s="3"/>
      <c r="IO100" s="3"/>
      <c r="IP100" s="3"/>
      <c r="IQ100" s="3"/>
      <c r="IR100" s="3"/>
      <c r="IS100" s="3"/>
      <c r="IT100" s="3"/>
      <c r="IU100" s="3"/>
      <c r="IV100" s="3"/>
      <c r="IW100" s="3"/>
      <c r="IX100" s="3"/>
      <c r="IY100" s="3"/>
      <c r="IZ100" s="3">
        <v>1501811000</v>
      </c>
      <c r="JA100" s="3">
        <v>880615000</v>
      </c>
      <c r="JB100" s="3">
        <v>0</v>
      </c>
      <c r="JC100" s="3">
        <v>2382426000</v>
      </c>
      <c r="JD100" s="3"/>
      <c r="JE100" s="3"/>
      <c r="JF100" s="3"/>
      <c r="JG100" s="3"/>
    </row>
    <row r="101" spans="1:267" x14ac:dyDescent="0.25">
      <c r="A101" t="s">
        <v>197</v>
      </c>
      <c r="B101" t="s">
        <v>198</v>
      </c>
      <c r="C101" t="s">
        <v>199</v>
      </c>
      <c r="D101" t="s">
        <v>200</v>
      </c>
      <c r="E101" t="s">
        <v>378</v>
      </c>
      <c r="F101" t="s">
        <v>385</v>
      </c>
      <c r="G101" t="s">
        <v>386</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v>0</v>
      </c>
      <c r="HY101" s="3">
        <v>85694000</v>
      </c>
      <c r="HZ101" s="3">
        <v>0</v>
      </c>
      <c r="IA101" s="3">
        <v>85694000</v>
      </c>
      <c r="IB101" s="3">
        <v>0</v>
      </c>
      <c r="IC101" s="3">
        <v>85694000</v>
      </c>
      <c r="ID101" s="3">
        <v>0</v>
      </c>
      <c r="IE101" s="3">
        <v>85694000</v>
      </c>
      <c r="IF101" s="3"/>
      <c r="IG101" s="3"/>
      <c r="IH101" s="3"/>
      <c r="II101" s="3"/>
      <c r="IJ101" s="3"/>
      <c r="IK101" s="3"/>
      <c r="IL101" s="3"/>
      <c r="IM101" s="3"/>
      <c r="IN101" s="3"/>
      <c r="IO101" s="3"/>
      <c r="IP101" s="3"/>
      <c r="IQ101" s="3"/>
      <c r="IR101" s="3"/>
      <c r="IS101" s="3"/>
      <c r="IT101" s="3"/>
      <c r="IU101" s="3"/>
      <c r="IV101" s="3"/>
      <c r="IW101" s="3"/>
      <c r="IX101" s="3"/>
      <c r="IY101" s="3"/>
      <c r="IZ101" s="3">
        <v>0</v>
      </c>
      <c r="JA101" s="3">
        <v>87236000</v>
      </c>
      <c r="JB101" s="3">
        <v>0</v>
      </c>
      <c r="JC101" s="3">
        <v>87236000</v>
      </c>
      <c r="JD101" s="3"/>
      <c r="JE101" s="3"/>
      <c r="JF101" s="3"/>
      <c r="JG101" s="3"/>
    </row>
    <row r="102" spans="1:267" x14ac:dyDescent="0.25">
      <c r="A102" t="s">
        <v>197</v>
      </c>
      <c r="B102" t="s">
        <v>198</v>
      </c>
      <c r="C102" t="s">
        <v>199</v>
      </c>
      <c r="D102" t="s">
        <v>200</v>
      </c>
      <c r="E102" t="s">
        <v>387</v>
      </c>
      <c r="F102" t="s">
        <v>388</v>
      </c>
      <c r="G102" t="s">
        <v>315</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v>57253000</v>
      </c>
      <c r="GW102" s="3">
        <v>39964000</v>
      </c>
      <c r="GX102" s="3">
        <v>0</v>
      </c>
      <c r="GY102" s="3">
        <v>97217000</v>
      </c>
      <c r="GZ102" s="3">
        <v>57253000</v>
      </c>
      <c r="HA102" s="3">
        <v>39964000</v>
      </c>
      <c r="HB102" s="3">
        <v>0</v>
      </c>
      <c r="HC102" s="3">
        <v>97217000</v>
      </c>
      <c r="HD102" s="3">
        <v>57253000</v>
      </c>
      <c r="HE102" s="3">
        <v>39964000</v>
      </c>
      <c r="HF102" s="3">
        <v>0</v>
      </c>
      <c r="HG102" s="3">
        <v>97217000</v>
      </c>
      <c r="HH102" s="3">
        <v>57560680.619999997</v>
      </c>
      <c r="HI102" s="3">
        <v>39656319.380000003</v>
      </c>
      <c r="HJ102" s="3">
        <v>0</v>
      </c>
      <c r="HK102" s="3">
        <v>97217000</v>
      </c>
      <c r="HL102" s="3">
        <v>57560680.619999997</v>
      </c>
      <c r="HM102" s="3">
        <v>39656319.380000003</v>
      </c>
      <c r="HN102" s="3">
        <v>0</v>
      </c>
      <c r="HO102" s="3">
        <v>97217000</v>
      </c>
      <c r="HP102" s="3">
        <v>57505000</v>
      </c>
      <c r="HQ102" s="3">
        <v>26274650.890000001</v>
      </c>
      <c r="HR102" s="3">
        <v>0</v>
      </c>
      <c r="HS102" s="3">
        <v>83779650.890000001</v>
      </c>
      <c r="HT102" s="3">
        <v>57211114.229999997</v>
      </c>
      <c r="HU102" s="3">
        <v>21361608.68</v>
      </c>
      <c r="HV102" s="3">
        <v>0</v>
      </c>
      <c r="HW102" s="3">
        <v>78572722.909999996</v>
      </c>
      <c r="HX102" s="3">
        <v>63649000</v>
      </c>
      <c r="HY102" s="3">
        <v>40451000</v>
      </c>
      <c r="HZ102" s="3">
        <v>0</v>
      </c>
      <c r="IA102" s="3">
        <v>104100000</v>
      </c>
      <c r="IB102" s="3">
        <v>63649000</v>
      </c>
      <c r="IC102" s="3">
        <v>40451000</v>
      </c>
      <c r="ID102" s="3">
        <v>0</v>
      </c>
      <c r="IE102" s="3">
        <v>104100000</v>
      </c>
      <c r="IF102" s="3"/>
      <c r="IG102" s="3"/>
      <c r="IH102" s="3"/>
      <c r="II102" s="3"/>
      <c r="IJ102" s="3"/>
      <c r="IK102" s="3"/>
      <c r="IL102" s="3"/>
      <c r="IM102" s="3"/>
      <c r="IN102" s="3"/>
      <c r="IO102" s="3"/>
      <c r="IP102" s="3"/>
      <c r="IQ102" s="3"/>
      <c r="IR102" s="3"/>
      <c r="IS102" s="3"/>
      <c r="IT102" s="3"/>
      <c r="IU102" s="3"/>
      <c r="IV102" s="3"/>
      <c r="IW102" s="3"/>
      <c r="IX102" s="3"/>
      <c r="IY102" s="3"/>
      <c r="IZ102" s="3">
        <v>64117000</v>
      </c>
      <c r="JA102" s="3">
        <v>37825000</v>
      </c>
      <c r="JB102" s="3">
        <v>0</v>
      </c>
      <c r="JC102" s="3">
        <v>101942000</v>
      </c>
      <c r="JD102" s="3"/>
      <c r="JE102" s="3"/>
      <c r="JF102" s="3"/>
      <c r="JG102" s="3"/>
    </row>
    <row r="103" spans="1:267" x14ac:dyDescent="0.25">
      <c r="A103" t="s">
        <v>197</v>
      </c>
      <c r="B103" t="s">
        <v>198</v>
      </c>
      <c r="C103" t="s">
        <v>199</v>
      </c>
      <c r="D103" t="s">
        <v>200</v>
      </c>
      <c r="E103" t="s">
        <v>387</v>
      </c>
      <c r="F103" t="s">
        <v>389</v>
      </c>
      <c r="G103" t="s">
        <v>317</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v>199725000</v>
      </c>
      <c r="GW103" s="3">
        <v>189771000</v>
      </c>
      <c r="GX103" s="3">
        <v>0</v>
      </c>
      <c r="GY103" s="3">
        <v>389496000</v>
      </c>
      <c r="GZ103" s="3">
        <v>199725000</v>
      </c>
      <c r="HA103" s="3">
        <v>189771000</v>
      </c>
      <c r="HB103" s="3">
        <v>0</v>
      </c>
      <c r="HC103" s="3">
        <v>389496000</v>
      </c>
      <c r="HD103" s="3">
        <v>199725000</v>
      </c>
      <c r="HE103" s="3">
        <v>189771000</v>
      </c>
      <c r="HF103" s="3">
        <v>0</v>
      </c>
      <c r="HG103" s="3">
        <v>389496000</v>
      </c>
      <c r="HH103" s="3">
        <v>204048593.44</v>
      </c>
      <c r="HI103" s="3">
        <v>185101406.56</v>
      </c>
      <c r="HJ103" s="3">
        <v>0</v>
      </c>
      <c r="HK103" s="3">
        <v>389150000</v>
      </c>
      <c r="HL103" s="3">
        <v>204048593.44</v>
      </c>
      <c r="HM103" s="3">
        <v>185101406.56</v>
      </c>
      <c r="HN103" s="3">
        <v>0</v>
      </c>
      <c r="HO103" s="3">
        <v>389150000</v>
      </c>
      <c r="HP103" s="3">
        <v>204047843.49000001</v>
      </c>
      <c r="HQ103" s="3">
        <v>172614732.43000001</v>
      </c>
      <c r="HR103" s="3">
        <v>0</v>
      </c>
      <c r="HS103" s="3">
        <v>376662575.92000002</v>
      </c>
      <c r="HT103" s="3">
        <v>202956215.09999999</v>
      </c>
      <c r="HU103" s="3">
        <v>150962597.08000001</v>
      </c>
      <c r="HV103" s="3">
        <v>0</v>
      </c>
      <c r="HW103" s="3">
        <v>353918812.18000001</v>
      </c>
      <c r="HX103" s="3">
        <v>228476000</v>
      </c>
      <c r="HY103" s="3">
        <v>191144000</v>
      </c>
      <c r="HZ103" s="3">
        <v>0</v>
      </c>
      <c r="IA103" s="3">
        <v>419620000</v>
      </c>
      <c r="IB103" s="3">
        <v>228476000</v>
      </c>
      <c r="IC103" s="3">
        <v>191144000</v>
      </c>
      <c r="ID103" s="3">
        <v>0</v>
      </c>
      <c r="IE103" s="3">
        <v>419620000</v>
      </c>
      <c r="IF103" s="3"/>
      <c r="IG103" s="3"/>
      <c r="IH103" s="3"/>
      <c r="II103" s="3"/>
      <c r="IJ103" s="3"/>
      <c r="IK103" s="3"/>
      <c r="IL103" s="3"/>
      <c r="IM103" s="3"/>
      <c r="IN103" s="3"/>
      <c r="IO103" s="3"/>
      <c r="IP103" s="3"/>
      <c r="IQ103" s="3"/>
      <c r="IR103" s="3"/>
      <c r="IS103" s="3"/>
      <c r="IT103" s="3"/>
      <c r="IU103" s="3"/>
      <c r="IV103" s="3"/>
      <c r="IW103" s="3"/>
      <c r="IX103" s="3"/>
      <c r="IY103" s="3"/>
      <c r="IZ103" s="3">
        <v>238884000</v>
      </c>
      <c r="JA103" s="3">
        <v>194585000</v>
      </c>
      <c r="JB103" s="3">
        <v>0</v>
      </c>
      <c r="JC103" s="3">
        <v>433469000</v>
      </c>
      <c r="JD103" s="3"/>
      <c r="JE103" s="3"/>
      <c r="JF103" s="3"/>
      <c r="JG103" s="3"/>
    </row>
    <row r="104" spans="1:267" x14ac:dyDescent="0.25">
      <c r="A104" t="s">
        <v>197</v>
      </c>
      <c r="B104" t="s">
        <v>198</v>
      </c>
      <c r="C104" t="s">
        <v>199</v>
      </c>
      <c r="D104" t="s">
        <v>200</v>
      </c>
      <c r="E104" t="s">
        <v>387</v>
      </c>
      <c r="F104" t="s">
        <v>390</v>
      </c>
      <c r="G104" t="s">
        <v>319</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v>503283000</v>
      </c>
      <c r="GW104" s="3">
        <v>0</v>
      </c>
      <c r="GX104" s="3">
        <v>0</v>
      </c>
      <c r="GY104" s="3">
        <v>503283000</v>
      </c>
      <c r="GZ104" s="3">
        <v>503283000</v>
      </c>
      <c r="HA104" s="3">
        <v>0</v>
      </c>
      <c r="HB104" s="3">
        <v>120000000</v>
      </c>
      <c r="HC104" s="3">
        <v>623283000</v>
      </c>
      <c r="HD104" s="3">
        <v>503283000</v>
      </c>
      <c r="HE104" s="3">
        <v>0</v>
      </c>
      <c r="HF104" s="3">
        <v>120000000</v>
      </c>
      <c r="HG104" s="3">
        <v>623283000</v>
      </c>
      <c r="HH104" s="3">
        <v>503283000</v>
      </c>
      <c r="HI104" s="3">
        <v>0</v>
      </c>
      <c r="HJ104" s="3">
        <v>120000000</v>
      </c>
      <c r="HK104" s="3">
        <v>623283000</v>
      </c>
      <c r="HL104" s="3">
        <v>503283000</v>
      </c>
      <c r="HM104" s="3">
        <v>0</v>
      </c>
      <c r="HN104" s="3">
        <v>0</v>
      </c>
      <c r="HO104" s="3">
        <v>503283000</v>
      </c>
      <c r="HP104" s="3">
        <v>503252003.48000002</v>
      </c>
      <c r="HQ104" s="3">
        <v>0</v>
      </c>
      <c r="HR104" s="3">
        <v>0</v>
      </c>
      <c r="HS104" s="3">
        <v>503252003.48000002</v>
      </c>
      <c r="HT104" s="3">
        <v>499346655.44999999</v>
      </c>
      <c r="HU104" s="3">
        <v>0</v>
      </c>
      <c r="HV104" s="3">
        <v>0</v>
      </c>
      <c r="HW104" s="3">
        <v>499346655.44999999</v>
      </c>
      <c r="HX104" s="3">
        <v>620626000</v>
      </c>
      <c r="HY104" s="3">
        <v>0</v>
      </c>
      <c r="HZ104" s="3">
        <v>0</v>
      </c>
      <c r="IA104" s="3">
        <v>620626000</v>
      </c>
      <c r="IB104" s="3">
        <v>620626000</v>
      </c>
      <c r="IC104" s="3">
        <v>0</v>
      </c>
      <c r="ID104" s="3">
        <v>0</v>
      </c>
      <c r="IE104" s="3">
        <v>620626000</v>
      </c>
      <c r="IF104" s="3"/>
      <c r="IG104" s="3"/>
      <c r="IH104" s="3"/>
      <c r="II104" s="3"/>
      <c r="IJ104" s="3"/>
      <c r="IK104" s="3"/>
      <c r="IL104" s="3"/>
      <c r="IM104" s="3"/>
      <c r="IN104" s="3"/>
      <c r="IO104" s="3"/>
      <c r="IP104" s="3"/>
      <c r="IQ104" s="3"/>
      <c r="IR104" s="3"/>
      <c r="IS104" s="3"/>
      <c r="IT104" s="3"/>
      <c r="IU104" s="3"/>
      <c r="IV104" s="3"/>
      <c r="IW104" s="3"/>
      <c r="IX104" s="3"/>
      <c r="IY104" s="3"/>
      <c r="IZ104" s="3">
        <v>683206000</v>
      </c>
      <c r="JA104" s="3">
        <v>0</v>
      </c>
      <c r="JB104" s="3">
        <v>0</v>
      </c>
      <c r="JC104" s="3">
        <v>683206000</v>
      </c>
      <c r="JD104" s="3"/>
      <c r="JE104" s="3"/>
      <c r="JF104" s="3"/>
      <c r="JG104" s="3"/>
    </row>
    <row r="105" spans="1:267" x14ac:dyDescent="0.25">
      <c r="A105" t="s">
        <v>197</v>
      </c>
      <c r="B105" t="s">
        <v>198</v>
      </c>
      <c r="C105" t="s">
        <v>199</v>
      </c>
      <c r="D105" t="s">
        <v>200</v>
      </c>
      <c r="E105" t="s">
        <v>387</v>
      </c>
      <c r="F105" t="s">
        <v>391</v>
      </c>
      <c r="G105" t="s">
        <v>321</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v>183207000</v>
      </c>
      <c r="GW105" s="3">
        <v>0</v>
      </c>
      <c r="GX105" s="3">
        <v>0</v>
      </c>
      <c r="GY105" s="3">
        <v>183207000</v>
      </c>
      <c r="GZ105" s="3">
        <v>183207000</v>
      </c>
      <c r="HA105" s="3">
        <v>0</v>
      </c>
      <c r="HB105" s="3">
        <v>0</v>
      </c>
      <c r="HC105" s="3">
        <v>183207000</v>
      </c>
      <c r="HD105" s="3">
        <v>183207000</v>
      </c>
      <c r="HE105" s="3">
        <v>0</v>
      </c>
      <c r="HF105" s="3">
        <v>0</v>
      </c>
      <c r="HG105" s="3">
        <v>183207000</v>
      </c>
      <c r="HH105" s="3">
        <v>183207000</v>
      </c>
      <c r="HI105" s="3">
        <v>0</v>
      </c>
      <c r="HJ105" s="3">
        <v>0</v>
      </c>
      <c r="HK105" s="3">
        <v>183207000</v>
      </c>
      <c r="HL105" s="3">
        <v>183207000</v>
      </c>
      <c r="HM105" s="3">
        <v>0</v>
      </c>
      <c r="HN105" s="3">
        <v>0</v>
      </c>
      <c r="HO105" s="3">
        <v>183207000</v>
      </c>
      <c r="HP105" s="3">
        <v>183207000</v>
      </c>
      <c r="HQ105" s="3">
        <v>0</v>
      </c>
      <c r="HR105" s="3">
        <v>0</v>
      </c>
      <c r="HS105" s="3">
        <v>183207000</v>
      </c>
      <c r="HT105" s="3">
        <v>183094141.90000001</v>
      </c>
      <c r="HU105" s="3">
        <v>0</v>
      </c>
      <c r="HV105" s="3">
        <v>0</v>
      </c>
      <c r="HW105" s="3">
        <v>183094141.90000001</v>
      </c>
      <c r="HX105" s="3">
        <v>206840000</v>
      </c>
      <c r="HY105" s="3">
        <v>0</v>
      </c>
      <c r="HZ105" s="3">
        <v>0</v>
      </c>
      <c r="IA105" s="3">
        <v>206840000</v>
      </c>
      <c r="IB105" s="3">
        <v>206840000</v>
      </c>
      <c r="IC105" s="3">
        <v>0</v>
      </c>
      <c r="ID105" s="3">
        <v>0</v>
      </c>
      <c r="IE105" s="3">
        <v>206840000</v>
      </c>
      <c r="IF105" s="3"/>
      <c r="IG105" s="3"/>
      <c r="IH105" s="3"/>
      <c r="II105" s="3"/>
      <c r="IJ105" s="3"/>
      <c r="IK105" s="3"/>
      <c r="IL105" s="3"/>
      <c r="IM105" s="3"/>
      <c r="IN105" s="3"/>
      <c r="IO105" s="3"/>
      <c r="IP105" s="3"/>
      <c r="IQ105" s="3"/>
      <c r="IR105" s="3"/>
      <c r="IS105" s="3"/>
      <c r="IT105" s="3"/>
      <c r="IU105" s="3"/>
      <c r="IV105" s="3"/>
      <c r="IW105" s="3"/>
      <c r="IX105" s="3"/>
      <c r="IY105" s="3"/>
      <c r="IZ105" s="3">
        <v>212522000</v>
      </c>
      <c r="JA105" s="3">
        <v>151522000</v>
      </c>
      <c r="JB105" s="3">
        <v>0</v>
      </c>
      <c r="JC105" s="3">
        <v>364044000</v>
      </c>
      <c r="JD105" s="3"/>
      <c r="JE105" s="3"/>
      <c r="JF105" s="3"/>
      <c r="JG105" s="3"/>
    </row>
    <row r="106" spans="1:267" x14ac:dyDescent="0.25">
      <c r="A106" t="s">
        <v>197</v>
      </c>
      <c r="B106" t="s">
        <v>198</v>
      </c>
      <c r="C106" t="s">
        <v>199</v>
      </c>
      <c r="D106" t="s">
        <v>200</v>
      </c>
      <c r="E106" t="s">
        <v>392</v>
      </c>
      <c r="F106" t="s">
        <v>393</v>
      </c>
      <c r="G106" t="s">
        <v>328</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v>0</v>
      </c>
      <c r="GW106" s="3">
        <v>1250000000</v>
      </c>
      <c r="GX106" s="3">
        <v>0</v>
      </c>
      <c r="GY106" s="3">
        <v>1250000000</v>
      </c>
      <c r="GZ106" s="3">
        <v>0</v>
      </c>
      <c r="HA106" s="3">
        <v>1250000000</v>
      </c>
      <c r="HB106" s="3">
        <v>0</v>
      </c>
      <c r="HC106" s="3">
        <v>1250000000</v>
      </c>
      <c r="HD106" s="3">
        <v>0</v>
      </c>
      <c r="HE106" s="3">
        <v>1250000000</v>
      </c>
      <c r="HF106" s="3">
        <v>0</v>
      </c>
      <c r="HG106" s="3">
        <v>1250000000</v>
      </c>
      <c r="HH106" s="3">
        <v>0</v>
      </c>
      <c r="HI106" s="3">
        <v>1250000000</v>
      </c>
      <c r="HJ106" s="3">
        <v>0</v>
      </c>
      <c r="HK106" s="3">
        <v>1250000000</v>
      </c>
      <c r="HL106" s="3">
        <v>0</v>
      </c>
      <c r="HM106" s="3">
        <v>1250000000</v>
      </c>
      <c r="HN106" s="3">
        <v>0</v>
      </c>
      <c r="HO106" s="3">
        <v>1250000000</v>
      </c>
      <c r="HP106" s="3">
        <v>0</v>
      </c>
      <c r="HQ106" s="3">
        <v>1236880375.0999999</v>
      </c>
      <c r="HR106" s="3">
        <v>0</v>
      </c>
      <c r="HS106" s="3">
        <v>1236880375.0999999</v>
      </c>
      <c r="HT106" s="3">
        <v>0</v>
      </c>
      <c r="HU106" s="3">
        <v>1147606138.99</v>
      </c>
      <c r="HV106" s="3">
        <v>0</v>
      </c>
      <c r="HW106" s="3">
        <v>1147606138.99</v>
      </c>
      <c r="HX106" s="3">
        <v>0</v>
      </c>
      <c r="HY106" s="3">
        <v>1250000000</v>
      </c>
      <c r="HZ106" s="3">
        <v>0</v>
      </c>
      <c r="IA106" s="3">
        <v>1250000000</v>
      </c>
      <c r="IB106" s="3">
        <v>0</v>
      </c>
      <c r="IC106" s="3">
        <v>1500000000</v>
      </c>
      <c r="ID106" s="3">
        <v>0</v>
      </c>
      <c r="IE106" s="3">
        <v>1500000000</v>
      </c>
      <c r="IF106" s="3"/>
      <c r="IG106" s="3"/>
      <c r="IH106" s="3"/>
      <c r="II106" s="3"/>
      <c r="IJ106" s="3"/>
      <c r="IK106" s="3"/>
      <c r="IL106" s="3"/>
      <c r="IM106" s="3"/>
      <c r="IN106" s="3"/>
      <c r="IO106" s="3"/>
      <c r="IP106" s="3"/>
      <c r="IQ106" s="3"/>
      <c r="IR106" s="3"/>
      <c r="IS106" s="3"/>
      <c r="IT106" s="3"/>
      <c r="IU106" s="3"/>
      <c r="IV106" s="3"/>
      <c r="IW106" s="3"/>
      <c r="IX106" s="3"/>
      <c r="IY106" s="3"/>
      <c r="IZ106" s="3">
        <v>0</v>
      </c>
      <c r="JA106" s="3">
        <v>3750500000</v>
      </c>
      <c r="JB106" s="3">
        <v>0</v>
      </c>
      <c r="JC106" s="3">
        <v>3750500000</v>
      </c>
      <c r="JD106" s="3"/>
      <c r="JE106" s="3"/>
      <c r="JF106" s="3"/>
      <c r="JG106" s="3"/>
    </row>
    <row r="107" spans="1:267" x14ac:dyDescent="0.25">
      <c r="A107" t="s">
        <v>197</v>
      </c>
      <c r="B107" t="s">
        <v>198</v>
      </c>
      <c r="C107" t="s">
        <v>199</v>
      </c>
      <c r="D107" t="s">
        <v>200</v>
      </c>
      <c r="E107" t="s">
        <v>392</v>
      </c>
      <c r="F107" t="s">
        <v>394</v>
      </c>
      <c r="G107" t="s">
        <v>330</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v>10261000</v>
      </c>
      <c r="GW107" s="3">
        <v>26896449000</v>
      </c>
      <c r="GX107" s="3">
        <v>0</v>
      </c>
      <c r="GY107" s="3">
        <v>26906710000</v>
      </c>
      <c r="GZ107" s="3">
        <v>10261000</v>
      </c>
      <c r="HA107" s="3">
        <v>41149649000</v>
      </c>
      <c r="HB107" s="3">
        <v>0</v>
      </c>
      <c r="HC107" s="3">
        <v>41159910000</v>
      </c>
      <c r="HD107" s="3">
        <v>10261000</v>
      </c>
      <c r="HE107" s="3">
        <v>41149649000</v>
      </c>
      <c r="HF107" s="3">
        <v>0</v>
      </c>
      <c r="HG107" s="3">
        <v>41159910000</v>
      </c>
      <c r="HH107" s="3">
        <v>10261000</v>
      </c>
      <c r="HI107" s="3">
        <v>41149649000</v>
      </c>
      <c r="HJ107" s="3">
        <v>0</v>
      </c>
      <c r="HK107" s="3">
        <v>41159910000</v>
      </c>
      <c r="HL107" s="3">
        <v>10261000</v>
      </c>
      <c r="HM107" s="3">
        <v>41149649000</v>
      </c>
      <c r="HN107" s="3">
        <v>0</v>
      </c>
      <c r="HO107" s="3">
        <v>41159910000</v>
      </c>
      <c r="HP107" s="3">
        <v>10260200.85</v>
      </c>
      <c r="HQ107" s="3">
        <v>33900949451.689999</v>
      </c>
      <c r="HR107" s="3">
        <v>0</v>
      </c>
      <c r="HS107" s="3">
        <v>33911209652.540001</v>
      </c>
      <c r="HT107" s="3">
        <v>10260200.85</v>
      </c>
      <c r="HU107" s="3">
        <v>25240923162.450001</v>
      </c>
      <c r="HV107" s="3">
        <v>0</v>
      </c>
      <c r="HW107" s="3">
        <v>25251183363.299999</v>
      </c>
      <c r="HX107" s="3">
        <v>10291000</v>
      </c>
      <c r="HY107" s="3">
        <v>24227273000</v>
      </c>
      <c r="HZ107" s="3">
        <v>0</v>
      </c>
      <c r="IA107" s="3">
        <v>24237564000</v>
      </c>
      <c r="IB107" s="3">
        <v>10291000</v>
      </c>
      <c r="IC107" s="3">
        <v>51637525000</v>
      </c>
      <c r="ID107" s="3">
        <v>0</v>
      </c>
      <c r="IE107" s="3">
        <v>51647816000</v>
      </c>
      <c r="IF107" s="3"/>
      <c r="IG107" s="3"/>
      <c r="IH107" s="3"/>
      <c r="II107" s="3"/>
      <c r="IJ107" s="3"/>
      <c r="IK107" s="3"/>
      <c r="IL107" s="3"/>
      <c r="IM107" s="3"/>
      <c r="IN107" s="3"/>
      <c r="IO107" s="3"/>
      <c r="IP107" s="3"/>
      <c r="IQ107" s="3"/>
      <c r="IR107" s="3"/>
      <c r="IS107" s="3"/>
      <c r="IT107" s="3"/>
      <c r="IU107" s="3"/>
      <c r="IV107" s="3"/>
      <c r="IW107" s="3"/>
      <c r="IX107" s="3"/>
      <c r="IY107" s="3"/>
      <c r="IZ107" s="3">
        <v>10805000</v>
      </c>
      <c r="JA107" s="3">
        <v>24227273000</v>
      </c>
      <c r="JB107" s="3">
        <v>0</v>
      </c>
      <c r="JC107" s="3">
        <v>24238078000</v>
      </c>
      <c r="JD107" s="3"/>
      <c r="JE107" s="3"/>
      <c r="JF107" s="3"/>
      <c r="JG107" s="3"/>
    </row>
    <row r="108" spans="1:267" x14ac:dyDescent="0.25">
      <c r="A108" t="s">
        <v>197</v>
      </c>
      <c r="B108" t="s">
        <v>198</v>
      </c>
      <c r="C108" t="s">
        <v>199</v>
      </c>
      <c r="D108" t="s">
        <v>200</v>
      </c>
      <c r="E108" t="s">
        <v>392</v>
      </c>
      <c r="F108" t="s">
        <v>395</v>
      </c>
      <c r="G108" t="s">
        <v>396</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v>0</v>
      </c>
      <c r="HY108" s="3">
        <v>0</v>
      </c>
      <c r="HZ108" s="3">
        <v>0</v>
      </c>
      <c r="IA108" s="3">
        <v>0</v>
      </c>
      <c r="IB108" s="3">
        <v>0</v>
      </c>
      <c r="IC108" s="3">
        <v>1000000000</v>
      </c>
      <c r="ID108" s="3">
        <v>0</v>
      </c>
      <c r="IE108" s="3">
        <v>1000000000</v>
      </c>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row>
    <row r="109" spans="1:267" x14ac:dyDescent="0.25">
      <c r="A109" t="s">
        <v>197</v>
      </c>
      <c r="B109" t="s">
        <v>198</v>
      </c>
      <c r="C109" t="s">
        <v>555</v>
      </c>
      <c r="D109" t="s">
        <v>616</v>
      </c>
      <c r="E109" t="s">
        <v>201</v>
      </c>
      <c r="F109" t="s">
        <v>202</v>
      </c>
      <c r="G109" t="s">
        <v>203</v>
      </c>
      <c r="H109" s="3">
        <v>71328000</v>
      </c>
      <c r="I109" s="3">
        <v>62625000</v>
      </c>
      <c r="J109" s="3">
        <v>15510000</v>
      </c>
      <c r="K109" s="3">
        <v>149463000</v>
      </c>
      <c r="L109" s="3">
        <v>71328000</v>
      </c>
      <c r="M109" s="3">
        <v>62625000</v>
      </c>
      <c r="N109" s="3">
        <v>15510000</v>
      </c>
      <c r="O109" s="3">
        <v>149463000</v>
      </c>
      <c r="AJ109" s="3">
        <v>94792000</v>
      </c>
      <c r="AK109" s="3">
        <v>61890000</v>
      </c>
      <c r="AL109" s="3">
        <v>0</v>
      </c>
      <c r="AM109" s="3">
        <v>156682000</v>
      </c>
      <c r="AN109" s="3">
        <v>94792000</v>
      </c>
      <c r="AO109" s="3">
        <v>61890000</v>
      </c>
      <c r="AP109" s="3">
        <v>0</v>
      </c>
      <c r="AQ109" s="3">
        <v>156682000</v>
      </c>
      <c r="BO109" s="3"/>
      <c r="BS109" s="3"/>
    </row>
    <row r="110" spans="1:267" x14ac:dyDescent="0.25">
      <c r="A110" t="s">
        <v>197</v>
      </c>
      <c r="B110" t="s">
        <v>198</v>
      </c>
      <c r="C110" t="s">
        <v>555</v>
      </c>
      <c r="D110" t="s">
        <v>616</v>
      </c>
      <c r="E110" t="s">
        <v>201</v>
      </c>
      <c r="F110" t="s">
        <v>204</v>
      </c>
      <c r="G110" t="s">
        <v>205</v>
      </c>
      <c r="H110" s="3">
        <v>2833000</v>
      </c>
      <c r="I110" s="3">
        <v>0</v>
      </c>
      <c r="J110" s="3">
        <v>0</v>
      </c>
      <c r="K110" s="3">
        <v>2833000</v>
      </c>
      <c r="L110" s="3">
        <v>2833000</v>
      </c>
      <c r="M110" s="3">
        <v>0</v>
      </c>
      <c r="N110" s="3">
        <v>0</v>
      </c>
      <c r="O110" s="3">
        <v>2833000</v>
      </c>
      <c r="AJ110" s="3"/>
      <c r="AK110" s="3"/>
      <c r="AL110" s="3"/>
      <c r="AN110" s="3"/>
      <c r="AO110" s="3"/>
      <c r="AP110" s="3"/>
      <c r="BO110" s="3"/>
      <c r="BS110" s="3"/>
    </row>
    <row r="111" spans="1:267" x14ac:dyDescent="0.25">
      <c r="A111" t="s">
        <v>197</v>
      </c>
      <c r="B111" t="s">
        <v>198</v>
      </c>
      <c r="C111" t="s">
        <v>555</v>
      </c>
      <c r="D111" t="s">
        <v>616</v>
      </c>
      <c r="E111" t="s">
        <v>217</v>
      </c>
      <c r="F111" t="s">
        <v>218</v>
      </c>
      <c r="G111" t="s">
        <v>622</v>
      </c>
      <c r="H111" s="3">
        <v>75957000</v>
      </c>
      <c r="I111" s="3">
        <v>16155000</v>
      </c>
      <c r="J111" s="3">
        <v>0</v>
      </c>
      <c r="K111" s="3">
        <v>92112000</v>
      </c>
      <c r="L111" s="3">
        <v>75957000</v>
      </c>
      <c r="M111" s="3">
        <v>16155000</v>
      </c>
      <c r="N111" s="3">
        <v>0</v>
      </c>
      <c r="O111" s="3">
        <v>92112000</v>
      </c>
      <c r="AJ111" s="3">
        <v>68427000</v>
      </c>
      <c r="AK111" s="3">
        <v>14801000</v>
      </c>
      <c r="AL111" s="3">
        <v>0</v>
      </c>
      <c r="AM111" s="3">
        <v>83228000</v>
      </c>
      <c r="AN111" s="3">
        <v>68427000</v>
      </c>
      <c r="AO111" s="3">
        <v>14801000</v>
      </c>
      <c r="AP111" s="3">
        <v>0</v>
      </c>
      <c r="AQ111" s="3">
        <v>83228000</v>
      </c>
      <c r="BO111" s="3"/>
      <c r="BS111" s="3"/>
    </row>
    <row r="112" spans="1:267" x14ac:dyDescent="0.25">
      <c r="A112" t="s">
        <v>197</v>
      </c>
      <c r="B112" t="s">
        <v>198</v>
      </c>
      <c r="C112" t="s">
        <v>555</v>
      </c>
      <c r="D112" t="s">
        <v>616</v>
      </c>
      <c r="E112" t="s">
        <v>217</v>
      </c>
      <c r="F112" t="s">
        <v>220</v>
      </c>
      <c r="G112" t="s">
        <v>623</v>
      </c>
      <c r="H112" s="3">
        <v>36809000</v>
      </c>
      <c r="I112" s="3">
        <v>16069000</v>
      </c>
      <c r="J112" s="3">
        <v>0</v>
      </c>
      <c r="K112" s="3">
        <v>52878000</v>
      </c>
      <c r="L112" s="3">
        <v>36809000</v>
      </c>
      <c r="M112" s="3">
        <v>16069000</v>
      </c>
      <c r="N112" s="3">
        <v>0</v>
      </c>
      <c r="O112" s="3">
        <v>52878000</v>
      </c>
      <c r="AJ112" s="3">
        <v>38459000</v>
      </c>
      <c r="AK112" s="3">
        <v>14722000</v>
      </c>
      <c r="AL112" s="3">
        <v>0</v>
      </c>
      <c r="AM112" s="3">
        <v>53181000</v>
      </c>
      <c r="AN112" s="3">
        <v>38459000</v>
      </c>
      <c r="AO112" s="3">
        <v>14722000</v>
      </c>
      <c r="AP112" s="3">
        <v>0</v>
      </c>
      <c r="AQ112" s="3">
        <v>53181000</v>
      </c>
      <c r="BO112" s="3"/>
      <c r="BS112" s="3"/>
    </row>
    <row r="113" spans="1:267" x14ac:dyDescent="0.25">
      <c r="A113" t="s">
        <v>197</v>
      </c>
      <c r="B113" t="s">
        <v>198</v>
      </c>
      <c r="C113" t="s">
        <v>555</v>
      </c>
      <c r="D113" t="s">
        <v>616</v>
      </c>
      <c r="E113" t="s">
        <v>217</v>
      </c>
      <c r="F113" t="s">
        <v>222</v>
      </c>
      <c r="G113" t="s">
        <v>624</v>
      </c>
      <c r="H113" s="3">
        <v>0</v>
      </c>
      <c r="I113" s="3">
        <v>195068000</v>
      </c>
      <c r="J113" s="3">
        <v>0</v>
      </c>
      <c r="K113" s="3">
        <v>195068000</v>
      </c>
      <c r="L113" s="3">
        <v>0</v>
      </c>
      <c r="M113" s="3">
        <v>195068000</v>
      </c>
      <c r="N113" s="3">
        <v>0</v>
      </c>
      <c r="O113" s="3">
        <v>195068000</v>
      </c>
      <c r="AJ113" s="3">
        <v>0</v>
      </c>
      <c r="AK113" s="3">
        <v>178721000</v>
      </c>
      <c r="AL113" s="3">
        <v>0</v>
      </c>
      <c r="AM113" s="3">
        <v>178721000</v>
      </c>
      <c r="AN113" s="3">
        <v>0</v>
      </c>
      <c r="AO113" s="3">
        <v>178721000</v>
      </c>
      <c r="AP113" s="3">
        <v>0</v>
      </c>
      <c r="AQ113" s="3">
        <v>178721000</v>
      </c>
      <c r="BO113" s="3"/>
      <c r="BS113" s="3"/>
    </row>
    <row r="114" spans="1:267" x14ac:dyDescent="0.25">
      <c r="A114" t="s">
        <v>197</v>
      </c>
      <c r="B114" t="s">
        <v>198</v>
      </c>
      <c r="C114" t="s">
        <v>556</v>
      </c>
      <c r="D114" t="s">
        <v>617</v>
      </c>
      <c r="E114" t="s">
        <v>201</v>
      </c>
      <c r="F114" t="s">
        <v>202</v>
      </c>
      <c r="G114" t="s">
        <v>203</v>
      </c>
      <c r="H114" s="3">
        <v>18645000</v>
      </c>
      <c r="I114" s="3">
        <v>12470000</v>
      </c>
      <c r="J114" s="3">
        <v>1100000</v>
      </c>
      <c r="K114" s="3">
        <v>32215000</v>
      </c>
      <c r="L114" s="3">
        <v>18645000</v>
      </c>
      <c r="M114" s="3">
        <v>12470000</v>
      </c>
      <c r="N114" s="3">
        <v>1100000</v>
      </c>
      <c r="O114" s="3">
        <v>32215000</v>
      </c>
      <c r="AJ114" s="3">
        <v>24858000</v>
      </c>
      <c r="AK114" s="3">
        <v>10004000</v>
      </c>
      <c r="AL114" s="3">
        <v>0</v>
      </c>
      <c r="AM114" s="3">
        <v>34862000</v>
      </c>
      <c r="AN114" s="3">
        <v>24858000</v>
      </c>
      <c r="AO114" s="3">
        <v>10004000</v>
      </c>
      <c r="AP114" s="3">
        <v>0</v>
      </c>
      <c r="AQ114" s="3">
        <v>34862000</v>
      </c>
      <c r="BL114" s="3">
        <v>21719000</v>
      </c>
      <c r="BM114" s="3">
        <v>10016000</v>
      </c>
      <c r="BN114" s="3">
        <v>0</v>
      </c>
      <c r="BO114" s="3">
        <v>31735000</v>
      </c>
      <c r="BP114" s="3">
        <v>21719000</v>
      </c>
      <c r="BQ114" s="3">
        <v>10016000</v>
      </c>
      <c r="BR114" s="3">
        <v>0</v>
      </c>
      <c r="BS114" s="3">
        <v>31735000</v>
      </c>
      <c r="CN114" s="3">
        <v>22433000</v>
      </c>
      <c r="CO114" s="3">
        <v>10197000</v>
      </c>
      <c r="CP114" s="3">
        <v>0</v>
      </c>
      <c r="CQ114" s="3">
        <v>32630000</v>
      </c>
      <c r="CR114" s="3">
        <v>22433000</v>
      </c>
      <c r="CS114" s="3">
        <v>10197000</v>
      </c>
      <c r="CT114" s="3">
        <v>0</v>
      </c>
      <c r="CU114" s="3">
        <v>32630000</v>
      </c>
      <c r="DP114" s="3">
        <v>23731000</v>
      </c>
      <c r="DQ114" s="3">
        <v>10197000</v>
      </c>
      <c r="DR114" s="3">
        <v>0</v>
      </c>
      <c r="DS114" s="3">
        <v>33928000</v>
      </c>
      <c r="DT114" s="3">
        <v>23731000</v>
      </c>
      <c r="DU114" s="3">
        <v>10197000</v>
      </c>
      <c r="DV114" s="3">
        <v>0</v>
      </c>
      <c r="DW114" s="3">
        <v>33928000</v>
      </c>
      <c r="ER114" s="3">
        <v>27917000</v>
      </c>
      <c r="ES114" s="3">
        <v>9224000</v>
      </c>
      <c r="ET114" s="3">
        <v>0</v>
      </c>
      <c r="EU114" s="3">
        <v>37141000</v>
      </c>
      <c r="EV114" s="3">
        <v>27917000</v>
      </c>
      <c r="EW114" s="3">
        <v>9224000</v>
      </c>
      <c r="EX114" s="3">
        <v>0</v>
      </c>
      <c r="EY114" s="3">
        <v>37141000</v>
      </c>
      <c r="FT114" s="3">
        <v>29157000</v>
      </c>
      <c r="FU114" s="3">
        <v>9390000</v>
      </c>
      <c r="FV114" s="3">
        <v>0</v>
      </c>
      <c r="FW114" s="3">
        <v>38547000</v>
      </c>
      <c r="FX114" s="3">
        <v>29157000</v>
      </c>
      <c r="FY114" s="3">
        <v>9390000</v>
      </c>
      <c r="FZ114" s="3">
        <v>0</v>
      </c>
      <c r="GA114" s="3">
        <v>38547000</v>
      </c>
      <c r="GV114" s="3">
        <v>28429000</v>
      </c>
      <c r="GW114" s="3">
        <v>14940000</v>
      </c>
      <c r="GX114" s="3">
        <v>18475000</v>
      </c>
      <c r="GY114" s="3">
        <v>61844000</v>
      </c>
      <c r="GZ114" s="3">
        <v>28429000</v>
      </c>
      <c r="HA114" s="3">
        <v>14940000</v>
      </c>
      <c r="HB114" s="3">
        <v>18475000</v>
      </c>
      <c r="HC114" s="3">
        <v>61844000</v>
      </c>
      <c r="HX114" s="3">
        <v>32006000</v>
      </c>
      <c r="HY114" s="3">
        <v>12731000</v>
      </c>
      <c r="HZ114" s="3">
        <v>0</v>
      </c>
      <c r="IA114" s="3">
        <v>44737000</v>
      </c>
      <c r="IB114" s="3">
        <v>32006000</v>
      </c>
      <c r="IC114" s="3">
        <v>12731000</v>
      </c>
      <c r="ID114" s="3">
        <v>0</v>
      </c>
      <c r="IE114" s="3">
        <v>44737000</v>
      </c>
      <c r="IZ114" s="3">
        <v>30156000</v>
      </c>
      <c r="JA114" s="3">
        <v>16807000</v>
      </c>
      <c r="JB114" s="3">
        <v>0</v>
      </c>
      <c r="JC114" s="3">
        <v>46963000</v>
      </c>
      <c r="JD114" s="3"/>
      <c r="JE114" s="3"/>
      <c r="JF114" s="3"/>
      <c r="JG114" s="3"/>
    </row>
    <row r="115" spans="1:267" x14ac:dyDescent="0.25">
      <c r="A115" t="s">
        <v>197</v>
      </c>
      <c r="B115" t="s">
        <v>198</v>
      </c>
      <c r="C115" t="s">
        <v>556</v>
      </c>
      <c r="D115" t="s">
        <v>617</v>
      </c>
      <c r="E115" t="s">
        <v>201</v>
      </c>
      <c r="F115" t="s">
        <v>204</v>
      </c>
      <c r="G115" t="s">
        <v>625</v>
      </c>
      <c r="H115" s="3">
        <v>0</v>
      </c>
      <c r="I115" s="3">
        <v>1630000</v>
      </c>
      <c r="J115" s="3">
        <v>0</v>
      </c>
      <c r="K115" s="3">
        <v>1630000</v>
      </c>
      <c r="L115" s="3">
        <v>0</v>
      </c>
      <c r="M115" s="3">
        <v>1630000</v>
      </c>
      <c r="N115" s="3">
        <v>0</v>
      </c>
      <c r="O115" s="3">
        <v>1630000</v>
      </c>
      <c r="AJ115" s="3">
        <v>0</v>
      </c>
      <c r="AK115" s="3">
        <v>1308000</v>
      </c>
      <c r="AL115" s="3">
        <v>0</v>
      </c>
      <c r="AM115" s="3">
        <v>1308000</v>
      </c>
      <c r="AN115" s="3">
        <v>0</v>
      </c>
      <c r="AO115" s="3">
        <v>1308000</v>
      </c>
      <c r="AP115" s="3">
        <v>0</v>
      </c>
      <c r="AQ115" s="3">
        <v>1308000</v>
      </c>
      <c r="BL115" s="3">
        <v>0</v>
      </c>
      <c r="BM115" s="3">
        <v>1310000</v>
      </c>
      <c r="BN115" s="3">
        <v>0</v>
      </c>
      <c r="BO115" s="3">
        <v>1310000</v>
      </c>
      <c r="BP115" s="3">
        <v>0</v>
      </c>
      <c r="BQ115" s="3">
        <v>1310000</v>
      </c>
      <c r="BR115" s="3">
        <v>0</v>
      </c>
      <c r="BS115" s="3">
        <v>1310000</v>
      </c>
      <c r="CN115" s="3">
        <v>0</v>
      </c>
      <c r="CO115" s="3">
        <v>1333000</v>
      </c>
      <c r="CP115" s="3">
        <v>0</v>
      </c>
      <c r="CQ115" s="3">
        <v>1333000</v>
      </c>
      <c r="CR115" s="3">
        <v>0</v>
      </c>
      <c r="CS115" s="3">
        <v>1333000</v>
      </c>
      <c r="CT115" s="3">
        <v>0</v>
      </c>
      <c r="CU115" s="3">
        <v>1333000</v>
      </c>
      <c r="DP115" s="3">
        <v>0</v>
      </c>
      <c r="DQ115" s="3">
        <v>1333000</v>
      </c>
      <c r="DR115" s="3">
        <v>0</v>
      </c>
      <c r="DS115" s="3">
        <v>1333000</v>
      </c>
      <c r="DT115" s="3">
        <v>0</v>
      </c>
      <c r="DU115" s="3">
        <v>1333000</v>
      </c>
      <c r="DV115" s="3">
        <v>0</v>
      </c>
      <c r="DW115" s="3">
        <v>1333000</v>
      </c>
      <c r="ER115" s="3">
        <v>0</v>
      </c>
      <c r="ES115" s="3">
        <v>1003000</v>
      </c>
      <c r="ET115" s="3">
        <v>0</v>
      </c>
      <c r="EU115" s="3">
        <v>1003000</v>
      </c>
      <c r="EV115" s="3">
        <v>0</v>
      </c>
      <c r="EW115" s="3">
        <v>1003000</v>
      </c>
      <c r="EX115" s="3">
        <v>0</v>
      </c>
      <c r="EY115" s="3">
        <v>1003000</v>
      </c>
      <c r="FT115" s="3">
        <v>0</v>
      </c>
      <c r="FU115" s="3">
        <v>1021000</v>
      </c>
      <c r="FV115" s="3">
        <v>0</v>
      </c>
      <c r="FW115" s="3">
        <v>1021000</v>
      </c>
      <c r="FX115" s="3">
        <v>0</v>
      </c>
      <c r="FY115" s="3">
        <v>1021000</v>
      </c>
      <c r="FZ115" s="3">
        <v>0</v>
      </c>
      <c r="GA115" s="3">
        <v>1021000</v>
      </c>
      <c r="GV115" s="3">
        <v>0</v>
      </c>
      <c r="GW115" s="3">
        <v>1039000</v>
      </c>
      <c r="GX115" s="3">
        <v>0</v>
      </c>
      <c r="GY115" s="3">
        <v>1039000</v>
      </c>
      <c r="GZ115" s="3">
        <v>0</v>
      </c>
      <c r="HA115" s="3">
        <v>1039000</v>
      </c>
      <c r="HB115" s="3">
        <v>0</v>
      </c>
      <c r="HC115" s="3">
        <v>1039000</v>
      </c>
      <c r="HX115" s="3">
        <v>0</v>
      </c>
      <c r="HY115" s="3">
        <v>1058000</v>
      </c>
      <c r="HZ115" s="3">
        <v>0</v>
      </c>
      <c r="IA115" s="3">
        <v>1058000</v>
      </c>
      <c r="IB115" s="3">
        <v>0</v>
      </c>
      <c r="IC115" s="3">
        <v>1058000</v>
      </c>
      <c r="ID115" s="3">
        <v>0</v>
      </c>
      <c r="IE115" s="3">
        <v>1058000</v>
      </c>
      <c r="IZ115" s="3">
        <v>0</v>
      </c>
      <c r="JA115" s="3">
        <v>948000</v>
      </c>
      <c r="JB115" s="3">
        <v>0</v>
      </c>
      <c r="JC115" s="3">
        <v>948000</v>
      </c>
      <c r="JD115" s="3"/>
      <c r="JE115" s="3"/>
      <c r="JF115" s="3"/>
      <c r="JG115" s="3"/>
    </row>
    <row r="116" spans="1:267" x14ac:dyDescent="0.25">
      <c r="A116" t="s">
        <v>197</v>
      </c>
      <c r="B116" t="s">
        <v>198</v>
      </c>
      <c r="C116" t="s">
        <v>556</v>
      </c>
      <c r="D116" t="s">
        <v>617</v>
      </c>
      <c r="E116" t="s">
        <v>201</v>
      </c>
      <c r="F116" t="s">
        <v>206</v>
      </c>
      <c r="G116" t="s">
        <v>205</v>
      </c>
      <c r="H116" s="3"/>
      <c r="I116" s="3"/>
      <c r="J116" s="3"/>
      <c r="L116" s="3"/>
      <c r="M116" s="3"/>
      <c r="N116" s="3"/>
      <c r="AJ116" s="3">
        <v>16441000</v>
      </c>
      <c r="AK116" s="3">
        <v>0</v>
      </c>
      <c r="AL116" s="3">
        <v>0</v>
      </c>
      <c r="AM116" s="3">
        <v>16441000</v>
      </c>
      <c r="AN116" s="3">
        <v>16441000</v>
      </c>
      <c r="AO116" s="3">
        <v>0</v>
      </c>
      <c r="AP116" s="3">
        <v>0</v>
      </c>
      <c r="AQ116" s="3">
        <v>16441000</v>
      </c>
      <c r="BL116" s="3">
        <v>6680000</v>
      </c>
      <c r="BM116" s="3">
        <v>0</v>
      </c>
      <c r="BN116" s="3">
        <v>0</v>
      </c>
      <c r="BO116" s="3">
        <v>6680000</v>
      </c>
      <c r="BP116" s="3">
        <v>6680000</v>
      </c>
      <c r="BQ116" s="3">
        <v>0</v>
      </c>
      <c r="BR116" s="3">
        <v>0</v>
      </c>
      <c r="BS116" s="3">
        <v>6680000</v>
      </c>
      <c r="CN116" s="3">
        <v>1308000</v>
      </c>
      <c r="CO116" s="3">
        <v>0</v>
      </c>
      <c r="CP116" s="3">
        <v>0</v>
      </c>
      <c r="CQ116" s="3">
        <v>1308000</v>
      </c>
      <c r="CR116" s="3">
        <v>1308000</v>
      </c>
      <c r="CS116" s="3">
        <v>0</v>
      </c>
      <c r="CT116" s="3">
        <v>0</v>
      </c>
      <c r="CU116" s="3">
        <v>1308000</v>
      </c>
      <c r="DP116" s="3"/>
      <c r="DQ116" s="3"/>
      <c r="DR116" s="3"/>
      <c r="DS116" s="3"/>
      <c r="DT116" s="3"/>
      <c r="DU116" s="3"/>
      <c r="DV116" s="3"/>
      <c r="DW116" s="3"/>
      <c r="ER116" s="3">
        <v>4901000</v>
      </c>
      <c r="ES116" s="3">
        <v>0</v>
      </c>
      <c r="ET116" s="3">
        <v>0</v>
      </c>
      <c r="EU116" s="3">
        <v>4901000</v>
      </c>
      <c r="EV116" s="3">
        <v>4901000</v>
      </c>
      <c r="EW116" s="3">
        <v>0</v>
      </c>
      <c r="EX116" s="3">
        <v>0</v>
      </c>
      <c r="EY116" s="3">
        <v>4901000</v>
      </c>
      <c r="FT116" s="3">
        <v>410000</v>
      </c>
      <c r="FU116" s="3">
        <v>0</v>
      </c>
      <c r="FV116" s="3">
        <v>0</v>
      </c>
      <c r="FW116" s="3">
        <v>410000</v>
      </c>
      <c r="FX116" s="3">
        <v>410000</v>
      </c>
      <c r="FY116" s="3">
        <v>0</v>
      </c>
      <c r="FZ116" s="3">
        <v>0</v>
      </c>
      <c r="GA116" s="3">
        <v>410000</v>
      </c>
      <c r="GV116" s="3">
        <v>4448000</v>
      </c>
      <c r="GW116" s="3">
        <v>0</v>
      </c>
      <c r="GX116" s="3">
        <v>0</v>
      </c>
      <c r="GY116" s="3">
        <v>4448000</v>
      </c>
      <c r="GZ116" s="3">
        <v>4448000</v>
      </c>
      <c r="HA116" s="3">
        <v>0</v>
      </c>
      <c r="HB116" s="3">
        <v>0</v>
      </c>
      <c r="HC116" s="3">
        <v>4448000</v>
      </c>
      <c r="HX116" s="3">
        <v>3140000</v>
      </c>
      <c r="HY116" s="3">
        <v>0</v>
      </c>
      <c r="HZ116" s="3">
        <v>0</v>
      </c>
      <c r="IA116" s="3">
        <v>3140000</v>
      </c>
      <c r="IB116" s="3">
        <v>3140000</v>
      </c>
      <c r="IC116" s="3">
        <v>0</v>
      </c>
      <c r="ID116" s="3">
        <v>0</v>
      </c>
      <c r="IE116" s="3">
        <v>3140000</v>
      </c>
      <c r="IZ116" s="3">
        <v>1464000</v>
      </c>
      <c r="JA116" s="3">
        <v>0</v>
      </c>
      <c r="JB116" s="3">
        <v>0</v>
      </c>
      <c r="JC116" s="3">
        <v>1464000</v>
      </c>
      <c r="JD116" s="3"/>
      <c r="JE116" s="3"/>
      <c r="JF116" s="3"/>
      <c r="JG116" s="3"/>
    </row>
    <row r="117" spans="1:267" x14ac:dyDescent="0.25">
      <c r="A117" t="s">
        <v>197</v>
      </c>
      <c r="B117" t="s">
        <v>198</v>
      </c>
      <c r="C117" t="s">
        <v>556</v>
      </c>
      <c r="D117" t="s">
        <v>617</v>
      </c>
      <c r="E117" t="s">
        <v>217</v>
      </c>
      <c r="F117" t="s">
        <v>218</v>
      </c>
      <c r="G117" t="s">
        <v>626</v>
      </c>
      <c r="H117" s="3">
        <v>9193000</v>
      </c>
      <c r="I117" s="3">
        <v>714000</v>
      </c>
      <c r="J117" s="3">
        <v>0</v>
      </c>
      <c r="K117" s="3">
        <v>9907000</v>
      </c>
      <c r="L117" s="3">
        <v>9193000</v>
      </c>
      <c r="M117" s="3">
        <v>714000</v>
      </c>
      <c r="N117" s="3">
        <v>0</v>
      </c>
      <c r="O117" s="3">
        <v>9907000</v>
      </c>
      <c r="AJ117" s="3">
        <v>6826000</v>
      </c>
      <c r="AK117" s="3">
        <v>573000</v>
      </c>
      <c r="AL117" s="3">
        <v>0</v>
      </c>
      <c r="AM117" s="3">
        <v>7399000</v>
      </c>
      <c r="AN117" s="3">
        <v>6826000</v>
      </c>
      <c r="AO117" s="3">
        <v>573000</v>
      </c>
      <c r="AP117" s="3">
        <v>0</v>
      </c>
      <c r="AQ117" s="3">
        <v>7399000</v>
      </c>
      <c r="BL117" s="3">
        <v>6450000</v>
      </c>
      <c r="BM117" s="3">
        <v>574000</v>
      </c>
      <c r="BN117" s="3">
        <v>0</v>
      </c>
      <c r="BO117" s="3">
        <v>7024000</v>
      </c>
      <c r="BP117" s="3">
        <v>6450000</v>
      </c>
      <c r="BQ117" s="3">
        <v>574000</v>
      </c>
      <c r="BR117" s="3">
        <v>0</v>
      </c>
      <c r="BS117" s="3">
        <v>7024000</v>
      </c>
      <c r="CN117" s="3">
        <v>6685000</v>
      </c>
      <c r="CO117" s="3">
        <v>884000</v>
      </c>
      <c r="CP117" s="3">
        <v>0</v>
      </c>
      <c r="CQ117" s="3">
        <v>7569000</v>
      </c>
      <c r="CR117" s="3">
        <v>6685000</v>
      </c>
      <c r="CS117" s="3">
        <v>884000</v>
      </c>
      <c r="CT117" s="3">
        <v>0</v>
      </c>
      <c r="CU117" s="3">
        <v>7569000</v>
      </c>
      <c r="DP117" s="3">
        <v>4823000</v>
      </c>
      <c r="DQ117" s="3">
        <v>584000</v>
      </c>
      <c r="DR117" s="3">
        <v>0</v>
      </c>
      <c r="DS117" s="3">
        <v>5407000</v>
      </c>
      <c r="DT117" s="3">
        <v>4823000</v>
      </c>
      <c r="DU117" s="3">
        <v>584000</v>
      </c>
      <c r="DV117" s="3">
        <v>0</v>
      </c>
      <c r="DW117" s="3">
        <v>5407000</v>
      </c>
      <c r="ER117" s="3">
        <v>3599000</v>
      </c>
      <c r="ES117" s="3">
        <v>440000</v>
      </c>
      <c r="ET117" s="3">
        <v>0</v>
      </c>
      <c r="EU117" s="3">
        <v>4039000</v>
      </c>
      <c r="EV117" s="3">
        <v>3599000</v>
      </c>
      <c r="EW117" s="3">
        <v>440000</v>
      </c>
      <c r="EX117" s="3">
        <v>0</v>
      </c>
      <c r="EY117" s="3">
        <v>4039000</v>
      </c>
      <c r="FT117" s="3">
        <v>5847000</v>
      </c>
      <c r="FU117" s="3">
        <v>377000</v>
      </c>
      <c r="FV117" s="3">
        <v>0</v>
      </c>
      <c r="FW117" s="3">
        <v>6224000</v>
      </c>
      <c r="FX117" s="3">
        <v>5847000</v>
      </c>
      <c r="FY117" s="3">
        <v>377000</v>
      </c>
      <c r="FZ117" s="3">
        <v>0</v>
      </c>
      <c r="GA117" s="3">
        <v>6224000</v>
      </c>
      <c r="GV117" s="3">
        <v>3886000</v>
      </c>
      <c r="GW117" s="3">
        <v>384000</v>
      </c>
      <c r="GX117" s="3">
        <v>0</v>
      </c>
      <c r="GY117" s="3">
        <v>4270000</v>
      </c>
      <c r="GZ117" s="3">
        <v>3886000</v>
      </c>
      <c r="HA117" s="3">
        <v>384000</v>
      </c>
      <c r="HB117" s="3">
        <v>0</v>
      </c>
      <c r="HC117" s="3">
        <v>4270000</v>
      </c>
      <c r="HX117" s="3">
        <v>5626000</v>
      </c>
      <c r="HY117" s="3">
        <v>391000</v>
      </c>
      <c r="HZ117" s="3">
        <v>0</v>
      </c>
      <c r="IA117" s="3">
        <v>6017000</v>
      </c>
      <c r="IB117" s="3">
        <v>5626000</v>
      </c>
      <c r="IC117" s="3">
        <v>391000</v>
      </c>
      <c r="ID117" s="3">
        <v>0</v>
      </c>
      <c r="IE117" s="3">
        <v>6017000</v>
      </c>
      <c r="IZ117" s="3">
        <v>6570000</v>
      </c>
      <c r="JA117" s="3">
        <v>350000</v>
      </c>
      <c r="JB117" s="3">
        <v>0</v>
      </c>
      <c r="JC117" s="3">
        <v>6920000</v>
      </c>
      <c r="JD117" s="3"/>
      <c r="JE117" s="3"/>
      <c r="JF117" s="3"/>
      <c r="JG117" s="3"/>
    </row>
    <row r="118" spans="1:267" x14ac:dyDescent="0.25">
      <c r="A118" t="s">
        <v>197</v>
      </c>
      <c r="B118" t="s">
        <v>198</v>
      </c>
      <c r="C118" t="s">
        <v>556</v>
      </c>
      <c r="D118" t="s">
        <v>617</v>
      </c>
      <c r="E118" t="s">
        <v>217</v>
      </c>
      <c r="F118" t="s">
        <v>220</v>
      </c>
      <c r="G118" t="s">
        <v>627</v>
      </c>
      <c r="H118" s="3">
        <v>6220000</v>
      </c>
      <c r="I118" s="3">
        <v>14711000</v>
      </c>
      <c r="J118" s="3">
        <v>0</v>
      </c>
      <c r="K118" s="3">
        <v>20931000</v>
      </c>
      <c r="L118" s="3">
        <v>6220000</v>
      </c>
      <c r="M118" s="3">
        <v>14711000</v>
      </c>
      <c r="N118" s="3">
        <v>0</v>
      </c>
      <c r="O118" s="3">
        <v>20931000</v>
      </c>
      <c r="AJ118" s="3">
        <v>6695000</v>
      </c>
      <c r="AK118" s="3">
        <v>11801000</v>
      </c>
      <c r="AL118" s="3">
        <v>0</v>
      </c>
      <c r="AM118" s="3">
        <v>18496000</v>
      </c>
      <c r="AN118" s="3">
        <v>6695000</v>
      </c>
      <c r="AO118" s="3">
        <v>11801000</v>
      </c>
      <c r="AP118" s="3">
        <v>0</v>
      </c>
      <c r="AQ118" s="3">
        <v>18496000</v>
      </c>
      <c r="BL118" s="3">
        <v>4960000</v>
      </c>
      <c r="BM118" s="3">
        <v>11817000</v>
      </c>
      <c r="BN118" s="3">
        <v>0</v>
      </c>
      <c r="BO118" s="3">
        <v>16777000</v>
      </c>
      <c r="BP118" s="3">
        <v>4960000</v>
      </c>
      <c r="BQ118" s="3">
        <v>11817000</v>
      </c>
      <c r="BR118" s="3">
        <v>0</v>
      </c>
      <c r="BS118" s="3">
        <v>16777000</v>
      </c>
      <c r="CN118" s="3">
        <v>5268000</v>
      </c>
      <c r="CO118" s="3">
        <v>16331000</v>
      </c>
      <c r="CP118" s="3">
        <v>20714000</v>
      </c>
      <c r="CQ118" s="3">
        <v>42313000</v>
      </c>
      <c r="CR118" s="3">
        <v>5268000</v>
      </c>
      <c r="CS118" s="3">
        <v>16331000</v>
      </c>
      <c r="CT118" s="3">
        <v>20714000</v>
      </c>
      <c r="CU118" s="3">
        <v>42313000</v>
      </c>
      <c r="DP118" s="3">
        <v>7244000</v>
      </c>
      <c r="DQ118" s="3">
        <v>15220000</v>
      </c>
      <c r="DR118" s="3">
        <v>4784000</v>
      </c>
      <c r="DS118" s="3">
        <v>27248000</v>
      </c>
      <c r="DT118" s="3">
        <v>7244000</v>
      </c>
      <c r="DU118" s="3">
        <v>15220000</v>
      </c>
      <c r="DV118" s="3">
        <v>4784000</v>
      </c>
      <c r="DW118" s="3">
        <v>27248000</v>
      </c>
      <c r="ER118" s="3">
        <v>6332000</v>
      </c>
      <c r="ES118" s="3">
        <v>11312000</v>
      </c>
      <c r="ET118" s="3">
        <v>0</v>
      </c>
      <c r="EU118" s="3">
        <v>17644000</v>
      </c>
      <c r="EV118" s="3">
        <v>6332000</v>
      </c>
      <c r="EW118" s="3">
        <v>11342000</v>
      </c>
      <c r="EX118" s="3">
        <v>12640000</v>
      </c>
      <c r="EY118" s="3">
        <v>30314000</v>
      </c>
      <c r="FT118" s="3">
        <v>4492000</v>
      </c>
      <c r="FU118" s="3">
        <v>7024000</v>
      </c>
      <c r="FV118" s="3">
        <v>0</v>
      </c>
      <c r="FW118" s="3">
        <v>11516000</v>
      </c>
      <c r="FX118" s="3">
        <v>4492000</v>
      </c>
      <c r="FY118" s="3">
        <v>15184000</v>
      </c>
      <c r="FZ118" s="3">
        <v>0</v>
      </c>
      <c r="GA118" s="3">
        <v>19676000</v>
      </c>
      <c r="GV118" s="3">
        <v>4514000</v>
      </c>
      <c r="GW118" s="3">
        <v>7150000</v>
      </c>
      <c r="GX118" s="3">
        <v>0</v>
      </c>
      <c r="GY118" s="3">
        <v>11664000</v>
      </c>
      <c r="GZ118" s="3">
        <v>4514000</v>
      </c>
      <c r="HA118" s="3">
        <v>7150000</v>
      </c>
      <c r="HB118" s="3">
        <v>0</v>
      </c>
      <c r="HC118" s="3">
        <v>11664000</v>
      </c>
      <c r="HX118" s="3">
        <v>5707000</v>
      </c>
      <c r="HY118" s="3">
        <v>7279000</v>
      </c>
      <c r="HZ118" s="3">
        <v>0</v>
      </c>
      <c r="IA118" s="3">
        <v>12986000</v>
      </c>
      <c r="IB118" s="3">
        <v>5707000</v>
      </c>
      <c r="IC118" s="3">
        <v>7279000</v>
      </c>
      <c r="ID118" s="3">
        <v>0</v>
      </c>
      <c r="IE118" s="3">
        <v>12986000</v>
      </c>
      <c r="IZ118" s="3">
        <v>7234000</v>
      </c>
      <c r="JA118" s="3">
        <v>14485000</v>
      </c>
      <c r="JB118" s="3">
        <v>0</v>
      </c>
      <c r="JC118" s="3">
        <v>21719000</v>
      </c>
      <c r="JD118" s="3"/>
      <c r="JE118" s="3"/>
      <c r="JF118" s="3"/>
      <c r="JG118" s="3"/>
    </row>
    <row r="119" spans="1:267" x14ac:dyDescent="0.25">
      <c r="A119" t="s">
        <v>197</v>
      </c>
      <c r="B119" t="s">
        <v>198</v>
      </c>
      <c r="C119" t="s">
        <v>556</v>
      </c>
      <c r="D119" t="s">
        <v>617</v>
      </c>
      <c r="E119" t="s">
        <v>217</v>
      </c>
      <c r="F119" t="s">
        <v>222</v>
      </c>
      <c r="G119" t="s">
        <v>628</v>
      </c>
      <c r="H119" s="3">
        <v>5326000</v>
      </c>
      <c r="I119" s="3">
        <v>98862000</v>
      </c>
      <c r="J119" s="3">
        <v>0</v>
      </c>
      <c r="K119" s="3">
        <v>104188000</v>
      </c>
      <c r="L119" s="3">
        <v>5326000</v>
      </c>
      <c r="M119" s="3">
        <v>98862000</v>
      </c>
      <c r="N119" s="3">
        <v>0</v>
      </c>
      <c r="O119" s="3">
        <v>104188000</v>
      </c>
      <c r="AJ119" s="3">
        <v>5732000</v>
      </c>
      <c r="AK119" s="3">
        <v>79309000</v>
      </c>
      <c r="AL119" s="3">
        <v>0</v>
      </c>
      <c r="AM119" s="3">
        <v>85041000</v>
      </c>
      <c r="AN119" s="3">
        <v>5732000</v>
      </c>
      <c r="AO119" s="3">
        <v>79309000</v>
      </c>
      <c r="AP119" s="3">
        <v>0</v>
      </c>
      <c r="AQ119" s="3">
        <v>85041000</v>
      </c>
      <c r="BL119" s="3">
        <v>5247000</v>
      </c>
      <c r="BM119" s="3">
        <v>79413000</v>
      </c>
      <c r="BN119" s="3">
        <v>0</v>
      </c>
      <c r="BO119" s="3">
        <v>84660000</v>
      </c>
      <c r="BP119" s="3">
        <v>5247000</v>
      </c>
      <c r="BQ119" s="3">
        <v>79413000</v>
      </c>
      <c r="BR119" s="3">
        <v>0</v>
      </c>
      <c r="BS119" s="3">
        <v>84660000</v>
      </c>
      <c r="CN119" s="3">
        <v>5574000</v>
      </c>
      <c r="CO119" s="3">
        <v>80842000</v>
      </c>
      <c r="CP119" s="3">
        <v>0</v>
      </c>
      <c r="CQ119" s="3">
        <v>86416000</v>
      </c>
      <c r="CR119" s="3">
        <v>5574000</v>
      </c>
      <c r="CS119" s="3">
        <v>80842000</v>
      </c>
      <c r="CT119" s="3">
        <v>0</v>
      </c>
      <c r="CU119" s="3">
        <v>86416000</v>
      </c>
      <c r="DP119" s="3">
        <v>5244000</v>
      </c>
      <c r="DQ119" s="3">
        <v>80842000</v>
      </c>
      <c r="DR119" s="3">
        <v>0</v>
      </c>
      <c r="DS119" s="3">
        <v>86086000</v>
      </c>
      <c r="DT119" s="3">
        <v>5244000</v>
      </c>
      <c r="DU119" s="3">
        <v>80842000</v>
      </c>
      <c r="DV119" s="3">
        <v>0</v>
      </c>
      <c r="DW119" s="3">
        <v>86086000</v>
      </c>
      <c r="ER119" s="3">
        <v>4873000</v>
      </c>
      <c r="ES119" s="3">
        <v>60840000</v>
      </c>
      <c r="ET119" s="3">
        <v>0</v>
      </c>
      <c r="EU119" s="3">
        <v>65713000</v>
      </c>
      <c r="EV119" s="3">
        <v>4873000</v>
      </c>
      <c r="EW119" s="3">
        <v>60840000</v>
      </c>
      <c r="EX119" s="3">
        <v>0</v>
      </c>
      <c r="EY119" s="3">
        <v>65713000</v>
      </c>
      <c r="FT119" s="3">
        <v>4685000</v>
      </c>
      <c r="FU119" s="3">
        <v>48309000</v>
      </c>
      <c r="FV119" s="3">
        <v>0</v>
      </c>
      <c r="FW119" s="3">
        <v>52994000</v>
      </c>
      <c r="FX119" s="3">
        <v>4685000</v>
      </c>
      <c r="FY119" s="3">
        <v>48309000</v>
      </c>
      <c r="FZ119" s="3">
        <v>0</v>
      </c>
      <c r="GA119" s="3">
        <v>52994000</v>
      </c>
      <c r="GV119" s="3">
        <v>4167000</v>
      </c>
      <c r="GW119" s="3">
        <v>49179000</v>
      </c>
      <c r="GX119" s="3">
        <v>0</v>
      </c>
      <c r="GY119" s="3">
        <v>53346000</v>
      </c>
      <c r="GZ119" s="3">
        <v>4167000</v>
      </c>
      <c r="HA119" s="3">
        <v>49179000</v>
      </c>
      <c r="HB119" s="3">
        <v>0</v>
      </c>
      <c r="HC119" s="3">
        <v>53346000</v>
      </c>
      <c r="HX119" s="3">
        <v>4990000</v>
      </c>
      <c r="HY119" s="3">
        <v>50064000</v>
      </c>
      <c r="HZ119" s="3">
        <v>0</v>
      </c>
      <c r="IA119" s="3">
        <v>55054000</v>
      </c>
      <c r="IB119" s="3">
        <v>4990000</v>
      </c>
      <c r="IC119" s="3">
        <v>50064000</v>
      </c>
      <c r="ID119" s="3">
        <v>0</v>
      </c>
      <c r="IE119" s="3">
        <v>55054000</v>
      </c>
      <c r="IZ119" s="3">
        <v>7001000</v>
      </c>
      <c r="JA119" s="3">
        <v>44849000</v>
      </c>
      <c r="JB119" s="3">
        <v>0</v>
      </c>
      <c r="JC119" s="3">
        <v>51850000</v>
      </c>
      <c r="JD119" s="3"/>
      <c r="JE119" s="3"/>
      <c r="JF119" s="3"/>
      <c r="JG119" s="3"/>
    </row>
    <row r="120" spans="1:267" x14ac:dyDescent="0.25">
      <c r="A120" t="s">
        <v>197</v>
      </c>
      <c r="B120" t="s">
        <v>198</v>
      </c>
      <c r="C120" t="s">
        <v>556</v>
      </c>
      <c r="D120" t="s">
        <v>617</v>
      </c>
      <c r="E120" t="s">
        <v>217</v>
      </c>
      <c r="F120" t="s">
        <v>516</v>
      </c>
      <c r="G120" t="s">
        <v>629</v>
      </c>
      <c r="H120" s="3">
        <v>29874000</v>
      </c>
      <c r="I120" s="3">
        <v>156431000</v>
      </c>
      <c r="J120" s="3">
        <v>0</v>
      </c>
      <c r="K120" s="3">
        <v>186305000</v>
      </c>
      <c r="L120" s="3">
        <v>29874000</v>
      </c>
      <c r="M120" s="3">
        <v>156431000</v>
      </c>
      <c r="N120" s="3">
        <v>0</v>
      </c>
      <c r="O120" s="3">
        <v>186305000</v>
      </c>
      <c r="AJ120" s="3">
        <v>32990000</v>
      </c>
      <c r="AK120" s="3">
        <v>125493000</v>
      </c>
      <c r="AL120" s="3">
        <v>0</v>
      </c>
      <c r="AM120" s="3">
        <v>158483000</v>
      </c>
      <c r="AN120" s="3">
        <v>32990000</v>
      </c>
      <c r="AO120" s="3">
        <v>125493000</v>
      </c>
      <c r="AP120" s="3">
        <v>0</v>
      </c>
      <c r="AQ120" s="3">
        <v>158483000</v>
      </c>
      <c r="BL120" s="3">
        <v>27855000</v>
      </c>
      <c r="BM120" s="3">
        <v>125656000</v>
      </c>
      <c r="BN120" s="3">
        <v>0</v>
      </c>
      <c r="BO120" s="3">
        <v>153511000</v>
      </c>
      <c r="BP120" s="3">
        <v>27855000</v>
      </c>
      <c r="BQ120" s="3">
        <v>125656000</v>
      </c>
      <c r="BR120" s="3">
        <v>0</v>
      </c>
      <c r="BS120" s="3">
        <v>153511000</v>
      </c>
      <c r="CN120" s="3">
        <v>29198000</v>
      </c>
      <c r="CO120" s="3">
        <v>287254000</v>
      </c>
      <c r="CP120" s="3">
        <v>0</v>
      </c>
      <c r="CQ120" s="3">
        <v>316452000</v>
      </c>
      <c r="CR120" s="3">
        <v>29198000</v>
      </c>
      <c r="CS120" s="3">
        <v>287254000</v>
      </c>
      <c r="CT120" s="3">
        <v>0</v>
      </c>
      <c r="CU120" s="3">
        <v>316452000</v>
      </c>
      <c r="DP120" s="3">
        <v>36823000</v>
      </c>
      <c r="DQ120" s="3">
        <v>287254000</v>
      </c>
      <c r="DR120" s="3">
        <v>0</v>
      </c>
      <c r="DS120" s="3">
        <v>324077000</v>
      </c>
      <c r="DT120" s="3">
        <v>36823000</v>
      </c>
      <c r="DU120" s="3">
        <v>287254000</v>
      </c>
      <c r="DV120" s="3">
        <v>0</v>
      </c>
      <c r="DW120" s="3">
        <v>324077000</v>
      </c>
      <c r="ER120" s="3">
        <v>36865000</v>
      </c>
      <c r="ES120" s="3">
        <v>234031000</v>
      </c>
      <c r="ET120" s="3">
        <v>0</v>
      </c>
      <c r="EU120" s="3">
        <v>270896000</v>
      </c>
      <c r="EV120" s="3">
        <v>36865000</v>
      </c>
      <c r="EW120" s="3">
        <v>257191000</v>
      </c>
      <c r="EX120" s="3">
        <v>0</v>
      </c>
      <c r="EY120" s="3">
        <v>294056000</v>
      </c>
      <c r="FT120" s="3">
        <v>40528000</v>
      </c>
      <c r="FU120" s="3">
        <v>133416000</v>
      </c>
      <c r="FV120" s="3">
        <v>4400000</v>
      </c>
      <c r="FW120" s="3">
        <v>178344000</v>
      </c>
      <c r="FX120" s="3">
        <v>40528000</v>
      </c>
      <c r="FY120" s="3">
        <v>314416000</v>
      </c>
      <c r="FZ120" s="3">
        <v>4400000</v>
      </c>
      <c r="GA120" s="3">
        <v>359344000</v>
      </c>
      <c r="GV120" s="3">
        <v>40664000</v>
      </c>
      <c r="GW120" s="3">
        <v>135818000</v>
      </c>
      <c r="GX120" s="3">
        <v>0</v>
      </c>
      <c r="GY120" s="3">
        <v>176482000</v>
      </c>
      <c r="GZ120" s="3">
        <v>40664000</v>
      </c>
      <c r="HA120" s="3">
        <v>135818000</v>
      </c>
      <c r="HB120" s="3">
        <v>0</v>
      </c>
      <c r="HC120" s="3">
        <v>176482000</v>
      </c>
      <c r="HX120" s="3">
        <v>43291000</v>
      </c>
      <c r="HY120" s="3">
        <v>138263000</v>
      </c>
      <c r="HZ120" s="3">
        <v>0</v>
      </c>
      <c r="IA120" s="3">
        <v>181554000</v>
      </c>
      <c r="IB120" s="3">
        <v>43291000</v>
      </c>
      <c r="IC120" s="3">
        <v>138263000</v>
      </c>
      <c r="ID120" s="3">
        <v>0</v>
      </c>
      <c r="IE120" s="3">
        <v>181554000</v>
      </c>
      <c r="IZ120" s="3">
        <v>44064000</v>
      </c>
      <c r="JA120" s="3">
        <v>159261000</v>
      </c>
      <c r="JB120" s="3">
        <v>0</v>
      </c>
      <c r="JC120" s="3">
        <v>203325000</v>
      </c>
      <c r="JD120" s="3"/>
      <c r="JE120" s="3"/>
      <c r="JF120" s="3"/>
      <c r="JG120" s="3"/>
    </row>
    <row r="121" spans="1:267" x14ac:dyDescent="0.25">
      <c r="A121" t="s">
        <v>197</v>
      </c>
      <c r="B121" t="s">
        <v>198</v>
      </c>
      <c r="C121" t="s">
        <v>556</v>
      </c>
      <c r="D121" t="s">
        <v>617</v>
      </c>
      <c r="E121" t="s">
        <v>217</v>
      </c>
      <c r="F121" t="s">
        <v>618</v>
      </c>
      <c r="G121" t="s">
        <v>630</v>
      </c>
      <c r="H121" s="3">
        <v>0</v>
      </c>
      <c r="I121" s="3">
        <v>269943000</v>
      </c>
      <c r="J121" s="3">
        <v>0</v>
      </c>
      <c r="K121" s="3">
        <v>269943000</v>
      </c>
      <c r="L121" s="3">
        <v>0</v>
      </c>
      <c r="M121" s="3">
        <v>369943000</v>
      </c>
      <c r="N121" s="3">
        <v>0</v>
      </c>
      <c r="O121" s="3">
        <v>369943000</v>
      </c>
      <c r="AJ121" s="3">
        <v>0</v>
      </c>
      <c r="AK121" s="3">
        <v>118322000</v>
      </c>
      <c r="AL121">
        <v>0</v>
      </c>
      <c r="AM121" s="3">
        <v>118322000</v>
      </c>
      <c r="AN121" s="3">
        <v>0</v>
      </c>
      <c r="AO121" s="3">
        <v>118322000</v>
      </c>
      <c r="AP121">
        <v>0</v>
      </c>
      <c r="AQ121" s="3">
        <v>118322000</v>
      </c>
      <c r="BL121" s="3">
        <v>0</v>
      </c>
      <c r="BM121" s="3">
        <v>159336000</v>
      </c>
      <c r="BN121" s="3">
        <v>0</v>
      </c>
      <c r="BO121" s="3">
        <v>159336000</v>
      </c>
      <c r="BP121" s="3">
        <v>0</v>
      </c>
      <c r="BQ121" s="3">
        <v>159336000</v>
      </c>
      <c r="BR121" s="3">
        <v>0</v>
      </c>
      <c r="BS121" s="3">
        <v>159336000</v>
      </c>
      <c r="DP121" s="3"/>
      <c r="DQ121" s="3"/>
      <c r="DR121" s="3"/>
      <c r="DS121" s="3"/>
      <c r="DT121" s="3"/>
      <c r="DU121" s="3"/>
      <c r="DV121" s="3"/>
      <c r="DW121" s="3"/>
      <c r="ER121" s="3"/>
      <c r="ES121" s="3"/>
      <c r="ET121" s="3"/>
      <c r="EU121" s="3"/>
      <c r="EV121" s="3"/>
      <c r="EW121" s="3"/>
      <c r="EX121" s="3"/>
      <c r="EY121" s="3"/>
      <c r="FT121" s="3"/>
      <c r="FU121" s="3"/>
      <c r="FV121" s="3"/>
      <c r="FW121" s="3"/>
      <c r="FX121" s="3"/>
      <c r="FY121" s="3"/>
      <c r="FZ121" s="3"/>
      <c r="GA121" s="3"/>
      <c r="GV121" s="3"/>
      <c r="GW121" s="3"/>
      <c r="GX121" s="3"/>
      <c r="GY121" s="3"/>
      <c r="GZ121" s="3"/>
      <c r="HA121" s="3"/>
      <c r="HB121" s="3"/>
      <c r="HC121" s="3"/>
      <c r="HX121" s="3"/>
      <c r="HY121" s="3"/>
      <c r="HZ121" s="3"/>
      <c r="IA121" s="3"/>
      <c r="IB121" s="3"/>
      <c r="IC121" s="3"/>
      <c r="ID121" s="3"/>
      <c r="IE121" s="3"/>
      <c r="IZ121" s="3"/>
      <c r="JA121" s="3"/>
      <c r="JB121" s="3"/>
      <c r="JC121" s="3"/>
      <c r="JD121" s="3"/>
      <c r="JE121" s="3"/>
      <c r="JF121" s="3"/>
      <c r="JG121" s="3"/>
    </row>
    <row r="122" spans="1:267" x14ac:dyDescent="0.25">
      <c r="A122" t="s">
        <v>197</v>
      </c>
      <c r="B122" t="s">
        <v>198</v>
      </c>
      <c r="C122" t="s">
        <v>557</v>
      </c>
      <c r="D122" t="s">
        <v>619</v>
      </c>
      <c r="E122" t="s">
        <v>201</v>
      </c>
      <c r="F122" t="s">
        <v>202</v>
      </c>
      <c r="G122" t="s">
        <v>203</v>
      </c>
      <c r="BO122" s="3"/>
      <c r="BS122" s="3"/>
      <c r="DP122" s="3">
        <v>26029000</v>
      </c>
      <c r="DQ122" s="3">
        <v>4646000</v>
      </c>
      <c r="DR122" s="3">
        <v>0</v>
      </c>
      <c r="DS122" s="3">
        <v>30675000</v>
      </c>
      <c r="DT122" s="3">
        <v>26029000</v>
      </c>
      <c r="DU122" s="3">
        <v>4646000</v>
      </c>
      <c r="DV122" s="3">
        <v>0</v>
      </c>
      <c r="DW122" s="3">
        <v>30675000</v>
      </c>
      <c r="ER122" s="3">
        <v>26401000</v>
      </c>
      <c r="ES122" s="3">
        <v>4694000</v>
      </c>
      <c r="ET122" s="3">
        <v>0</v>
      </c>
      <c r="EU122" s="3">
        <v>31095000</v>
      </c>
      <c r="EV122" s="3">
        <v>26401000</v>
      </c>
      <c r="EW122" s="3">
        <v>4694000</v>
      </c>
      <c r="EX122" s="3">
        <v>0</v>
      </c>
      <c r="EY122" s="3">
        <v>31095000</v>
      </c>
      <c r="FT122" s="3">
        <v>6938000</v>
      </c>
      <c r="FU122" s="3">
        <v>4778000</v>
      </c>
      <c r="FV122" s="3">
        <v>3000000</v>
      </c>
      <c r="FW122" s="3">
        <v>14716000</v>
      </c>
      <c r="FX122" s="3">
        <v>6938000</v>
      </c>
      <c r="FY122" s="3">
        <v>4778000</v>
      </c>
      <c r="FZ122" s="3">
        <v>3000000</v>
      </c>
      <c r="GA122" s="3">
        <v>14716000</v>
      </c>
      <c r="GV122" s="3">
        <v>13081000</v>
      </c>
      <c r="GW122" s="3">
        <v>12619000</v>
      </c>
      <c r="GX122" s="3">
        <v>2052000</v>
      </c>
      <c r="GY122" s="3">
        <v>27752000</v>
      </c>
      <c r="GZ122" s="3">
        <v>13081000</v>
      </c>
      <c r="HA122" s="3">
        <v>7327000</v>
      </c>
      <c r="HB122" s="3">
        <v>7344000</v>
      </c>
      <c r="HC122" s="3">
        <v>27752000</v>
      </c>
      <c r="HX122" s="3">
        <v>16866000</v>
      </c>
      <c r="HY122" s="3">
        <v>14048000</v>
      </c>
      <c r="HZ122" s="3">
        <v>5907000</v>
      </c>
      <c r="IA122" s="3">
        <v>36821000</v>
      </c>
      <c r="IB122" s="3">
        <v>16866000</v>
      </c>
      <c r="IC122" s="3">
        <v>14048000</v>
      </c>
      <c r="ID122" s="3">
        <v>5907000</v>
      </c>
      <c r="IE122" s="3">
        <v>36821000</v>
      </c>
      <c r="IZ122" s="3">
        <v>18257000</v>
      </c>
      <c r="JA122" s="3">
        <v>28145000</v>
      </c>
      <c r="JB122" s="3">
        <v>0</v>
      </c>
      <c r="JC122" s="3">
        <v>46402000</v>
      </c>
      <c r="JD122" s="3"/>
      <c r="JE122" s="3"/>
      <c r="JF122" s="3"/>
      <c r="JG122" s="3"/>
    </row>
    <row r="123" spans="1:267" x14ac:dyDescent="0.25">
      <c r="A123" t="s">
        <v>197</v>
      </c>
      <c r="B123" t="s">
        <v>198</v>
      </c>
      <c r="C123" t="s">
        <v>557</v>
      </c>
      <c r="D123" t="s">
        <v>619</v>
      </c>
      <c r="E123" t="s">
        <v>201</v>
      </c>
      <c r="F123" t="s">
        <v>204</v>
      </c>
      <c r="G123" t="s">
        <v>205</v>
      </c>
      <c r="BO123" s="3"/>
      <c r="BS123" s="3"/>
      <c r="DP123" s="3"/>
      <c r="DQ123" s="3"/>
      <c r="DR123" s="3"/>
      <c r="DS123" s="3"/>
      <c r="DT123" s="3"/>
      <c r="DU123" s="3"/>
      <c r="DV123" s="3"/>
      <c r="DW123" s="3"/>
      <c r="ER123" s="3">
        <v>3254000</v>
      </c>
      <c r="ES123" s="3">
        <v>0</v>
      </c>
      <c r="ET123" s="3">
        <v>0</v>
      </c>
      <c r="EU123" s="3">
        <v>3254000</v>
      </c>
      <c r="EV123" s="3">
        <v>3254000</v>
      </c>
      <c r="EW123" s="3">
        <v>0</v>
      </c>
      <c r="EX123" s="3">
        <v>0</v>
      </c>
      <c r="EY123" s="3">
        <v>3254000</v>
      </c>
      <c r="FT123" s="3"/>
      <c r="FU123" s="3"/>
      <c r="FV123" s="3"/>
      <c r="FW123" s="3"/>
      <c r="FX123" s="3"/>
      <c r="FY123" s="3"/>
      <c r="FZ123" s="3"/>
      <c r="GA123" s="3"/>
      <c r="GV123" s="3"/>
      <c r="GW123" s="3"/>
      <c r="GX123" s="3"/>
      <c r="GY123" s="3"/>
      <c r="GZ123" s="3"/>
      <c r="HA123" s="3"/>
      <c r="HB123" s="3"/>
      <c r="HC123" s="3"/>
      <c r="HX123" s="3">
        <v>1612000</v>
      </c>
      <c r="HY123" s="3">
        <v>0</v>
      </c>
      <c r="HZ123" s="3">
        <v>0</v>
      </c>
      <c r="IA123" s="3">
        <v>1612000</v>
      </c>
      <c r="IB123" s="3">
        <v>1612000</v>
      </c>
      <c r="IC123" s="3">
        <v>0</v>
      </c>
      <c r="ID123" s="3">
        <v>0</v>
      </c>
      <c r="IE123" s="3">
        <v>1612000</v>
      </c>
      <c r="IZ123" s="3">
        <v>1672000</v>
      </c>
      <c r="JA123" s="3">
        <v>0</v>
      </c>
      <c r="JB123" s="3">
        <v>0</v>
      </c>
      <c r="JC123" s="3">
        <v>1672000</v>
      </c>
      <c r="JD123" s="3"/>
      <c r="JE123" s="3"/>
      <c r="JF123" s="3"/>
      <c r="JG123" s="3"/>
    </row>
    <row r="124" spans="1:267" x14ac:dyDescent="0.25">
      <c r="A124" t="s">
        <v>197</v>
      </c>
      <c r="B124" t="s">
        <v>198</v>
      </c>
      <c r="C124" t="s">
        <v>557</v>
      </c>
      <c r="D124" t="s">
        <v>619</v>
      </c>
      <c r="E124" t="s">
        <v>208</v>
      </c>
      <c r="F124" t="s">
        <v>209</v>
      </c>
      <c r="G124" t="s">
        <v>679</v>
      </c>
      <c r="BO124" s="3"/>
      <c r="BS124" s="3"/>
      <c r="DP124" s="3"/>
      <c r="DQ124" s="3"/>
      <c r="DR124" s="3"/>
      <c r="DS124" s="3"/>
      <c r="DT124" s="3"/>
      <c r="DU124" s="3"/>
      <c r="DV124" s="3"/>
      <c r="DW124" s="3"/>
      <c r="ER124" s="3"/>
      <c r="ES124" s="3"/>
      <c r="ET124" s="3"/>
      <c r="EU124" s="3"/>
      <c r="EV124" s="3"/>
      <c r="EW124" s="3"/>
      <c r="EX124" s="3"/>
      <c r="EY124" s="3"/>
      <c r="FT124" s="3"/>
      <c r="FU124" s="3"/>
      <c r="FV124" s="3"/>
      <c r="FW124" s="3"/>
      <c r="FX124" s="3"/>
      <c r="FY124" s="3"/>
      <c r="FZ124" s="3"/>
      <c r="GA124" s="3"/>
      <c r="GV124" s="3">
        <v>569000</v>
      </c>
      <c r="GW124" s="3">
        <v>500000</v>
      </c>
      <c r="GX124" s="3">
        <v>0</v>
      </c>
      <c r="GY124" s="3">
        <v>1069000</v>
      </c>
      <c r="GZ124" s="3">
        <v>569000</v>
      </c>
      <c r="HA124" s="3">
        <v>500000</v>
      </c>
      <c r="HB124" s="3">
        <v>0</v>
      </c>
      <c r="HC124" s="3">
        <v>1069000</v>
      </c>
      <c r="HX124" s="3">
        <v>1405000</v>
      </c>
      <c r="HY124" s="3">
        <v>500000</v>
      </c>
      <c r="HZ124" s="3">
        <v>0</v>
      </c>
      <c r="IA124" s="3">
        <v>1905000</v>
      </c>
      <c r="IB124" s="3">
        <v>1405000</v>
      </c>
      <c r="IC124" s="3">
        <v>500000</v>
      </c>
      <c r="ID124" s="3">
        <v>0</v>
      </c>
      <c r="IE124" s="3">
        <v>1905000</v>
      </c>
      <c r="IZ124" s="3">
        <v>1479000</v>
      </c>
      <c r="JA124" s="3">
        <v>509000</v>
      </c>
      <c r="JB124" s="3">
        <v>0</v>
      </c>
      <c r="JC124" s="3">
        <v>1988000</v>
      </c>
      <c r="JD124" s="3"/>
      <c r="JE124" s="3"/>
      <c r="JF124" s="3"/>
      <c r="JG124" s="3"/>
    </row>
    <row r="125" spans="1:267" x14ac:dyDescent="0.25">
      <c r="A125" t="s">
        <v>197</v>
      </c>
      <c r="B125" t="s">
        <v>198</v>
      </c>
      <c r="C125" t="s">
        <v>557</v>
      </c>
      <c r="D125" t="s">
        <v>619</v>
      </c>
      <c r="E125" t="s">
        <v>208</v>
      </c>
      <c r="F125" t="s">
        <v>211</v>
      </c>
      <c r="G125" t="s">
        <v>680</v>
      </c>
      <c r="BO125" s="3"/>
      <c r="BS125" s="3"/>
      <c r="DP125" s="3"/>
      <c r="DQ125" s="3"/>
      <c r="DR125" s="3"/>
      <c r="DS125" s="3"/>
      <c r="DT125" s="3"/>
      <c r="DU125" s="3"/>
      <c r="DV125" s="3"/>
      <c r="DW125" s="3"/>
      <c r="ER125" s="3"/>
      <c r="ES125" s="3"/>
      <c r="ET125" s="3"/>
      <c r="EU125" s="3"/>
      <c r="EV125" s="3"/>
      <c r="EW125" s="3"/>
      <c r="EX125" s="3"/>
      <c r="EY125" s="3"/>
      <c r="FT125" s="3"/>
      <c r="FU125" s="3"/>
      <c r="FV125" s="3"/>
      <c r="FW125" s="3"/>
      <c r="FX125" s="3"/>
      <c r="FY125" s="3"/>
      <c r="FZ125" s="3"/>
      <c r="GA125" s="3"/>
      <c r="GV125" s="3">
        <v>0</v>
      </c>
      <c r="GW125" s="3">
        <v>500000</v>
      </c>
      <c r="GX125" s="3">
        <v>0</v>
      </c>
      <c r="GY125" s="3">
        <v>500000</v>
      </c>
      <c r="GZ125" s="3">
        <v>0</v>
      </c>
      <c r="HA125" s="3">
        <v>500000</v>
      </c>
      <c r="HB125" s="3">
        <v>0</v>
      </c>
      <c r="HC125" s="3">
        <v>500000</v>
      </c>
      <c r="HX125" s="3">
        <v>0</v>
      </c>
      <c r="HY125" s="3">
        <v>500000</v>
      </c>
      <c r="HZ125" s="3">
        <v>0</v>
      </c>
      <c r="IA125" s="3">
        <v>500000</v>
      </c>
      <c r="IB125" s="3">
        <v>0</v>
      </c>
      <c r="IC125" s="3">
        <v>500000</v>
      </c>
      <c r="ID125" s="3">
        <v>0</v>
      </c>
      <c r="IE125" s="3">
        <v>500000</v>
      </c>
      <c r="IZ125" s="3">
        <v>0</v>
      </c>
      <c r="JA125" s="3">
        <v>509000</v>
      </c>
      <c r="JB125" s="3">
        <v>0</v>
      </c>
      <c r="JC125" s="3">
        <v>509000</v>
      </c>
      <c r="JD125" s="3"/>
      <c r="JE125" s="3"/>
      <c r="JF125" s="3"/>
      <c r="JG125" s="3"/>
    </row>
    <row r="126" spans="1:267" x14ac:dyDescent="0.25">
      <c r="A126" t="s">
        <v>197</v>
      </c>
      <c r="B126" t="s">
        <v>198</v>
      </c>
      <c r="C126" t="s">
        <v>557</v>
      </c>
      <c r="D126" t="s">
        <v>619</v>
      </c>
      <c r="E126" t="s">
        <v>217</v>
      </c>
      <c r="F126" t="s">
        <v>218</v>
      </c>
      <c r="G126" t="s">
        <v>683</v>
      </c>
      <c r="BO126" s="3"/>
      <c r="BS126" s="3"/>
      <c r="DP126" s="3">
        <v>2038000</v>
      </c>
      <c r="DQ126" s="3">
        <v>750000</v>
      </c>
      <c r="DR126" s="3">
        <v>0</v>
      </c>
      <c r="DS126" s="3">
        <v>2788000</v>
      </c>
      <c r="DT126" s="3">
        <v>2038000</v>
      </c>
      <c r="DU126" s="3">
        <v>750000</v>
      </c>
      <c r="DV126" s="3">
        <v>0</v>
      </c>
      <c r="DW126" s="3">
        <v>2788000</v>
      </c>
      <c r="ER126" s="3">
        <v>2691000</v>
      </c>
      <c r="ES126" s="3">
        <v>757000</v>
      </c>
      <c r="ET126" s="3">
        <v>0</v>
      </c>
      <c r="EU126" s="3">
        <v>3448000</v>
      </c>
      <c r="EV126" s="3">
        <v>2691000</v>
      </c>
      <c r="EW126" s="3">
        <v>9757000</v>
      </c>
      <c r="EX126" s="3">
        <v>0</v>
      </c>
      <c r="EY126" s="3">
        <v>12448000</v>
      </c>
      <c r="FT126" s="3">
        <v>10868000</v>
      </c>
      <c r="FU126" s="3">
        <v>9771000</v>
      </c>
      <c r="FV126" s="3">
        <v>0</v>
      </c>
      <c r="FW126" s="3">
        <v>20639000</v>
      </c>
      <c r="FX126" s="3">
        <v>10868000</v>
      </c>
      <c r="FY126" s="3">
        <v>9771000</v>
      </c>
      <c r="FZ126" s="3">
        <v>0</v>
      </c>
      <c r="GA126" s="3">
        <v>20639000</v>
      </c>
      <c r="GV126" s="3"/>
      <c r="GW126" s="3"/>
      <c r="GX126" s="3"/>
      <c r="GY126" s="3"/>
      <c r="GZ126" s="3"/>
      <c r="HA126" s="3"/>
      <c r="HB126" s="3"/>
      <c r="HC126" s="3"/>
      <c r="HX126" s="3"/>
      <c r="HY126" s="3"/>
      <c r="HZ126" s="3"/>
      <c r="IA126" s="3"/>
      <c r="IB126" s="3"/>
      <c r="IC126" s="3"/>
      <c r="ID126" s="3"/>
      <c r="IE126" s="3"/>
      <c r="IZ126" s="3"/>
      <c r="JA126" s="3"/>
      <c r="JB126" s="3"/>
      <c r="JC126" s="3"/>
      <c r="JD126" s="3"/>
      <c r="JE126" s="3"/>
      <c r="JF126" s="3"/>
      <c r="JG126" s="3"/>
    </row>
    <row r="127" spans="1:267" x14ac:dyDescent="0.25">
      <c r="A127" t="s">
        <v>197</v>
      </c>
      <c r="B127" t="s">
        <v>198</v>
      </c>
      <c r="C127" t="s">
        <v>557</v>
      </c>
      <c r="D127" t="s">
        <v>619</v>
      </c>
      <c r="E127" t="s">
        <v>217</v>
      </c>
      <c r="F127" t="s">
        <v>220</v>
      </c>
      <c r="G127" t="s">
        <v>684</v>
      </c>
      <c r="BO127" s="3"/>
      <c r="BS127" s="3"/>
      <c r="DP127" s="3">
        <v>729000</v>
      </c>
      <c r="DQ127" s="3">
        <v>800000</v>
      </c>
      <c r="DR127" s="3">
        <v>0</v>
      </c>
      <c r="DS127" s="3">
        <v>1529000</v>
      </c>
      <c r="DT127" s="3">
        <v>729000</v>
      </c>
      <c r="DU127" s="3">
        <v>800000</v>
      </c>
      <c r="DV127" s="3">
        <v>0</v>
      </c>
      <c r="DW127" s="3">
        <v>1529000</v>
      </c>
      <c r="ER127" s="3">
        <v>4448000</v>
      </c>
      <c r="ES127" s="3">
        <v>808000</v>
      </c>
      <c r="ET127" s="3">
        <v>0</v>
      </c>
      <c r="EU127" s="3">
        <v>5256000</v>
      </c>
      <c r="EV127" s="3">
        <v>4448000</v>
      </c>
      <c r="EW127" s="3">
        <v>808000</v>
      </c>
      <c r="EX127" s="3">
        <v>0</v>
      </c>
      <c r="EY127" s="3">
        <v>5256000</v>
      </c>
      <c r="FT127" s="3">
        <v>7738000</v>
      </c>
      <c r="FU127" s="3">
        <v>823000</v>
      </c>
      <c r="FV127" s="3">
        <v>0</v>
      </c>
      <c r="FW127" s="3">
        <v>8561000</v>
      </c>
      <c r="FX127" s="3">
        <v>7738000</v>
      </c>
      <c r="FY127" s="3">
        <v>823000</v>
      </c>
      <c r="FZ127" s="3">
        <v>0</v>
      </c>
      <c r="GA127" s="3">
        <v>8561000</v>
      </c>
      <c r="GV127" s="3"/>
      <c r="GW127" s="3"/>
      <c r="GX127" s="3"/>
      <c r="GY127" s="3"/>
      <c r="GZ127" s="3"/>
      <c r="HA127" s="3"/>
      <c r="HB127" s="3"/>
      <c r="HC127" s="3"/>
      <c r="HX127" s="3"/>
      <c r="HY127" s="3"/>
      <c r="HZ127" s="3"/>
      <c r="IA127" s="3"/>
      <c r="IB127" s="3"/>
      <c r="IC127" s="3"/>
      <c r="ID127" s="3"/>
      <c r="IE127" s="3"/>
      <c r="IZ127" s="3"/>
      <c r="JA127" s="3"/>
      <c r="JB127" s="3"/>
      <c r="JC127" s="3"/>
      <c r="JD127" s="3"/>
      <c r="JE127" s="3"/>
      <c r="JF127" s="3"/>
      <c r="JG127" s="3"/>
    </row>
    <row r="128" spans="1:267" x14ac:dyDescent="0.25">
      <c r="A128" t="s">
        <v>197</v>
      </c>
      <c r="B128" t="s">
        <v>198</v>
      </c>
      <c r="C128" t="s">
        <v>557</v>
      </c>
      <c r="D128" t="s">
        <v>619</v>
      </c>
      <c r="E128" t="s">
        <v>300</v>
      </c>
      <c r="F128" t="s">
        <v>620</v>
      </c>
      <c r="G128" t="s">
        <v>681</v>
      </c>
      <c r="BO128" s="3"/>
      <c r="BS128" s="3"/>
      <c r="GV128" s="3">
        <v>5410000</v>
      </c>
      <c r="GW128" s="3">
        <v>3000000</v>
      </c>
      <c r="GX128" s="3">
        <v>0</v>
      </c>
      <c r="GY128" s="3">
        <v>8410000</v>
      </c>
      <c r="GZ128" s="3">
        <v>5410000</v>
      </c>
      <c r="HA128" s="3">
        <v>3000000</v>
      </c>
      <c r="HB128" s="3">
        <v>0</v>
      </c>
      <c r="HC128" s="3">
        <v>8410000</v>
      </c>
      <c r="HX128" s="3">
        <v>4995000</v>
      </c>
      <c r="HY128" s="3">
        <v>3000000</v>
      </c>
      <c r="HZ128" s="3">
        <v>0</v>
      </c>
      <c r="IA128" s="3">
        <v>7995000</v>
      </c>
      <c r="IB128" s="3">
        <v>4995000</v>
      </c>
      <c r="IC128" s="3">
        <v>3000000</v>
      </c>
      <c r="ID128" s="3">
        <v>0</v>
      </c>
      <c r="IE128" s="3">
        <v>7995000</v>
      </c>
      <c r="IZ128" s="3">
        <v>6994000</v>
      </c>
      <c r="JA128" s="3">
        <v>3054000</v>
      </c>
      <c r="JB128" s="3">
        <v>0</v>
      </c>
      <c r="JC128" s="3">
        <v>10048000</v>
      </c>
      <c r="JD128" s="3"/>
      <c r="JE128" s="3"/>
      <c r="JF128" s="3"/>
      <c r="JG128" s="3"/>
    </row>
    <row r="129" spans="1:267" x14ac:dyDescent="0.25">
      <c r="A129" t="s">
        <v>197</v>
      </c>
      <c r="B129" t="s">
        <v>198</v>
      </c>
      <c r="C129" t="s">
        <v>557</v>
      </c>
      <c r="D129" t="s">
        <v>619</v>
      </c>
      <c r="E129" t="s">
        <v>313</v>
      </c>
      <c r="F129" t="s">
        <v>621</v>
      </c>
      <c r="G129" t="s">
        <v>682</v>
      </c>
      <c r="BO129" s="3"/>
      <c r="BS129" s="3"/>
      <c r="GV129" s="3">
        <v>6553000</v>
      </c>
      <c r="GW129" s="3">
        <v>6000000</v>
      </c>
      <c r="GX129" s="3">
        <v>0</v>
      </c>
      <c r="GY129" s="3">
        <v>12553000</v>
      </c>
      <c r="GZ129" s="3">
        <v>6553000</v>
      </c>
      <c r="HA129" s="3">
        <v>6000000</v>
      </c>
      <c r="HB129" s="3">
        <v>0</v>
      </c>
      <c r="HC129" s="3">
        <v>12553000</v>
      </c>
      <c r="HX129" s="3">
        <v>8371000</v>
      </c>
      <c r="HY129" s="3">
        <v>6000000</v>
      </c>
      <c r="HZ129" s="3">
        <v>0</v>
      </c>
      <c r="IA129" s="3">
        <v>14371000</v>
      </c>
      <c r="IB129" s="3">
        <v>8371000</v>
      </c>
      <c r="IC129" s="3">
        <v>6000000</v>
      </c>
      <c r="ID129" s="3">
        <v>0</v>
      </c>
      <c r="IE129" s="3">
        <v>14371000</v>
      </c>
      <c r="IZ129" s="3">
        <v>8789000</v>
      </c>
      <c r="JA129" s="3">
        <v>6108000</v>
      </c>
      <c r="JB129" s="3">
        <v>0</v>
      </c>
      <c r="JC129" s="3">
        <v>14897000</v>
      </c>
      <c r="JD129" s="3"/>
      <c r="JE129" s="3"/>
      <c r="JF129" s="3"/>
      <c r="JG129"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FA0F3-C2D8-4450-9EB0-5BB7EF80DAB0}">
  <dimension ref="A1:LT113"/>
  <sheetViews>
    <sheetView zoomScale="85" zoomScaleNormal="85" workbookViewId="0">
      <pane xSplit="7" ySplit="1" topLeftCell="LK2" activePane="bottomRight" state="frozen"/>
      <selection pane="topRight" activeCell="H1" sqref="H1"/>
      <selection pane="bottomLeft" activeCell="A2" sqref="A2"/>
      <selection pane="bottomRight" activeCell="LK1" sqref="LK1"/>
    </sheetView>
  </sheetViews>
  <sheetFormatPr defaultRowHeight="15" x14ac:dyDescent="0.25"/>
  <cols>
    <col min="1" max="6" width="9.140625" customWidth="1"/>
    <col min="7" max="332" width="15.7109375" customWidth="1"/>
  </cols>
  <sheetData>
    <row r="1" spans="1:332" s="1" customFormat="1" x14ac:dyDescent="0.25">
      <c r="A1" s="1" t="s">
        <v>0</v>
      </c>
      <c r="B1" s="1" t="s">
        <v>1</v>
      </c>
      <c r="C1" s="1" t="s">
        <v>2</v>
      </c>
      <c r="D1" s="1" t="s">
        <v>3</v>
      </c>
      <c r="E1" s="1" t="s">
        <v>4</v>
      </c>
      <c r="F1" s="7" t="s">
        <v>5</v>
      </c>
      <c r="G1" s="7" t="s">
        <v>6</v>
      </c>
      <c r="H1" s="7" t="s">
        <v>610</v>
      </c>
      <c r="I1" s="7" t="s">
        <v>611</v>
      </c>
      <c r="J1" s="7" t="s">
        <v>926</v>
      </c>
      <c r="K1" s="7" t="s">
        <v>612</v>
      </c>
      <c r="L1" s="7" t="s">
        <v>7</v>
      </c>
      <c r="M1" s="7" t="s">
        <v>613</v>
      </c>
      <c r="N1" s="7" t="s">
        <v>614</v>
      </c>
      <c r="O1" s="7" t="s">
        <v>927</v>
      </c>
      <c r="P1" s="7" t="s">
        <v>615</v>
      </c>
      <c r="Q1" s="7" t="s">
        <v>8</v>
      </c>
      <c r="R1" s="8" t="s">
        <v>649</v>
      </c>
      <c r="S1" s="8" t="s">
        <v>650</v>
      </c>
      <c r="T1" s="8" t="s">
        <v>932</v>
      </c>
      <c r="U1" s="8" t="s">
        <v>651</v>
      </c>
      <c r="V1" s="8" t="s">
        <v>9</v>
      </c>
      <c r="W1" s="8" t="s">
        <v>652</v>
      </c>
      <c r="X1" s="8" t="s">
        <v>653</v>
      </c>
      <c r="Y1" s="8" t="s">
        <v>931</v>
      </c>
      <c r="Z1" s="8" t="s">
        <v>654</v>
      </c>
      <c r="AA1" s="8" t="s">
        <v>10</v>
      </c>
      <c r="AB1" s="8" t="s">
        <v>655</v>
      </c>
      <c r="AC1" s="8" t="s">
        <v>656</v>
      </c>
      <c r="AD1" s="8" t="s">
        <v>930</v>
      </c>
      <c r="AE1" s="8" t="s">
        <v>657</v>
      </c>
      <c r="AF1" s="8" t="s">
        <v>11</v>
      </c>
      <c r="AG1" s="8" t="s">
        <v>658</v>
      </c>
      <c r="AH1" s="8" t="s">
        <v>659</v>
      </c>
      <c r="AI1" s="8" t="s">
        <v>929</v>
      </c>
      <c r="AJ1" s="8" t="s">
        <v>660</v>
      </c>
      <c r="AK1" s="8" t="s">
        <v>12</v>
      </c>
      <c r="AL1" s="8" t="s">
        <v>661</v>
      </c>
      <c r="AM1" s="8" t="s">
        <v>662</v>
      </c>
      <c r="AN1" s="8" t="s">
        <v>928</v>
      </c>
      <c r="AO1" s="8" t="s">
        <v>663</v>
      </c>
      <c r="AP1" s="8" t="s">
        <v>13</v>
      </c>
      <c r="AQ1" s="1" t="s">
        <v>604</v>
      </c>
      <c r="AR1" s="1" t="s">
        <v>605</v>
      </c>
      <c r="AS1" s="1" t="s">
        <v>941</v>
      </c>
      <c r="AT1" s="1" t="s">
        <v>606</v>
      </c>
      <c r="AU1" s="1" t="s">
        <v>14</v>
      </c>
      <c r="AV1" s="1" t="s">
        <v>607</v>
      </c>
      <c r="AW1" s="1" t="s">
        <v>608</v>
      </c>
      <c r="AX1" s="1" t="s">
        <v>940</v>
      </c>
      <c r="AY1" s="1" t="s">
        <v>609</v>
      </c>
      <c r="AZ1" s="1" t="s">
        <v>15</v>
      </c>
      <c r="BA1" s="2" t="s">
        <v>664</v>
      </c>
      <c r="BB1" s="2" t="s">
        <v>665</v>
      </c>
      <c r="BC1" s="2" t="s">
        <v>939</v>
      </c>
      <c r="BD1" s="2" t="s">
        <v>666</v>
      </c>
      <c r="BE1" s="2" t="s">
        <v>16</v>
      </c>
      <c r="BF1" s="2" t="s">
        <v>667</v>
      </c>
      <c r="BG1" s="2" t="s">
        <v>668</v>
      </c>
      <c r="BH1" s="2" t="s">
        <v>938</v>
      </c>
      <c r="BI1" s="2" t="s">
        <v>669</v>
      </c>
      <c r="BJ1" s="2" t="s">
        <v>17</v>
      </c>
      <c r="BK1" s="2" t="s">
        <v>670</v>
      </c>
      <c r="BL1" s="2" t="s">
        <v>671</v>
      </c>
      <c r="BM1" s="2" t="s">
        <v>937</v>
      </c>
      <c r="BN1" s="2" t="s">
        <v>672</v>
      </c>
      <c r="BO1" s="2" t="s">
        <v>18</v>
      </c>
      <c r="BP1" s="2" t="s">
        <v>673</v>
      </c>
      <c r="BQ1" s="2" t="s">
        <v>674</v>
      </c>
      <c r="BR1" s="2" t="s">
        <v>936</v>
      </c>
      <c r="BS1" s="2" t="s">
        <v>675</v>
      </c>
      <c r="BT1" s="2" t="s">
        <v>19</v>
      </c>
      <c r="BU1" s="2" t="s">
        <v>676</v>
      </c>
      <c r="BV1" s="2" t="s">
        <v>677</v>
      </c>
      <c r="BW1" s="2" t="s">
        <v>935</v>
      </c>
      <c r="BX1" s="2" t="s">
        <v>678</v>
      </c>
      <c r="BY1" s="2" t="s">
        <v>20</v>
      </c>
      <c r="BZ1" s="1" t="s">
        <v>21</v>
      </c>
      <c r="CA1" s="1" t="s">
        <v>22</v>
      </c>
      <c r="CB1" s="1" t="s">
        <v>882</v>
      </c>
      <c r="CC1" s="1" t="s">
        <v>23</v>
      </c>
      <c r="CD1" s="1" t="s">
        <v>24</v>
      </c>
      <c r="CE1" s="1" t="s">
        <v>25</v>
      </c>
      <c r="CF1" s="1" t="s">
        <v>26</v>
      </c>
      <c r="CG1" s="1" t="s">
        <v>883</v>
      </c>
      <c r="CH1" s="1" t="s">
        <v>27</v>
      </c>
      <c r="CI1" s="1" t="s">
        <v>28</v>
      </c>
      <c r="CJ1" s="2" t="s">
        <v>29</v>
      </c>
      <c r="CK1" s="2" t="s">
        <v>30</v>
      </c>
      <c r="CL1" s="2" t="s">
        <v>899</v>
      </c>
      <c r="CM1" s="2" t="s">
        <v>31</v>
      </c>
      <c r="CN1" s="2" t="s">
        <v>32</v>
      </c>
      <c r="CO1" s="2" t="s">
        <v>33</v>
      </c>
      <c r="CP1" s="2" t="s">
        <v>34</v>
      </c>
      <c r="CQ1" s="2" t="s">
        <v>898</v>
      </c>
      <c r="CR1" s="2" t="s">
        <v>35</v>
      </c>
      <c r="CS1" s="2" t="s">
        <v>36</v>
      </c>
      <c r="CT1" s="2" t="s">
        <v>37</v>
      </c>
      <c r="CU1" s="2" t="s">
        <v>38</v>
      </c>
      <c r="CV1" s="2" t="s">
        <v>897</v>
      </c>
      <c r="CW1" s="2" t="s">
        <v>39</v>
      </c>
      <c r="CX1" s="2" t="s">
        <v>40</v>
      </c>
      <c r="CY1" s="2" t="s">
        <v>41</v>
      </c>
      <c r="CZ1" s="2" t="s">
        <v>42</v>
      </c>
      <c r="DA1" s="2" t="s">
        <v>896</v>
      </c>
      <c r="DB1" s="2" t="s">
        <v>43</v>
      </c>
      <c r="DC1" s="2" t="s">
        <v>44</v>
      </c>
      <c r="DD1" s="2" t="s">
        <v>45</v>
      </c>
      <c r="DE1" s="2" t="s">
        <v>46</v>
      </c>
      <c r="DF1" s="2" t="s">
        <v>895</v>
      </c>
      <c r="DG1" s="2" t="s">
        <v>47</v>
      </c>
      <c r="DH1" s="2" t="s">
        <v>48</v>
      </c>
      <c r="DI1" s="1" t="s">
        <v>49</v>
      </c>
      <c r="DJ1" s="1" t="s">
        <v>50</v>
      </c>
      <c r="DK1" s="1" t="s">
        <v>884</v>
      </c>
      <c r="DL1" s="1" t="s">
        <v>51</v>
      </c>
      <c r="DM1" s="1" t="s">
        <v>52</v>
      </c>
      <c r="DN1" s="1" t="s">
        <v>53</v>
      </c>
      <c r="DO1" s="1" t="s">
        <v>54</v>
      </c>
      <c r="DP1" s="1" t="s">
        <v>885</v>
      </c>
      <c r="DQ1" s="1" t="s">
        <v>55</v>
      </c>
      <c r="DR1" s="1" t="s">
        <v>56</v>
      </c>
      <c r="DS1" s="2" t="s">
        <v>57</v>
      </c>
      <c r="DT1" s="2" t="s">
        <v>58</v>
      </c>
      <c r="DU1" s="2" t="s">
        <v>904</v>
      </c>
      <c r="DV1" s="2" t="s">
        <v>59</v>
      </c>
      <c r="DW1" s="2" t="s">
        <v>60</v>
      </c>
      <c r="DX1" s="2" t="s">
        <v>61</v>
      </c>
      <c r="DY1" s="2" t="s">
        <v>62</v>
      </c>
      <c r="DZ1" s="2" t="s">
        <v>903</v>
      </c>
      <c r="EA1" s="2" t="s">
        <v>63</v>
      </c>
      <c r="EB1" s="2" t="s">
        <v>64</v>
      </c>
      <c r="EC1" s="2" t="s">
        <v>65</v>
      </c>
      <c r="ED1" s="2" t="s">
        <v>66</v>
      </c>
      <c r="EE1" s="2" t="s">
        <v>902</v>
      </c>
      <c r="EF1" s="2" t="s">
        <v>67</v>
      </c>
      <c r="EG1" s="2" t="s">
        <v>68</v>
      </c>
      <c r="EH1" s="2" t="s">
        <v>69</v>
      </c>
      <c r="EI1" s="2" t="s">
        <v>70</v>
      </c>
      <c r="EJ1" s="2" t="s">
        <v>901</v>
      </c>
      <c r="EK1" s="2" t="s">
        <v>71</v>
      </c>
      <c r="EL1" s="2" t="s">
        <v>72</v>
      </c>
      <c r="EM1" s="2" t="s">
        <v>73</v>
      </c>
      <c r="EN1" s="2" t="s">
        <v>74</v>
      </c>
      <c r="EO1" s="2" t="s">
        <v>900</v>
      </c>
      <c r="EP1" s="2" t="s">
        <v>75</v>
      </c>
      <c r="EQ1" s="2" t="s">
        <v>76</v>
      </c>
      <c r="ER1" s="1" t="s">
        <v>77</v>
      </c>
      <c r="ES1" s="1" t="s">
        <v>78</v>
      </c>
      <c r="ET1" s="1" t="s">
        <v>886</v>
      </c>
      <c r="EU1" s="1" t="s">
        <v>79</v>
      </c>
      <c r="EV1" s="1" t="s">
        <v>80</v>
      </c>
      <c r="EW1" s="1" t="s">
        <v>81</v>
      </c>
      <c r="EX1" s="1" t="s">
        <v>82</v>
      </c>
      <c r="EY1" s="1" t="s">
        <v>887</v>
      </c>
      <c r="EZ1" s="1" t="s">
        <v>83</v>
      </c>
      <c r="FA1" s="1" t="s">
        <v>84</v>
      </c>
      <c r="FB1" s="2" t="s">
        <v>85</v>
      </c>
      <c r="FC1" s="2" t="s">
        <v>86</v>
      </c>
      <c r="FD1" s="2" t="s">
        <v>909</v>
      </c>
      <c r="FE1" s="2" t="s">
        <v>87</v>
      </c>
      <c r="FF1" s="2" t="s">
        <v>88</v>
      </c>
      <c r="FG1" s="2" t="s">
        <v>89</v>
      </c>
      <c r="FH1" s="2" t="s">
        <v>90</v>
      </c>
      <c r="FI1" s="2" t="s">
        <v>908</v>
      </c>
      <c r="FJ1" s="2" t="s">
        <v>91</v>
      </c>
      <c r="FK1" s="2" t="s">
        <v>92</v>
      </c>
      <c r="FL1" s="2" t="s">
        <v>93</v>
      </c>
      <c r="FM1" s="2" t="s">
        <v>94</v>
      </c>
      <c r="FN1" s="2" t="s">
        <v>907</v>
      </c>
      <c r="FO1" s="2" t="s">
        <v>95</v>
      </c>
      <c r="FP1" s="2" t="s">
        <v>96</v>
      </c>
      <c r="FQ1" s="2" t="s">
        <v>97</v>
      </c>
      <c r="FR1" s="2" t="s">
        <v>98</v>
      </c>
      <c r="FS1" s="2" t="s">
        <v>906</v>
      </c>
      <c r="FT1" s="2" t="s">
        <v>99</v>
      </c>
      <c r="FU1" s="2" t="s">
        <v>100</v>
      </c>
      <c r="FV1" s="2" t="s">
        <v>101</v>
      </c>
      <c r="FW1" s="2" t="s">
        <v>102</v>
      </c>
      <c r="FX1" s="2" t="s">
        <v>905</v>
      </c>
      <c r="FY1" s="2" t="s">
        <v>103</v>
      </c>
      <c r="FZ1" s="2" t="s">
        <v>104</v>
      </c>
      <c r="GA1" s="1" t="s">
        <v>105</v>
      </c>
      <c r="GB1" s="1" t="s">
        <v>106</v>
      </c>
      <c r="GC1" s="1" t="s">
        <v>888</v>
      </c>
      <c r="GD1" s="1" t="s">
        <v>107</v>
      </c>
      <c r="GE1" s="1" t="s">
        <v>108</v>
      </c>
      <c r="GF1" s="1" t="s">
        <v>109</v>
      </c>
      <c r="GG1" s="1" t="s">
        <v>110</v>
      </c>
      <c r="GH1" s="1" t="s">
        <v>889</v>
      </c>
      <c r="GI1" s="1" t="s">
        <v>111</v>
      </c>
      <c r="GJ1" s="1" t="s">
        <v>112</v>
      </c>
      <c r="GK1" s="2" t="s">
        <v>113</v>
      </c>
      <c r="GL1" s="2" t="s">
        <v>114</v>
      </c>
      <c r="GM1" s="2" t="s">
        <v>914</v>
      </c>
      <c r="GN1" s="2" t="s">
        <v>115</v>
      </c>
      <c r="GO1" s="2" t="s">
        <v>116</v>
      </c>
      <c r="GP1" s="2" t="s">
        <v>117</v>
      </c>
      <c r="GQ1" s="2" t="s">
        <v>118</v>
      </c>
      <c r="GR1" s="2" t="s">
        <v>913</v>
      </c>
      <c r="GS1" s="2" t="s">
        <v>119</v>
      </c>
      <c r="GT1" s="2" t="s">
        <v>120</v>
      </c>
      <c r="GU1" s="2" t="s">
        <v>121</v>
      </c>
      <c r="GV1" s="2" t="s">
        <v>122</v>
      </c>
      <c r="GW1" s="2" t="s">
        <v>912</v>
      </c>
      <c r="GX1" s="2" t="s">
        <v>123</v>
      </c>
      <c r="GY1" s="2" t="s">
        <v>124</v>
      </c>
      <c r="GZ1" s="2" t="s">
        <v>125</v>
      </c>
      <c r="HA1" s="2" t="s">
        <v>126</v>
      </c>
      <c r="HB1" s="2" t="s">
        <v>911</v>
      </c>
      <c r="HC1" s="2" t="s">
        <v>127</v>
      </c>
      <c r="HD1" s="2" t="s">
        <v>128</v>
      </c>
      <c r="HE1" s="2" t="s">
        <v>129</v>
      </c>
      <c r="HF1" s="2" t="s">
        <v>130</v>
      </c>
      <c r="HG1" s="2" t="s">
        <v>910</v>
      </c>
      <c r="HH1" s="2" t="s">
        <v>131</v>
      </c>
      <c r="HI1" s="2" t="s">
        <v>132</v>
      </c>
      <c r="HJ1" s="1" t="s">
        <v>133</v>
      </c>
      <c r="HK1" s="1" t="s">
        <v>134</v>
      </c>
      <c r="HL1" s="1" t="s">
        <v>890</v>
      </c>
      <c r="HM1" s="1" t="s">
        <v>135</v>
      </c>
      <c r="HN1" s="1" t="s">
        <v>136</v>
      </c>
      <c r="HO1" s="1" t="s">
        <v>137</v>
      </c>
      <c r="HP1" s="1" t="s">
        <v>138</v>
      </c>
      <c r="HQ1" s="1" t="s">
        <v>891</v>
      </c>
      <c r="HR1" s="1" t="s">
        <v>139</v>
      </c>
      <c r="HS1" s="1" t="s">
        <v>140</v>
      </c>
      <c r="HT1" s="2" t="s">
        <v>141</v>
      </c>
      <c r="HU1" s="2" t="s">
        <v>142</v>
      </c>
      <c r="HV1" s="2" t="s">
        <v>919</v>
      </c>
      <c r="HW1" s="2" t="s">
        <v>143</v>
      </c>
      <c r="HX1" s="2" t="s">
        <v>144</v>
      </c>
      <c r="HY1" s="2" t="s">
        <v>145</v>
      </c>
      <c r="HZ1" s="2" t="s">
        <v>146</v>
      </c>
      <c r="IA1" s="2" t="s">
        <v>918</v>
      </c>
      <c r="IB1" s="2" t="s">
        <v>147</v>
      </c>
      <c r="IC1" s="2" t="s">
        <v>148</v>
      </c>
      <c r="ID1" s="2" t="s">
        <v>149</v>
      </c>
      <c r="IE1" s="2" t="s">
        <v>150</v>
      </c>
      <c r="IF1" s="2" t="s">
        <v>917</v>
      </c>
      <c r="IG1" s="2" t="s">
        <v>151</v>
      </c>
      <c r="IH1" s="2" t="s">
        <v>152</v>
      </c>
      <c r="II1" s="2" t="s">
        <v>153</v>
      </c>
      <c r="IJ1" s="2" t="s">
        <v>154</v>
      </c>
      <c r="IK1" s="2" t="s">
        <v>916</v>
      </c>
      <c r="IL1" s="2" t="s">
        <v>155</v>
      </c>
      <c r="IM1" s="2" t="s">
        <v>156</v>
      </c>
      <c r="IN1" s="2" t="s">
        <v>157</v>
      </c>
      <c r="IO1" s="2" t="s">
        <v>158</v>
      </c>
      <c r="IP1" s="2" t="s">
        <v>915</v>
      </c>
      <c r="IQ1" s="2" t="s">
        <v>159</v>
      </c>
      <c r="IR1" s="2" t="s">
        <v>160</v>
      </c>
      <c r="IS1" s="1" t="s">
        <v>161</v>
      </c>
      <c r="IT1" s="1" t="s">
        <v>162</v>
      </c>
      <c r="IU1" s="1" t="s">
        <v>892</v>
      </c>
      <c r="IV1" s="1" t="s">
        <v>163</v>
      </c>
      <c r="IW1" s="1" t="s">
        <v>164</v>
      </c>
      <c r="IX1" s="1" t="s">
        <v>165</v>
      </c>
      <c r="IY1" s="1" t="s">
        <v>166</v>
      </c>
      <c r="IZ1" s="1" t="s">
        <v>920</v>
      </c>
      <c r="JA1" s="1" t="s">
        <v>167</v>
      </c>
      <c r="JB1" s="1" t="s">
        <v>168</v>
      </c>
      <c r="JC1" s="2" t="s">
        <v>169</v>
      </c>
      <c r="JD1" s="2" t="s">
        <v>170</v>
      </c>
      <c r="JE1" s="2" t="s">
        <v>925</v>
      </c>
      <c r="JF1" s="2" t="s">
        <v>171</v>
      </c>
      <c r="JG1" s="2" t="s">
        <v>172</v>
      </c>
      <c r="JH1" s="2" t="s">
        <v>173</v>
      </c>
      <c r="JI1" s="2" t="s">
        <v>174</v>
      </c>
      <c r="JJ1" s="2" t="s">
        <v>924</v>
      </c>
      <c r="JK1" s="2" t="s">
        <v>175</v>
      </c>
      <c r="JL1" s="2" t="s">
        <v>176</v>
      </c>
      <c r="JM1" s="2" t="s">
        <v>177</v>
      </c>
      <c r="JN1" s="2" t="s">
        <v>178</v>
      </c>
      <c r="JO1" s="2" t="s">
        <v>923</v>
      </c>
      <c r="JP1" s="2" t="s">
        <v>179</v>
      </c>
      <c r="JQ1" s="2" t="s">
        <v>180</v>
      </c>
      <c r="JR1" s="2" t="s">
        <v>181</v>
      </c>
      <c r="JS1" s="2" t="s">
        <v>182</v>
      </c>
      <c r="JT1" s="2" t="s">
        <v>922</v>
      </c>
      <c r="JU1" s="2" t="s">
        <v>183</v>
      </c>
      <c r="JV1" s="2" t="s">
        <v>184</v>
      </c>
      <c r="JW1" s="2" t="s">
        <v>185</v>
      </c>
      <c r="JX1" s="2" t="s">
        <v>186</v>
      </c>
      <c r="JY1" s="2" t="s">
        <v>921</v>
      </c>
      <c r="JZ1" s="2" t="s">
        <v>187</v>
      </c>
      <c r="KA1" s="2" t="s">
        <v>188</v>
      </c>
      <c r="KB1" s="1" t="s">
        <v>189</v>
      </c>
      <c r="KC1" s="1" t="s">
        <v>190</v>
      </c>
      <c r="KD1" s="1" t="s">
        <v>893</v>
      </c>
      <c r="KE1" s="1" t="s">
        <v>191</v>
      </c>
      <c r="KF1" s="1" t="s">
        <v>192</v>
      </c>
      <c r="KG1" s="1" t="s">
        <v>193</v>
      </c>
      <c r="KH1" s="1" t="s">
        <v>194</v>
      </c>
      <c r="KI1" s="1" t="s">
        <v>894</v>
      </c>
      <c r="KJ1" s="1" t="s">
        <v>195</v>
      </c>
      <c r="KK1" s="1" t="s">
        <v>196</v>
      </c>
      <c r="KL1" s="2" t="s">
        <v>1309</v>
      </c>
      <c r="KM1" s="2" t="s">
        <v>1310</v>
      </c>
      <c r="KN1" s="2" t="s">
        <v>1311</v>
      </c>
      <c r="KO1" s="2" t="s">
        <v>1312</v>
      </c>
      <c r="KP1" s="2" t="s">
        <v>1313</v>
      </c>
      <c r="KQ1" s="2" t="s">
        <v>1314</v>
      </c>
      <c r="KR1" s="2" t="s">
        <v>1315</v>
      </c>
      <c r="KS1" s="2" t="s">
        <v>1316</v>
      </c>
      <c r="KT1" s="2" t="s">
        <v>1317</v>
      </c>
      <c r="KU1" s="2" t="s">
        <v>1318</v>
      </c>
      <c r="KV1" s="2" t="s">
        <v>1319</v>
      </c>
      <c r="KW1" s="2" t="s">
        <v>1320</v>
      </c>
      <c r="KX1" s="2" t="s">
        <v>1321</v>
      </c>
      <c r="KY1" s="2" t="s">
        <v>1322</v>
      </c>
      <c r="KZ1" s="2" t="s">
        <v>1323</v>
      </c>
      <c r="LA1" s="2" t="s">
        <v>1324</v>
      </c>
      <c r="LB1" s="2" t="s">
        <v>1325</v>
      </c>
      <c r="LC1" s="2" t="s">
        <v>1326</v>
      </c>
      <c r="LD1" s="2" t="s">
        <v>1327</v>
      </c>
      <c r="LE1" s="2" t="s">
        <v>1328</v>
      </c>
      <c r="LF1" s="2" t="s">
        <v>1329</v>
      </c>
      <c r="LG1" s="2" t="s">
        <v>1330</v>
      </c>
      <c r="LH1" s="2" t="s">
        <v>1331</v>
      </c>
      <c r="LI1" s="2" t="s">
        <v>1332</v>
      </c>
      <c r="LJ1" s="2" t="s">
        <v>1333</v>
      </c>
      <c r="LK1" s="1" t="s">
        <v>1334</v>
      </c>
      <c r="LL1" s="1" t="s">
        <v>1335</v>
      </c>
      <c r="LM1" s="1" t="s">
        <v>1336</v>
      </c>
      <c r="LN1" s="1" t="s">
        <v>1337</v>
      </c>
      <c r="LO1" s="1" t="s">
        <v>1338</v>
      </c>
      <c r="LP1" s="1" t="s">
        <v>1339</v>
      </c>
      <c r="LQ1" s="1" t="s">
        <v>1340</v>
      </c>
      <c r="LR1" s="1" t="s">
        <v>1341</v>
      </c>
      <c r="LS1" s="1" t="s">
        <v>1342</v>
      </c>
      <c r="LT1" s="1" t="s">
        <v>1343</v>
      </c>
    </row>
    <row r="2" spans="1:332" x14ac:dyDescent="0.25">
      <c r="A2" t="s">
        <v>685</v>
      </c>
      <c r="B2" t="s">
        <v>686</v>
      </c>
      <c r="C2" t="s">
        <v>199</v>
      </c>
      <c r="D2" t="s">
        <v>200</v>
      </c>
      <c r="E2" t="s">
        <v>201</v>
      </c>
      <c r="F2" t="s">
        <v>202</v>
      </c>
      <c r="G2" t="s">
        <v>203</v>
      </c>
      <c r="H2" s="3">
        <v>157040000</v>
      </c>
      <c r="I2" s="3">
        <v>528804000</v>
      </c>
      <c r="J2" s="3">
        <v>0</v>
      </c>
      <c r="K2" s="3">
        <v>0</v>
      </c>
      <c r="L2" s="3">
        <v>685844000</v>
      </c>
      <c r="M2" s="3">
        <v>157040000</v>
      </c>
      <c r="N2" s="3">
        <v>528804000</v>
      </c>
      <c r="O2" s="3">
        <v>0</v>
      </c>
      <c r="P2" s="3">
        <v>0</v>
      </c>
      <c r="Q2" s="3">
        <v>685844000</v>
      </c>
      <c r="R2" s="3">
        <v>157040000</v>
      </c>
      <c r="S2" s="3">
        <v>528804000</v>
      </c>
      <c r="T2" s="3">
        <v>0</v>
      </c>
      <c r="U2" s="3">
        <v>0</v>
      </c>
      <c r="V2" s="3">
        <v>685844000</v>
      </c>
      <c r="W2" s="3">
        <v>411099437</v>
      </c>
      <c r="X2" s="3">
        <v>520604000</v>
      </c>
      <c r="Y2" s="3">
        <v>0</v>
      </c>
      <c r="Z2" s="3">
        <v>0</v>
      </c>
      <c r="AA2" s="3">
        <v>931703437</v>
      </c>
      <c r="AB2" s="3">
        <v>411099437</v>
      </c>
      <c r="AC2" s="3">
        <v>520604000</v>
      </c>
      <c r="AD2" s="3">
        <v>0</v>
      </c>
      <c r="AE2" s="3">
        <v>0</v>
      </c>
      <c r="AF2" s="3">
        <v>931703437</v>
      </c>
      <c r="AG2" s="3">
        <v>408812419.51999998</v>
      </c>
      <c r="AH2" s="3">
        <v>501112215.93000001</v>
      </c>
      <c r="AI2" s="3">
        <v>0</v>
      </c>
      <c r="AJ2" s="3">
        <v>0</v>
      </c>
      <c r="AK2" s="3">
        <v>909924635.45000005</v>
      </c>
      <c r="AL2" s="3">
        <v>369066309.91000003</v>
      </c>
      <c r="AM2" s="3">
        <v>427003176.08999997</v>
      </c>
      <c r="AN2" s="3">
        <v>0</v>
      </c>
      <c r="AO2" s="3">
        <v>0</v>
      </c>
      <c r="AP2" s="3">
        <v>796069486</v>
      </c>
      <c r="AQ2" s="3">
        <v>181732000</v>
      </c>
      <c r="AR2" s="3">
        <v>511926000</v>
      </c>
      <c r="AS2" s="3">
        <v>0</v>
      </c>
      <c r="AT2" s="3">
        <v>0</v>
      </c>
      <c r="AU2" s="3">
        <v>693658000</v>
      </c>
      <c r="AV2" s="3">
        <v>181732000</v>
      </c>
      <c r="AW2" s="3">
        <v>511926000</v>
      </c>
      <c r="AX2" s="3">
        <v>0</v>
      </c>
      <c r="AY2" s="3">
        <v>0</v>
      </c>
      <c r="AZ2" s="3">
        <v>693658000</v>
      </c>
      <c r="BA2" s="3">
        <v>181732000</v>
      </c>
      <c r="BB2" s="3">
        <v>511926000</v>
      </c>
      <c r="BC2" s="3">
        <v>0</v>
      </c>
      <c r="BD2" s="3">
        <v>0</v>
      </c>
      <c r="BE2" s="3">
        <v>693658000</v>
      </c>
      <c r="BF2" s="3">
        <v>186732000</v>
      </c>
      <c r="BG2" s="3">
        <v>506926000</v>
      </c>
      <c r="BH2" s="3">
        <v>0</v>
      </c>
      <c r="BI2" s="3">
        <v>0</v>
      </c>
      <c r="BJ2" s="3">
        <v>693658000</v>
      </c>
      <c r="BK2" s="3">
        <v>186732000</v>
      </c>
      <c r="BL2" s="3">
        <v>506926000</v>
      </c>
      <c r="BM2" s="3">
        <v>0</v>
      </c>
      <c r="BN2" s="3">
        <v>0</v>
      </c>
      <c r="BO2" s="3">
        <v>693658000</v>
      </c>
      <c r="BP2" s="3">
        <v>186480988.87</v>
      </c>
      <c r="BQ2" s="3">
        <v>471360741.55000001</v>
      </c>
      <c r="BR2" s="3">
        <v>0</v>
      </c>
      <c r="BS2" s="3">
        <v>0</v>
      </c>
      <c r="BT2" s="3">
        <v>657841730.41999996</v>
      </c>
      <c r="BU2" s="3">
        <v>179367494.40000001</v>
      </c>
      <c r="BV2" s="3">
        <v>416302193.19999999</v>
      </c>
      <c r="BW2" s="3">
        <v>0</v>
      </c>
      <c r="BX2" s="3">
        <v>0</v>
      </c>
      <c r="BY2" s="3">
        <v>595669687.60000002</v>
      </c>
      <c r="BZ2" s="3">
        <v>195867000</v>
      </c>
      <c r="CA2" s="3">
        <v>607852000</v>
      </c>
      <c r="CB2" s="3">
        <v>0</v>
      </c>
      <c r="CC2" s="3">
        <v>15600000</v>
      </c>
      <c r="CD2" s="3">
        <v>819319000</v>
      </c>
      <c r="CE2" s="3">
        <v>195867000</v>
      </c>
      <c r="CF2" s="3">
        <v>607852000</v>
      </c>
      <c r="CG2" s="3">
        <v>0</v>
      </c>
      <c r="CH2" s="3">
        <v>15600000</v>
      </c>
      <c r="CI2" s="3">
        <v>819319000</v>
      </c>
      <c r="CJ2" s="3">
        <v>195867000</v>
      </c>
      <c r="CK2" s="3">
        <v>607852000</v>
      </c>
      <c r="CL2" s="3">
        <v>0</v>
      </c>
      <c r="CM2" s="3">
        <v>15600000</v>
      </c>
      <c r="CN2" s="3">
        <v>819319000</v>
      </c>
      <c r="CO2" s="3">
        <v>213867000</v>
      </c>
      <c r="CP2" s="3">
        <v>576420102</v>
      </c>
      <c r="CQ2" s="3">
        <v>0</v>
      </c>
      <c r="CR2" s="3">
        <v>29031898</v>
      </c>
      <c r="CS2" s="3">
        <v>819319000</v>
      </c>
      <c r="CT2" s="3">
        <v>213867000</v>
      </c>
      <c r="CU2" s="3">
        <v>576420102</v>
      </c>
      <c r="CV2" s="3">
        <v>0</v>
      </c>
      <c r="CW2" s="3">
        <v>29031898</v>
      </c>
      <c r="CX2" s="3">
        <v>819319000</v>
      </c>
      <c r="CY2" s="3">
        <v>213653477.27000001</v>
      </c>
      <c r="CZ2" s="3">
        <v>473933854.26999998</v>
      </c>
      <c r="DA2" s="3">
        <v>0</v>
      </c>
      <c r="DB2" s="3">
        <v>13972752</v>
      </c>
      <c r="DC2" s="3">
        <v>701560083.53999996</v>
      </c>
      <c r="DD2" s="3">
        <v>191978907.86000001</v>
      </c>
      <c r="DE2" s="3">
        <v>392096605.06</v>
      </c>
      <c r="DF2" s="3">
        <v>0</v>
      </c>
      <c r="DG2" s="3">
        <v>13972752</v>
      </c>
      <c r="DH2" s="3">
        <v>598048264.91999996</v>
      </c>
      <c r="DI2" s="3">
        <v>240876000</v>
      </c>
      <c r="DJ2" s="3">
        <v>646396000</v>
      </c>
      <c r="DK2" s="3">
        <v>0</v>
      </c>
      <c r="DL2" s="3">
        <v>0</v>
      </c>
      <c r="DM2" s="3">
        <v>887272000</v>
      </c>
      <c r="DN2" s="3">
        <v>240876000</v>
      </c>
      <c r="DO2" s="3">
        <v>646396000</v>
      </c>
      <c r="DP2" s="3">
        <v>0</v>
      </c>
      <c r="DQ2" s="3">
        <v>500000000</v>
      </c>
      <c r="DR2" s="3">
        <v>1387272000</v>
      </c>
      <c r="DS2" s="3">
        <v>240876000</v>
      </c>
      <c r="DT2" s="3">
        <v>646396000</v>
      </c>
      <c r="DU2" s="3">
        <v>0</v>
      </c>
      <c r="DV2" s="3">
        <v>500000000</v>
      </c>
      <c r="DW2" s="3">
        <v>1387272000</v>
      </c>
      <c r="DX2" s="3">
        <v>294906278</v>
      </c>
      <c r="DY2" s="3">
        <v>592365722</v>
      </c>
      <c r="DZ2" s="3">
        <v>0</v>
      </c>
      <c r="EA2" s="3">
        <v>500000000</v>
      </c>
      <c r="EB2" s="3">
        <v>1387272000</v>
      </c>
      <c r="EC2" s="3">
        <v>294906278</v>
      </c>
      <c r="ED2" s="3">
        <v>592365722</v>
      </c>
      <c r="EE2" s="3">
        <v>0</v>
      </c>
      <c r="EF2" s="3">
        <v>500000000</v>
      </c>
      <c r="EG2" s="3">
        <v>1387272000</v>
      </c>
      <c r="EH2" s="3">
        <v>294906075.98000002</v>
      </c>
      <c r="EI2" s="3">
        <v>530563259.14999998</v>
      </c>
      <c r="EJ2" s="3">
        <v>0</v>
      </c>
      <c r="EK2" s="3">
        <v>474381117.54000002</v>
      </c>
      <c r="EL2" s="3">
        <v>1299850452.6700001</v>
      </c>
      <c r="EM2" s="3">
        <v>266031913.06999999</v>
      </c>
      <c r="EN2" s="3">
        <v>463675231.36000001</v>
      </c>
      <c r="EO2" s="3">
        <v>0</v>
      </c>
      <c r="EP2" s="3">
        <v>106687069.19</v>
      </c>
      <c r="EQ2" s="3">
        <v>836394213.62</v>
      </c>
      <c r="ER2" s="3">
        <v>262278000</v>
      </c>
      <c r="ES2" s="3">
        <v>646396000</v>
      </c>
      <c r="ET2" s="3">
        <v>0</v>
      </c>
      <c r="EU2" s="3">
        <v>20600000</v>
      </c>
      <c r="EV2" s="3">
        <v>929274000</v>
      </c>
      <c r="EW2" s="3">
        <v>262278000</v>
      </c>
      <c r="EX2" s="3">
        <v>646396000</v>
      </c>
      <c r="EY2" s="3">
        <v>0</v>
      </c>
      <c r="EZ2" s="3">
        <v>117320000</v>
      </c>
      <c r="FA2" s="3">
        <v>1025994000</v>
      </c>
      <c r="FB2" s="3">
        <v>262278000</v>
      </c>
      <c r="FC2" s="3">
        <v>646396000</v>
      </c>
      <c r="FD2" s="3">
        <v>0</v>
      </c>
      <c r="FE2" s="3">
        <v>117320000</v>
      </c>
      <c r="FF2" s="3">
        <v>1025994000</v>
      </c>
      <c r="FG2" s="3">
        <v>286856268</v>
      </c>
      <c r="FH2" s="3">
        <v>621817732</v>
      </c>
      <c r="FI2" s="3">
        <v>0</v>
      </c>
      <c r="FJ2" s="3">
        <v>117320000</v>
      </c>
      <c r="FK2" s="3">
        <v>1025994000</v>
      </c>
      <c r="FL2" s="3">
        <v>286856268</v>
      </c>
      <c r="FM2" s="3">
        <v>621817732</v>
      </c>
      <c r="FN2" s="3">
        <v>0</v>
      </c>
      <c r="FO2" s="3">
        <v>117250000</v>
      </c>
      <c r="FP2" s="3">
        <v>1025924000</v>
      </c>
      <c r="FQ2" s="3">
        <v>286847634.56</v>
      </c>
      <c r="FR2" s="3">
        <v>569557620.87</v>
      </c>
      <c r="FS2" s="3">
        <v>0</v>
      </c>
      <c r="FT2" s="3">
        <v>19968003</v>
      </c>
      <c r="FU2" s="3">
        <v>876373258.42999995</v>
      </c>
      <c r="FV2" s="3">
        <v>279121566.29000002</v>
      </c>
      <c r="FW2" s="3">
        <v>481481362.31</v>
      </c>
      <c r="FX2" s="3">
        <v>0</v>
      </c>
      <c r="FY2" s="3">
        <v>14406925.15</v>
      </c>
      <c r="FZ2" s="3">
        <v>775009853.75</v>
      </c>
      <c r="GA2" s="3">
        <v>271295000</v>
      </c>
      <c r="GB2" s="3">
        <v>677962000</v>
      </c>
      <c r="GC2" s="3">
        <v>0</v>
      </c>
      <c r="GD2" s="3">
        <v>0</v>
      </c>
      <c r="GE2" s="3">
        <v>949257000</v>
      </c>
      <c r="GF2" s="3">
        <v>271295000</v>
      </c>
      <c r="GG2" s="3">
        <v>687962000</v>
      </c>
      <c r="GH2" s="3">
        <v>0</v>
      </c>
      <c r="GI2" s="3">
        <v>150000000</v>
      </c>
      <c r="GJ2" s="3">
        <v>1109257000</v>
      </c>
      <c r="GK2" s="3">
        <v>271295000</v>
      </c>
      <c r="GL2" s="3">
        <v>687962000</v>
      </c>
      <c r="GM2" s="3">
        <v>0</v>
      </c>
      <c r="GN2" s="3">
        <v>150000000</v>
      </c>
      <c r="GO2" s="3">
        <v>1109257000</v>
      </c>
      <c r="GP2" s="3">
        <v>285691662</v>
      </c>
      <c r="GQ2" s="3">
        <v>673565338</v>
      </c>
      <c r="GR2" s="3">
        <v>0</v>
      </c>
      <c r="GS2" s="3">
        <v>150000000</v>
      </c>
      <c r="GT2" s="3">
        <v>1109257000</v>
      </c>
      <c r="GU2" s="3">
        <v>285691662</v>
      </c>
      <c r="GV2" s="3">
        <v>673565338</v>
      </c>
      <c r="GW2" s="3">
        <v>0</v>
      </c>
      <c r="GX2" s="3">
        <v>150000000</v>
      </c>
      <c r="GY2" s="3">
        <v>1109257000</v>
      </c>
      <c r="GZ2" s="3">
        <v>285580444.68000001</v>
      </c>
      <c r="HA2" s="3">
        <v>617042297.27999997</v>
      </c>
      <c r="HB2" s="3">
        <v>0</v>
      </c>
      <c r="HC2" s="3">
        <v>149411251.06</v>
      </c>
      <c r="HD2" s="3">
        <v>1052033993.02</v>
      </c>
      <c r="HE2" s="3">
        <v>284159546.27999997</v>
      </c>
      <c r="HF2" s="3">
        <v>509499447.12</v>
      </c>
      <c r="HG2" s="3">
        <v>0</v>
      </c>
      <c r="HH2" s="3">
        <v>14216463.140000001</v>
      </c>
      <c r="HI2" s="3">
        <v>807875456.53999996</v>
      </c>
      <c r="HJ2" s="3">
        <v>331530000</v>
      </c>
      <c r="HK2" s="3">
        <v>635055000</v>
      </c>
      <c r="HL2" s="3">
        <v>0</v>
      </c>
      <c r="HM2" s="3">
        <v>4200000</v>
      </c>
      <c r="HN2" s="3">
        <v>970785000</v>
      </c>
      <c r="HO2" s="3">
        <v>331530000</v>
      </c>
      <c r="HP2" s="3">
        <v>908055000</v>
      </c>
      <c r="HQ2" s="3">
        <v>0</v>
      </c>
      <c r="HR2" s="3">
        <v>791200000</v>
      </c>
      <c r="HS2" s="3">
        <v>2030785000</v>
      </c>
      <c r="HT2" s="3">
        <v>331530000</v>
      </c>
      <c r="HU2" s="3">
        <v>908055000</v>
      </c>
      <c r="HV2" s="3">
        <v>0</v>
      </c>
      <c r="HW2" s="3">
        <v>791200000</v>
      </c>
      <c r="HX2" s="3">
        <v>2030785000</v>
      </c>
      <c r="HY2" s="3">
        <v>387031479</v>
      </c>
      <c r="HZ2" s="3">
        <v>852553521</v>
      </c>
      <c r="IA2" s="3">
        <v>0</v>
      </c>
      <c r="IB2" s="3">
        <v>791200000</v>
      </c>
      <c r="IC2" s="3">
        <v>2030785000</v>
      </c>
      <c r="ID2" s="3">
        <v>387031479</v>
      </c>
      <c r="IE2" s="3">
        <v>852553521</v>
      </c>
      <c r="IF2" s="3">
        <v>0</v>
      </c>
      <c r="IG2" s="3">
        <v>791200000</v>
      </c>
      <c r="IH2" s="3">
        <v>2030785000</v>
      </c>
      <c r="II2" s="3">
        <v>386843980.88999999</v>
      </c>
      <c r="IJ2" s="3">
        <v>720053473.48000002</v>
      </c>
      <c r="IK2" s="3">
        <v>0</v>
      </c>
      <c r="IL2" s="3">
        <v>39004609.439999998</v>
      </c>
      <c r="IM2" s="3">
        <v>1145902063.8099999</v>
      </c>
      <c r="IN2" s="3">
        <v>366177872.98000002</v>
      </c>
      <c r="IO2" s="3">
        <v>589170591.02999997</v>
      </c>
      <c r="IP2" s="3">
        <v>0</v>
      </c>
      <c r="IQ2" s="3">
        <v>4185684</v>
      </c>
      <c r="IR2" s="3">
        <v>959534148.00999999</v>
      </c>
      <c r="IS2" s="3">
        <v>348618000</v>
      </c>
      <c r="IT2" s="3">
        <v>646078000</v>
      </c>
      <c r="IU2" s="3">
        <v>0</v>
      </c>
      <c r="IV2" s="3">
        <v>56850000</v>
      </c>
      <c r="IW2" s="3">
        <v>1051546000</v>
      </c>
      <c r="IX2" s="3">
        <v>348618000</v>
      </c>
      <c r="IY2" s="3">
        <v>1835028000</v>
      </c>
      <c r="IZ2" s="3">
        <v>0</v>
      </c>
      <c r="JA2" s="3">
        <v>175850000</v>
      </c>
      <c r="JB2" s="3">
        <v>2359496000</v>
      </c>
      <c r="JC2" s="3">
        <v>348618000</v>
      </c>
      <c r="JD2" s="3">
        <v>1835028000</v>
      </c>
      <c r="JE2" s="3">
        <v>0</v>
      </c>
      <c r="JF2" s="3">
        <v>175850000</v>
      </c>
      <c r="JG2" s="3">
        <v>2359496000</v>
      </c>
      <c r="JH2" s="3">
        <v>364918000</v>
      </c>
      <c r="JI2" s="3">
        <v>1689228000</v>
      </c>
      <c r="JJ2" s="3">
        <v>0</v>
      </c>
      <c r="JK2" s="3">
        <v>305350000</v>
      </c>
      <c r="JL2" s="3">
        <v>2359496000</v>
      </c>
      <c r="JM2" s="3">
        <v>364918000</v>
      </c>
      <c r="JN2" s="3">
        <v>1689228000</v>
      </c>
      <c r="JO2" s="3">
        <v>0</v>
      </c>
      <c r="JP2" s="3">
        <v>303161580</v>
      </c>
      <c r="JQ2" s="3">
        <v>2357307580</v>
      </c>
      <c r="JR2" s="3">
        <v>364918000</v>
      </c>
      <c r="JS2" s="3">
        <v>1126355262.6199999</v>
      </c>
      <c r="JT2" s="3">
        <v>0</v>
      </c>
      <c r="JU2" s="3">
        <v>202333306.61000001</v>
      </c>
      <c r="JV2" s="3">
        <v>1693606569.23</v>
      </c>
      <c r="JW2" s="3">
        <v>359605789.06999999</v>
      </c>
      <c r="JX2" s="3">
        <v>684356108.58000004</v>
      </c>
      <c r="JY2" s="3">
        <v>0</v>
      </c>
      <c r="JZ2" s="3">
        <v>113266410.29000001</v>
      </c>
      <c r="KA2" s="3">
        <v>1157228307.9400001</v>
      </c>
      <c r="KB2" s="3">
        <v>424653000</v>
      </c>
      <c r="KC2" s="3">
        <v>664476000</v>
      </c>
      <c r="KD2" s="3">
        <v>0</v>
      </c>
      <c r="KE2" s="3">
        <v>50000000</v>
      </c>
      <c r="KF2" s="3">
        <v>1139129000</v>
      </c>
      <c r="KG2" s="3">
        <v>424653000</v>
      </c>
      <c r="KH2" s="3">
        <v>814476000</v>
      </c>
      <c r="KI2" s="3">
        <v>0</v>
      </c>
      <c r="KJ2" s="3">
        <v>900000000</v>
      </c>
      <c r="KK2" s="3">
        <v>2139129000</v>
      </c>
      <c r="KL2" s="3"/>
      <c r="KM2" s="3"/>
      <c r="KN2" s="3"/>
      <c r="KO2" s="3"/>
      <c r="KP2" s="3"/>
      <c r="KQ2" s="3"/>
      <c r="KR2" s="3"/>
      <c r="KS2" s="3"/>
      <c r="KT2" s="3"/>
      <c r="KU2" s="3"/>
      <c r="KV2" s="3"/>
      <c r="KW2" s="3"/>
      <c r="KX2" s="3"/>
      <c r="KY2" s="3"/>
      <c r="KZ2" s="3"/>
      <c r="LA2" s="3"/>
      <c r="LB2" s="3"/>
      <c r="LC2" s="3"/>
      <c r="LD2" s="3"/>
      <c r="LE2" s="3"/>
      <c r="LF2" s="3"/>
      <c r="LG2" s="3"/>
      <c r="LH2" s="3"/>
      <c r="LI2" s="3"/>
      <c r="LJ2" s="3"/>
      <c r="LK2" s="3">
        <v>434043000</v>
      </c>
      <c r="LL2" s="3">
        <v>1605416000</v>
      </c>
      <c r="LM2" s="3">
        <v>0</v>
      </c>
      <c r="LN2" s="3">
        <v>30000000</v>
      </c>
      <c r="LO2" s="3">
        <v>2069459000</v>
      </c>
      <c r="LP2" s="3"/>
      <c r="LQ2" s="3"/>
      <c r="LR2" s="3"/>
      <c r="LS2" s="3"/>
      <c r="LT2" s="3"/>
    </row>
    <row r="3" spans="1:332" x14ac:dyDescent="0.25">
      <c r="A3" t="s">
        <v>685</v>
      </c>
      <c r="B3" t="s">
        <v>686</v>
      </c>
      <c r="C3" t="s">
        <v>199</v>
      </c>
      <c r="D3" t="s">
        <v>200</v>
      </c>
      <c r="E3" t="s">
        <v>201</v>
      </c>
      <c r="F3" t="s">
        <v>204</v>
      </c>
      <c r="G3" t="s">
        <v>205</v>
      </c>
      <c r="H3" s="3">
        <v>15049000</v>
      </c>
      <c r="I3" s="3">
        <v>0</v>
      </c>
      <c r="J3" s="3">
        <v>0</v>
      </c>
      <c r="K3" s="3">
        <v>0</v>
      </c>
      <c r="L3" s="3">
        <v>15049000</v>
      </c>
      <c r="M3" s="3">
        <v>15049000</v>
      </c>
      <c r="N3" s="3">
        <v>0</v>
      </c>
      <c r="O3" s="3">
        <v>0</v>
      </c>
      <c r="P3" s="3">
        <v>0</v>
      </c>
      <c r="Q3" s="3">
        <v>15049000</v>
      </c>
      <c r="R3" s="3">
        <v>15049000</v>
      </c>
      <c r="S3" s="3">
        <v>0</v>
      </c>
      <c r="T3" s="3">
        <v>0</v>
      </c>
      <c r="U3" s="3">
        <v>0</v>
      </c>
      <c r="V3" s="3">
        <v>15049000</v>
      </c>
      <c r="W3" s="3">
        <v>15049000</v>
      </c>
      <c r="X3" s="3">
        <v>0</v>
      </c>
      <c r="Y3" s="3">
        <v>0</v>
      </c>
      <c r="Z3" s="3">
        <v>0</v>
      </c>
      <c r="AA3" s="3">
        <v>15049000</v>
      </c>
      <c r="AB3" s="3">
        <v>7885995</v>
      </c>
      <c r="AC3" s="3">
        <v>0</v>
      </c>
      <c r="AD3" s="3">
        <v>0</v>
      </c>
      <c r="AE3" s="3">
        <v>0</v>
      </c>
      <c r="AF3" s="3">
        <v>7885995</v>
      </c>
      <c r="AG3" s="3">
        <v>7885985.75</v>
      </c>
      <c r="AH3" s="3">
        <v>0</v>
      </c>
      <c r="AI3" s="3">
        <v>0</v>
      </c>
      <c r="AJ3" s="3">
        <v>0</v>
      </c>
      <c r="AK3" s="3">
        <v>7885985.75</v>
      </c>
      <c r="AL3" s="3">
        <v>6753985</v>
      </c>
      <c r="AM3" s="3">
        <v>0</v>
      </c>
      <c r="AN3" s="3">
        <v>0</v>
      </c>
      <c r="AO3" s="3">
        <v>0</v>
      </c>
      <c r="AP3" s="3">
        <v>6753985</v>
      </c>
      <c r="AQ3" s="3">
        <v>32293000</v>
      </c>
      <c r="AR3" s="3">
        <v>0</v>
      </c>
      <c r="AS3" s="3">
        <v>0</v>
      </c>
      <c r="AT3" s="3">
        <v>0</v>
      </c>
      <c r="AU3" s="3">
        <v>32293000</v>
      </c>
      <c r="AV3" s="3">
        <v>32293000</v>
      </c>
      <c r="AW3" s="3">
        <v>0</v>
      </c>
      <c r="AX3" s="3">
        <v>0</v>
      </c>
      <c r="AY3" s="3">
        <v>0</v>
      </c>
      <c r="AZ3" s="3">
        <v>32293000</v>
      </c>
      <c r="BA3" s="3">
        <v>32293000</v>
      </c>
      <c r="BB3" s="3">
        <v>0</v>
      </c>
      <c r="BC3" s="3">
        <v>0</v>
      </c>
      <c r="BD3" s="3">
        <v>0</v>
      </c>
      <c r="BE3" s="3">
        <v>32293000</v>
      </c>
      <c r="BF3" s="3">
        <v>32293000</v>
      </c>
      <c r="BG3" s="3">
        <v>0</v>
      </c>
      <c r="BH3" s="3">
        <v>0</v>
      </c>
      <c r="BI3" s="3">
        <v>0</v>
      </c>
      <c r="BJ3" s="3">
        <v>32293000</v>
      </c>
      <c r="BK3" s="3">
        <v>22201211</v>
      </c>
      <c r="BL3" s="3">
        <v>0</v>
      </c>
      <c r="BM3" s="3">
        <v>0</v>
      </c>
      <c r="BN3" s="3">
        <v>0</v>
      </c>
      <c r="BO3" s="3">
        <v>22201211</v>
      </c>
      <c r="BP3" s="3">
        <v>22201204.579999998</v>
      </c>
      <c r="BQ3" s="3">
        <v>0</v>
      </c>
      <c r="BR3" s="3">
        <v>0</v>
      </c>
      <c r="BS3" s="3">
        <v>0</v>
      </c>
      <c r="BT3" s="3">
        <v>22201204.579999998</v>
      </c>
      <c r="BU3" s="3">
        <v>15355177.16</v>
      </c>
      <c r="BV3" s="3">
        <v>0</v>
      </c>
      <c r="BW3" s="3">
        <v>0</v>
      </c>
      <c r="BX3" s="3">
        <v>0</v>
      </c>
      <c r="BY3" s="3">
        <v>15355177.16</v>
      </c>
      <c r="BZ3" s="3">
        <v>29259000</v>
      </c>
      <c r="CA3" s="3">
        <v>0</v>
      </c>
      <c r="CB3" s="3">
        <v>0</v>
      </c>
      <c r="CC3" s="3">
        <v>0</v>
      </c>
      <c r="CD3" s="3">
        <v>29259000</v>
      </c>
      <c r="CE3" s="3">
        <v>29259000</v>
      </c>
      <c r="CF3" s="3">
        <v>0</v>
      </c>
      <c r="CG3" s="3">
        <v>0</v>
      </c>
      <c r="CH3" s="3">
        <v>0</v>
      </c>
      <c r="CI3" s="3">
        <v>29259000</v>
      </c>
      <c r="CJ3" s="3">
        <v>29259000</v>
      </c>
      <c r="CK3" s="3">
        <v>0</v>
      </c>
      <c r="CL3" s="3">
        <v>0</v>
      </c>
      <c r="CM3" s="3">
        <v>0</v>
      </c>
      <c r="CN3" s="3">
        <v>29259000</v>
      </c>
      <c r="CO3" s="3">
        <v>29259000</v>
      </c>
      <c r="CP3" s="3">
        <v>0</v>
      </c>
      <c r="CQ3" s="3">
        <v>0</v>
      </c>
      <c r="CR3" s="3">
        <v>0</v>
      </c>
      <c r="CS3" s="3">
        <v>29259000</v>
      </c>
      <c r="CT3" s="3">
        <v>29259000</v>
      </c>
      <c r="CU3" s="3">
        <v>0</v>
      </c>
      <c r="CV3" s="3">
        <v>0</v>
      </c>
      <c r="CW3" s="3">
        <v>0</v>
      </c>
      <c r="CX3" s="3">
        <v>29259000</v>
      </c>
      <c r="CY3" s="3">
        <v>29252073.920000002</v>
      </c>
      <c r="CZ3" s="3">
        <v>0</v>
      </c>
      <c r="DA3" s="3">
        <v>0</v>
      </c>
      <c r="DB3" s="3">
        <v>0</v>
      </c>
      <c r="DC3" s="3">
        <v>29252073.920000002</v>
      </c>
      <c r="DD3" s="3">
        <v>18530085.52</v>
      </c>
      <c r="DE3" s="3">
        <v>0</v>
      </c>
      <c r="DF3" s="3">
        <v>0</v>
      </c>
      <c r="DG3" s="3">
        <v>0</v>
      </c>
      <c r="DH3" s="3">
        <v>18530085.52</v>
      </c>
      <c r="DI3" s="3">
        <v>18447000</v>
      </c>
      <c r="DJ3" s="3">
        <v>0</v>
      </c>
      <c r="DK3" s="3">
        <v>0</v>
      </c>
      <c r="DL3" s="3">
        <v>0</v>
      </c>
      <c r="DM3" s="3">
        <v>18447000</v>
      </c>
      <c r="DN3" s="3">
        <v>18447000</v>
      </c>
      <c r="DO3" s="3">
        <v>0</v>
      </c>
      <c r="DP3" s="3">
        <v>0</v>
      </c>
      <c r="DQ3" s="3">
        <v>0</v>
      </c>
      <c r="DR3" s="3">
        <v>18447000</v>
      </c>
      <c r="DS3" s="3">
        <v>18447000</v>
      </c>
      <c r="DT3" s="3">
        <v>0</v>
      </c>
      <c r="DU3" s="3">
        <v>0</v>
      </c>
      <c r="DV3" s="3">
        <v>0</v>
      </c>
      <c r="DW3" s="3">
        <v>18447000</v>
      </c>
      <c r="DX3" s="3">
        <v>18447000</v>
      </c>
      <c r="DY3" s="3">
        <v>0</v>
      </c>
      <c r="DZ3" s="3">
        <v>0</v>
      </c>
      <c r="EA3" s="3">
        <v>0</v>
      </c>
      <c r="EB3" s="3">
        <v>18447000</v>
      </c>
      <c r="EC3" s="3">
        <v>18447000</v>
      </c>
      <c r="ED3" s="3">
        <v>0</v>
      </c>
      <c r="EE3" s="3">
        <v>0</v>
      </c>
      <c r="EF3" s="3">
        <v>0</v>
      </c>
      <c r="EG3" s="3">
        <v>18447000</v>
      </c>
      <c r="EH3" s="3">
        <v>18447000</v>
      </c>
      <c r="EI3" s="3">
        <v>0</v>
      </c>
      <c r="EJ3" s="3">
        <v>0</v>
      </c>
      <c r="EK3" s="3">
        <v>0</v>
      </c>
      <c r="EL3" s="3">
        <v>18447000</v>
      </c>
      <c r="EM3" s="3">
        <v>18427382.469999999</v>
      </c>
      <c r="EN3" s="3">
        <v>0</v>
      </c>
      <c r="EO3" s="3">
        <v>0</v>
      </c>
      <c r="EP3" s="3">
        <v>0</v>
      </c>
      <c r="EQ3" s="3">
        <v>18427382.469999999</v>
      </c>
      <c r="ER3" s="3">
        <v>21128000</v>
      </c>
      <c r="ES3" s="3">
        <v>0</v>
      </c>
      <c r="ET3" s="3">
        <v>0</v>
      </c>
      <c r="EU3" s="3">
        <v>0</v>
      </c>
      <c r="EV3" s="3">
        <v>21128000</v>
      </c>
      <c r="EW3" s="3">
        <v>21128000</v>
      </c>
      <c r="EX3" s="3">
        <v>0</v>
      </c>
      <c r="EY3" s="3">
        <v>0</v>
      </c>
      <c r="EZ3" s="3">
        <v>0</v>
      </c>
      <c r="FA3" s="3">
        <v>21128000</v>
      </c>
      <c r="FB3" s="3">
        <v>21128000</v>
      </c>
      <c r="FC3" s="3">
        <v>0</v>
      </c>
      <c r="FD3" s="3">
        <v>0</v>
      </c>
      <c r="FE3" s="3">
        <v>0</v>
      </c>
      <c r="FF3" s="3">
        <v>21128000</v>
      </c>
      <c r="FG3" s="3">
        <v>21128000</v>
      </c>
      <c r="FH3" s="3">
        <v>0</v>
      </c>
      <c r="FI3" s="3">
        <v>0</v>
      </c>
      <c r="FJ3" s="3">
        <v>0</v>
      </c>
      <c r="FK3" s="3">
        <v>21128000</v>
      </c>
      <c r="FL3" s="3">
        <v>21128000</v>
      </c>
      <c r="FM3" s="3">
        <v>0</v>
      </c>
      <c r="FN3" s="3">
        <v>0</v>
      </c>
      <c r="FO3" s="3">
        <v>0</v>
      </c>
      <c r="FP3" s="3">
        <v>21128000</v>
      </c>
      <c r="FQ3" s="3">
        <v>21098361.23</v>
      </c>
      <c r="FR3" s="3">
        <v>0</v>
      </c>
      <c r="FS3" s="3">
        <v>0</v>
      </c>
      <c r="FT3" s="3">
        <v>0</v>
      </c>
      <c r="FU3" s="3">
        <v>21098361.23</v>
      </c>
      <c r="FV3" s="3">
        <v>19352826.780000001</v>
      </c>
      <c r="FW3" s="3">
        <v>0</v>
      </c>
      <c r="FX3" s="3">
        <v>0</v>
      </c>
      <c r="FY3" s="3">
        <v>0</v>
      </c>
      <c r="FZ3" s="3">
        <v>19352826.780000001</v>
      </c>
      <c r="GA3" s="3">
        <v>24966000</v>
      </c>
      <c r="GB3" s="3">
        <v>0</v>
      </c>
      <c r="GC3" s="3">
        <v>0</v>
      </c>
      <c r="GD3" s="3">
        <v>0</v>
      </c>
      <c r="GE3" s="3">
        <v>24966000</v>
      </c>
      <c r="GF3" s="3">
        <v>24966000</v>
      </c>
      <c r="GG3" s="3">
        <v>0</v>
      </c>
      <c r="GH3" s="3">
        <v>0</v>
      </c>
      <c r="GI3" s="3">
        <v>0</v>
      </c>
      <c r="GJ3" s="3">
        <v>24966000</v>
      </c>
      <c r="GK3" s="3">
        <v>24966000</v>
      </c>
      <c r="GL3" s="3">
        <v>0</v>
      </c>
      <c r="GM3" s="3">
        <v>0</v>
      </c>
      <c r="GN3" s="3">
        <v>0</v>
      </c>
      <c r="GO3" s="3">
        <v>24966000</v>
      </c>
      <c r="GP3" s="3">
        <v>24966000</v>
      </c>
      <c r="GQ3" s="3">
        <v>0</v>
      </c>
      <c r="GR3" s="3">
        <v>0</v>
      </c>
      <c r="GS3" s="3">
        <v>0</v>
      </c>
      <c r="GT3" s="3">
        <v>24966000</v>
      </c>
      <c r="GU3" s="3">
        <v>964401.39</v>
      </c>
      <c r="GV3" s="3">
        <v>0</v>
      </c>
      <c r="GW3" s="3">
        <v>0</v>
      </c>
      <c r="GX3" s="3">
        <v>0</v>
      </c>
      <c r="GY3" s="3">
        <v>964401.39</v>
      </c>
      <c r="GZ3" s="3">
        <v>24964263.890000001</v>
      </c>
      <c r="HA3" s="3">
        <v>0</v>
      </c>
      <c r="HB3" s="3">
        <v>0</v>
      </c>
      <c r="HC3" s="3">
        <v>0</v>
      </c>
      <c r="HD3" s="3">
        <v>24964263.890000001</v>
      </c>
      <c r="HE3" s="3">
        <v>15660785.92</v>
      </c>
      <c r="HF3" s="3">
        <v>0</v>
      </c>
      <c r="HG3" s="3">
        <v>0</v>
      </c>
      <c r="HH3" s="3">
        <v>0</v>
      </c>
      <c r="HI3" s="3">
        <v>15660785.92</v>
      </c>
      <c r="HJ3" s="3">
        <v>27482000</v>
      </c>
      <c r="HK3" s="3">
        <v>0</v>
      </c>
      <c r="HL3" s="3">
        <v>0</v>
      </c>
      <c r="HM3" s="3">
        <v>0</v>
      </c>
      <c r="HN3" s="3">
        <v>27482000</v>
      </c>
      <c r="HO3" s="3">
        <v>27482000</v>
      </c>
      <c r="HP3" s="3">
        <v>0</v>
      </c>
      <c r="HQ3" s="3">
        <v>0</v>
      </c>
      <c r="HR3" s="3">
        <v>0</v>
      </c>
      <c r="HS3" s="3">
        <v>27482000</v>
      </c>
      <c r="HT3" s="3">
        <v>27482000</v>
      </c>
      <c r="HU3" s="3">
        <v>0</v>
      </c>
      <c r="HV3" s="3">
        <v>0</v>
      </c>
      <c r="HW3" s="3">
        <v>0</v>
      </c>
      <c r="HX3" s="3">
        <v>27482000</v>
      </c>
      <c r="HY3" s="3">
        <v>27482000</v>
      </c>
      <c r="HZ3" s="3">
        <v>0</v>
      </c>
      <c r="IA3" s="3">
        <v>0</v>
      </c>
      <c r="IB3" s="3">
        <v>0</v>
      </c>
      <c r="IC3" s="3">
        <v>27482000</v>
      </c>
      <c r="ID3" s="3">
        <v>27482000</v>
      </c>
      <c r="IE3" s="3">
        <v>0</v>
      </c>
      <c r="IF3" s="3">
        <v>0</v>
      </c>
      <c r="IG3" s="3">
        <v>0</v>
      </c>
      <c r="IH3" s="3">
        <v>27482000</v>
      </c>
      <c r="II3" s="3">
        <v>27482000</v>
      </c>
      <c r="IJ3" s="3">
        <v>0</v>
      </c>
      <c r="IK3" s="3">
        <v>0</v>
      </c>
      <c r="IL3" s="3">
        <v>0</v>
      </c>
      <c r="IM3" s="3">
        <v>27482000</v>
      </c>
      <c r="IN3" s="3">
        <v>15921143.68</v>
      </c>
      <c r="IO3" s="3">
        <v>0</v>
      </c>
      <c r="IP3" s="3">
        <v>0</v>
      </c>
      <c r="IQ3" s="3">
        <v>0</v>
      </c>
      <c r="IR3" s="3">
        <v>15921143.68</v>
      </c>
      <c r="IS3" s="3">
        <v>21585000</v>
      </c>
      <c r="IT3" s="3">
        <v>0</v>
      </c>
      <c r="IU3" s="3">
        <v>0</v>
      </c>
      <c r="IV3" s="3">
        <v>0</v>
      </c>
      <c r="IW3" s="3">
        <v>21585000</v>
      </c>
      <c r="IX3" s="3">
        <v>21585000</v>
      </c>
      <c r="IY3" s="3">
        <v>0</v>
      </c>
      <c r="IZ3" s="3">
        <v>0</v>
      </c>
      <c r="JA3" s="3">
        <v>0</v>
      </c>
      <c r="JB3" s="3">
        <v>21585000</v>
      </c>
      <c r="JC3" s="3">
        <v>21585000</v>
      </c>
      <c r="JD3" s="3">
        <v>0</v>
      </c>
      <c r="JE3" s="3">
        <v>0</v>
      </c>
      <c r="JF3" s="3">
        <v>0</v>
      </c>
      <c r="JG3" s="3">
        <v>21585000</v>
      </c>
      <c r="JH3" s="3">
        <v>21585000</v>
      </c>
      <c r="JI3" s="3">
        <v>0</v>
      </c>
      <c r="JJ3" s="3">
        <v>0</v>
      </c>
      <c r="JK3" s="3">
        <v>0</v>
      </c>
      <c r="JL3" s="3">
        <v>21585000</v>
      </c>
      <c r="JM3" s="3">
        <v>21585000</v>
      </c>
      <c r="JN3" s="3">
        <v>0</v>
      </c>
      <c r="JO3" s="3">
        <v>0</v>
      </c>
      <c r="JP3" s="3">
        <v>0</v>
      </c>
      <c r="JQ3" s="3">
        <v>21585000</v>
      </c>
      <c r="JR3" s="3">
        <v>21585000</v>
      </c>
      <c r="JS3" s="3">
        <v>0</v>
      </c>
      <c r="JT3" s="3">
        <v>0</v>
      </c>
      <c r="JU3" s="3">
        <v>0</v>
      </c>
      <c r="JV3" s="3">
        <v>21585000</v>
      </c>
      <c r="JW3" s="3">
        <v>18985567.109999999</v>
      </c>
      <c r="JX3" s="3">
        <v>0</v>
      </c>
      <c r="JY3" s="3">
        <v>0</v>
      </c>
      <c r="JZ3" s="3">
        <v>0</v>
      </c>
      <c r="KA3" s="3">
        <v>18985567.109999999</v>
      </c>
      <c r="KB3" s="3">
        <v>34597000</v>
      </c>
      <c r="KC3" s="3">
        <v>0</v>
      </c>
      <c r="KD3" s="3">
        <v>0</v>
      </c>
      <c r="KE3" s="3">
        <v>0</v>
      </c>
      <c r="KF3" s="3">
        <v>34597000</v>
      </c>
      <c r="KG3" s="3">
        <v>34597000</v>
      </c>
      <c r="KH3" s="3">
        <v>0</v>
      </c>
      <c r="KI3" s="3">
        <v>0</v>
      </c>
      <c r="KJ3" s="3">
        <v>0</v>
      </c>
      <c r="KK3" s="3">
        <v>34597000</v>
      </c>
      <c r="KL3" s="3"/>
      <c r="KM3" s="3"/>
      <c r="KN3" s="3"/>
      <c r="KO3" s="3"/>
      <c r="KP3" s="3"/>
      <c r="KQ3" s="3"/>
      <c r="KR3" s="3"/>
      <c r="KS3" s="3"/>
      <c r="KT3" s="3"/>
      <c r="KU3" s="3"/>
      <c r="KV3" s="3"/>
      <c r="KW3" s="3"/>
      <c r="KX3" s="3"/>
      <c r="KY3" s="3"/>
      <c r="KZ3" s="3"/>
      <c r="LA3" s="3"/>
      <c r="LB3" s="3"/>
      <c r="LC3" s="3"/>
      <c r="LD3" s="3"/>
      <c r="LE3" s="3"/>
      <c r="LF3" s="3"/>
      <c r="LG3" s="3"/>
      <c r="LH3" s="3"/>
      <c r="LI3" s="3"/>
      <c r="LJ3" s="3"/>
      <c r="LK3" s="3">
        <v>33624000</v>
      </c>
      <c r="LL3" s="3">
        <v>0</v>
      </c>
      <c r="LM3" s="3">
        <v>0</v>
      </c>
      <c r="LN3" s="3">
        <v>0</v>
      </c>
      <c r="LO3" s="3">
        <v>33624000</v>
      </c>
      <c r="LP3" s="3"/>
      <c r="LQ3" s="3"/>
      <c r="LR3" s="3"/>
      <c r="LS3" s="3"/>
      <c r="LT3" s="3"/>
    </row>
    <row r="4" spans="1:332" x14ac:dyDescent="0.25">
      <c r="A4" t="s">
        <v>685</v>
      </c>
      <c r="B4" t="s">
        <v>686</v>
      </c>
      <c r="C4" t="s">
        <v>199</v>
      </c>
      <c r="D4" t="s">
        <v>200</v>
      </c>
      <c r="E4" t="s">
        <v>208</v>
      </c>
      <c r="F4" t="s">
        <v>209</v>
      </c>
      <c r="G4" t="s">
        <v>739</v>
      </c>
      <c r="H4" s="3">
        <v>7614000</v>
      </c>
      <c r="I4" s="3">
        <v>558608000</v>
      </c>
      <c r="J4" s="3">
        <v>0</v>
      </c>
      <c r="K4" s="3">
        <v>30852000</v>
      </c>
      <c r="L4" s="3">
        <v>597074000</v>
      </c>
      <c r="M4" s="3">
        <v>7614000</v>
      </c>
      <c r="N4" s="3">
        <v>558608000</v>
      </c>
      <c r="O4" s="3">
        <v>0</v>
      </c>
      <c r="P4" s="3">
        <v>30852000</v>
      </c>
      <c r="Q4" s="3">
        <v>597074000</v>
      </c>
      <c r="R4" s="3">
        <v>7614000</v>
      </c>
      <c r="S4" s="3">
        <v>558608000</v>
      </c>
      <c r="T4" s="3">
        <v>0</v>
      </c>
      <c r="U4" s="3">
        <v>30852000</v>
      </c>
      <c r="V4" s="3">
        <v>597074000</v>
      </c>
      <c r="W4" s="3">
        <v>7614000</v>
      </c>
      <c r="X4" s="3">
        <v>496808100</v>
      </c>
      <c r="Y4" s="3">
        <v>0</v>
      </c>
      <c r="Z4" s="3">
        <v>30852000</v>
      </c>
      <c r="AA4" s="3">
        <v>535274100</v>
      </c>
      <c r="AB4" s="3">
        <v>7614000</v>
      </c>
      <c r="AC4" s="3">
        <v>496808100</v>
      </c>
      <c r="AD4" s="3">
        <v>0</v>
      </c>
      <c r="AE4" s="3">
        <v>30852000</v>
      </c>
      <c r="AF4" s="3">
        <v>535274100</v>
      </c>
      <c r="AG4" s="3">
        <v>7612617.29</v>
      </c>
      <c r="AH4" s="3">
        <v>117800265.03</v>
      </c>
      <c r="AI4" s="3">
        <v>0</v>
      </c>
      <c r="AJ4" s="3">
        <v>8279674.8200000003</v>
      </c>
      <c r="AK4" s="3">
        <v>133692557.14</v>
      </c>
      <c r="AL4" s="3">
        <v>7244551.7800000003</v>
      </c>
      <c r="AM4" s="3">
        <v>64546842.020000003</v>
      </c>
      <c r="AN4" s="3">
        <v>0</v>
      </c>
      <c r="AO4" s="3">
        <v>4695186.93</v>
      </c>
      <c r="AP4" s="3">
        <v>76486580.730000004</v>
      </c>
      <c r="AQ4" s="3">
        <v>9011000</v>
      </c>
      <c r="AR4" s="3">
        <v>741818000</v>
      </c>
      <c r="AS4" s="3">
        <v>0</v>
      </c>
      <c r="AT4" s="3">
        <v>0</v>
      </c>
      <c r="AU4" s="3">
        <v>750829000</v>
      </c>
      <c r="AV4" s="3">
        <v>9011000</v>
      </c>
      <c r="AW4" s="3">
        <v>741818000</v>
      </c>
      <c r="AX4" s="3">
        <v>0</v>
      </c>
      <c r="AY4" s="3">
        <v>0</v>
      </c>
      <c r="AZ4" s="3">
        <v>750829000</v>
      </c>
      <c r="BA4" s="3">
        <v>9011000</v>
      </c>
      <c r="BB4" s="3">
        <v>741818000</v>
      </c>
      <c r="BC4" s="3">
        <v>0</v>
      </c>
      <c r="BD4" s="3">
        <v>0</v>
      </c>
      <c r="BE4" s="3">
        <v>750829000</v>
      </c>
      <c r="BF4" s="3">
        <v>85596350</v>
      </c>
      <c r="BG4" s="3">
        <v>665232650</v>
      </c>
      <c r="BH4" s="3">
        <v>0</v>
      </c>
      <c r="BI4" s="3">
        <v>0</v>
      </c>
      <c r="BJ4" s="3">
        <v>750829000</v>
      </c>
      <c r="BK4" s="3">
        <v>85596350</v>
      </c>
      <c r="BL4" s="3">
        <v>665232650</v>
      </c>
      <c r="BM4" s="3">
        <v>0</v>
      </c>
      <c r="BN4" s="3">
        <v>0</v>
      </c>
      <c r="BO4" s="3">
        <v>750829000</v>
      </c>
      <c r="BP4" s="3">
        <v>85329311.629999995</v>
      </c>
      <c r="BQ4" s="3">
        <v>102950404.51000001</v>
      </c>
      <c r="BR4" s="3">
        <v>0</v>
      </c>
      <c r="BS4" s="3">
        <v>0</v>
      </c>
      <c r="BT4" s="3">
        <v>188279716.13999999</v>
      </c>
      <c r="BU4" s="3">
        <v>70681570.909999996</v>
      </c>
      <c r="BV4" s="3">
        <v>56355588.350000001</v>
      </c>
      <c r="BW4" s="3">
        <v>0</v>
      </c>
      <c r="BX4" s="3">
        <v>0</v>
      </c>
      <c r="BY4" s="3">
        <v>127037159.26000001</v>
      </c>
      <c r="BZ4" s="3">
        <v>10347000</v>
      </c>
      <c r="CA4" s="3">
        <v>895102000</v>
      </c>
      <c r="CB4" s="3">
        <v>0</v>
      </c>
      <c r="CC4" s="3">
        <v>87748000</v>
      </c>
      <c r="CD4" s="3">
        <v>993197000</v>
      </c>
      <c r="CE4" s="3">
        <v>10347000</v>
      </c>
      <c r="CF4" s="3">
        <v>895102000</v>
      </c>
      <c r="CG4" s="3">
        <v>0</v>
      </c>
      <c r="CH4" s="3">
        <v>87748000</v>
      </c>
      <c r="CI4" s="3">
        <v>993197000</v>
      </c>
      <c r="CJ4" s="3">
        <v>10347000</v>
      </c>
      <c r="CK4" s="3">
        <v>895102000</v>
      </c>
      <c r="CL4" s="3">
        <v>0</v>
      </c>
      <c r="CM4" s="3">
        <v>87748000</v>
      </c>
      <c r="CN4" s="3">
        <v>993197000</v>
      </c>
      <c r="CO4" s="3">
        <v>42774239</v>
      </c>
      <c r="CP4" s="3">
        <v>799913527</v>
      </c>
      <c r="CQ4" s="3">
        <v>0</v>
      </c>
      <c r="CR4" s="3">
        <v>87748000</v>
      </c>
      <c r="CS4" s="3">
        <v>930435766</v>
      </c>
      <c r="CT4" s="3">
        <v>42774239</v>
      </c>
      <c r="CU4" s="3">
        <v>799913527</v>
      </c>
      <c r="CV4" s="3">
        <v>0</v>
      </c>
      <c r="CW4" s="3">
        <v>87748000</v>
      </c>
      <c r="CX4" s="3">
        <v>930435766</v>
      </c>
      <c r="CY4" s="3">
        <v>42694433.560000002</v>
      </c>
      <c r="CZ4" s="3">
        <v>520129793.63</v>
      </c>
      <c r="DA4" s="3">
        <v>0</v>
      </c>
      <c r="DB4" s="3">
        <v>34404000</v>
      </c>
      <c r="DC4" s="3">
        <v>597228227.19000006</v>
      </c>
      <c r="DD4" s="3">
        <v>41288404.420000002</v>
      </c>
      <c r="DE4" s="3">
        <v>276341708.44</v>
      </c>
      <c r="DF4" s="3">
        <v>0</v>
      </c>
      <c r="DG4" s="3">
        <v>26167285.5</v>
      </c>
      <c r="DH4" s="3">
        <v>343797398.36000001</v>
      </c>
      <c r="DI4" s="3">
        <v>10954000</v>
      </c>
      <c r="DJ4" s="3">
        <v>753388000</v>
      </c>
      <c r="DK4" s="3">
        <v>0</v>
      </c>
      <c r="DL4" s="3">
        <v>0</v>
      </c>
      <c r="DM4" s="3">
        <v>764342000</v>
      </c>
      <c r="DN4" s="3">
        <v>10954000</v>
      </c>
      <c r="DO4" s="3">
        <v>753388000</v>
      </c>
      <c r="DP4" s="3">
        <v>0</v>
      </c>
      <c r="DQ4" s="3">
        <v>0</v>
      </c>
      <c r="DR4" s="3">
        <v>764342000</v>
      </c>
      <c r="DS4" s="3">
        <v>10954000</v>
      </c>
      <c r="DT4" s="3">
        <v>753388000</v>
      </c>
      <c r="DU4" s="3">
        <v>0</v>
      </c>
      <c r="DV4" s="3">
        <v>0</v>
      </c>
      <c r="DW4" s="3">
        <v>764342000</v>
      </c>
      <c r="DX4" s="3">
        <v>33115975</v>
      </c>
      <c r="DY4" s="3">
        <v>549726025</v>
      </c>
      <c r="DZ4" s="3">
        <v>0</v>
      </c>
      <c r="EA4" s="3">
        <v>181500000</v>
      </c>
      <c r="EB4" s="3">
        <v>764342000</v>
      </c>
      <c r="EC4" s="3">
        <v>33115975</v>
      </c>
      <c r="ED4" s="3">
        <v>549726025</v>
      </c>
      <c r="EE4" s="3">
        <v>0</v>
      </c>
      <c r="EF4" s="3">
        <v>181500000</v>
      </c>
      <c r="EG4" s="3">
        <v>764342000</v>
      </c>
      <c r="EH4" s="3">
        <v>33115914.77</v>
      </c>
      <c r="EI4" s="3">
        <v>527793831.19</v>
      </c>
      <c r="EJ4" s="3">
        <v>0</v>
      </c>
      <c r="EK4" s="3">
        <v>53564395.560000002</v>
      </c>
      <c r="EL4" s="3">
        <v>614474141.51999998</v>
      </c>
      <c r="EM4" s="3">
        <v>30656634.91</v>
      </c>
      <c r="EN4" s="3">
        <v>458519168.74000001</v>
      </c>
      <c r="EO4" s="3">
        <v>0</v>
      </c>
      <c r="EP4" s="3">
        <v>11966095.42</v>
      </c>
      <c r="EQ4" s="3">
        <v>501141899.06999999</v>
      </c>
      <c r="ER4" s="3">
        <v>12350000</v>
      </c>
      <c r="ES4" s="3">
        <v>1231332000</v>
      </c>
      <c r="ET4" s="3">
        <v>0</v>
      </c>
      <c r="EU4" s="3">
        <v>194758000</v>
      </c>
      <c r="EV4" s="3">
        <v>1438440000</v>
      </c>
      <c r="EW4" s="3">
        <v>12350000</v>
      </c>
      <c r="EX4" s="3">
        <v>1231332000</v>
      </c>
      <c r="EY4" s="3">
        <v>0</v>
      </c>
      <c r="EZ4" s="3">
        <v>294758000</v>
      </c>
      <c r="FA4" s="3">
        <v>1538440000</v>
      </c>
      <c r="FB4" s="3">
        <v>12350000</v>
      </c>
      <c r="FC4" s="3">
        <v>1231332000</v>
      </c>
      <c r="FD4" s="3">
        <v>0</v>
      </c>
      <c r="FE4" s="3">
        <v>294758000</v>
      </c>
      <c r="FF4" s="3">
        <v>1538440000</v>
      </c>
      <c r="FG4" s="3">
        <v>77350000</v>
      </c>
      <c r="FH4" s="3">
        <v>907588410</v>
      </c>
      <c r="FI4" s="3">
        <v>0</v>
      </c>
      <c r="FJ4" s="3">
        <v>553501590</v>
      </c>
      <c r="FK4" s="3">
        <v>1538440000</v>
      </c>
      <c r="FL4" s="3">
        <v>77350000</v>
      </c>
      <c r="FM4" s="3">
        <v>907588410</v>
      </c>
      <c r="FN4" s="3">
        <v>0</v>
      </c>
      <c r="FO4" s="3">
        <v>553501590</v>
      </c>
      <c r="FP4" s="3">
        <v>1538440000</v>
      </c>
      <c r="FQ4" s="3">
        <v>77344209.840000004</v>
      </c>
      <c r="FR4" s="3">
        <v>580047132.44000006</v>
      </c>
      <c r="FS4" s="3">
        <v>0</v>
      </c>
      <c r="FT4" s="3">
        <v>119642812.7</v>
      </c>
      <c r="FU4" s="3">
        <v>777034154.98000002</v>
      </c>
      <c r="FV4" s="3">
        <v>71116216.439999998</v>
      </c>
      <c r="FW4" s="3">
        <v>323284067.37</v>
      </c>
      <c r="FX4" s="3">
        <v>0</v>
      </c>
      <c r="FY4" s="3">
        <v>78738524.760000005</v>
      </c>
      <c r="FZ4" s="3">
        <v>473138808.56999999</v>
      </c>
      <c r="GA4" s="3">
        <v>12541000</v>
      </c>
      <c r="GB4" s="3">
        <v>780755000</v>
      </c>
      <c r="GC4" s="3">
        <v>0</v>
      </c>
      <c r="GD4" s="3">
        <v>332690000</v>
      </c>
      <c r="GE4" s="3">
        <v>1125986000</v>
      </c>
      <c r="GF4" s="3">
        <v>12541000</v>
      </c>
      <c r="GG4" s="3">
        <v>780755000</v>
      </c>
      <c r="GH4" s="3">
        <v>0</v>
      </c>
      <c r="GI4" s="3">
        <v>332690000</v>
      </c>
      <c r="GJ4" s="3">
        <v>1125986000</v>
      </c>
      <c r="GK4" s="3">
        <v>12541000</v>
      </c>
      <c r="GL4" s="3">
        <v>780755000</v>
      </c>
      <c r="GM4" s="3">
        <v>0</v>
      </c>
      <c r="GN4" s="3">
        <v>332690000</v>
      </c>
      <c r="GO4" s="3">
        <v>1125986000</v>
      </c>
      <c r="GP4" s="3">
        <v>62541000</v>
      </c>
      <c r="GQ4" s="3">
        <v>730755000</v>
      </c>
      <c r="GR4" s="3">
        <v>0</v>
      </c>
      <c r="GS4" s="3">
        <v>332690000</v>
      </c>
      <c r="GT4" s="3">
        <v>1125986000</v>
      </c>
      <c r="GU4" s="3">
        <v>62541000</v>
      </c>
      <c r="GV4" s="3">
        <v>730755000</v>
      </c>
      <c r="GW4" s="3">
        <v>0</v>
      </c>
      <c r="GX4" s="3">
        <v>332690000</v>
      </c>
      <c r="GY4" s="3">
        <v>1125986000</v>
      </c>
      <c r="GZ4" s="3">
        <v>62540844.75</v>
      </c>
      <c r="HA4" s="3">
        <v>391619527.25999999</v>
      </c>
      <c r="HB4" s="3">
        <v>0</v>
      </c>
      <c r="HC4" s="3">
        <v>116847724.29000001</v>
      </c>
      <c r="HD4" s="3">
        <v>571008096.29999995</v>
      </c>
      <c r="HE4" s="3">
        <v>55198268.840000004</v>
      </c>
      <c r="HF4" s="3">
        <v>289508693.44999999</v>
      </c>
      <c r="HG4" s="3">
        <v>0</v>
      </c>
      <c r="HH4" s="3">
        <v>45738721.869999997</v>
      </c>
      <c r="HI4" s="3">
        <v>390445684.16000003</v>
      </c>
      <c r="HJ4" s="3">
        <v>12961000</v>
      </c>
      <c r="HK4" s="3">
        <v>723276000</v>
      </c>
      <c r="HL4" s="3">
        <v>0</v>
      </c>
      <c r="HM4" s="3">
        <v>332690000</v>
      </c>
      <c r="HN4" s="3">
        <v>1068927000</v>
      </c>
      <c r="HO4" s="3">
        <v>12961000</v>
      </c>
      <c r="HP4" s="3">
        <v>723276000</v>
      </c>
      <c r="HQ4" s="3">
        <v>0</v>
      </c>
      <c r="HR4" s="3">
        <v>332690000</v>
      </c>
      <c r="HS4" s="3">
        <v>1068927000</v>
      </c>
      <c r="HT4" s="3">
        <v>12961000</v>
      </c>
      <c r="HU4" s="3">
        <v>723276000</v>
      </c>
      <c r="HV4" s="3">
        <v>0</v>
      </c>
      <c r="HW4" s="3">
        <v>332690000</v>
      </c>
      <c r="HX4" s="3">
        <v>1068927000</v>
      </c>
      <c r="HY4" s="3">
        <v>100119642</v>
      </c>
      <c r="HZ4" s="3">
        <v>636117358</v>
      </c>
      <c r="IA4" s="3">
        <v>0</v>
      </c>
      <c r="IB4" s="3">
        <v>332690000</v>
      </c>
      <c r="IC4" s="3">
        <v>1068927000</v>
      </c>
      <c r="ID4" s="3">
        <v>100119642</v>
      </c>
      <c r="IE4" s="3">
        <v>636117358</v>
      </c>
      <c r="IF4" s="3">
        <v>0</v>
      </c>
      <c r="IG4" s="3">
        <v>332690000</v>
      </c>
      <c r="IH4" s="3">
        <v>1068927000</v>
      </c>
      <c r="II4" s="3">
        <v>100019642</v>
      </c>
      <c r="IJ4" s="3">
        <v>590794330.97000003</v>
      </c>
      <c r="IK4" s="3">
        <v>0</v>
      </c>
      <c r="IL4" s="3">
        <v>192835055.19</v>
      </c>
      <c r="IM4" s="3">
        <v>883649028.15999997</v>
      </c>
      <c r="IN4" s="3">
        <v>50113050.420000002</v>
      </c>
      <c r="IO4" s="3">
        <v>414729505.04000002</v>
      </c>
      <c r="IP4" s="3">
        <v>0</v>
      </c>
      <c r="IQ4" s="3">
        <v>96008635.439999998</v>
      </c>
      <c r="IR4" s="3">
        <v>560851190.89999998</v>
      </c>
      <c r="IS4" s="3">
        <v>10404000</v>
      </c>
      <c r="IT4" s="3">
        <v>1096396000</v>
      </c>
      <c r="IU4" s="3">
        <v>0</v>
      </c>
      <c r="IV4" s="3">
        <v>357410000</v>
      </c>
      <c r="IW4" s="3">
        <v>1464210000</v>
      </c>
      <c r="IX4" s="3">
        <v>10404000</v>
      </c>
      <c r="IY4" s="3">
        <v>1096396000</v>
      </c>
      <c r="IZ4" s="3">
        <v>0</v>
      </c>
      <c r="JA4" s="3">
        <v>357410000</v>
      </c>
      <c r="JB4" s="3">
        <v>1464210000</v>
      </c>
      <c r="JC4" s="3">
        <v>10404000</v>
      </c>
      <c r="JD4" s="3">
        <v>1096396000</v>
      </c>
      <c r="JE4" s="3">
        <v>0</v>
      </c>
      <c r="JF4" s="3">
        <v>357410000</v>
      </c>
      <c r="JG4" s="3">
        <v>1464210000</v>
      </c>
      <c r="JH4" s="3">
        <v>12548955</v>
      </c>
      <c r="JI4" s="3">
        <v>1094251045</v>
      </c>
      <c r="JJ4" s="3">
        <v>0</v>
      </c>
      <c r="JK4" s="3">
        <v>357410000</v>
      </c>
      <c r="JL4" s="3">
        <v>1464210000</v>
      </c>
      <c r="JM4" s="3">
        <v>12548955</v>
      </c>
      <c r="JN4" s="3">
        <v>1094251045</v>
      </c>
      <c r="JO4" s="3">
        <v>0</v>
      </c>
      <c r="JP4" s="3">
        <v>357410000</v>
      </c>
      <c r="JQ4" s="3">
        <v>1464210000</v>
      </c>
      <c r="JR4" s="3">
        <v>12548955</v>
      </c>
      <c r="JS4" s="3">
        <v>1049011590.71</v>
      </c>
      <c r="JT4" s="3">
        <v>0</v>
      </c>
      <c r="JU4" s="3">
        <v>85707267.510000005</v>
      </c>
      <c r="JV4" s="3">
        <v>1147267813.22</v>
      </c>
      <c r="JW4" s="3">
        <v>11344478.24</v>
      </c>
      <c r="JX4" s="3">
        <v>772622359.04999995</v>
      </c>
      <c r="JY4" s="3">
        <v>0</v>
      </c>
      <c r="JZ4" s="3">
        <v>52718671.490000002</v>
      </c>
      <c r="KA4" s="3">
        <v>836685508.77999997</v>
      </c>
      <c r="KB4" s="3">
        <v>12199000</v>
      </c>
      <c r="KC4" s="3">
        <v>3129046000</v>
      </c>
      <c r="KD4" s="3">
        <v>0</v>
      </c>
      <c r="KE4" s="3">
        <v>2764220000</v>
      </c>
      <c r="KF4" s="3">
        <v>5905465000</v>
      </c>
      <c r="KG4" s="3">
        <v>12199000</v>
      </c>
      <c r="KH4" s="3">
        <v>895636000</v>
      </c>
      <c r="KI4" s="3">
        <v>0</v>
      </c>
      <c r="KJ4" s="3">
        <v>164220000</v>
      </c>
      <c r="KK4" s="3">
        <v>1072055000</v>
      </c>
      <c r="KL4" s="3"/>
      <c r="KM4" s="3"/>
      <c r="KN4" s="3"/>
      <c r="KO4" s="3"/>
      <c r="KP4" s="3"/>
      <c r="KQ4" s="3"/>
      <c r="KR4" s="3"/>
      <c r="KS4" s="3"/>
      <c r="KT4" s="3"/>
      <c r="KU4" s="3"/>
      <c r="KV4" s="3"/>
      <c r="KW4" s="3"/>
      <c r="KX4" s="3"/>
      <c r="KY4" s="3"/>
      <c r="KZ4" s="3"/>
      <c r="LA4" s="3"/>
      <c r="LB4" s="3"/>
      <c r="LC4" s="3"/>
      <c r="LD4" s="3"/>
      <c r="LE4" s="3"/>
      <c r="LF4" s="3"/>
      <c r="LG4" s="3"/>
      <c r="LH4" s="3"/>
      <c r="LI4" s="3"/>
      <c r="LJ4" s="3"/>
      <c r="LK4" s="3">
        <v>8561000</v>
      </c>
      <c r="LL4" s="3">
        <v>1767231000</v>
      </c>
      <c r="LM4" s="3">
        <v>0</v>
      </c>
      <c r="LN4" s="3">
        <v>0</v>
      </c>
      <c r="LO4" s="3">
        <v>1775792000</v>
      </c>
      <c r="LP4" s="3"/>
      <c r="LQ4" s="3"/>
      <c r="LR4" s="3"/>
      <c r="LS4" s="3"/>
      <c r="LT4" s="3"/>
    </row>
    <row r="5" spans="1:332" x14ac:dyDescent="0.25">
      <c r="A5" t="s">
        <v>685</v>
      </c>
      <c r="B5" t="s">
        <v>686</v>
      </c>
      <c r="C5" t="s">
        <v>199</v>
      </c>
      <c r="D5" t="s">
        <v>200</v>
      </c>
      <c r="E5" t="s">
        <v>208</v>
      </c>
      <c r="F5" t="s">
        <v>211</v>
      </c>
      <c r="G5" t="s">
        <v>740</v>
      </c>
      <c r="H5" s="3">
        <v>10305000</v>
      </c>
      <c r="I5" s="3">
        <v>7689000</v>
      </c>
      <c r="J5" s="3">
        <v>0</v>
      </c>
      <c r="K5" s="3">
        <v>0</v>
      </c>
      <c r="L5" s="3">
        <v>17994000</v>
      </c>
      <c r="M5" s="3">
        <v>10305000</v>
      </c>
      <c r="N5" s="3">
        <v>7689000</v>
      </c>
      <c r="O5" s="3">
        <v>0</v>
      </c>
      <c r="P5" s="3">
        <v>0</v>
      </c>
      <c r="Q5" s="3">
        <v>17994000</v>
      </c>
      <c r="R5" s="3">
        <v>10305000</v>
      </c>
      <c r="S5" s="3">
        <v>7689000</v>
      </c>
      <c r="T5" s="3">
        <v>0</v>
      </c>
      <c r="U5" s="3">
        <v>0</v>
      </c>
      <c r="V5" s="3">
        <v>17994000</v>
      </c>
      <c r="W5" s="3">
        <v>10305000</v>
      </c>
      <c r="X5" s="3">
        <v>7289000</v>
      </c>
      <c r="Y5" s="3">
        <v>0</v>
      </c>
      <c r="Z5" s="3">
        <v>0</v>
      </c>
      <c r="AA5" s="3">
        <v>17594000</v>
      </c>
      <c r="AB5" s="3">
        <v>10305000</v>
      </c>
      <c r="AC5" s="3">
        <v>7289000</v>
      </c>
      <c r="AD5" s="3">
        <v>0</v>
      </c>
      <c r="AE5" s="3">
        <v>0</v>
      </c>
      <c r="AF5" s="3">
        <v>17594000</v>
      </c>
      <c r="AG5" s="3">
        <v>10304084.789999999</v>
      </c>
      <c r="AH5" s="3">
        <v>6977922.0499999998</v>
      </c>
      <c r="AI5" s="3">
        <v>0</v>
      </c>
      <c r="AJ5" s="3">
        <v>0</v>
      </c>
      <c r="AK5" s="3">
        <v>17282006.84</v>
      </c>
      <c r="AL5" s="3">
        <v>10061601.119999999</v>
      </c>
      <c r="AM5" s="3">
        <v>5929825.2400000002</v>
      </c>
      <c r="AN5" s="3">
        <v>0</v>
      </c>
      <c r="AO5" s="3">
        <v>0</v>
      </c>
      <c r="AP5" s="3">
        <v>15991426.359999999</v>
      </c>
      <c r="AQ5" s="3">
        <v>11696000</v>
      </c>
      <c r="AR5" s="3">
        <v>6796000</v>
      </c>
      <c r="AS5" s="3">
        <v>0</v>
      </c>
      <c r="AT5" s="3">
        <v>0</v>
      </c>
      <c r="AU5" s="3">
        <v>18492000</v>
      </c>
      <c r="AV5" s="3">
        <v>11696000</v>
      </c>
      <c r="AW5" s="3">
        <v>6796000</v>
      </c>
      <c r="AX5" s="3">
        <v>0</v>
      </c>
      <c r="AY5" s="3">
        <v>0</v>
      </c>
      <c r="AZ5" s="3">
        <v>18492000</v>
      </c>
      <c r="BA5" s="3">
        <v>11696000</v>
      </c>
      <c r="BB5" s="3">
        <v>6796000</v>
      </c>
      <c r="BC5" s="3">
        <v>0</v>
      </c>
      <c r="BD5" s="3">
        <v>0</v>
      </c>
      <c r="BE5" s="3">
        <v>18492000</v>
      </c>
      <c r="BF5" s="3">
        <v>11696000</v>
      </c>
      <c r="BG5" s="3">
        <v>6796000</v>
      </c>
      <c r="BH5" s="3">
        <v>0</v>
      </c>
      <c r="BI5" s="3">
        <v>0</v>
      </c>
      <c r="BJ5" s="3">
        <v>18492000</v>
      </c>
      <c r="BK5" s="3">
        <v>11696000</v>
      </c>
      <c r="BL5" s="3">
        <v>6796000</v>
      </c>
      <c r="BM5" s="3">
        <v>0</v>
      </c>
      <c r="BN5" s="3">
        <v>0</v>
      </c>
      <c r="BO5" s="3">
        <v>18492000</v>
      </c>
      <c r="BP5" s="3">
        <v>11676858.49</v>
      </c>
      <c r="BQ5" s="3">
        <v>5017342.59</v>
      </c>
      <c r="BR5" s="3">
        <v>0</v>
      </c>
      <c r="BS5" s="3">
        <v>0</v>
      </c>
      <c r="BT5" s="3">
        <v>16694201.08</v>
      </c>
      <c r="BU5" s="3">
        <v>10703755.859999999</v>
      </c>
      <c r="BV5" s="3">
        <v>3889710.43</v>
      </c>
      <c r="BW5" s="3">
        <v>0</v>
      </c>
      <c r="BX5" s="3">
        <v>0</v>
      </c>
      <c r="BY5" s="3">
        <v>14593466.289999999</v>
      </c>
      <c r="BZ5" s="3">
        <v>11745000</v>
      </c>
      <c r="CA5" s="3">
        <v>6780000</v>
      </c>
      <c r="CB5" s="3">
        <v>0</v>
      </c>
      <c r="CC5" s="3">
        <v>0</v>
      </c>
      <c r="CD5" s="3">
        <v>18525000</v>
      </c>
      <c r="CE5" s="3">
        <v>11745000</v>
      </c>
      <c r="CF5" s="3">
        <v>6780000</v>
      </c>
      <c r="CG5" s="3">
        <v>0</v>
      </c>
      <c r="CH5" s="3">
        <v>0</v>
      </c>
      <c r="CI5" s="3">
        <v>18525000</v>
      </c>
      <c r="CJ5" s="3">
        <v>11745000</v>
      </c>
      <c r="CK5" s="3">
        <v>6780000</v>
      </c>
      <c r="CL5" s="3">
        <v>0</v>
      </c>
      <c r="CM5" s="3">
        <v>0</v>
      </c>
      <c r="CN5" s="3">
        <v>18525000</v>
      </c>
      <c r="CO5" s="3">
        <v>11745000</v>
      </c>
      <c r="CP5" s="3">
        <v>5431894</v>
      </c>
      <c r="CQ5" s="3">
        <v>0</v>
      </c>
      <c r="CR5" s="3">
        <v>984110</v>
      </c>
      <c r="CS5" s="3">
        <v>18161004</v>
      </c>
      <c r="CT5" s="3">
        <v>11745000</v>
      </c>
      <c r="CU5" s="3">
        <v>5431894</v>
      </c>
      <c r="CV5" s="3">
        <v>0</v>
      </c>
      <c r="CW5" s="3">
        <v>984110</v>
      </c>
      <c r="CX5" s="3">
        <v>18161004</v>
      </c>
      <c r="CY5" s="3">
        <v>11743379.050000001</v>
      </c>
      <c r="CZ5" s="3">
        <v>4179550.98</v>
      </c>
      <c r="DA5" s="3">
        <v>0</v>
      </c>
      <c r="DB5" s="3">
        <v>0</v>
      </c>
      <c r="DC5" s="3">
        <v>15922930.029999999</v>
      </c>
      <c r="DD5" s="3">
        <v>11699920.380000001</v>
      </c>
      <c r="DE5" s="3">
        <v>4172588.8</v>
      </c>
      <c r="DF5" s="3">
        <v>0</v>
      </c>
      <c r="DG5" s="3">
        <v>0</v>
      </c>
      <c r="DH5" s="3">
        <v>15872509.18</v>
      </c>
      <c r="DI5" s="3">
        <v>12660000</v>
      </c>
      <c r="DJ5" s="3">
        <v>6902000</v>
      </c>
      <c r="DK5" s="3">
        <v>0</v>
      </c>
      <c r="DL5" s="3">
        <v>0</v>
      </c>
      <c r="DM5" s="3">
        <v>19562000</v>
      </c>
      <c r="DN5" s="3">
        <v>12660000</v>
      </c>
      <c r="DO5" s="3">
        <v>6902000</v>
      </c>
      <c r="DP5" s="3">
        <v>0</v>
      </c>
      <c r="DQ5" s="3">
        <v>0</v>
      </c>
      <c r="DR5" s="3">
        <v>19562000</v>
      </c>
      <c r="DS5" s="3">
        <v>12660000</v>
      </c>
      <c r="DT5" s="3">
        <v>6902000</v>
      </c>
      <c r="DU5" s="3">
        <v>0</v>
      </c>
      <c r="DV5" s="3">
        <v>0</v>
      </c>
      <c r="DW5" s="3">
        <v>19562000</v>
      </c>
      <c r="DX5" s="3">
        <v>12660000</v>
      </c>
      <c r="DY5" s="3">
        <v>6902000</v>
      </c>
      <c r="DZ5" s="3">
        <v>0</v>
      </c>
      <c r="EA5" s="3">
        <v>0</v>
      </c>
      <c r="EB5" s="3">
        <v>19562000</v>
      </c>
      <c r="EC5" s="3">
        <v>12660000</v>
      </c>
      <c r="ED5" s="3">
        <v>6902000</v>
      </c>
      <c r="EE5" s="3">
        <v>0</v>
      </c>
      <c r="EF5" s="3">
        <v>0</v>
      </c>
      <c r="EG5" s="3">
        <v>19562000</v>
      </c>
      <c r="EH5" s="3">
        <v>12656714.91</v>
      </c>
      <c r="EI5" s="3">
        <v>6828304.8399999999</v>
      </c>
      <c r="EJ5" s="3">
        <v>0</v>
      </c>
      <c r="EK5" s="3">
        <v>0</v>
      </c>
      <c r="EL5" s="3">
        <v>19485019.75</v>
      </c>
      <c r="EM5" s="3">
        <v>12180075.15</v>
      </c>
      <c r="EN5" s="3">
        <v>4395864.6500000004</v>
      </c>
      <c r="EO5" s="3">
        <v>0</v>
      </c>
      <c r="EP5" s="3">
        <v>0</v>
      </c>
      <c r="EQ5" s="3">
        <v>16575939.800000001</v>
      </c>
      <c r="ER5" s="3">
        <v>13085000</v>
      </c>
      <c r="ES5" s="3">
        <v>6902000</v>
      </c>
      <c r="ET5" s="3">
        <v>0</v>
      </c>
      <c r="EU5" s="3">
        <v>0</v>
      </c>
      <c r="EV5" s="3">
        <v>19987000</v>
      </c>
      <c r="EW5" s="3">
        <v>13085000</v>
      </c>
      <c r="EX5" s="3">
        <v>6902000</v>
      </c>
      <c r="EY5" s="3">
        <v>0</v>
      </c>
      <c r="EZ5" s="3">
        <v>0</v>
      </c>
      <c r="FA5" s="3">
        <v>19987000</v>
      </c>
      <c r="FB5" s="3">
        <v>13085000</v>
      </c>
      <c r="FC5" s="3">
        <v>6902000</v>
      </c>
      <c r="FD5" s="3">
        <v>0</v>
      </c>
      <c r="FE5" s="3">
        <v>0</v>
      </c>
      <c r="FF5" s="3">
        <v>19987000</v>
      </c>
      <c r="FG5" s="3">
        <v>13085000</v>
      </c>
      <c r="FH5" s="3">
        <v>6902000</v>
      </c>
      <c r="FI5" s="3">
        <v>0</v>
      </c>
      <c r="FJ5" s="3">
        <v>0</v>
      </c>
      <c r="FK5" s="3">
        <v>19987000</v>
      </c>
      <c r="FL5" s="3">
        <v>13085000</v>
      </c>
      <c r="FM5" s="3">
        <v>6902000</v>
      </c>
      <c r="FN5" s="3">
        <v>0</v>
      </c>
      <c r="FO5" s="3">
        <v>0</v>
      </c>
      <c r="FP5" s="3">
        <v>19987000</v>
      </c>
      <c r="FQ5" s="3">
        <v>13084476.539999999</v>
      </c>
      <c r="FR5" s="3">
        <v>1298017.02</v>
      </c>
      <c r="FS5" s="3">
        <v>0</v>
      </c>
      <c r="FT5" s="3">
        <v>0</v>
      </c>
      <c r="FU5" s="3">
        <v>14382493.560000001</v>
      </c>
      <c r="FV5" s="3">
        <v>12431163.619999999</v>
      </c>
      <c r="FW5" s="3">
        <v>5930300.1299999999</v>
      </c>
      <c r="FX5" s="3">
        <v>0</v>
      </c>
      <c r="FY5" s="3">
        <v>0</v>
      </c>
      <c r="FZ5" s="3">
        <v>18361463.75</v>
      </c>
      <c r="GA5" s="3">
        <v>13432000</v>
      </c>
      <c r="GB5" s="3">
        <v>7152000</v>
      </c>
      <c r="GC5" s="3">
        <v>0</v>
      </c>
      <c r="GD5" s="3">
        <v>0</v>
      </c>
      <c r="GE5" s="3">
        <v>20584000</v>
      </c>
      <c r="GF5" s="3">
        <v>13432000</v>
      </c>
      <c r="GG5" s="3">
        <v>7152000</v>
      </c>
      <c r="GH5" s="3">
        <v>0</v>
      </c>
      <c r="GI5" s="3">
        <v>0</v>
      </c>
      <c r="GJ5" s="3">
        <v>20584000</v>
      </c>
      <c r="GK5" s="3">
        <v>13432000</v>
      </c>
      <c r="GL5" s="3">
        <v>7152000</v>
      </c>
      <c r="GM5" s="3">
        <v>0</v>
      </c>
      <c r="GN5" s="3">
        <v>0</v>
      </c>
      <c r="GO5" s="3">
        <v>20584000</v>
      </c>
      <c r="GP5" s="3">
        <v>13432000</v>
      </c>
      <c r="GQ5" s="3">
        <v>7152000</v>
      </c>
      <c r="GR5" s="3">
        <v>0</v>
      </c>
      <c r="GS5" s="3">
        <v>0</v>
      </c>
      <c r="GT5" s="3">
        <v>20584000</v>
      </c>
      <c r="GU5" s="3">
        <v>13432000</v>
      </c>
      <c r="GV5" s="3">
        <v>7152000</v>
      </c>
      <c r="GW5" s="3">
        <v>0</v>
      </c>
      <c r="GX5" s="3">
        <v>0</v>
      </c>
      <c r="GY5" s="3">
        <v>20584000</v>
      </c>
      <c r="GZ5" s="3">
        <v>13429011.529999999</v>
      </c>
      <c r="HA5" s="3">
        <v>6023820.8899999997</v>
      </c>
      <c r="HB5" s="3">
        <v>0</v>
      </c>
      <c r="HC5" s="3">
        <v>0</v>
      </c>
      <c r="HD5" s="3">
        <v>19452832.420000002</v>
      </c>
      <c r="HE5" s="3">
        <v>13291392.199999999</v>
      </c>
      <c r="HF5" s="3">
        <v>5640895.7199999997</v>
      </c>
      <c r="HG5" s="3">
        <v>0</v>
      </c>
      <c r="HH5" s="3">
        <v>0</v>
      </c>
      <c r="HI5" s="3">
        <v>18932287.920000002</v>
      </c>
      <c r="HJ5" s="3">
        <v>12770000</v>
      </c>
      <c r="HK5" s="3">
        <v>7281000</v>
      </c>
      <c r="HL5" s="3">
        <v>0</v>
      </c>
      <c r="HM5" s="3">
        <v>0</v>
      </c>
      <c r="HN5" s="3">
        <v>20051000</v>
      </c>
      <c r="HO5" s="3">
        <v>12770000</v>
      </c>
      <c r="HP5" s="3">
        <v>105281000</v>
      </c>
      <c r="HQ5" s="3">
        <v>0</v>
      </c>
      <c r="HR5" s="3">
        <v>0</v>
      </c>
      <c r="HS5" s="3">
        <v>118051000</v>
      </c>
      <c r="HT5" s="3">
        <v>12770000</v>
      </c>
      <c r="HU5" s="3">
        <v>105281000</v>
      </c>
      <c r="HV5" s="3">
        <v>0</v>
      </c>
      <c r="HW5" s="3">
        <v>0</v>
      </c>
      <c r="HX5" s="3">
        <v>118051000</v>
      </c>
      <c r="HY5" s="3">
        <v>13070000</v>
      </c>
      <c r="HZ5" s="3">
        <v>104981000</v>
      </c>
      <c r="IA5" s="3">
        <v>0</v>
      </c>
      <c r="IB5" s="3">
        <v>0</v>
      </c>
      <c r="IC5" s="3">
        <v>118051000</v>
      </c>
      <c r="ID5" s="3">
        <v>13070000</v>
      </c>
      <c r="IE5" s="3">
        <v>104981000</v>
      </c>
      <c r="IF5" s="3">
        <v>0</v>
      </c>
      <c r="IG5" s="3">
        <v>0</v>
      </c>
      <c r="IH5" s="3">
        <v>118051000</v>
      </c>
      <c r="II5" s="3">
        <v>13070000</v>
      </c>
      <c r="IJ5" s="3">
        <v>9662695.5099999998</v>
      </c>
      <c r="IK5" s="3">
        <v>0</v>
      </c>
      <c r="IL5" s="3">
        <v>0</v>
      </c>
      <c r="IM5" s="3">
        <v>22732695.510000002</v>
      </c>
      <c r="IN5" s="3">
        <v>12757661.68</v>
      </c>
      <c r="IO5" s="3">
        <v>8891248</v>
      </c>
      <c r="IP5" s="3">
        <v>0</v>
      </c>
      <c r="IQ5" s="3">
        <v>0</v>
      </c>
      <c r="IR5" s="3">
        <v>21648909.68</v>
      </c>
      <c r="IS5" s="3">
        <v>13262000</v>
      </c>
      <c r="IT5" s="3">
        <v>7412000</v>
      </c>
      <c r="IU5" s="3">
        <v>0</v>
      </c>
      <c r="IV5" s="3">
        <v>0</v>
      </c>
      <c r="IW5" s="3">
        <v>20674000</v>
      </c>
      <c r="IX5" s="3">
        <v>13262000</v>
      </c>
      <c r="IY5" s="3">
        <v>7412000</v>
      </c>
      <c r="IZ5" s="3">
        <v>0</v>
      </c>
      <c r="JA5" s="3">
        <v>0</v>
      </c>
      <c r="JB5" s="3">
        <v>20674000</v>
      </c>
      <c r="JC5" s="3">
        <v>13262000</v>
      </c>
      <c r="JD5" s="3">
        <v>7412000</v>
      </c>
      <c r="JE5" s="3">
        <v>0</v>
      </c>
      <c r="JF5" s="3">
        <v>0</v>
      </c>
      <c r="JG5" s="3">
        <v>20674000</v>
      </c>
      <c r="JH5" s="3">
        <v>13262000</v>
      </c>
      <c r="JI5" s="3">
        <v>7412000</v>
      </c>
      <c r="JJ5" s="3">
        <v>0</v>
      </c>
      <c r="JK5" s="3">
        <v>0</v>
      </c>
      <c r="JL5" s="3">
        <v>20674000</v>
      </c>
      <c r="JM5" s="3">
        <v>13262000</v>
      </c>
      <c r="JN5" s="3">
        <v>7412000</v>
      </c>
      <c r="JO5" s="3">
        <v>0</v>
      </c>
      <c r="JP5" s="3">
        <v>0</v>
      </c>
      <c r="JQ5" s="3">
        <v>20674000</v>
      </c>
      <c r="JR5" s="3">
        <v>13262000</v>
      </c>
      <c r="JS5" s="3">
        <v>6859846.96</v>
      </c>
      <c r="JT5" s="3">
        <v>0</v>
      </c>
      <c r="JU5" s="3">
        <v>0</v>
      </c>
      <c r="JV5" s="3">
        <v>20121846.960000001</v>
      </c>
      <c r="JW5" s="3">
        <v>12856152.26</v>
      </c>
      <c r="JX5" s="3">
        <v>6641191.0700000003</v>
      </c>
      <c r="JY5" s="3">
        <v>0</v>
      </c>
      <c r="JZ5" s="3">
        <v>0</v>
      </c>
      <c r="KA5" s="3">
        <v>19497343.329999998</v>
      </c>
      <c r="KB5" s="3">
        <v>14570000</v>
      </c>
      <c r="KC5" s="3">
        <v>7545000</v>
      </c>
      <c r="KD5" s="3">
        <v>0</v>
      </c>
      <c r="KE5" s="3">
        <v>0</v>
      </c>
      <c r="KF5" s="3">
        <v>22115000</v>
      </c>
      <c r="KG5" s="3">
        <v>14570000</v>
      </c>
      <c r="KH5" s="3">
        <v>7545000</v>
      </c>
      <c r="KI5" s="3">
        <v>0</v>
      </c>
      <c r="KJ5" s="3">
        <v>0</v>
      </c>
      <c r="KK5" s="3">
        <v>22115000</v>
      </c>
      <c r="KL5" s="3"/>
      <c r="KM5" s="3"/>
      <c r="KN5" s="3"/>
      <c r="KO5" s="3"/>
      <c r="KP5" s="3"/>
      <c r="KQ5" s="3"/>
      <c r="KR5" s="3"/>
      <c r="KS5" s="3"/>
      <c r="KT5" s="3"/>
      <c r="KU5" s="3"/>
      <c r="KV5" s="3"/>
      <c r="KW5" s="3"/>
      <c r="KX5" s="3"/>
      <c r="KY5" s="3"/>
      <c r="KZ5" s="3"/>
      <c r="LA5" s="3"/>
      <c r="LB5" s="3"/>
      <c r="LC5" s="3"/>
      <c r="LD5" s="3"/>
      <c r="LE5" s="3"/>
      <c r="LF5" s="3"/>
      <c r="LG5" s="3"/>
      <c r="LH5" s="3"/>
      <c r="LI5" s="3"/>
      <c r="LJ5" s="3"/>
      <c r="LK5" s="3">
        <v>16209000</v>
      </c>
      <c r="LL5" s="3">
        <v>7681000</v>
      </c>
      <c r="LM5" s="3">
        <v>0</v>
      </c>
      <c r="LN5" s="3">
        <v>0</v>
      </c>
      <c r="LO5" s="3">
        <v>23890000</v>
      </c>
      <c r="LP5" s="3"/>
      <c r="LQ5" s="3"/>
      <c r="LR5" s="3"/>
      <c r="LS5" s="3"/>
      <c r="LT5" s="3"/>
    </row>
    <row r="6" spans="1:332" x14ac:dyDescent="0.25">
      <c r="A6" t="s">
        <v>685</v>
      </c>
      <c r="B6" t="s">
        <v>686</v>
      </c>
      <c r="C6" t="s">
        <v>199</v>
      </c>
      <c r="D6" t="s">
        <v>200</v>
      </c>
      <c r="E6" t="s">
        <v>208</v>
      </c>
      <c r="F6" t="s">
        <v>213</v>
      </c>
      <c r="G6" t="s">
        <v>741</v>
      </c>
      <c r="H6" s="3">
        <v>22489000</v>
      </c>
      <c r="I6" s="3">
        <v>47937000</v>
      </c>
      <c r="J6" s="3">
        <v>0</v>
      </c>
      <c r="K6" s="3">
        <v>0</v>
      </c>
      <c r="L6" s="3">
        <v>70426000</v>
      </c>
      <c r="M6" s="3">
        <v>22489000</v>
      </c>
      <c r="N6" s="3">
        <v>47937000</v>
      </c>
      <c r="O6" s="3">
        <v>0</v>
      </c>
      <c r="P6" s="3">
        <v>0</v>
      </c>
      <c r="Q6" s="3">
        <v>70426000</v>
      </c>
      <c r="R6" s="3">
        <v>22489000</v>
      </c>
      <c r="S6" s="3">
        <v>47937000</v>
      </c>
      <c r="T6" s="3">
        <v>0</v>
      </c>
      <c r="U6" s="3">
        <v>0</v>
      </c>
      <c r="V6" s="3">
        <v>70426000</v>
      </c>
      <c r="W6" s="3">
        <v>22489000</v>
      </c>
      <c r="X6" s="3">
        <v>47387000</v>
      </c>
      <c r="Y6" s="3">
        <v>0</v>
      </c>
      <c r="Z6" s="3">
        <v>0</v>
      </c>
      <c r="AA6" s="3">
        <v>69876000</v>
      </c>
      <c r="AB6" s="3">
        <v>22489000</v>
      </c>
      <c r="AC6" s="3">
        <v>47387000</v>
      </c>
      <c r="AD6" s="3">
        <v>0</v>
      </c>
      <c r="AE6" s="3">
        <v>0</v>
      </c>
      <c r="AF6" s="3">
        <v>69876000</v>
      </c>
      <c r="AG6" s="3">
        <v>21916106.780000001</v>
      </c>
      <c r="AH6" s="3">
        <v>33961125.049999997</v>
      </c>
      <c r="AI6" s="3">
        <v>0</v>
      </c>
      <c r="AJ6" s="3">
        <v>0</v>
      </c>
      <c r="AK6" s="3">
        <v>55877231.829999998</v>
      </c>
      <c r="AL6" s="3">
        <v>21302352.379999999</v>
      </c>
      <c r="AM6" s="3">
        <v>28179705.41</v>
      </c>
      <c r="AN6" s="3">
        <v>0</v>
      </c>
      <c r="AO6" s="3">
        <v>0</v>
      </c>
      <c r="AP6" s="3">
        <v>49482057.789999999</v>
      </c>
      <c r="AQ6" s="3">
        <v>26117000</v>
      </c>
      <c r="AR6" s="3">
        <v>42368000</v>
      </c>
      <c r="AS6" s="3">
        <v>0</v>
      </c>
      <c r="AT6" s="3">
        <v>0</v>
      </c>
      <c r="AU6" s="3">
        <v>68485000</v>
      </c>
      <c r="AV6" s="3">
        <v>26117000</v>
      </c>
      <c r="AW6" s="3">
        <v>42368000</v>
      </c>
      <c r="AX6" s="3">
        <v>0</v>
      </c>
      <c r="AY6" s="3">
        <v>0</v>
      </c>
      <c r="AZ6" s="3">
        <v>68485000</v>
      </c>
      <c r="BA6" s="3">
        <v>26117000</v>
      </c>
      <c r="BB6" s="3">
        <v>42368000</v>
      </c>
      <c r="BC6" s="3">
        <v>0</v>
      </c>
      <c r="BD6" s="3">
        <v>0</v>
      </c>
      <c r="BE6" s="3">
        <v>68485000</v>
      </c>
      <c r="BF6" s="3">
        <v>27117000</v>
      </c>
      <c r="BG6" s="3">
        <v>41368000</v>
      </c>
      <c r="BH6" s="3">
        <v>0</v>
      </c>
      <c r="BI6" s="3">
        <v>0</v>
      </c>
      <c r="BJ6" s="3">
        <v>68485000</v>
      </c>
      <c r="BK6" s="3">
        <v>27117000</v>
      </c>
      <c r="BL6" s="3">
        <v>41368000</v>
      </c>
      <c r="BM6" s="3">
        <v>0</v>
      </c>
      <c r="BN6" s="3">
        <v>0</v>
      </c>
      <c r="BO6" s="3">
        <v>68485000</v>
      </c>
      <c r="BP6" s="3">
        <v>27117000</v>
      </c>
      <c r="BQ6" s="3">
        <v>32606345.199999999</v>
      </c>
      <c r="BR6" s="3">
        <v>0</v>
      </c>
      <c r="BS6" s="3">
        <v>0</v>
      </c>
      <c r="BT6" s="3">
        <v>59723345.200000003</v>
      </c>
      <c r="BU6" s="3">
        <v>26830418.989999998</v>
      </c>
      <c r="BV6" s="3">
        <v>22901550.199999999</v>
      </c>
      <c r="BW6" s="3">
        <v>0</v>
      </c>
      <c r="BX6" s="3">
        <v>0</v>
      </c>
      <c r="BY6" s="3">
        <v>49731969.189999998</v>
      </c>
      <c r="BZ6" s="3">
        <v>28973000</v>
      </c>
      <c r="CA6" s="3">
        <v>42268000</v>
      </c>
      <c r="CB6" s="3">
        <v>0</v>
      </c>
      <c r="CC6" s="3">
        <v>0</v>
      </c>
      <c r="CD6" s="3">
        <v>71241000</v>
      </c>
      <c r="CE6" s="3">
        <v>28973000</v>
      </c>
      <c r="CF6" s="3">
        <v>42268000</v>
      </c>
      <c r="CG6" s="3">
        <v>0</v>
      </c>
      <c r="CH6" s="3">
        <v>0</v>
      </c>
      <c r="CI6" s="3">
        <v>71241000</v>
      </c>
      <c r="CJ6" s="3">
        <v>28973000</v>
      </c>
      <c r="CK6" s="3">
        <v>42268000</v>
      </c>
      <c r="CL6" s="3">
        <v>0</v>
      </c>
      <c r="CM6" s="3">
        <v>0</v>
      </c>
      <c r="CN6" s="3">
        <v>71241000</v>
      </c>
      <c r="CO6" s="3">
        <v>28973000</v>
      </c>
      <c r="CP6" s="3">
        <v>38182710</v>
      </c>
      <c r="CQ6" s="3">
        <v>0</v>
      </c>
      <c r="CR6" s="3">
        <v>0</v>
      </c>
      <c r="CS6" s="3">
        <v>67155710</v>
      </c>
      <c r="CT6" s="3">
        <v>28973000</v>
      </c>
      <c r="CU6" s="3">
        <v>38182710</v>
      </c>
      <c r="CV6" s="3">
        <v>0</v>
      </c>
      <c r="CW6" s="3">
        <v>0</v>
      </c>
      <c r="CX6" s="3">
        <v>67155710</v>
      </c>
      <c r="CY6" s="3">
        <v>28970152.399999999</v>
      </c>
      <c r="CZ6" s="3">
        <v>17284761.93</v>
      </c>
      <c r="DA6" s="3">
        <v>0</v>
      </c>
      <c r="DB6" s="3">
        <v>0</v>
      </c>
      <c r="DC6" s="3">
        <v>46254914.329999998</v>
      </c>
      <c r="DD6" s="3">
        <v>28881695.719999999</v>
      </c>
      <c r="DE6" s="3">
        <v>9371998.4800000004</v>
      </c>
      <c r="DF6" s="3">
        <v>0</v>
      </c>
      <c r="DG6" s="3">
        <v>0</v>
      </c>
      <c r="DH6" s="3">
        <v>38253694.200000003</v>
      </c>
      <c r="DI6" s="3">
        <v>31676000</v>
      </c>
      <c r="DJ6" s="3">
        <v>43029000</v>
      </c>
      <c r="DK6" s="3">
        <v>0</v>
      </c>
      <c r="DL6" s="3">
        <v>0</v>
      </c>
      <c r="DM6" s="3">
        <v>74705000</v>
      </c>
      <c r="DN6" s="3">
        <v>31676000</v>
      </c>
      <c r="DO6" s="3">
        <v>43029000</v>
      </c>
      <c r="DP6" s="3">
        <v>0</v>
      </c>
      <c r="DQ6" s="3">
        <v>0</v>
      </c>
      <c r="DR6" s="3">
        <v>74705000</v>
      </c>
      <c r="DS6" s="3">
        <v>31676000</v>
      </c>
      <c r="DT6" s="3">
        <v>43029000</v>
      </c>
      <c r="DU6" s="3">
        <v>0</v>
      </c>
      <c r="DV6" s="3">
        <v>0</v>
      </c>
      <c r="DW6" s="3">
        <v>74705000</v>
      </c>
      <c r="DX6" s="3">
        <v>31676000</v>
      </c>
      <c r="DY6" s="3">
        <v>41824000</v>
      </c>
      <c r="DZ6" s="3">
        <v>0</v>
      </c>
      <c r="EA6" s="3">
        <v>1205000</v>
      </c>
      <c r="EB6" s="3">
        <v>74705000</v>
      </c>
      <c r="EC6" s="3">
        <v>31676000</v>
      </c>
      <c r="ED6" s="3">
        <v>41824000</v>
      </c>
      <c r="EE6" s="3">
        <v>0</v>
      </c>
      <c r="EF6" s="3">
        <v>1205000</v>
      </c>
      <c r="EG6" s="3">
        <v>74705000</v>
      </c>
      <c r="EH6" s="3">
        <v>31675118.219999999</v>
      </c>
      <c r="EI6" s="3">
        <v>33853291</v>
      </c>
      <c r="EJ6" s="3">
        <v>0</v>
      </c>
      <c r="EK6" s="3">
        <v>613970</v>
      </c>
      <c r="EL6" s="3">
        <v>66142379.219999999</v>
      </c>
      <c r="EM6" s="3">
        <v>31431762.280000001</v>
      </c>
      <c r="EN6" s="3">
        <v>26035315.09</v>
      </c>
      <c r="EO6" s="3">
        <v>0</v>
      </c>
      <c r="EP6" s="3">
        <v>0</v>
      </c>
      <c r="EQ6" s="3">
        <v>57467077.369999997</v>
      </c>
      <c r="ER6" s="3">
        <v>31493000</v>
      </c>
      <c r="ES6" s="3">
        <v>43029000</v>
      </c>
      <c r="ET6" s="3">
        <v>0</v>
      </c>
      <c r="EU6" s="3">
        <v>0</v>
      </c>
      <c r="EV6" s="3">
        <v>74522000</v>
      </c>
      <c r="EW6" s="3">
        <v>31493000</v>
      </c>
      <c r="EX6" s="3">
        <v>43029000</v>
      </c>
      <c r="EY6" s="3">
        <v>0</v>
      </c>
      <c r="EZ6" s="3">
        <v>0</v>
      </c>
      <c r="FA6" s="3">
        <v>74522000</v>
      </c>
      <c r="FB6" s="3">
        <v>31493000</v>
      </c>
      <c r="FC6" s="3">
        <v>43029000</v>
      </c>
      <c r="FD6" s="3">
        <v>0</v>
      </c>
      <c r="FE6" s="3">
        <v>0</v>
      </c>
      <c r="FF6" s="3">
        <v>74522000</v>
      </c>
      <c r="FG6" s="3">
        <v>31493000</v>
      </c>
      <c r="FH6" s="3">
        <v>43029000</v>
      </c>
      <c r="FI6" s="3">
        <v>0</v>
      </c>
      <c r="FJ6" s="3">
        <v>0</v>
      </c>
      <c r="FK6" s="3">
        <v>74522000</v>
      </c>
      <c r="FL6" s="3">
        <v>31493000</v>
      </c>
      <c r="FM6" s="3">
        <v>43029000</v>
      </c>
      <c r="FN6" s="3">
        <v>0</v>
      </c>
      <c r="FO6" s="3">
        <v>0</v>
      </c>
      <c r="FP6" s="3">
        <v>74522000</v>
      </c>
      <c r="FQ6" s="3">
        <v>8116363.8399999999</v>
      </c>
      <c r="FR6" s="3">
        <v>11553996.300000001</v>
      </c>
      <c r="FS6" s="3">
        <v>0</v>
      </c>
      <c r="FT6" s="3">
        <v>0</v>
      </c>
      <c r="FU6" s="3">
        <v>19670360.140000001</v>
      </c>
      <c r="FV6" s="3">
        <v>30603082.489999998</v>
      </c>
      <c r="FW6" s="3">
        <v>32969798.32</v>
      </c>
      <c r="FX6" s="3">
        <v>0</v>
      </c>
      <c r="FY6" s="3">
        <v>0</v>
      </c>
      <c r="FZ6" s="3">
        <v>63572880.810000002</v>
      </c>
      <c r="GA6" s="3">
        <v>34570000</v>
      </c>
      <c r="GB6" s="3">
        <v>44591000</v>
      </c>
      <c r="GC6" s="3">
        <v>0</v>
      </c>
      <c r="GD6" s="3">
        <v>0</v>
      </c>
      <c r="GE6" s="3">
        <v>79161000</v>
      </c>
      <c r="GF6" s="3">
        <v>34570000</v>
      </c>
      <c r="GG6" s="3">
        <v>44591000</v>
      </c>
      <c r="GH6" s="3">
        <v>0</v>
      </c>
      <c r="GI6" s="3">
        <v>0</v>
      </c>
      <c r="GJ6" s="3">
        <v>79161000</v>
      </c>
      <c r="GK6" s="3">
        <v>34570000</v>
      </c>
      <c r="GL6" s="3">
        <v>44591000</v>
      </c>
      <c r="GM6" s="3">
        <v>0</v>
      </c>
      <c r="GN6" s="3">
        <v>0</v>
      </c>
      <c r="GO6" s="3">
        <v>79161000</v>
      </c>
      <c r="GP6" s="3">
        <v>34570000</v>
      </c>
      <c r="GQ6" s="3">
        <v>44591000</v>
      </c>
      <c r="GR6" s="3">
        <v>0</v>
      </c>
      <c r="GS6" s="3">
        <v>0</v>
      </c>
      <c r="GT6" s="3">
        <v>79161000</v>
      </c>
      <c r="GU6" s="3">
        <v>34570000</v>
      </c>
      <c r="GV6" s="3">
        <v>44591000</v>
      </c>
      <c r="GW6" s="3">
        <v>0</v>
      </c>
      <c r="GX6" s="3">
        <v>0</v>
      </c>
      <c r="GY6" s="3">
        <v>79161000</v>
      </c>
      <c r="GZ6" s="3">
        <v>34569596.609999999</v>
      </c>
      <c r="HA6" s="3">
        <v>41271005.390000001</v>
      </c>
      <c r="HB6" s="3">
        <v>0</v>
      </c>
      <c r="HC6" s="3">
        <v>0</v>
      </c>
      <c r="HD6" s="3">
        <v>75840602</v>
      </c>
      <c r="HE6" s="3">
        <v>31832442.52</v>
      </c>
      <c r="HF6" s="3">
        <v>30369711.27</v>
      </c>
      <c r="HG6" s="3">
        <v>0</v>
      </c>
      <c r="HH6" s="3">
        <v>0</v>
      </c>
      <c r="HI6" s="3">
        <v>62202153.789999999</v>
      </c>
      <c r="HJ6" s="3">
        <v>32775000</v>
      </c>
      <c r="HK6" s="3">
        <v>41308000</v>
      </c>
      <c r="HL6" s="3">
        <v>0</v>
      </c>
      <c r="HM6" s="3">
        <v>0</v>
      </c>
      <c r="HN6" s="3">
        <v>74083000</v>
      </c>
      <c r="HO6" s="3">
        <v>32775000</v>
      </c>
      <c r="HP6" s="3">
        <v>41308000</v>
      </c>
      <c r="HQ6" s="3">
        <v>0</v>
      </c>
      <c r="HR6" s="3">
        <v>0</v>
      </c>
      <c r="HS6" s="3">
        <v>74083000</v>
      </c>
      <c r="HT6" s="3">
        <v>32775000</v>
      </c>
      <c r="HU6" s="3">
        <v>41308000</v>
      </c>
      <c r="HV6" s="3">
        <v>0</v>
      </c>
      <c r="HW6" s="3">
        <v>0</v>
      </c>
      <c r="HX6" s="3">
        <v>74083000</v>
      </c>
      <c r="HY6" s="3">
        <v>33442649</v>
      </c>
      <c r="HZ6" s="3">
        <v>40640351</v>
      </c>
      <c r="IA6" s="3">
        <v>0</v>
      </c>
      <c r="IB6" s="3">
        <v>0</v>
      </c>
      <c r="IC6" s="3">
        <v>74083000</v>
      </c>
      <c r="ID6" s="3">
        <v>33442649</v>
      </c>
      <c r="IE6" s="3">
        <v>40640351</v>
      </c>
      <c r="IF6" s="3">
        <v>0</v>
      </c>
      <c r="IG6" s="3">
        <v>0</v>
      </c>
      <c r="IH6" s="3">
        <v>74083000</v>
      </c>
      <c r="II6" s="3">
        <v>33442649</v>
      </c>
      <c r="IJ6" s="3">
        <v>39865600.950000003</v>
      </c>
      <c r="IK6" s="3">
        <v>0</v>
      </c>
      <c r="IL6" s="3">
        <v>0</v>
      </c>
      <c r="IM6" s="3">
        <v>73308249.950000003</v>
      </c>
      <c r="IN6" s="3">
        <v>32341027.469999999</v>
      </c>
      <c r="IO6" s="3">
        <v>32013123.989999998</v>
      </c>
      <c r="IP6" s="3">
        <v>0</v>
      </c>
      <c r="IQ6" s="3">
        <v>0</v>
      </c>
      <c r="IR6" s="3">
        <v>64354151.460000001</v>
      </c>
      <c r="IS6" s="3">
        <v>30961000</v>
      </c>
      <c r="IT6" s="3">
        <v>42052000</v>
      </c>
      <c r="IU6" s="3">
        <v>0</v>
      </c>
      <c r="IV6" s="3">
        <v>0</v>
      </c>
      <c r="IW6" s="3">
        <v>73013000</v>
      </c>
      <c r="IX6" s="3">
        <v>30961000</v>
      </c>
      <c r="IY6" s="3">
        <v>42052000</v>
      </c>
      <c r="IZ6" s="3">
        <v>0</v>
      </c>
      <c r="JA6" s="3">
        <v>0</v>
      </c>
      <c r="JB6" s="3">
        <v>73013000</v>
      </c>
      <c r="JC6" s="3">
        <v>30961000</v>
      </c>
      <c r="JD6" s="3">
        <v>42052000</v>
      </c>
      <c r="JE6" s="3">
        <v>0</v>
      </c>
      <c r="JF6" s="3">
        <v>0</v>
      </c>
      <c r="JG6" s="3">
        <v>73013000</v>
      </c>
      <c r="JH6" s="3">
        <v>30961000</v>
      </c>
      <c r="JI6" s="3">
        <v>42052000</v>
      </c>
      <c r="JJ6" s="3">
        <v>0</v>
      </c>
      <c r="JK6" s="3">
        <v>0</v>
      </c>
      <c r="JL6" s="3">
        <v>73013000</v>
      </c>
      <c r="JM6" s="3">
        <v>30961000</v>
      </c>
      <c r="JN6" s="3">
        <v>42052000</v>
      </c>
      <c r="JO6" s="3">
        <v>0</v>
      </c>
      <c r="JP6" s="3">
        <v>0</v>
      </c>
      <c r="JQ6" s="3">
        <v>73013000</v>
      </c>
      <c r="JR6" s="3">
        <v>30961000</v>
      </c>
      <c r="JS6" s="3">
        <v>41102956.780000001</v>
      </c>
      <c r="JT6" s="3">
        <v>0</v>
      </c>
      <c r="JU6" s="3">
        <v>0</v>
      </c>
      <c r="JV6" s="3">
        <v>72063956.780000001</v>
      </c>
      <c r="JW6" s="3">
        <v>29374595.5</v>
      </c>
      <c r="JX6" s="3">
        <v>35392951.640000001</v>
      </c>
      <c r="JY6" s="3">
        <v>0</v>
      </c>
      <c r="JZ6" s="3">
        <v>0</v>
      </c>
      <c r="KA6" s="3">
        <v>64767547.140000001</v>
      </c>
      <c r="KB6" s="3">
        <v>28079000</v>
      </c>
      <c r="KC6" s="3">
        <v>49497000</v>
      </c>
      <c r="KD6" s="3">
        <v>0</v>
      </c>
      <c r="KE6" s="3">
        <v>0</v>
      </c>
      <c r="KF6" s="3">
        <v>77576000</v>
      </c>
      <c r="KG6" s="3">
        <v>28079000</v>
      </c>
      <c r="KH6" s="3">
        <v>124497000</v>
      </c>
      <c r="KI6" s="3">
        <v>0</v>
      </c>
      <c r="KJ6" s="3">
        <v>0</v>
      </c>
      <c r="KK6" s="3">
        <v>152576000</v>
      </c>
      <c r="KL6" s="3"/>
      <c r="KM6" s="3"/>
      <c r="KN6" s="3"/>
      <c r="KO6" s="3"/>
      <c r="KP6" s="3"/>
      <c r="KQ6" s="3"/>
      <c r="KR6" s="3"/>
      <c r="KS6" s="3"/>
      <c r="KT6" s="3"/>
      <c r="KU6" s="3"/>
      <c r="KV6" s="3"/>
      <c r="KW6" s="3"/>
      <c r="KX6" s="3"/>
      <c r="KY6" s="3"/>
      <c r="KZ6" s="3"/>
      <c r="LA6" s="3"/>
      <c r="LB6" s="3"/>
      <c r="LC6" s="3"/>
      <c r="LD6" s="3"/>
      <c r="LE6" s="3"/>
      <c r="LF6" s="3"/>
      <c r="LG6" s="3"/>
      <c r="LH6" s="3"/>
      <c r="LI6" s="3"/>
      <c r="LJ6" s="3"/>
      <c r="LK6" s="3">
        <v>31856000</v>
      </c>
      <c r="LL6" s="3">
        <v>50388000</v>
      </c>
      <c r="LM6" s="3">
        <v>0</v>
      </c>
      <c r="LN6" s="3">
        <v>0</v>
      </c>
      <c r="LO6" s="3">
        <v>82244000</v>
      </c>
      <c r="LP6" s="3"/>
      <c r="LQ6" s="3"/>
      <c r="LR6" s="3"/>
      <c r="LS6" s="3"/>
      <c r="LT6" s="3"/>
    </row>
    <row r="7" spans="1:332" x14ac:dyDescent="0.25">
      <c r="A7" t="s">
        <v>685</v>
      </c>
      <c r="B7" t="s">
        <v>686</v>
      </c>
      <c r="C7" t="s">
        <v>199</v>
      </c>
      <c r="D7" t="s">
        <v>200</v>
      </c>
      <c r="E7" t="s">
        <v>208</v>
      </c>
      <c r="F7" t="s">
        <v>506</v>
      </c>
      <c r="G7" t="s">
        <v>742</v>
      </c>
      <c r="H7" s="3">
        <v>29581000</v>
      </c>
      <c r="I7" s="3">
        <v>25926000</v>
      </c>
      <c r="J7" s="3">
        <v>0</v>
      </c>
      <c r="K7" s="3">
        <v>0</v>
      </c>
      <c r="L7" s="3">
        <v>55507000</v>
      </c>
      <c r="M7" s="3">
        <v>29581000</v>
      </c>
      <c r="N7" s="3">
        <v>25926000</v>
      </c>
      <c r="O7" s="3">
        <v>0</v>
      </c>
      <c r="P7" s="3">
        <v>0</v>
      </c>
      <c r="Q7" s="3">
        <v>55507000</v>
      </c>
      <c r="R7" s="3">
        <v>29581000</v>
      </c>
      <c r="S7" s="3">
        <v>25926000</v>
      </c>
      <c r="T7" s="3">
        <v>0</v>
      </c>
      <c r="U7" s="3">
        <v>0</v>
      </c>
      <c r="V7" s="3">
        <v>55507000</v>
      </c>
      <c r="W7" s="3">
        <v>29581000</v>
      </c>
      <c r="X7" s="3">
        <v>24326000</v>
      </c>
      <c r="Y7" s="3">
        <v>0</v>
      </c>
      <c r="Z7" s="3">
        <v>0</v>
      </c>
      <c r="AA7" s="3">
        <v>53907000</v>
      </c>
      <c r="AB7" s="3">
        <v>29581000</v>
      </c>
      <c r="AC7" s="3">
        <v>24326000</v>
      </c>
      <c r="AD7" s="3">
        <v>0</v>
      </c>
      <c r="AE7" s="3">
        <v>0</v>
      </c>
      <c r="AF7" s="3">
        <v>53907000</v>
      </c>
      <c r="AG7" s="3">
        <v>29581000</v>
      </c>
      <c r="AH7" s="3">
        <v>19714642.800000001</v>
      </c>
      <c r="AI7" s="3">
        <v>0</v>
      </c>
      <c r="AJ7" s="3">
        <v>0</v>
      </c>
      <c r="AK7" s="3">
        <v>49295642.799999997</v>
      </c>
      <c r="AL7" s="3">
        <v>29044594.199999999</v>
      </c>
      <c r="AM7" s="3">
        <v>16004343.720000001</v>
      </c>
      <c r="AN7" s="3">
        <v>0</v>
      </c>
      <c r="AO7" s="3">
        <v>0</v>
      </c>
      <c r="AP7" s="3">
        <v>45048937.920000002</v>
      </c>
      <c r="AQ7" s="3">
        <v>33992000</v>
      </c>
      <c r="AR7" s="3">
        <v>25293000</v>
      </c>
      <c r="AS7" s="3">
        <v>0</v>
      </c>
      <c r="AT7" s="3">
        <v>0</v>
      </c>
      <c r="AU7" s="3">
        <v>59285000</v>
      </c>
      <c r="AV7" s="3">
        <v>33992000</v>
      </c>
      <c r="AW7" s="3">
        <v>25293000</v>
      </c>
      <c r="AX7" s="3">
        <v>0</v>
      </c>
      <c r="AY7" s="3">
        <v>0</v>
      </c>
      <c r="AZ7" s="3">
        <v>59285000</v>
      </c>
      <c r="BA7" s="3">
        <v>33992000</v>
      </c>
      <c r="BB7" s="3">
        <v>25293000</v>
      </c>
      <c r="BC7" s="3">
        <v>0</v>
      </c>
      <c r="BD7" s="3">
        <v>0</v>
      </c>
      <c r="BE7" s="3">
        <v>59285000</v>
      </c>
      <c r="BF7" s="3">
        <v>33992000</v>
      </c>
      <c r="BG7" s="3">
        <v>25293000</v>
      </c>
      <c r="BH7" s="3">
        <v>0</v>
      </c>
      <c r="BI7" s="3">
        <v>0</v>
      </c>
      <c r="BJ7" s="3">
        <v>59285000</v>
      </c>
      <c r="BK7" s="3">
        <v>33992000</v>
      </c>
      <c r="BL7" s="3">
        <v>25293000</v>
      </c>
      <c r="BM7" s="3">
        <v>0</v>
      </c>
      <c r="BN7" s="3">
        <v>0</v>
      </c>
      <c r="BO7" s="3">
        <v>59285000</v>
      </c>
      <c r="BP7" s="3">
        <v>33965682.140000001</v>
      </c>
      <c r="BQ7" s="3">
        <v>20055083.460000001</v>
      </c>
      <c r="BR7" s="3">
        <v>0</v>
      </c>
      <c r="BS7" s="3">
        <v>0</v>
      </c>
      <c r="BT7" s="3">
        <v>54020765.600000001</v>
      </c>
      <c r="BU7" s="3">
        <v>33749531.649999999</v>
      </c>
      <c r="BV7" s="3">
        <v>16670789.08</v>
      </c>
      <c r="BW7" s="3">
        <v>0</v>
      </c>
      <c r="BX7" s="3">
        <v>0</v>
      </c>
      <c r="BY7" s="3">
        <v>50420320.729999997</v>
      </c>
      <c r="BZ7" s="3">
        <v>35169000</v>
      </c>
      <c r="CA7" s="3">
        <v>30281000</v>
      </c>
      <c r="CB7" s="3">
        <v>0</v>
      </c>
      <c r="CC7" s="3">
        <v>0</v>
      </c>
      <c r="CD7" s="3">
        <v>65450000</v>
      </c>
      <c r="CE7" s="3">
        <v>35169000</v>
      </c>
      <c r="CF7" s="3">
        <v>30281000</v>
      </c>
      <c r="CG7" s="3">
        <v>0</v>
      </c>
      <c r="CH7" s="3">
        <v>0</v>
      </c>
      <c r="CI7" s="3">
        <v>65450000</v>
      </c>
      <c r="CJ7" s="3">
        <v>35169000</v>
      </c>
      <c r="CK7" s="3">
        <v>30281000</v>
      </c>
      <c r="CL7" s="3">
        <v>0</v>
      </c>
      <c r="CM7" s="3">
        <v>0</v>
      </c>
      <c r="CN7" s="3">
        <v>65450000</v>
      </c>
      <c r="CO7" s="3">
        <v>35169000</v>
      </c>
      <c r="CP7" s="3">
        <v>16801916</v>
      </c>
      <c r="CQ7" s="3">
        <v>0</v>
      </c>
      <c r="CR7" s="3">
        <v>0</v>
      </c>
      <c r="CS7" s="3">
        <v>51970916</v>
      </c>
      <c r="CT7" s="3">
        <v>35169000</v>
      </c>
      <c r="CU7" s="3">
        <v>16801916</v>
      </c>
      <c r="CV7" s="3">
        <v>0</v>
      </c>
      <c r="CW7" s="3">
        <v>0</v>
      </c>
      <c r="CX7" s="3">
        <v>51970916</v>
      </c>
      <c r="CY7" s="3">
        <v>35162927.689999998</v>
      </c>
      <c r="CZ7" s="3">
        <v>9014733.7400000002</v>
      </c>
      <c r="DA7" s="3">
        <v>0</v>
      </c>
      <c r="DB7" s="3">
        <v>0</v>
      </c>
      <c r="DC7" s="3">
        <v>44177661.43</v>
      </c>
      <c r="DD7" s="3">
        <v>35155127.799999997</v>
      </c>
      <c r="DE7" s="3">
        <v>6804103.9699999997</v>
      </c>
      <c r="DF7" s="3">
        <v>0</v>
      </c>
      <c r="DG7" s="3">
        <v>0</v>
      </c>
      <c r="DH7" s="3">
        <v>41959231.770000003</v>
      </c>
      <c r="DI7" s="3">
        <v>42201000</v>
      </c>
      <c r="DJ7" s="3">
        <v>23272000</v>
      </c>
      <c r="DK7" s="3">
        <v>0</v>
      </c>
      <c r="DL7" s="3">
        <v>0</v>
      </c>
      <c r="DM7" s="3">
        <v>65473000</v>
      </c>
      <c r="DN7" s="3">
        <v>42201000</v>
      </c>
      <c r="DO7" s="3">
        <v>23272000</v>
      </c>
      <c r="DP7" s="3">
        <v>0</v>
      </c>
      <c r="DQ7" s="3">
        <v>0</v>
      </c>
      <c r="DR7" s="3">
        <v>65473000</v>
      </c>
      <c r="DS7" s="3">
        <v>42201000</v>
      </c>
      <c r="DT7" s="3">
        <v>23272000</v>
      </c>
      <c r="DU7" s="3">
        <v>0</v>
      </c>
      <c r="DV7" s="3">
        <v>0</v>
      </c>
      <c r="DW7" s="3">
        <v>65473000</v>
      </c>
      <c r="DX7" s="3">
        <v>42201000</v>
      </c>
      <c r="DY7" s="3">
        <v>23272000</v>
      </c>
      <c r="DZ7" s="3">
        <v>0</v>
      </c>
      <c r="EA7" s="3">
        <v>0</v>
      </c>
      <c r="EB7" s="3">
        <v>65473000</v>
      </c>
      <c r="EC7" s="3">
        <v>42201000</v>
      </c>
      <c r="ED7" s="3">
        <v>23272000</v>
      </c>
      <c r="EE7" s="3">
        <v>0</v>
      </c>
      <c r="EF7" s="3">
        <v>0</v>
      </c>
      <c r="EG7" s="3">
        <v>65473000</v>
      </c>
      <c r="EH7" s="3">
        <v>42200617.869999997</v>
      </c>
      <c r="EI7" s="3">
        <v>12894559.859999999</v>
      </c>
      <c r="EJ7" s="3">
        <v>0</v>
      </c>
      <c r="EK7" s="3">
        <v>0</v>
      </c>
      <c r="EL7" s="3">
        <v>55095177.729999997</v>
      </c>
      <c r="EM7" s="3">
        <v>41424220.270000003</v>
      </c>
      <c r="EN7" s="3">
        <v>8148729.9800000004</v>
      </c>
      <c r="EO7" s="3">
        <v>0</v>
      </c>
      <c r="EP7" s="3">
        <v>0</v>
      </c>
      <c r="EQ7" s="3">
        <v>49572950.25</v>
      </c>
      <c r="ER7" s="3">
        <v>44856000</v>
      </c>
      <c r="ES7" s="3">
        <v>23272000</v>
      </c>
      <c r="ET7" s="3">
        <v>0</v>
      </c>
      <c r="EU7" s="3">
        <v>0</v>
      </c>
      <c r="EV7" s="3">
        <v>68128000</v>
      </c>
      <c r="EW7" s="3">
        <v>44856000</v>
      </c>
      <c r="EX7" s="3">
        <v>23272000</v>
      </c>
      <c r="EY7" s="3">
        <v>0</v>
      </c>
      <c r="EZ7" s="3">
        <v>0</v>
      </c>
      <c r="FA7" s="3">
        <v>68128000</v>
      </c>
      <c r="FB7" s="3">
        <v>44856000</v>
      </c>
      <c r="FC7" s="3">
        <v>23272000</v>
      </c>
      <c r="FD7" s="3">
        <v>0</v>
      </c>
      <c r="FE7" s="3">
        <v>0</v>
      </c>
      <c r="FF7" s="3">
        <v>68128000</v>
      </c>
      <c r="FG7" s="3">
        <v>44856000</v>
      </c>
      <c r="FH7" s="3">
        <v>23272000</v>
      </c>
      <c r="FI7" s="3">
        <v>0</v>
      </c>
      <c r="FJ7" s="3">
        <v>0</v>
      </c>
      <c r="FK7" s="3">
        <v>68128000</v>
      </c>
      <c r="FL7" s="3">
        <v>44856000</v>
      </c>
      <c r="FM7" s="3">
        <v>23272000</v>
      </c>
      <c r="FN7" s="3">
        <v>0</v>
      </c>
      <c r="FO7" s="3">
        <v>0</v>
      </c>
      <c r="FP7" s="3">
        <v>68128000</v>
      </c>
      <c r="FQ7" s="3">
        <v>44855264.560000002</v>
      </c>
      <c r="FR7" s="3">
        <v>18430898.789999999</v>
      </c>
      <c r="FS7" s="3">
        <v>0</v>
      </c>
      <c r="FT7" s="3">
        <v>0</v>
      </c>
      <c r="FU7" s="3">
        <v>63286163.350000001</v>
      </c>
      <c r="FV7" s="3">
        <v>43755244.740000002</v>
      </c>
      <c r="FW7" s="3">
        <v>16057402.039999999</v>
      </c>
      <c r="FX7" s="3">
        <v>0</v>
      </c>
      <c r="FY7" s="3">
        <v>0</v>
      </c>
      <c r="FZ7" s="3">
        <v>59812646.780000001</v>
      </c>
      <c r="GA7" s="3">
        <v>47976000</v>
      </c>
      <c r="GB7" s="3">
        <v>24116000</v>
      </c>
      <c r="GC7" s="3">
        <v>0</v>
      </c>
      <c r="GD7" s="3">
        <v>0</v>
      </c>
      <c r="GE7" s="3">
        <v>72092000</v>
      </c>
      <c r="GF7" s="3">
        <v>47976000</v>
      </c>
      <c r="GG7" s="3">
        <v>24116000</v>
      </c>
      <c r="GH7" s="3">
        <v>0</v>
      </c>
      <c r="GI7" s="3">
        <v>0</v>
      </c>
      <c r="GJ7" s="3">
        <v>72092000</v>
      </c>
      <c r="GK7" s="3">
        <v>47976000</v>
      </c>
      <c r="GL7" s="3">
        <v>24116000</v>
      </c>
      <c r="GM7" s="3">
        <v>0</v>
      </c>
      <c r="GN7" s="3">
        <v>0</v>
      </c>
      <c r="GO7" s="3">
        <v>72092000</v>
      </c>
      <c r="GP7" s="3">
        <v>47976000</v>
      </c>
      <c r="GQ7" s="3">
        <v>24116000</v>
      </c>
      <c r="GR7" s="3">
        <v>0</v>
      </c>
      <c r="GS7" s="3">
        <v>0</v>
      </c>
      <c r="GT7" s="3">
        <v>72092000</v>
      </c>
      <c r="GU7" s="3">
        <v>47976000</v>
      </c>
      <c r="GV7" s="3">
        <v>24116000</v>
      </c>
      <c r="GW7" s="3">
        <v>0</v>
      </c>
      <c r="GX7" s="3">
        <v>0</v>
      </c>
      <c r="GY7" s="3">
        <v>72092000</v>
      </c>
      <c r="GZ7" s="3">
        <v>47964114.780000001</v>
      </c>
      <c r="HA7" s="3">
        <v>20545853.289999999</v>
      </c>
      <c r="HB7" s="3">
        <v>0</v>
      </c>
      <c r="HC7" s="3">
        <v>0</v>
      </c>
      <c r="HD7" s="3">
        <v>68509968.069999993</v>
      </c>
      <c r="HE7" s="3">
        <v>47422231.609999999</v>
      </c>
      <c r="HF7" s="3">
        <v>15551487.189999999</v>
      </c>
      <c r="HG7" s="3">
        <v>0</v>
      </c>
      <c r="HH7" s="3">
        <v>0</v>
      </c>
      <c r="HI7" s="3">
        <v>62973718.799999997</v>
      </c>
      <c r="HJ7" s="3">
        <v>49098000</v>
      </c>
      <c r="HK7" s="3">
        <v>22341000</v>
      </c>
      <c r="HL7" s="3">
        <v>0</v>
      </c>
      <c r="HM7" s="3">
        <v>0</v>
      </c>
      <c r="HN7" s="3">
        <v>71439000</v>
      </c>
      <c r="HO7" s="3">
        <v>49098000</v>
      </c>
      <c r="HP7" s="3">
        <v>22341000</v>
      </c>
      <c r="HQ7" s="3">
        <v>0</v>
      </c>
      <c r="HR7" s="3">
        <v>0</v>
      </c>
      <c r="HS7" s="3">
        <v>71439000</v>
      </c>
      <c r="HT7" s="3">
        <v>49098000</v>
      </c>
      <c r="HU7" s="3">
        <v>22341000</v>
      </c>
      <c r="HV7" s="3">
        <v>0</v>
      </c>
      <c r="HW7" s="3">
        <v>0</v>
      </c>
      <c r="HX7" s="3">
        <v>71439000</v>
      </c>
      <c r="HY7" s="3">
        <v>49098000</v>
      </c>
      <c r="HZ7" s="3">
        <v>22341000</v>
      </c>
      <c r="IA7" s="3">
        <v>0</v>
      </c>
      <c r="IB7" s="3">
        <v>0</v>
      </c>
      <c r="IC7" s="3">
        <v>71439000</v>
      </c>
      <c r="ID7" s="3">
        <v>49098000</v>
      </c>
      <c r="IE7" s="3">
        <v>22341000</v>
      </c>
      <c r="IF7" s="3">
        <v>0</v>
      </c>
      <c r="IG7" s="3">
        <v>0</v>
      </c>
      <c r="IH7" s="3">
        <v>71439000</v>
      </c>
      <c r="II7" s="3">
        <v>49098000</v>
      </c>
      <c r="IJ7" s="3">
        <v>19775291.75</v>
      </c>
      <c r="IK7" s="3">
        <v>0</v>
      </c>
      <c r="IL7" s="3">
        <v>0</v>
      </c>
      <c r="IM7" s="3">
        <v>68873291.75</v>
      </c>
      <c r="IN7" s="3">
        <v>48199345.25</v>
      </c>
      <c r="IO7" s="3">
        <v>16910343.09</v>
      </c>
      <c r="IP7" s="3">
        <v>0</v>
      </c>
      <c r="IQ7" s="3">
        <v>0</v>
      </c>
      <c r="IR7" s="3">
        <v>65109688.340000004</v>
      </c>
      <c r="IS7" s="3">
        <v>45374000</v>
      </c>
      <c r="IT7" s="3">
        <v>26160000</v>
      </c>
      <c r="IU7" s="3">
        <v>0</v>
      </c>
      <c r="IV7" s="3">
        <v>0</v>
      </c>
      <c r="IW7" s="3">
        <v>71534000</v>
      </c>
      <c r="IX7" s="3">
        <v>45374000</v>
      </c>
      <c r="IY7" s="3">
        <v>26160000</v>
      </c>
      <c r="IZ7" s="3">
        <v>0</v>
      </c>
      <c r="JA7" s="3">
        <v>0</v>
      </c>
      <c r="JB7" s="3">
        <v>71534000</v>
      </c>
      <c r="JC7" s="3">
        <v>45374000</v>
      </c>
      <c r="JD7" s="3">
        <v>26160000</v>
      </c>
      <c r="JE7" s="3">
        <v>0</v>
      </c>
      <c r="JF7" s="3">
        <v>0</v>
      </c>
      <c r="JG7" s="3">
        <v>71534000</v>
      </c>
      <c r="JH7" s="3">
        <v>45374000</v>
      </c>
      <c r="JI7" s="3">
        <v>26160000</v>
      </c>
      <c r="JJ7" s="3">
        <v>0</v>
      </c>
      <c r="JK7" s="3">
        <v>0</v>
      </c>
      <c r="JL7" s="3">
        <v>71534000</v>
      </c>
      <c r="JM7" s="3">
        <v>45374000</v>
      </c>
      <c r="JN7" s="3">
        <v>26160000</v>
      </c>
      <c r="JO7" s="3">
        <v>0</v>
      </c>
      <c r="JP7" s="3">
        <v>0</v>
      </c>
      <c r="JQ7" s="3">
        <v>71534000</v>
      </c>
      <c r="JR7" s="3">
        <v>45374000</v>
      </c>
      <c r="JS7" s="3">
        <v>21108893.120000001</v>
      </c>
      <c r="JT7" s="3">
        <v>0</v>
      </c>
      <c r="JU7" s="3">
        <v>0</v>
      </c>
      <c r="JV7" s="3">
        <v>66482893.119999997</v>
      </c>
      <c r="JW7" s="3">
        <v>45295525.700000003</v>
      </c>
      <c r="JX7" s="3">
        <v>16883141.829999998</v>
      </c>
      <c r="JY7" s="3">
        <v>0</v>
      </c>
      <c r="JZ7" s="3">
        <v>0</v>
      </c>
      <c r="KA7" s="3">
        <v>62178667.530000001</v>
      </c>
      <c r="KB7" s="3">
        <v>57528000</v>
      </c>
      <c r="KC7" s="3">
        <v>30152000</v>
      </c>
      <c r="KD7" s="3">
        <v>0</v>
      </c>
      <c r="KE7" s="3">
        <v>0</v>
      </c>
      <c r="KF7" s="3">
        <v>87680000</v>
      </c>
      <c r="KG7" s="3">
        <v>57528000</v>
      </c>
      <c r="KH7" s="3">
        <v>30152000</v>
      </c>
      <c r="KI7" s="3">
        <v>0</v>
      </c>
      <c r="KJ7" s="3">
        <v>0</v>
      </c>
      <c r="KK7" s="3">
        <v>87680000</v>
      </c>
      <c r="KL7" s="3"/>
      <c r="KM7" s="3"/>
      <c r="KN7" s="3"/>
      <c r="KO7" s="3"/>
      <c r="KP7" s="3"/>
      <c r="KQ7" s="3"/>
      <c r="KR7" s="3"/>
      <c r="KS7" s="3"/>
      <c r="KT7" s="3"/>
      <c r="KU7" s="3"/>
      <c r="KV7" s="3"/>
      <c r="KW7" s="3"/>
      <c r="KX7" s="3"/>
      <c r="KY7" s="3"/>
      <c r="KZ7" s="3"/>
      <c r="LA7" s="3"/>
      <c r="LB7" s="3"/>
      <c r="LC7" s="3"/>
      <c r="LD7" s="3"/>
      <c r="LE7" s="3"/>
      <c r="LF7" s="3"/>
      <c r="LG7" s="3"/>
      <c r="LH7" s="3"/>
      <c r="LI7" s="3"/>
      <c r="LJ7" s="3"/>
      <c r="LK7" s="3">
        <v>60263000</v>
      </c>
      <c r="LL7" s="3">
        <v>44584000</v>
      </c>
      <c r="LM7" s="3">
        <v>0</v>
      </c>
      <c r="LN7" s="3">
        <v>0</v>
      </c>
      <c r="LO7" s="3">
        <v>104847000</v>
      </c>
      <c r="LP7" s="3"/>
      <c r="LQ7" s="3"/>
      <c r="LR7" s="3"/>
      <c r="LS7" s="3"/>
      <c r="LT7" s="3"/>
    </row>
    <row r="8" spans="1:332" x14ac:dyDescent="0.25">
      <c r="A8" t="s">
        <v>685</v>
      </c>
      <c r="B8" t="s">
        <v>686</v>
      </c>
      <c r="C8" t="s">
        <v>199</v>
      </c>
      <c r="D8" t="s">
        <v>200</v>
      </c>
      <c r="E8" t="s">
        <v>208</v>
      </c>
      <c r="F8" t="s">
        <v>507</v>
      </c>
      <c r="G8" t="s">
        <v>743</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v>0</v>
      </c>
      <c r="CA8" s="3">
        <v>0</v>
      </c>
      <c r="CB8" s="3">
        <v>0</v>
      </c>
      <c r="CC8" s="3">
        <v>0</v>
      </c>
      <c r="CD8" s="3">
        <v>0</v>
      </c>
      <c r="CE8" s="3">
        <v>0</v>
      </c>
      <c r="CF8" s="3">
        <v>69160000</v>
      </c>
      <c r="CG8" s="3">
        <v>0</v>
      </c>
      <c r="CH8" s="3">
        <v>15840000</v>
      </c>
      <c r="CI8" s="3">
        <v>85000000</v>
      </c>
      <c r="CJ8" s="3">
        <v>0</v>
      </c>
      <c r="CK8" s="3">
        <v>69160000</v>
      </c>
      <c r="CL8" s="3">
        <v>0</v>
      </c>
      <c r="CM8" s="3">
        <v>15840000</v>
      </c>
      <c r="CN8" s="3">
        <v>85000000</v>
      </c>
      <c r="CO8" s="3">
        <v>0</v>
      </c>
      <c r="CP8" s="3">
        <v>0</v>
      </c>
      <c r="CQ8" s="3">
        <v>0</v>
      </c>
      <c r="CR8" s="3">
        <v>15840000</v>
      </c>
      <c r="CS8" s="3">
        <v>15840000</v>
      </c>
      <c r="CT8" s="3">
        <v>0</v>
      </c>
      <c r="CU8" s="3">
        <v>0</v>
      </c>
      <c r="CV8" s="3">
        <v>0</v>
      </c>
      <c r="CW8" s="3">
        <v>0</v>
      </c>
      <c r="CX8" s="3">
        <v>0</v>
      </c>
      <c r="CY8" s="3">
        <v>0</v>
      </c>
      <c r="CZ8" s="3">
        <v>0</v>
      </c>
      <c r="DA8" s="3">
        <v>0</v>
      </c>
      <c r="DB8" s="3">
        <v>0</v>
      </c>
      <c r="DC8" s="3">
        <v>0</v>
      </c>
      <c r="DD8" s="3">
        <v>0</v>
      </c>
      <c r="DE8" s="3">
        <v>0</v>
      </c>
      <c r="DF8" s="3">
        <v>0</v>
      </c>
      <c r="DG8" s="3">
        <v>0</v>
      </c>
      <c r="DH8" s="3">
        <v>0</v>
      </c>
      <c r="DI8" s="3">
        <v>0</v>
      </c>
      <c r="DJ8" s="3">
        <v>69160000</v>
      </c>
      <c r="DK8" s="3">
        <v>0</v>
      </c>
      <c r="DL8" s="3">
        <v>0</v>
      </c>
      <c r="DM8" s="3">
        <v>69160000</v>
      </c>
      <c r="DN8" s="3">
        <v>0</v>
      </c>
      <c r="DO8" s="3">
        <v>69160000</v>
      </c>
      <c r="DP8" s="3">
        <v>0</v>
      </c>
      <c r="DQ8" s="3">
        <v>0</v>
      </c>
      <c r="DR8" s="3">
        <v>69160000</v>
      </c>
      <c r="DS8" s="3">
        <v>0</v>
      </c>
      <c r="DT8" s="3">
        <v>69160000</v>
      </c>
      <c r="DU8" s="3">
        <v>0</v>
      </c>
      <c r="DV8" s="3">
        <v>0</v>
      </c>
      <c r="DW8" s="3">
        <v>69160000</v>
      </c>
      <c r="DX8" s="3">
        <v>0</v>
      </c>
      <c r="DY8" s="3">
        <v>69160000</v>
      </c>
      <c r="DZ8" s="3">
        <v>0</v>
      </c>
      <c r="EA8" s="3">
        <v>0</v>
      </c>
      <c r="EB8" s="3">
        <v>69160000</v>
      </c>
      <c r="EC8" s="3">
        <v>0</v>
      </c>
      <c r="ED8" s="3">
        <v>69160000</v>
      </c>
      <c r="EE8" s="3">
        <v>0</v>
      </c>
      <c r="EF8" s="3">
        <v>0</v>
      </c>
      <c r="EG8" s="3">
        <v>69160000</v>
      </c>
      <c r="EH8" s="3">
        <v>0</v>
      </c>
      <c r="EI8" s="3">
        <v>49324712.880000003</v>
      </c>
      <c r="EJ8" s="3">
        <v>0</v>
      </c>
      <c r="EK8" s="3">
        <v>0</v>
      </c>
      <c r="EL8" s="3">
        <v>49324712.880000003</v>
      </c>
      <c r="EM8" s="3">
        <v>0</v>
      </c>
      <c r="EN8" s="3">
        <v>29962179.91</v>
      </c>
      <c r="EO8" s="3">
        <v>0</v>
      </c>
      <c r="EP8" s="3">
        <v>0</v>
      </c>
      <c r="EQ8" s="3">
        <v>29962179.91</v>
      </c>
      <c r="ER8" s="3">
        <v>0</v>
      </c>
      <c r="ES8" s="3">
        <v>69160000</v>
      </c>
      <c r="ET8" s="3">
        <v>0</v>
      </c>
      <c r="EU8" s="3">
        <v>0</v>
      </c>
      <c r="EV8" s="3">
        <v>69160000</v>
      </c>
      <c r="EW8" s="3">
        <v>0</v>
      </c>
      <c r="EX8" s="3">
        <v>69160000</v>
      </c>
      <c r="EY8" s="3">
        <v>0</v>
      </c>
      <c r="EZ8" s="3">
        <v>0</v>
      </c>
      <c r="FA8" s="3">
        <v>69160000</v>
      </c>
      <c r="FB8" s="3">
        <v>0</v>
      </c>
      <c r="FC8" s="3">
        <v>69160000</v>
      </c>
      <c r="FD8" s="3">
        <v>0</v>
      </c>
      <c r="FE8" s="3">
        <v>0</v>
      </c>
      <c r="FF8" s="3">
        <v>69160000</v>
      </c>
      <c r="FG8" s="3">
        <v>0</v>
      </c>
      <c r="FH8" s="3">
        <v>69160000</v>
      </c>
      <c r="FI8" s="3">
        <v>0</v>
      </c>
      <c r="FJ8" s="3">
        <v>0</v>
      </c>
      <c r="FK8" s="3">
        <v>69160000</v>
      </c>
      <c r="FL8" s="3">
        <v>0</v>
      </c>
      <c r="FM8" s="3">
        <v>69160000</v>
      </c>
      <c r="FN8" s="3">
        <v>0</v>
      </c>
      <c r="FO8" s="3">
        <v>0</v>
      </c>
      <c r="FP8" s="3">
        <v>69160000</v>
      </c>
      <c r="FQ8" s="3">
        <v>0</v>
      </c>
      <c r="FR8" s="3">
        <v>62267334.880000003</v>
      </c>
      <c r="FS8" s="3">
        <v>0</v>
      </c>
      <c r="FT8" s="3">
        <v>0</v>
      </c>
      <c r="FU8" s="3">
        <v>62267334.880000003</v>
      </c>
      <c r="FV8" s="3">
        <v>0</v>
      </c>
      <c r="FW8" s="3">
        <v>52676654.310000002</v>
      </c>
      <c r="FX8" s="3">
        <v>0</v>
      </c>
      <c r="FY8" s="3">
        <v>0</v>
      </c>
      <c r="FZ8" s="3">
        <v>52676654.310000002</v>
      </c>
      <c r="GA8" s="3">
        <v>0</v>
      </c>
      <c r="GB8" s="3">
        <v>70405000</v>
      </c>
      <c r="GC8" s="3">
        <v>0</v>
      </c>
      <c r="GD8" s="3">
        <v>0</v>
      </c>
      <c r="GE8" s="3">
        <v>70405000</v>
      </c>
      <c r="GF8" s="3">
        <v>0</v>
      </c>
      <c r="GG8" s="3">
        <v>70405000</v>
      </c>
      <c r="GH8" s="3">
        <v>0</v>
      </c>
      <c r="GI8" s="3">
        <v>0</v>
      </c>
      <c r="GJ8" s="3">
        <v>70405000</v>
      </c>
      <c r="GK8" s="3">
        <v>0</v>
      </c>
      <c r="GL8" s="3">
        <v>70405000</v>
      </c>
      <c r="GM8" s="3">
        <v>0</v>
      </c>
      <c r="GN8" s="3">
        <v>0</v>
      </c>
      <c r="GO8" s="3">
        <v>70405000</v>
      </c>
      <c r="GP8" s="3">
        <v>0</v>
      </c>
      <c r="GQ8" s="3">
        <v>67431000</v>
      </c>
      <c r="GR8" s="3">
        <v>0</v>
      </c>
      <c r="GS8" s="3">
        <v>0</v>
      </c>
      <c r="GT8" s="3">
        <v>67431000</v>
      </c>
      <c r="GU8" s="3">
        <v>0</v>
      </c>
      <c r="GV8" s="3">
        <v>67431000</v>
      </c>
      <c r="GW8" s="3">
        <v>0</v>
      </c>
      <c r="GX8" s="3">
        <v>0</v>
      </c>
      <c r="GY8" s="3">
        <v>67431000</v>
      </c>
      <c r="GZ8" s="3">
        <v>0</v>
      </c>
      <c r="HA8" s="3">
        <v>65168654.07</v>
      </c>
      <c r="HB8" s="3">
        <v>0</v>
      </c>
      <c r="HC8" s="3">
        <v>0</v>
      </c>
      <c r="HD8" s="3">
        <v>65168654.07</v>
      </c>
      <c r="HE8" s="3">
        <v>0</v>
      </c>
      <c r="HF8" s="3">
        <v>57690568.57</v>
      </c>
      <c r="HG8" s="3">
        <v>0</v>
      </c>
      <c r="HH8" s="3">
        <v>0</v>
      </c>
      <c r="HI8" s="3">
        <v>57690568.57</v>
      </c>
      <c r="HJ8" s="3">
        <v>0</v>
      </c>
      <c r="HK8" s="3">
        <v>65222000</v>
      </c>
      <c r="HL8" s="3">
        <v>0</v>
      </c>
      <c r="HM8" s="3">
        <v>0</v>
      </c>
      <c r="HN8" s="3">
        <v>65222000</v>
      </c>
      <c r="HO8" s="3">
        <v>0</v>
      </c>
      <c r="HP8" s="3">
        <v>65222000</v>
      </c>
      <c r="HQ8" s="3">
        <v>0</v>
      </c>
      <c r="HR8" s="3">
        <v>0</v>
      </c>
      <c r="HS8" s="3">
        <v>65222000</v>
      </c>
      <c r="HT8" s="3">
        <v>0</v>
      </c>
      <c r="HU8" s="3">
        <v>65222000</v>
      </c>
      <c r="HV8" s="3">
        <v>0</v>
      </c>
      <c r="HW8" s="3">
        <v>0</v>
      </c>
      <c r="HX8" s="3">
        <v>65222000</v>
      </c>
      <c r="HY8" s="3">
        <v>0</v>
      </c>
      <c r="HZ8" s="3">
        <v>65222000</v>
      </c>
      <c r="IA8" s="3">
        <v>0</v>
      </c>
      <c r="IB8" s="3">
        <v>0</v>
      </c>
      <c r="IC8" s="3">
        <v>65222000</v>
      </c>
      <c r="ID8" s="3">
        <v>0</v>
      </c>
      <c r="IE8" s="3">
        <v>65222000</v>
      </c>
      <c r="IF8" s="3">
        <v>0</v>
      </c>
      <c r="IG8" s="3">
        <v>0</v>
      </c>
      <c r="IH8" s="3">
        <v>65222000</v>
      </c>
      <c r="II8" s="3">
        <v>0</v>
      </c>
      <c r="IJ8" s="3">
        <v>63863519.859999999</v>
      </c>
      <c r="IK8" s="3">
        <v>0</v>
      </c>
      <c r="IL8" s="3">
        <v>0</v>
      </c>
      <c r="IM8" s="3">
        <v>63863519.859999999</v>
      </c>
      <c r="IN8" s="3">
        <v>0</v>
      </c>
      <c r="IO8" s="3">
        <v>60410244.960000001</v>
      </c>
      <c r="IP8" s="3">
        <v>0</v>
      </c>
      <c r="IQ8" s="3">
        <v>0</v>
      </c>
      <c r="IR8" s="3">
        <v>60410244.960000001</v>
      </c>
      <c r="IS8" s="3">
        <v>0</v>
      </c>
      <c r="IT8" s="3">
        <v>66396000</v>
      </c>
      <c r="IU8" s="3">
        <v>0</v>
      </c>
      <c r="IV8" s="3">
        <v>0</v>
      </c>
      <c r="IW8" s="3">
        <v>66396000</v>
      </c>
      <c r="IX8" s="3">
        <v>0</v>
      </c>
      <c r="IY8" s="3">
        <v>66396000</v>
      </c>
      <c r="IZ8" s="3">
        <v>0</v>
      </c>
      <c r="JA8" s="3">
        <v>0</v>
      </c>
      <c r="JB8" s="3">
        <v>66396000</v>
      </c>
      <c r="JC8" s="3">
        <v>0</v>
      </c>
      <c r="JD8" s="3">
        <v>66396000</v>
      </c>
      <c r="JE8" s="3">
        <v>0</v>
      </c>
      <c r="JF8" s="3">
        <v>0</v>
      </c>
      <c r="JG8" s="3">
        <v>66396000</v>
      </c>
      <c r="JH8" s="3">
        <v>0</v>
      </c>
      <c r="JI8" s="3">
        <v>66396000</v>
      </c>
      <c r="JJ8" s="3">
        <v>0</v>
      </c>
      <c r="JK8" s="3">
        <v>0</v>
      </c>
      <c r="JL8" s="3">
        <v>66396000</v>
      </c>
      <c r="JM8" s="3">
        <v>0</v>
      </c>
      <c r="JN8" s="3">
        <v>66396000</v>
      </c>
      <c r="JO8" s="3">
        <v>0</v>
      </c>
      <c r="JP8" s="3">
        <v>0</v>
      </c>
      <c r="JQ8" s="3">
        <v>66396000</v>
      </c>
      <c r="JR8" s="3">
        <v>0</v>
      </c>
      <c r="JS8" s="3">
        <v>65113014.670000002</v>
      </c>
      <c r="JT8" s="3">
        <v>0</v>
      </c>
      <c r="JU8" s="3">
        <v>0</v>
      </c>
      <c r="JV8" s="3">
        <v>65113014.670000002</v>
      </c>
      <c r="JW8" s="3">
        <v>0</v>
      </c>
      <c r="JX8" s="3">
        <v>60691779.960000001</v>
      </c>
      <c r="JY8" s="3">
        <v>0</v>
      </c>
      <c r="JZ8" s="3">
        <v>0</v>
      </c>
      <c r="KA8" s="3">
        <v>60691779.960000001</v>
      </c>
      <c r="KB8" s="3">
        <v>0</v>
      </c>
      <c r="KC8" s="3">
        <v>67591000</v>
      </c>
      <c r="KD8" s="3">
        <v>0</v>
      </c>
      <c r="KE8" s="3">
        <v>0</v>
      </c>
      <c r="KF8" s="3">
        <v>67591000</v>
      </c>
      <c r="KG8" s="3">
        <v>0</v>
      </c>
      <c r="KH8" s="3">
        <v>67591000</v>
      </c>
      <c r="KI8" s="3">
        <v>0</v>
      </c>
      <c r="KJ8" s="3">
        <v>0</v>
      </c>
      <c r="KK8" s="3">
        <v>67591000</v>
      </c>
      <c r="KL8" s="3"/>
      <c r="KM8" s="3"/>
      <c r="KN8" s="3"/>
      <c r="KO8" s="3"/>
      <c r="KP8" s="3"/>
      <c r="KQ8" s="3"/>
      <c r="KR8" s="3"/>
      <c r="KS8" s="3"/>
      <c r="KT8" s="3"/>
      <c r="KU8" s="3"/>
      <c r="KV8" s="3"/>
      <c r="KW8" s="3"/>
      <c r="KX8" s="3"/>
      <c r="KY8" s="3"/>
      <c r="KZ8" s="3"/>
      <c r="LA8" s="3"/>
      <c r="LB8" s="3"/>
      <c r="LC8" s="3"/>
      <c r="LD8" s="3"/>
      <c r="LE8" s="3"/>
      <c r="LF8" s="3"/>
      <c r="LG8" s="3"/>
      <c r="LH8" s="3"/>
      <c r="LI8" s="3"/>
      <c r="LJ8" s="3"/>
      <c r="LK8" s="3">
        <v>44017000</v>
      </c>
      <c r="LL8" s="3">
        <v>68808000</v>
      </c>
      <c r="LM8" s="3">
        <v>0</v>
      </c>
      <c r="LN8" s="3">
        <v>0</v>
      </c>
      <c r="LO8" s="3">
        <v>112825000</v>
      </c>
      <c r="LP8" s="3"/>
      <c r="LQ8" s="3"/>
      <c r="LR8" s="3"/>
      <c r="LS8" s="3"/>
      <c r="LT8" s="3"/>
    </row>
    <row r="9" spans="1:332" x14ac:dyDescent="0.25">
      <c r="A9" t="s">
        <v>685</v>
      </c>
      <c r="B9" t="s">
        <v>686</v>
      </c>
      <c r="C9" t="s">
        <v>199</v>
      </c>
      <c r="D9" t="s">
        <v>200</v>
      </c>
      <c r="E9" t="s">
        <v>208</v>
      </c>
      <c r="F9" t="s">
        <v>215</v>
      </c>
      <c r="G9" t="s">
        <v>788</v>
      </c>
      <c r="H9" s="3">
        <v>89822000</v>
      </c>
      <c r="I9" s="3">
        <v>50810000</v>
      </c>
      <c r="J9" s="3">
        <v>0</v>
      </c>
      <c r="K9" s="3">
        <v>0</v>
      </c>
      <c r="L9" s="3">
        <v>140632000</v>
      </c>
      <c r="M9" s="3">
        <v>89822000</v>
      </c>
      <c r="N9" s="3">
        <v>50810000</v>
      </c>
      <c r="O9" s="3">
        <v>0</v>
      </c>
      <c r="P9" s="3">
        <v>0</v>
      </c>
      <c r="Q9" s="3">
        <v>140632000</v>
      </c>
      <c r="R9" s="3">
        <v>89822000</v>
      </c>
      <c r="S9" s="3">
        <v>50810000</v>
      </c>
      <c r="T9" s="3">
        <v>0</v>
      </c>
      <c r="U9" s="3">
        <v>0</v>
      </c>
      <c r="V9" s="3">
        <v>140632000</v>
      </c>
      <c r="W9" s="3">
        <v>89822000</v>
      </c>
      <c r="X9" s="3">
        <v>43473000</v>
      </c>
      <c r="Y9" s="3">
        <v>0</v>
      </c>
      <c r="Z9" s="3">
        <v>0</v>
      </c>
      <c r="AA9" s="3">
        <v>133295000</v>
      </c>
      <c r="AB9" s="3">
        <v>89822000</v>
      </c>
      <c r="AC9" s="3">
        <v>43473000</v>
      </c>
      <c r="AD9" s="3">
        <v>0</v>
      </c>
      <c r="AE9" s="3">
        <v>0</v>
      </c>
      <c r="AF9" s="3">
        <v>133295000</v>
      </c>
      <c r="AG9" s="3">
        <v>83294020.359999999</v>
      </c>
      <c r="AH9" s="3">
        <v>31414623.73</v>
      </c>
      <c r="AI9" s="3">
        <v>0</v>
      </c>
      <c r="AJ9" s="3">
        <v>0</v>
      </c>
      <c r="AK9" s="3">
        <v>114708644.09</v>
      </c>
      <c r="AL9" s="3">
        <v>79392884.829999998</v>
      </c>
      <c r="AM9" s="3">
        <v>15117202.039999999</v>
      </c>
      <c r="AN9" s="3">
        <v>0</v>
      </c>
      <c r="AO9" s="3">
        <v>0</v>
      </c>
      <c r="AP9" s="3">
        <v>94510086.870000005</v>
      </c>
      <c r="AQ9" s="3">
        <v>98931000</v>
      </c>
      <c r="AR9" s="3">
        <v>2796774000</v>
      </c>
      <c r="AS9" s="3">
        <v>0</v>
      </c>
      <c r="AT9" s="3">
        <v>37475000</v>
      </c>
      <c r="AU9" s="3">
        <v>2933180000</v>
      </c>
      <c r="AV9" s="3">
        <v>98931000</v>
      </c>
      <c r="AW9" s="3">
        <v>2796774000</v>
      </c>
      <c r="AX9" s="3">
        <v>0</v>
      </c>
      <c r="AY9" s="3">
        <v>37475000</v>
      </c>
      <c r="AZ9" s="3">
        <v>2933180000</v>
      </c>
      <c r="BA9" s="3">
        <v>98931000</v>
      </c>
      <c r="BB9" s="3">
        <v>2796774000</v>
      </c>
      <c r="BC9" s="3">
        <v>0</v>
      </c>
      <c r="BD9" s="3">
        <v>37475000</v>
      </c>
      <c r="BE9" s="3">
        <v>2933180000</v>
      </c>
      <c r="BF9" s="3">
        <v>138931000</v>
      </c>
      <c r="BG9" s="3">
        <v>2602534000</v>
      </c>
      <c r="BH9" s="3">
        <v>0</v>
      </c>
      <c r="BI9" s="3">
        <v>191715000</v>
      </c>
      <c r="BJ9" s="3">
        <v>2933180000</v>
      </c>
      <c r="BK9" s="3">
        <v>138931000</v>
      </c>
      <c r="BL9" s="3">
        <v>2602534000</v>
      </c>
      <c r="BM9" s="3">
        <v>0</v>
      </c>
      <c r="BN9" s="3">
        <v>191715000</v>
      </c>
      <c r="BO9" s="3">
        <v>2933180000</v>
      </c>
      <c r="BP9" s="3">
        <v>136419271.09</v>
      </c>
      <c r="BQ9" s="3">
        <v>1513674632.8299999</v>
      </c>
      <c r="BR9" s="3">
        <v>0</v>
      </c>
      <c r="BS9" s="3">
        <v>144563355.11000001</v>
      </c>
      <c r="BT9" s="3">
        <v>1794657259.03</v>
      </c>
      <c r="BU9" s="3">
        <v>124202242.55</v>
      </c>
      <c r="BV9" s="3">
        <v>717663783.98000002</v>
      </c>
      <c r="BW9" s="3">
        <v>0</v>
      </c>
      <c r="BX9" s="3">
        <v>35595964.350000001</v>
      </c>
      <c r="BY9" s="3">
        <v>877461990.88</v>
      </c>
      <c r="BZ9" s="3">
        <v>98949000</v>
      </c>
      <c r="CA9" s="3">
        <v>44802000</v>
      </c>
      <c r="CB9" s="3">
        <v>0</v>
      </c>
      <c r="CC9" s="3">
        <v>0</v>
      </c>
      <c r="CD9" s="3">
        <v>143751000</v>
      </c>
      <c r="CE9" s="3">
        <v>98949000</v>
      </c>
      <c r="CF9" s="3">
        <v>44802000</v>
      </c>
      <c r="CG9" s="3">
        <v>0</v>
      </c>
      <c r="CH9" s="3">
        <v>0</v>
      </c>
      <c r="CI9" s="3">
        <v>143751000</v>
      </c>
      <c r="CJ9" s="3">
        <v>98949000</v>
      </c>
      <c r="CK9" s="3">
        <v>44802000</v>
      </c>
      <c r="CL9" s="3">
        <v>0</v>
      </c>
      <c r="CM9" s="3">
        <v>0</v>
      </c>
      <c r="CN9" s="3">
        <v>143751000</v>
      </c>
      <c r="CO9" s="3">
        <v>102575250</v>
      </c>
      <c r="CP9" s="3">
        <v>39389826</v>
      </c>
      <c r="CQ9" s="3">
        <v>0</v>
      </c>
      <c r="CR9" s="3">
        <v>0</v>
      </c>
      <c r="CS9" s="3">
        <v>141965076</v>
      </c>
      <c r="CT9" s="3">
        <v>102575250</v>
      </c>
      <c r="CU9" s="3">
        <v>39389826</v>
      </c>
      <c r="CV9" s="3">
        <v>0</v>
      </c>
      <c r="CW9" s="3">
        <v>0</v>
      </c>
      <c r="CX9" s="3">
        <v>141965076</v>
      </c>
      <c r="CY9" s="3">
        <v>101565246.13</v>
      </c>
      <c r="CZ9" s="3">
        <v>11011416.77</v>
      </c>
      <c r="DA9" s="3">
        <v>0</v>
      </c>
      <c r="DB9" s="3">
        <v>0</v>
      </c>
      <c r="DC9" s="3">
        <v>112576662.90000001</v>
      </c>
      <c r="DD9" s="3">
        <v>97995180.680000007</v>
      </c>
      <c r="DE9" s="3">
        <v>9287337.8300000001</v>
      </c>
      <c r="DF9" s="3">
        <v>0</v>
      </c>
      <c r="DG9" s="3">
        <v>0</v>
      </c>
      <c r="DH9" s="3">
        <v>107282518.51000001</v>
      </c>
      <c r="DI9" s="3">
        <v>106389000</v>
      </c>
      <c r="DJ9" s="3">
        <v>45608000</v>
      </c>
      <c r="DK9" s="3">
        <v>0</v>
      </c>
      <c r="DL9" s="3">
        <v>0</v>
      </c>
      <c r="DM9" s="3">
        <v>151997000</v>
      </c>
      <c r="DN9" s="3">
        <v>106389000</v>
      </c>
      <c r="DO9" s="3">
        <v>45608000</v>
      </c>
      <c r="DP9" s="3">
        <v>0</v>
      </c>
      <c r="DQ9" s="3">
        <v>0</v>
      </c>
      <c r="DR9" s="3">
        <v>151997000</v>
      </c>
      <c r="DS9" s="3">
        <v>106389000</v>
      </c>
      <c r="DT9" s="3">
        <v>45608000</v>
      </c>
      <c r="DU9" s="3">
        <v>0</v>
      </c>
      <c r="DV9" s="3">
        <v>0</v>
      </c>
      <c r="DW9" s="3">
        <v>151997000</v>
      </c>
      <c r="DX9" s="3">
        <v>106389000</v>
      </c>
      <c r="DY9" s="3">
        <v>45608000</v>
      </c>
      <c r="DZ9" s="3">
        <v>0</v>
      </c>
      <c r="EA9" s="3">
        <v>0</v>
      </c>
      <c r="EB9" s="3">
        <v>151997000</v>
      </c>
      <c r="EC9" s="3">
        <v>106389000</v>
      </c>
      <c r="ED9" s="3">
        <v>45608000</v>
      </c>
      <c r="EE9" s="3">
        <v>0</v>
      </c>
      <c r="EF9" s="3">
        <v>0</v>
      </c>
      <c r="EG9" s="3">
        <v>151997000</v>
      </c>
      <c r="EH9" s="3">
        <v>103685193.09</v>
      </c>
      <c r="EI9" s="3">
        <v>44556136.350000001</v>
      </c>
      <c r="EJ9" s="3">
        <v>0</v>
      </c>
      <c r="EK9" s="3">
        <v>0</v>
      </c>
      <c r="EL9" s="3">
        <v>148241329.44</v>
      </c>
      <c r="EM9" s="3">
        <v>97867876.120000005</v>
      </c>
      <c r="EN9" s="3">
        <v>39606258.590000004</v>
      </c>
      <c r="EO9" s="3">
        <v>0</v>
      </c>
      <c r="EP9" s="3">
        <v>0</v>
      </c>
      <c r="EQ9" s="3">
        <v>137474134.71000001</v>
      </c>
      <c r="ER9" s="3">
        <v>109080000</v>
      </c>
      <c r="ES9" s="3">
        <v>45608000</v>
      </c>
      <c r="ET9" s="3">
        <v>0</v>
      </c>
      <c r="EU9" s="3">
        <v>0</v>
      </c>
      <c r="EV9" s="3">
        <v>154688000</v>
      </c>
      <c r="EW9" s="3">
        <v>109080000</v>
      </c>
      <c r="EX9" s="3">
        <v>45608000</v>
      </c>
      <c r="EY9" s="3">
        <v>0</v>
      </c>
      <c r="EZ9" s="3">
        <v>0</v>
      </c>
      <c r="FA9" s="3">
        <v>154688000</v>
      </c>
      <c r="FB9" s="3">
        <v>109080000</v>
      </c>
      <c r="FC9" s="3">
        <v>45608000</v>
      </c>
      <c r="FD9" s="3">
        <v>0</v>
      </c>
      <c r="FE9" s="3">
        <v>0</v>
      </c>
      <c r="FF9" s="3">
        <v>154688000</v>
      </c>
      <c r="FG9" s="3">
        <v>112955000</v>
      </c>
      <c r="FH9" s="3">
        <v>41733000</v>
      </c>
      <c r="FI9" s="3">
        <v>0</v>
      </c>
      <c r="FJ9" s="3">
        <v>0</v>
      </c>
      <c r="FK9" s="3">
        <v>154688000</v>
      </c>
      <c r="FL9" s="3">
        <v>112955000</v>
      </c>
      <c r="FM9" s="3">
        <v>41733000</v>
      </c>
      <c r="FN9" s="3">
        <v>0</v>
      </c>
      <c r="FO9" s="3">
        <v>0</v>
      </c>
      <c r="FP9" s="3">
        <v>154688000</v>
      </c>
      <c r="FQ9" s="3">
        <v>112855433.55</v>
      </c>
      <c r="FR9" s="3">
        <v>34755159.670000002</v>
      </c>
      <c r="FS9" s="3">
        <v>0</v>
      </c>
      <c r="FT9" s="3">
        <v>0</v>
      </c>
      <c r="FU9" s="3">
        <v>147610593.22</v>
      </c>
      <c r="FV9" s="3">
        <v>103726065.98</v>
      </c>
      <c r="FW9" s="3">
        <v>19457830.899999999</v>
      </c>
      <c r="FX9" s="3">
        <v>0</v>
      </c>
      <c r="FY9" s="3">
        <v>0</v>
      </c>
      <c r="FZ9" s="3">
        <v>123183896.88</v>
      </c>
      <c r="GA9" s="3">
        <v>126738000</v>
      </c>
      <c r="GB9" s="3">
        <v>47265000</v>
      </c>
      <c r="GC9" s="3">
        <v>0</v>
      </c>
      <c r="GD9" s="3">
        <v>0</v>
      </c>
      <c r="GE9" s="3">
        <v>174003000</v>
      </c>
      <c r="GF9" s="3">
        <v>126738000</v>
      </c>
      <c r="GG9" s="3">
        <v>47265000</v>
      </c>
      <c r="GH9" s="3">
        <v>0</v>
      </c>
      <c r="GI9" s="3">
        <v>0</v>
      </c>
      <c r="GJ9" s="3">
        <v>174003000</v>
      </c>
      <c r="GK9" s="3">
        <v>126738000</v>
      </c>
      <c r="GL9" s="3">
        <v>47265000</v>
      </c>
      <c r="GM9" s="3">
        <v>0</v>
      </c>
      <c r="GN9" s="3">
        <v>0</v>
      </c>
      <c r="GO9" s="3">
        <v>174003000</v>
      </c>
      <c r="GP9" s="3">
        <v>131407045</v>
      </c>
      <c r="GQ9" s="3">
        <v>42595955</v>
      </c>
      <c r="GR9" s="3">
        <v>0</v>
      </c>
      <c r="GS9" s="3">
        <v>0</v>
      </c>
      <c r="GT9" s="3">
        <v>174003000</v>
      </c>
      <c r="GU9" s="3">
        <v>131407045</v>
      </c>
      <c r="GV9" s="3">
        <v>42595955</v>
      </c>
      <c r="GW9" s="3">
        <v>0</v>
      </c>
      <c r="GX9" s="3">
        <v>0</v>
      </c>
      <c r="GY9" s="3">
        <v>174003000</v>
      </c>
      <c r="GZ9" s="3">
        <v>120286275.8</v>
      </c>
      <c r="HA9" s="3">
        <v>38491484.93</v>
      </c>
      <c r="HB9" s="3">
        <v>0</v>
      </c>
      <c r="HC9" s="3">
        <v>0</v>
      </c>
      <c r="HD9" s="3">
        <v>158777760.72999999</v>
      </c>
      <c r="HE9" s="3">
        <v>111270494.04000001</v>
      </c>
      <c r="HF9" s="3">
        <v>30564870.870000001</v>
      </c>
      <c r="HG9" s="3">
        <v>0</v>
      </c>
      <c r="HH9" s="3">
        <v>0</v>
      </c>
      <c r="HI9" s="3">
        <v>141835364.91</v>
      </c>
      <c r="HJ9" s="3">
        <v>127521000</v>
      </c>
      <c r="HK9" s="3">
        <v>43785000</v>
      </c>
      <c r="HL9" s="3">
        <v>0</v>
      </c>
      <c r="HM9" s="3">
        <v>0</v>
      </c>
      <c r="HN9" s="3">
        <v>171306000</v>
      </c>
      <c r="HO9" s="3">
        <v>127521000</v>
      </c>
      <c r="HP9" s="3">
        <v>43785000</v>
      </c>
      <c r="HQ9" s="3">
        <v>0</v>
      </c>
      <c r="HR9" s="3">
        <v>0</v>
      </c>
      <c r="HS9" s="3">
        <v>171306000</v>
      </c>
      <c r="HT9" s="3">
        <v>127521000</v>
      </c>
      <c r="HU9" s="3">
        <v>43785000</v>
      </c>
      <c r="HV9" s="3">
        <v>0</v>
      </c>
      <c r="HW9" s="3">
        <v>0</v>
      </c>
      <c r="HX9" s="3">
        <v>171306000</v>
      </c>
      <c r="HY9" s="3">
        <v>129748892</v>
      </c>
      <c r="HZ9" s="3">
        <v>41557108</v>
      </c>
      <c r="IA9" s="3">
        <v>0</v>
      </c>
      <c r="IB9" s="3">
        <v>0</v>
      </c>
      <c r="IC9" s="3">
        <v>171306000</v>
      </c>
      <c r="ID9" s="3">
        <v>129748892</v>
      </c>
      <c r="IE9" s="3">
        <v>41557108</v>
      </c>
      <c r="IF9" s="3">
        <v>0</v>
      </c>
      <c r="IG9" s="3">
        <v>0</v>
      </c>
      <c r="IH9" s="3">
        <v>171306000</v>
      </c>
      <c r="II9" s="3">
        <v>129748891</v>
      </c>
      <c r="IJ9" s="3">
        <v>39965055.740000002</v>
      </c>
      <c r="IK9" s="3">
        <v>0</v>
      </c>
      <c r="IL9" s="3">
        <v>0</v>
      </c>
      <c r="IM9" s="3">
        <v>169713946.74000001</v>
      </c>
      <c r="IN9" s="3">
        <v>116692184.8</v>
      </c>
      <c r="IO9" s="3">
        <v>36249775.770000003</v>
      </c>
      <c r="IP9" s="3">
        <v>0</v>
      </c>
      <c r="IQ9" s="3">
        <v>0</v>
      </c>
      <c r="IR9" s="3">
        <v>152941960.56999999</v>
      </c>
      <c r="IS9" s="3">
        <v>127475000</v>
      </c>
      <c r="IT9" s="3">
        <v>44573000</v>
      </c>
      <c r="IU9" s="3">
        <v>0</v>
      </c>
      <c r="IV9" s="3">
        <v>0</v>
      </c>
      <c r="IW9" s="3">
        <v>172048000</v>
      </c>
      <c r="IX9" s="3">
        <v>127475000</v>
      </c>
      <c r="IY9" s="3">
        <v>44573000</v>
      </c>
      <c r="IZ9" s="3">
        <v>0</v>
      </c>
      <c r="JA9" s="3">
        <v>0</v>
      </c>
      <c r="JB9" s="3">
        <v>172048000</v>
      </c>
      <c r="JC9" s="3">
        <v>127475000</v>
      </c>
      <c r="JD9" s="3">
        <v>44573000</v>
      </c>
      <c r="JE9" s="3">
        <v>0</v>
      </c>
      <c r="JF9" s="3">
        <v>0</v>
      </c>
      <c r="JG9" s="3">
        <v>172048000</v>
      </c>
      <c r="JH9" s="3">
        <v>133497249</v>
      </c>
      <c r="JI9" s="3">
        <v>38550751</v>
      </c>
      <c r="JJ9" s="3">
        <v>0</v>
      </c>
      <c r="JK9" s="3">
        <v>0</v>
      </c>
      <c r="JL9" s="3">
        <v>172048000</v>
      </c>
      <c r="JM9" s="3">
        <v>133497249</v>
      </c>
      <c r="JN9" s="3">
        <v>38550751</v>
      </c>
      <c r="JO9" s="3">
        <v>0</v>
      </c>
      <c r="JP9" s="3">
        <v>0</v>
      </c>
      <c r="JQ9" s="3">
        <v>172048000</v>
      </c>
      <c r="JR9" s="3">
        <v>133497249</v>
      </c>
      <c r="JS9" s="3">
        <v>34573326.990000002</v>
      </c>
      <c r="JT9" s="3">
        <v>0</v>
      </c>
      <c r="JU9" s="3">
        <v>0</v>
      </c>
      <c r="JV9" s="3">
        <v>168070575.99000001</v>
      </c>
      <c r="JW9" s="3">
        <v>130018055.39</v>
      </c>
      <c r="JX9" s="3">
        <v>30498553.809999999</v>
      </c>
      <c r="JY9" s="3">
        <v>0</v>
      </c>
      <c r="JZ9" s="3">
        <v>0</v>
      </c>
      <c r="KA9" s="3">
        <v>160516609.19999999</v>
      </c>
      <c r="KB9" s="3">
        <v>144916000</v>
      </c>
      <c r="KC9" s="3">
        <v>45375000</v>
      </c>
      <c r="KD9" s="3">
        <v>0</v>
      </c>
      <c r="KE9" s="3">
        <v>0</v>
      </c>
      <c r="KF9" s="3">
        <v>190291000</v>
      </c>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row>
    <row r="10" spans="1:332" x14ac:dyDescent="0.25">
      <c r="A10" t="s">
        <v>685</v>
      </c>
      <c r="B10" t="s">
        <v>686</v>
      </c>
      <c r="C10" t="s">
        <v>199</v>
      </c>
      <c r="D10" t="s">
        <v>200</v>
      </c>
      <c r="E10" t="s">
        <v>208</v>
      </c>
      <c r="F10" t="s">
        <v>687</v>
      </c>
      <c r="G10" t="s">
        <v>758</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v>144916000</v>
      </c>
      <c r="KH10" s="3">
        <v>45375000</v>
      </c>
      <c r="KI10" s="3"/>
      <c r="KJ10" s="3">
        <v>0</v>
      </c>
      <c r="KK10" s="3">
        <v>190291000</v>
      </c>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v>151018000</v>
      </c>
      <c r="LL10" s="3">
        <v>46192000</v>
      </c>
      <c r="LM10" s="3">
        <v>0</v>
      </c>
      <c r="LN10" s="3">
        <v>0</v>
      </c>
      <c r="LO10" s="3">
        <v>197210000</v>
      </c>
      <c r="LP10" s="3"/>
      <c r="LQ10" s="3"/>
      <c r="LR10" s="3"/>
      <c r="LS10" s="3"/>
      <c r="LT10" s="3"/>
    </row>
    <row r="11" spans="1:332" x14ac:dyDescent="0.25">
      <c r="A11" t="s">
        <v>685</v>
      </c>
      <c r="B11" t="s">
        <v>686</v>
      </c>
      <c r="C11" t="s">
        <v>199</v>
      </c>
      <c r="D11" t="s">
        <v>200</v>
      </c>
      <c r="E11" t="s">
        <v>217</v>
      </c>
      <c r="F11" t="s">
        <v>218</v>
      </c>
      <c r="G11" t="s">
        <v>744</v>
      </c>
      <c r="H11" s="3">
        <v>3992202000</v>
      </c>
      <c r="I11" s="3">
        <v>84634369000</v>
      </c>
      <c r="J11" s="3">
        <v>781732000</v>
      </c>
      <c r="K11" s="3">
        <v>0</v>
      </c>
      <c r="L11" s="3">
        <v>89408303000</v>
      </c>
      <c r="M11" s="3">
        <v>3992202000</v>
      </c>
      <c r="N11" s="3">
        <v>84634369000</v>
      </c>
      <c r="O11" s="3">
        <v>781732000</v>
      </c>
      <c r="P11" s="3">
        <v>0</v>
      </c>
      <c r="Q11" s="3">
        <v>89408303000</v>
      </c>
      <c r="R11" s="3">
        <v>3992202000</v>
      </c>
      <c r="S11" s="3">
        <v>84634369000</v>
      </c>
      <c r="T11" s="3">
        <v>781732000</v>
      </c>
      <c r="U11" s="3">
        <v>0</v>
      </c>
      <c r="V11" s="3">
        <v>89408303000</v>
      </c>
      <c r="W11" s="3">
        <v>3992202000</v>
      </c>
      <c r="X11" s="3">
        <v>84065812000</v>
      </c>
      <c r="Y11" s="3">
        <v>781732000</v>
      </c>
      <c r="Z11" s="3">
        <v>0</v>
      </c>
      <c r="AA11" s="3">
        <v>88839746000</v>
      </c>
      <c r="AB11" s="3">
        <v>3992202000</v>
      </c>
      <c r="AC11" s="3">
        <v>84065812000</v>
      </c>
      <c r="AD11" s="3">
        <v>781732000</v>
      </c>
      <c r="AE11" s="3">
        <v>0</v>
      </c>
      <c r="AF11" s="3">
        <v>88839746000</v>
      </c>
      <c r="AG11" s="3">
        <v>3971758407.9400001</v>
      </c>
      <c r="AH11" s="3">
        <v>83801743845.169998</v>
      </c>
      <c r="AI11" s="3">
        <v>777419636.92999995</v>
      </c>
      <c r="AJ11" s="3">
        <v>0</v>
      </c>
      <c r="AK11" s="3">
        <v>88550921890.039993</v>
      </c>
      <c r="AL11" s="3">
        <v>3943671824.8200002</v>
      </c>
      <c r="AM11" s="3">
        <v>73384796523.970001</v>
      </c>
      <c r="AN11" s="3">
        <v>285616157.74000001</v>
      </c>
      <c r="AO11" s="3">
        <v>0</v>
      </c>
      <c r="AP11" s="3">
        <v>77614084506.529999</v>
      </c>
      <c r="AQ11" s="3">
        <v>4555588000</v>
      </c>
      <c r="AR11" s="3">
        <v>83041175000</v>
      </c>
      <c r="AS11" s="3">
        <v>509561000</v>
      </c>
      <c r="AT11" s="3">
        <v>0</v>
      </c>
      <c r="AU11" s="3">
        <v>88106324000</v>
      </c>
      <c r="AV11" s="3">
        <v>4555588000</v>
      </c>
      <c r="AW11" s="3">
        <v>84687175000</v>
      </c>
      <c r="AX11" s="3">
        <v>509561000</v>
      </c>
      <c r="AY11" s="3">
        <v>0</v>
      </c>
      <c r="AZ11" s="3">
        <v>89752324000</v>
      </c>
      <c r="BA11" s="3">
        <v>4555588000</v>
      </c>
      <c r="BB11" s="3">
        <v>84687175000</v>
      </c>
      <c r="BC11" s="3">
        <v>509561000</v>
      </c>
      <c r="BD11" s="3">
        <v>0</v>
      </c>
      <c r="BE11" s="3">
        <v>89752324000</v>
      </c>
      <c r="BF11" s="3">
        <v>4654539361.8500004</v>
      </c>
      <c r="BG11" s="3">
        <v>84118338600</v>
      </c>
      <c r="BH11" s="3">
        <v>509561000</v>
      </c>
      <c r="BI11" s="3">
        <v>0</v>
      </c>
      <c r="BJ11" s="3">
        <v>89282438961.850006</v>
      </c>
      <c r="BK11" s="3">
        <v>4654539361.8500004</v>
      </c>
      <c r="BL11" s="3">
        <v>84118338600</v>
      </c>
      <c r="BM11" s="3">
        <v>509561000</v>
      </c>
      <c r="BN11" s="3">
        <v>0</v>
      </c>
      <c r="BO11" s="3">
        <v>89282438961.850006</v>
      </c>
      <c r="BP11" s="3">
        <v>4560803171.4399996</v>
      </c>
      <c r="BQ11" s="3">
        <v>82445078498.330002</v>
      </c>
      <c r="BR11" s="3">
        <v>298005659.60000002</v>
      </c>
      <c r="BS11" s="3">
        <v>0</v>
      </c>
      <c r="BT11" s="3">
        <v>87303887329.369995</v>
      </c>
      <c r="BU11" s="3">
        <v>4399468866.1000004</v>
      </c>
      <c r="BV11" s="3">
        <v>72202929845.320007</v>
      </c>
      <c r="BW11" s="3">
        <v>113240452.17</v>
      </c>
      <c r="BX11" s="3">
        <v>0</v>
      </c>
      <c r="BY11" s="3">
        <v>76715639163.589996</v>
      </c>
      <c r="BZ11" s="3">
        <v>4551717000</v>
      </c>
      <c r="CA11" s="3">
        <v>103704692000</v>
      </c>
      <c r="CB11" s="3">
        <v>509561000</v>
      </c>
      <c r="CC11" s="3">
        <v>0</v>
      </c>
      <c r="CD11" s="3">
        <v>108765970000</v>
      </c>
      <c r="CE11" s="3">
        <v>4551717000</v>
      </c>
      <c r="CF11" s="3">
        <v>103704692000</v>
      </c>
      <c r="CG11" s="3">
        <v>509561000</v>
      </c>
      <c r="CH11" s="3">
        <v>0</v>
      </c>
      <c r="CI11" s="3">
        <v>108765970000</v>
      </c>
      <c r="CJ11" s="3">
        <v>4551717000</v>
      </c>
      <c r="CK11" s="3">
        <v>103704692000</v>
      </c>
      <c r="CL11" s="3">
        <v>509561000</v>
      </c>
      <c r="CM11" s="3">
        <v>0</v>
      </c>
      <c r="CN11" s="3">
        <v>108765970000</v>
      </c>
      <c r="CO11" s="3">
        <v>4770688500</v>
      </c>
      <c r="CP11" s="3">
        <v>95846770921</v>
      </c>
      <c r="CQ11" s="3">
        <v>267770582</v>
      </c>
      <c r="CR11" s="3">
        <v>0</v>
      </c>
      <c r="CS11" s="3">
        <v>100885230003</v>
      </c>
      <c r="CT11" s="3">
        <v>4770688500</v>
      </c>
      <c r="CU11" s="3">
        <v>95846770921</v>
      </c>
      <c r="CV11" s="3">
        <v>267770582</v>
      </c>
      <c r="CW11" s="3">
        <v>0</v>
      </c>
      <c r="CX11" s="3">
        <v>100885230003</v>
      </c>
      <c r="CY11" s="3">
        <v>4759309327.1800003</v>
      </c>
      <c r="CZ11" s="3">
        <v>87056997783.820007</v>
      </c>
      <c r="DA11" s="3">
        <v>111201440.15000001</v>
      </c>
      <c r="DB11" s="3">
        <v>0</v>
      </c>
      <c r="DC11" s="3">
        <v>91927508551.149994</v>
      </c>
      <c r="DD11" s="3">
        <v>4645020986.6199999</v>
      </c>
      <c r="DE11" s="3">
        <v>67468487805.779999</v>
      </c>
      <c r="DF11" s="3">
        <v>29619354.399999999</v>
      </c>
      <c r="DG11" s="3">
        <v>0</v>
      </c>
      <c r="DH11" s="3">
        <v>72143128146.800003</v>
      </c>
      <c r="DI11" s="3">
        <v>4762658000</v>
      </c>
      <c r="DJ11" s="3">
        <v>108748911000</v>
      </c>
      <c r="DK11" s="3">
        <v>289000000</v>
      </c>
      <c r="DL11" s="3">
        <v>0</v>
      </c>
      <c r="DM11" s="3">
        <v>113800569000</v>
      </c>
      <c r="DN11" s="3">
        <v>4762658000</v>
      </c>
      <c r="DO11" s="3">
        <v>101748911000</v>
      </c>
      <c r="DP11" s="3">
        <v>289000000</v>
      </c>
      <c r="DQ11" s="3">
        <v>0</v>
      </c>
      <c r="DR11" s="3">
        <v>106800569000</v>
      </c>
      <c r="DS11" s="3">
        <v>4762658000</v>
      </c>
      <c r="DT11" s="3">
        <v>101748911000</v>
      </c>
      <c r="DU11" s="3">
        <v>289000000</v>
      </c>
      <c r="DV11" s="3">
        <v>0</v>
      </c>
      <c r="DW11" s="3">
        <v>106800569000</v>
      </c>
      <c r="DX11" s="3">
        <v>5945863423</v>
      </c>
      <c r="DY11" s="3">
        <v>100854705577</v>
      </c>
      <c r="DZ11" s="3">
        <v>0</v>
      </c>
      <c r="EA11" s="3">
        <v>0</v>
      </c>
      <c r="EB11" s="3">
        <v>106800569000</v>
      </c>
      <c r="EC11" s="3">
        <v>5945863423</v>
      </c>
      <c r="ED11" s="3">
        <v>100854705577</v>
      </c>
      <c r="EE11" s="3">
        <v>0</v>
      </c>
      <c r="EF11" s="3">
        <v>0</v>
      </c>
      <c r="EG11" s="3">
        <v>106800569000</v>
      </c>
      <c r="EH11" s="3">
        <v>5941086574.6800003</v>
      </c>
      <c r="EI11" s="3">
        <v>91024567729.229996</v>
      </c>
      <c r="EJ11" s="3">
        <v>0</v>
      </c>
      <c r="EK11" s="3">
        <v>0</v>
      </c>
      <c r="EL11" s="3">
        <v>96965654303.910004</v>
      </c>
      <c r="EM11" s="3">
        <v>5733678592.0900002</v>
      </c>
      <c r="EN11" s="3">
        <v>81644344978.619995</v>
      </c>
      <c r="EO11" s="3">
        <v>0</v>
      </c>
      <c r="EP11" s="3">
        <v>0</v>
      </c>
      <c r="EQ11" s="3">
        <v>87378023570.710007</v>
      </c>
      <c r="ER11" s="3">
        <v>6602250000</v>
      </c>
      <c r="ES11" s="3">
        <v>108695972000</v>
      </c>
      <c r="ET11" s="3">
        <v>371720000</v>
      </c>
      <c r="EU11" s="3">
        <v>0</v>
      </c>
      <c r="EV11" s="3">
        <v>115669942000</v>
      </c>
      <c r="EW11" s="3">
        <v>6602250000</v>
      </c>
      <c r="EX11" s="3">
        <v>100695972000</v>
      </c>
      <c r="EY11" s="3">
        <v>371720000</v>
      </c>
      <c r="EZ11" s="3">
        <v>0</v>
      </c>
      <c r="FA11" s="3">
        <v>107669942000</v>
      </c>
      <c r="FB11" s="3">
        <v>6602250000</v>
      </c>
      <c r="FC11" s="3">
        <v>100695972000</v>
      </c>
      <c r="FD11" s="3">
        <v>371720000</v>
      </c>
      <c r="FE11" s="3">
        <v>0</v>
      </c>
      <c r="FF11" s="3">
        <v>107669942000</v>
      </c>
      <c r="FG11" s="3">
        <v>6892390770</v>
      </c>
      <c r="FH11" s="3">
        <v>100777551230</v>
      </c>
      <c r="FI11" s="3">
        <v>0</v>
      </c>
      <c r="FJ11" s="3">
        <v>0</v>
      </c>
      <c r="FK11" s="3">
        <v>107669942000</v>
      </c>
      <c r="FL11" s="3">
        <v>6892390770</v>
      </c>
      <c r="FM11" s="3">
        <v>100777551230</v>
      </c>
      <c r="FN11" s="3">
        <v>0</v>
      </c>
      <c r="FO11" s="3">
        <v>0</v>
      </c>
      <c r="FP11" s="3">
        <v>107669942000</v>
      </c>
      <c r="FQ11" s="3">
        <v>6892292945.4099998</v>
      </c>
      <c r="FR11" s="3">
        <v>92389041213.539993</v>
      </c>
      <c r="FS11" s="3">
        <v>0</v>
      </c>
      <c r="FT11" s="3">
        <v>0</v>
      </c>
      <c r="FU11" s="3">
        <v>99281334158.949997</v>
      </c>
      <c r="FV11" s="3">
        <v>6731833154.71</v>
      </c>
      <c r="FW11" s="3">
        <v>77602923509.110001</v>
      </c>
      <c r="FX11" s="3">
        <v>0</v>
      </c>
      <c r="FY11" s="3">
        <v>0</v>
      </c>
      <c r="FZ11" s="3">
        <v>84334756663.820007</v>
      </c>
      <c r="GA11" s="3">
        <v>7549534000</v>
      </c>
      <c r="GB11" s="3">
        <v>108060946000</v>
      </c>
      <c r="GC11" s="3">
        <v>0</v>
      </c>
      <c r="GD11" s="3">
        <v>0</v>
      </c>
      <c r="GE11" s="3">
        <v>115610480000</v>
      </c>
      <c r="GF11" s="3">
        <v>7549534000</v>
      </c>
      <c r="GG11" s="3">
        <v>95060946000</v>
      </c>
      <c r="GH11" s="3">
        <v>0</v>
      </c>
      <c r="GI11" s="3">
        <v>0</v>
      </c>
      <c r="GJ11" s="3">
        <v>102610480000</v>
      </c>
      <c r="GK11" s="3">
        <v>7549534000</v>
      </c>
      <c r="GL11" s="3">
        <v>95060946000</v>
      </c>
      <c r="GM11" s="3">
        <v>0</v>
      </c>
      <c r="GN11" s="3">
        <v>0</v>
      </c>
      <c r="GO11" s="3">
        <v>102610480000</v>
      </c>
      <c r="GP11" s="3">
        <v>7889534000</v>
      </c>
      <c r="GQ11" s="3">
        <v>93998749000</v>
      </c>
      <c r="GR11" s="3">
        <v>0</v>
      </c>
      <c r="GS11" s="3">
        <v>0</v>
      </c>
      <c r="GT11" s="3">
        <v>101888283000</v>
      </c>
      <c r="GU11" s="3">
        <v>7889534000</v>
      </c>
      <c r="GV11" s="3">
        <v>93998749000</v>
      </c>
      <c r="GW11" s="3">
        <v>0</v>
      </c>
      <c r="GX11" s="3">
        <v>0</v>
      </c>
      <c r="GY11" s="3">
        <v>101888283000</v>
      </c>
      <c r="GZ11" s="3">
        <v>7088115786.1599998</v>
      </c>
      <c r="HA11" s="3">
        <v>93229525927.110001</v>
      </c>
      <c r="HB11" s="3">
        <v>0</v>
      </c>
      <c r="HC11" s="3">
        <v>0</v>
      </c>
      <c r="HD11" s="3">
        <v>100317641713.27</v>
      </c>
      <c r="HE11" s="3">
        <v>6754735081.6899996</v>
      </c>
      <c r="HF11" s="3">
        <v>68869330321.550003</v>
      </c>
      <c r="HG11" s="3">
        <v>0</v>
      </c>
      <c r="HH11" s="3">
        <v>0</v>
      </c>
      <c r="HI11" s="3">
        <v>75624065403.240005</v>
      </c>
      <c r="HJ11" s="3">
        <v>7612092000</v>
      </c>
      <c r="HK11" s="3">
        <v>105223788000</v>
      </c>
      <c r="HL11" s="3">
        <v>0</v>
      </c>
      <c r="HM11" s="3">
        <v>0</v>
      </c>
      <c r="HN11" s="3">
        <v>112835880000</v>
      </c>
      <c r="HO11" s="3">
        <v>7612092000</v>
      </c>
      <c r="HP11" s="3">
        <v>98723788000</v>
      </c>
      <c r="HQ11" s="3">
        <v>0</v>
      </c>
      <c r="HR11" s="3">
        <v>0</v>
      </c>
      <c r="HS11" s="3">
        <v>106335880000</v>
      </c>
      <c r="HT11" s="3">
        <v>7612092000</v>
      </c>
      <c r="HU11" s="3">
        <v>98723788000</v>
      </c>
      <c r="HV11" s="3">
        <v>0</v>
      </c>
      <c r="HW11" s="3">
        <v>0</v>
      </c>
      <c r="HX11" s="3">
        <v>106335880000</v>
      </c>
      <c r="HY11" s="3">
        <v>8140338221</v>
      </c>
      <c r="HZ11" s="3">
        <v>97493518779</v>
      </c>
      <c r="IA11" s="3">
        <v>0</v>
      </c>
      <c r="IB11" s="3">
        <v>0</v>
      </c>
      <c r="IC11" s="3">
        <v>105633857000</v>
      </c>
      <c r="ID11" s="3">
        <v>8140338221</v>
      </c>
      <c r="IE11" s="3">
        <v>97493518779</v>
      </c>
      <c r="IF11" s="3">
        <v>0</v>
      </c>
      <c r="IG11" s="3">
        <v>0</v>
      </c>
      <c r="IH11" s="3">
        <v>105633857000</v>
      </c>
      <c r="II11" s="3">
        <v>8140149221</v>
      </c>
      <c r="IJ11" s="3">
        <v>94448368983.520004</v>
      </c>
      <c r="IK11" s="3">
        <v>0</v>
      </c>
      <c r="IL11" s="3">
        <v>0</v>
      </c>
      <c r="IM11" s="3">
        <v>102588518204.52</v>
      </c>
      <c r="IN11" s="3">
        <v>7810997237.9200001</v>
      </c>
      <c r="IO11" s="3">
        <v>79640396907.899994</v>
      </c>
      <c r="IP11" s="3">
        <v>0</v>
      </c>
      <c r="IQ11" s="3">
        <v>0</v>
      </c>
      <c r="IR11" s="3">
        <v>87451394145.820007</v>
      </c>
      <c r="IS11" s="3">
        <v>7781767000</v>
      </c>
      <c r="IT11" s="3">
        <v>106403664000</v>
      </c>
      <c r="IU11" s="3">
        <v>0</v>
      </c>
      <c r="IV11" s="3">
        <v>0</v>
      </c>
      <c r="IW11" s="3">
        <v>114185431000</v>
      </c>
      <c r="IX11" s="3">
        <v>7781767000</v>
      </c>
      <c r="IY11" s="3">
        <v>56403664000</v>
      </c>
      <c r="IZ11" s="3">
        <v>0</v>
      </c>
      <c r="JA11" s="3">
        <v>0</v>
      </c>
      <c r="JB11" s="3">
        <v>64185431000</v>
      </c>
      <c r="JC11" s="3">
        <v>7781767000</v>
      </c>
      <c r="JD11" s="3">
        <v>56403664000</v>
      </c>
      <c r="JE11" s="3">
        <v>0</v>
      </c>
      <c r="JF11" s="3">
        <v>0</v>
      </c>
      <c r="JG11" s="3">
        <v>64185431000</v>
      </c>
      <c r="JH11" s="3">
        <v>8323084114</v>
      </c>
      <c r="JI11" s="3">
        <v>55358059886</v>
      </c>
      <c r="JJ11" s="3">
        <v>0</v>
      </c>
      <c r="JK11" s="3">
        <v>0</v>
      </c>
      <c r="JL11" s="3">
        <v>63681144000</v>
      </c>
      <c r="JM11" s="3">
        <v>8323084114</v>
      </c>
      <c r="JN11" s="3">
        <v>55358059886</v>
      </c>
      <c r="JO11" s="3">
        <v>0</v>
      </c>
      <c r="JP11" s="3">
        <v>0</v>
      </c>
      <c r="JQ11" s="3">
        <v>63681144000</v>
      </c>
      <c r="JR11" s="3">
        <v>8323084114</v>
      </c>
      <c r="JS11" s="3">
        <v>54183395899.529999</v>
      </c>
      <c r="JT11" s="3">
        <v>0</v>
      </c>
      <c r="JU11" s="3">
        <v>0</v>
      </c>
      <c r="JV11" s="3">
        <v>62506480013.529999</v>
      </c>
      <c r="JW11" s="3">
        <v>8224980714.6000004</v>
      </c>
      <c r="JX11" s="3">
        <v>54098366364.190002</v>
      </c>
      <c r="JY11" s="3">
        <v>0</v>
      </c>
      <c r="JZ11" s="3">
        <v>0</v>
      </c>
      <c r="KA11" s="3">
        <v>62323347078.790001</v>
      </c>
      <c r="KB11" s="3">
        <v>12556764000</v>
      </c>
      <c r="KC11" s="3">
        <v>100440280000</v>
      </c>
      <c r="KD11" s="3">
        <v>0</v>
      </c>
      <c r="KE11" s="3">
        <v>0</v>
      </c>
      <c r="KF11" s="3">
        <v>112997044000</v>
      </c>
      <c r="KG11" s="3">
        <v>12556764000</v>
      </c>
      <c r="KH11" s="3">
        <v>100440280000</v>
      </c>
      <c r="KI11" s="3">
        <v>0</v>
      </c>
      <c r="KJ11" s="3">
        <v>0</v>
      </c>
      <c r="KK11" s="3">
        <v>112997044000</v>
      </c>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v>16165173000</v>
      </c>
      <c r="LL11" s="3">
        <v>82910325000</v>
      </c>
      <c r="LM11" s="3">
        <v>0</v>
      </c>
      <c r="LN11" s="3">
        <v>0</v>
      </c>
      <c r="LO11" s="3">
        <v>99075498000</v>
      </c>
      <c r="LP11" s="3"/>
      <c r="LQ11" s="3"/>
      <c r="LR11" s="3"/>
      <c r="LS11" s="3"/>
      <c r="LT11" s="3"/>
    </row>
    <row r="12" spans="1:332" x14ac:dyDescent="0.25">
      <c r="A12" t="s">
        <v>685</v>
      </c>
      <c r="B12" t="s">
        <v>686</v>
      </c>
      <c r="C12" t="s">
        <v>199</v>
      </c>
      <c r="D12" t="s">
        <v>200</v>
      </c>
      <c r="E12" t="s">
        <v>217</v>
      </c>
      <c r="F12" t="s">
        <v>220</v>
      </c>
      <c r="G12" t="s">
        <v>745</v>
      </c>
      <c r="H12" s="3">
        <v>224665000</v>
      </c>
      <c r="I12" s="3">
        <v>6850101000</v>
      </c>
      <c r="J12" s="3">
        <v>0</v>
      </c>
      <c r="K12" s="3">
        <v>0</v>
      </c>
      <c r="L12" s="3">
        <v>7074766000</v>
      </c>
      <c r="M12" s="3">
        <v>224665000</v>
      </c>
      <c r="N12" s="3">
        <v>4835335000</v>
      </c>
      <c r="O12" s="3">
        <v>0</v>
      </c>
      <c r="P12" s="3">
        <v>0</v>
      </c>
      <c r="Q12" s="3">
        <v>5060000000</v>
      </c>
      <c r="R12" s="3">
        <v>224665000</v>
      </c>
      <c r="S12" s="3">
        <v>4835335000</v>
      </c>
      <c r="T12" s="3">
        <v>0</v>
      </c>
      <c r="U12" s="3">
        <v>0</v>
      </c>
      <c r="V12" s="3">
        <v>5060000000</v>
      </c>
      <c r="W12" s="3">
        <v>224665000</v>
      </c>
      <c r="X12" s="3">
        <v>4715543663</v>
      </c>
      <c r="Y12" s="3">
        <v>0</v>
      </c>
      <c r="Z12" s="3">
        <v>0</v>
      </c>
      <c r="AA12" s="3">
        <v>4940208663</v>
      </c>
      <c r="AB12" s="3">
        <v>224665000</v>
      </c>
      <c r="AC12" s="3">
        <v>4715543663</v>
      </c>
      <c r="AD12" s="3">
        <v>0</v>
      </c>
      <c r="AE12" s="3">
        <v>0</v>
      </c>
      <c r="AF12" s="3">
        <v>4940208663</v>
      </c>
      <c r="AG12" s="3">
        <v>217422165.00999999</v>
      </c>
      <c r="AH12" s="3">
        <v>4633518560.5</v>
      </c>
      <c r="AI12" s="3">
        <v>0</v>
      </c>
      <c r="AJ12" s="3">
        <v>0</v>
      </c>
      <c r="AK12" s="3">
        <v>4850940725.5100002</v>
      </c>
      <c r="AL12" s="3">
        <v>206653333.22</v>
      </c>
      <c r="AM12" s="3">
        <v>2717048289.1799998</v>
      </c>
      <c r="AN12" s="3">
        <v>0</v>
      </c>
      <c r="AO12" s="3">
        <v>0</v>
      </c>
      <c r="AP12" s="3">
        <v>2923701622.4000001</v>
      </c>
      <c r="AQ12" s="3">
        <v>237750000</v>
      </c>
      <c r="AR12" s="3">
        <v>2045830000</v>
      </c>
      <c r="AS12" s="3">
        <v>0</v>
      </c>
      <c r="AT12" s="3">
        <v>0</v>
      </c>
      <c r="AU12" s="3">
        <v>2283580000</v>
      </c>
      <c r="AV12" s="3">
        <v>237750000</v>
      </c>
      <c r="AW12" s="3">
        <v>1487132000</v>
      </c>
      <c r="AX12" s="3">
        <v>0</v>
      </c>
      <c r="AY12" s="3">
        <v>0</v>
      </c>
      <c r="AZ12" s="3">
        <v>1724882000</v>
      </c>
      <c r="BA12" s="3">
        <v>237750000</v>
      </c>
      <c r="BB12" s="3">
        <v>1487132000</v>
      </c>
      <c r="BC12" s="3">
        <v>0</v>
      </c>
      <c r="BD12" s="3">
        <v>0</v>
      </c>
      <c r="BE12" s="3">
        <v>1724882000</v>
      </c>
      <c r="BF12" s="3">
        <v>237750000</v>
      </c>
      <c r="BG12" s="3">
        <v>1384558000</v>
      </c>
      <c r="BH12" s="3">
        <v>0</v>
      </c>
      <c r="BI12" s="3">
        <v>0</v>
      </c>
      <c r="BJ12" s="3">
        <v>1622308000</v>
      </c>
      <c r="BK12" s="3">
        <v>237750000</v>
      </c>
      <c r="BL12" s="3">
        <v>1384558000</v>
      </c>
      <c r="BM12" s="3">
        <v>0</v>
      </c>
      <c r="BN12" s="3">
        <v>0</v>
      </c>
      <c r="BO12" s="3">
        <v>1622308000</v>
      </c>
      <c r="BP12" s="3">
        <v>235023217.36000001</v>
      </c>
      <c r="BQ12" s="3">
        <v>1302451752.98</v>
      </c>
      <c r="BR12" s="3">
        <v>0</v>
      </c>
      <c r="BS12" s="3">
        <v>0</v>
      </c>
      <c r="BT12" s="3">
        <v>1537474970.3399999</v>
      </c>
      <c r="BU12" s="3">
        <v>221202393.68000001</v>
      </c>
      <c r="BV12" s="3">
        <v>1275592831.21</v>
      </c>
      <c r="BW12" s="3">
        <v>0</v>
      </c>
      <c r="BX12" s="3">
        <v>0</v>
      </c>
      <c r="BY12" s="3">
        <v>1496795224.8900001</v>
      </c>
      <c r="BZ12" s="3">
        <v>238584000</v>
      </c>
      <c r="CA12" s="3">
        <v>2760290000</v>
      </c>
      <c r="CB12" s="3">
        <v>0</v>
      </c>
      <c r="CC12" s="3">
        <v>0</v>
      </c>
      <c r="CD12" s="3">
        <v>2998874000</v>
      </c>
      <c r="CE12" s="3">
        <v>238584000</v>
      </c>
      <c r="CF12" s="3">
        <v>5213290000</v>
      </c>
      <c r="CG12" s="3">
        <v>0</v>
      </c>
      <c r="CH12" s="3">
        <v>0</v>
      </c>
      <c r="CI12" s="3">
        <v>5451874000</v>
      </c>
      <c r="CJ12" s="3">
        <v>238584000</v>
      </c>
      <c r="CK12" s="3">
        <v>5213290000</v>
      </c>
      <c r="CL12" s="3">
        <v>0</v>
      </c>
      <c r="CM12" s="3">
        <v>0</v>
      </c>
      <c r="CN12" s="3">
        <v>5451874000</v>
      </c>
      <c r="CO12" s="3">
        <v>238584000</v>
      </c>
      <c r="CP12" s="3">
        <v>4068415000</v>
      </c>
      <c r="CQ12" s="3">
        <v>0</v>
      </c>
      <c r="CR12" s="3">
        <v>0</v>
      </c>
      <c r="CS12" s="3">
        <v>4306999000</v>
      </c>
      <c r="CT12" s="3">
        <v>238584000</v>
      </c>
      <c r="CU12" s="3">
        <v>4068415000</v>
      </c>
      <c r="CV12" s="3">
        <v>0</v>
      </c>
      <c r="CW12" s="3">
        <v>0</v>
      </c>
      <c r="CX12" s="3">
        <v>4306999000</v>
      </c>
      <c r="CY12" s="3">
        <v>237061726.12</v>
      </c>
      <c r="CZ12" s="3">
        <v>2809751687.2800002</v>
      </c>
      <c r="DA12" s="3">
        <v>0</v>
      </c>
      <c r="DB12" s="3">
        <v>0</v>
      </c>
      <c r="DC12" s="3">
        <v>3046813413.4000001</v>
      </c>
      <c r="DD12" s="3">
        <v>233425592.22999999</v>
      </c>
      <c r="DE12" s="3">
        <v>1843187809.0999999</v>
      </c>
      <c r="DF12" s="3">
        <v>0</v>
      </c>
      <c r="DG12" s="3">
        <v>0</v>
      </c>
      <c r="DH12" s="3">
        <v>2076613401.3299999</v>
      </c>
      <c r="DI12" s="3">
        <v>262984000</v>
      </c>
      <c r="DJ12" s="3">
        <v>4006226000</v>
      </c>
      <c r="DK12" s="3">
        <v>0</v>
      </c>
      <c r="DL12" s="3">
        <v>0</v>
      </c>
      <c r="DM12" s="3">
        <v>4269210000</v>
      </c>
      <c r="DN12" s="3">
        <v>262984000</v>
      </c>
      <c r="DO12" s="3">
        <v>4016226000</v>
      </c>
      <c r="DP12" s="3">
        <v>0</v>
      </c>
      <c r="DQ12" s="3">
        <v>0</v>
      </c>
      <c r="DR12" s="3">
        <v>4279210000</v>
      </c>
      <c r="DS12" s="3">
        <v>262984000</v>
      </c>
      <c r="DT12" s="3">
        <v>4016226000</v>
      </c>
      <c r="DU12" s="3">
        <v>0</v>
      </c>
      <c r="DV12" s="3">
        <v>0</v>
      </c>
      <c r="DW12" s="3">
        <v>4279210000</v>
      </c>
      <c r="DX12" s="3">
        <v>320729920</v>
      </c>
      <c r="DY12" s="3">
        <v>3958480080</v>
      </c>
      <c r="DZ12" s="3">
        <v>0</v>
      </c>
      <c r="EA12" s="3">
        <v>0</v>
      </c>
      <c r="EB12" s="3">
        <v>4279210000</v>
      </c>
      <c r="EC12" s="3">
        <v>320729920</v>
      </c>
      <c r="ED12" s="3">
        <v>3958480080</v>
      </c>
      <c r="EE12" s="3">
        <v>0</v>
      </c>
      <c r="EF12" s="3">
        <v>0</v>
      </c>
      <c r="EG12" s="3">
        <v>4279210000</v>
      </c>
      <c r="EH12" s="3">
        <v>318879861.87</v>
      </c>
      <c r="EI12" s="3">
        <v>3691124834.6799998</v>
      </c>
      <c r="EJ12" s="3">
        <v>0</v>
      </c>
      <c r="EK12" s="3">
        <v>0</v>
      </c>
      <c r="EL12" s="3">
        <v>4010004696.5500002</v>
      </c>
      <c r="EM12" s="3">
        <v>302485583.89999998</v>
      </c>
      <c r="EN12" s="3">
        <v>3309834323.73</v>
      </c>
      <c r="EO12" s="3">
        <v>0</v>
      </c>
      <c r="EP12" s="3">
        <v>0</v>
      </c>
      <c r="EQ12" s="3">
        <v>3612319907.6300001</v>
      </c>
      <c r="ER12" s="3">
        <v>358662000</v>
      </c>
      <c r="ES12" s="3">
        <v>4506226000</v>
      </c>
      <c r="ET12" s="3">
        <v>0</v>
      </c>
      <c r="EU12" s="3">
        <v>0</v>
      </c>
      <c r="EV12" s="3">
        <v>4864888000</v>
      </c>
      <c r="EW12" s="3">
        <v>358662000</v>
      </c>
      <c r="EX12" s="3">
        <v>4394426000</v>
      </c>
      <c r="EY12" s="3">
        <v>0</v>
      </c>
      <c r="EZ12" s="3">
        <v>0</v>
      </c>
      <c r="FA12" s="3">
        <v>4753088000</v>
      </c>
      <c r="FB12" s="3">
        <v>358662000</v>
      </c>
      <c r="FC12" s="3">
        <v>4394426000</v>
      </c>
      <c r="FD12" s="3">
        <v>0</v>
      </c>
      <c r="FE12" s="3">
        <v>0</v>
      </c>
      <c r="FF12" s="3">
        <v>4753088000</v>
      </c>
      <c r="FG12" s="3">
        <v>360362000</v>
      </c>
      <c r="FH12" s="3">
        <v>4392726000</v>
      </c>
      <c r="FI12" s="3">
        <v>0</v>
      </c>
      <c r="FJ12" s="3">
        <v>0</v>
      </c>
      <c r="FK12" s="3">
        <v>4753088000</v>
      </c>
      <c r="FL12" s="3">
        <v>360362000</v>
      </c>
      <c r="FM12" s="3">
        <v>4392726000</v>
      </c>
      <c r="FN12" s="3">
        <v>0</v>
      </c>
      <c r="FO12" s="3">
        <v>0</v>
      </c>
      <c r="FP12" s="3">
        <v>4753088000</v>
      </c>
      <c r="FQ12" s="3">
        <v>359713395.77999997</v>
      </c>
      <c r="FR12" s="3">
        <v>4282122353.21</v>
      </c>
      <c r="FS12" s="3">
        <v>0</v>
      </c>
      <c r="FT12" s="3">
        <v>0</v>
      </c>
      <c r="FU12" s="3">
        <v>4641835748.9899998</v>
      </c>
      <c r="FV12" s="3">
        <v>340861381.85000002</v>
      </c>
      <c r="FW12" s="3">
        <v>4060715375.25</v>
      </c>
      <c r="FX12" s="3">
        <v>0</v>
      </c>
      <c r="FY12" s="3">
        <v>0</v>
      </c>
      <c r="FZ12" s="3">
        <v>4401576757.1000004</v>
      </c>
      <c r="GA12" s="3">
        <v>424096000</v>
      </c>
      <c r="GB12" s="3">
        <v>4006226000</v>
      </c>
      <c r="GC12" s="3">
        <v>0</v>
      </c>
      <c r="GD12" s="3">
        <v>0</v>
      </c>
      <c r="GE12" s="3">
        <v>4430322000</v>
      </c>
      <c r="GF12" s="3">
        <v>424096000</v>
      </c>
      <c r="GG12" s="3">
        <v>6035208000</v>
      </c>
      <c r="GH12" s="3">
        <v>0</v>
      </c>
      <c r="GI12" s="3">
        <v>0</v>
      </c>
      <c r="GJ12" s="3">
        <v>6459304000</v>
      </c>
      <c r="GK12" s="3">
        <v>424096000</v>
      </c>
      <c r="GL12" s="3">
        <v>6035208000</v>
      </c>
      <c r="GM12" s="3">
        <v>0</v>
      </c>
      <c r="GN12" s="3">
        <v>0</v>
      </c>
      <c r="GO12" s="3">
        <v>6459304000</v>
      </c>
      <c r="GP12" s="3">
        <v>430253760</v>
      </c>
      <c r="GQ12" s="3">
        <v>5890807096</v>
      </c>
      <c r="GR12" s="3">
        <v>0</v>
      </c>
      <c r="GS12" s="3">
        <v>0</v>
      </c>
      <c r="GT12" s="3">
        <v>6321060856</v>
      </c>
      <c r="GU12" s="3">
        <v>430253760</v>
      </c>
      <c r="GV12" s="3">
        <v>5890807096</v>
      </c>
      <c r="GW12" s="3">
        <v>0</v>
      </c>
      <c r="GX12" s="3">
        <v>0</v>
      </c>
      <c r="GY12" s="3">
        <v>6321060856</v>
      </c>
      <c r="GZ12" s="3">
        <v>426196051.06999999</v>
      </c>
      <c r="HA12" s="3">
        <v>5020574361.3800001</v>
      </c>
      <c r="HB12" s="3">
        <v>0</v>
      </c>
      <c r="HC12" s="3">
        <v>0</v>
      </c>
      <c r="HD12" s="3">
        <v>5446770412.4499998</v>
      </c>
      <c r="HE12" s="3">
        <v>403984168.63999999</v>
      </c>
      <c r="HF12" s="3">
        <v>4080073347.0300002</v>
      </c>
      <c r="HG12" s="3">
        <v>0</v>
      </c>
      <c r="HH12" s="3">
        <v>0</v>
      </c>
      <c r="HI12" s="3">
        <v>4484057515.6700001</v>
      </c>
      <c r="HJ12" s="3">
        <v>426423000</v>
      </c>
      <c r="HK12" s="3">
        <v>5195549000</v>
      </c>
      <c r="HL12" s="3">
        <v>0</v>
      </c>
      <c r="HM12" s="3">
        <v>0</v>
      </c>
      <c r="HN12" s="3">
        <v>5621972000</v>
      </c>
      <c r="HO12" s="3">
        <v>426423000</v>
      </c>
      <c r="HP12" s="3">
        <v>7204668000</v>
      </c>
      <c r="HQ12" s="3">
        <v>0</v>
      </c>
      <c r="HR12" s="3">
        <v>0</v>
      </c>
      <c r="HS12" s="3">
        <v>7631091000</v>
      </c>
      <c r="HT12" s="3">
        <v>426423000</v>
      </c>
      <c r="HU12" s="3">
        <v>7204668000</v>
      </c>
      <c r="HV12" s="3">
        <v>0</v>
      </c>
      <c r="HW12" s="3">
        <v>0</v>
      </c>
      <c r="HX12" s="3">
        <v>7631091000</v>
      </c>
      <c r="HY12" s="3">
        <v>477501547.07999998</v>
      </c>
      <c r="HZ12" s="3">
        <v>6942243452.9200001</v>
      </c>
      <c r="IA12" s="3">
        <v>0</v>
      </c>
      <c r="IB12" s="3">
        <v>0</v>
      </c>
      <c r="IC12" s="3">
        <v>7419745000</v>
      </c>
      <c r="ID12" s="3">
        <v>477501547.07999998</v>
      </c>
      <c r="IE12" s="3">
        <v>6942243452.9200001</v>
      </c>
      <c r="IF12" s="3">
        <v>0</v>
      </c>
      <c r="IG12" s="3">
        <v>0</v>
      </c>
      <c r="IH12" s="3">
        <v>7419745000</v>
      </c>
      <c r="II12" s="3">
        <v>477336109.48000002</v>
      </c>
      <c r="IJ12" s="3">
        <v>6835708742.3299999</v>
      </c>
      <c r="IK12" s="3">
        <v>0</v>
      </c>
      <c r="IL12" s="3">
        <v>0</v>
      </c>
      <c r="IM12" s="3">
        <v>7313044851.8100004</v>
      </c>
      <c r="IN12" s="3">
        <v>421274843.31999999</v>
      </c>
      <c r="IO12" s="3">
        <v>5975638517.9200001</v>
      </c>
      <c r="IP12" s="3">
        <v>0</v>
      </c>
      <c r="IQ12" s="3">
        <v>0</v>
      </c>
      <c r="IR12" s="3">
        <v>6396913361.2399998</v>
      </c>
      <c r="IS12" s="3">
        <v>426878000</v>
      </c>
      <c r="IT12" s="3">
        <v>4006226000</v>
      </c>
      <c r="IU12" s="3">
        <v>0</v>
      </c>
      <c r="IV12" s="3">
        <v>0</v>
      </c>
      <c r="IW12" s="3">
        <v>4433104000</v>
      </c>
      <c r="IX12" s="3">
        <v>426878000</v>
      </c>
      <c r="IY12" s="3">
        <v>5858726000</v>
      </c>
      <c r="IZ12" s="3">
        <v>0</v>
      </c>
      <c r="JA12" s="3">
        <v>0</v>
      </c>
      <c r="JB12" s="3">
        <v>6285604000</v>
      </c>
      <c r="JC12" s="3">
        <v>426878000</v>
      </c>
      <c r="JD12" s="3">
        <v>5858726000</v>
      </c>
      <c r="JE12" s="3">
        <v>0</v>
      </c>
      <c r="JF12" s="3">
        <v>0</v>
      </c>
      <c r="JG12" s="3">
        <v>6285604000</v>
      </c>
      <c r="JH12" s="3">
        <v>449331814.60000002</v>
      </c>
      <c r="JI12" s="3">
        <v>5707528185.3999996</v>
      </c>
      <c r="JJ12" s="3">
        <v>0</v>
      </c>
      <c r="JK12" s="3">
        <v>0</v>
      </c>
      <c r="JL12" s="3">
        <v>449331814.60000002</v>
      </c>
      <c r="JM12" s="3">
        <v>449331814.60000002</v>
      </c>
      <c r="JN12" s="3">
        <v>5707528185.3999996</v>
      </c>
      <c r="JO12" s="3">
        <v>0</v>
      </c>
      <c r="JP12" s="3">
        <v>0</v>
      </c>
      <c r="JQ12" s="3">
        <v>6156860000</v>
      </c>
      <c r="JR12" s="3">
        <v>449331814.60000002</v>
      </c>
      <c r="JS12" s="3">
        <v>5601456402.1499996</v>
      </c>
      <c r="JT12" s="3">
        <v>0</v>
      </c>
      <c r="JU12" s="3">
        <v>0</v>
      </c>
      <c r="JV12" s="3">
        <v>6050788216.75</v>
      </c>
      <c r="JW12" s="3">
        <v>427699434.58999997</v>
      </c>
      <c r="JX12" s="3">
        <v>5337590115.1000004</v>
      </c>
      <c r="JY12" s="3">
        <v>0</v>
      </c>
      <c r="JZ12" s="3">
        <v>0</v>
      </c>
      <c r="KA12" s="3">
        <v>5765289549.6899996</v>
      </c>
      <c r="KB12" s="3">
        <v>489537000</v>
      </c>
      <c r="KC12" s="3">
        <v>4006226000</v>
      </c>
      <c r="KD12" s="3">
        <v>0</v>
      </c>
      <c r="KE12" s="3">
        <v>0</v>
      </c>
      <c r="KF12" s="3">
        <v>4495763000</v>
      </c>
      <c r="KG12" s="3">
        <v>489537000</v>
      </c>
      <c r="KH12" s="3">
        <v>4816226000</v>
      </c>
      <c r="KI12" s="3">
        <v>0</v>
      </c>
      <c r="KJ12" s="3">
        <v>0</v>
      </c>
      <c r="KK12" s="3">
        <v>5305763000</v>
      </c>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v>511383000</v>
      </c>
      <c r="LL12" s="3">
        <v>4606226000</v>
      </c>
      <c r="LM12" s="3">
        <v>0</v>
      </c>
      <c r="LN12" s="3">
        <v>0</v>
      </c>
      <c r="LO12" s="3">
        <v>5117609000</v>
      </c>
      <c r="LP12" s="3"/>
      <c r="LQ12" s="3"/>
      <c r="LR12" s="3"/>
      <c r="LS12" s="3"/>
      <c r="LT12" s="3"/>
    </row>
    <row r="13" spans="1:332" x14ac:dyDescent="0.25">
      <c r="A13" t="s">
        <v>685</v>
      </c>
      <c r="B13" t="s">
        <v>686</v>
      </c>
      <c r="C13" t="s">
        <v>199</v>
      </c>
      <c r="D13" t="s">
        <v>200</v>
      </c>
      <c r="E13" t="s">
        <v>217</v>
      </c>
      <c r="F13" t="s">
        <v>642</v>
      </c>
      <c r="G13" t="s">
        <v>759</v>
      </c>
      <c r="H13" s="3"/>
      <c r="I13" s="3"/>
      <c r="J13" s="3"/>
      <c r="K13" s="3"/>
      <c r="L13" s="3"/>
      <c r="M13" s="3">
        <v>0</v>
      </c>
      <c r="N13" s="3">
        <v>50000000</v>
      </c>
      <c r="O13" s="3">
        <v>0</v>
      </c>
      <c r="P13" s="3">
        <v>0</v>
      </c>
      <c r="Q13" s="3">
        <v>50000000</v>
      </c>
      <c r="R13" s="3">
        <v>0</v>
      </c>
      <c r="S13" s="3">
        <v>50000000</v>
      </c>
      <c r="T13" s="3">
        <v>0</v>
      </c>
      <c r="U13" s="3">
        <v>0</v>
      </c>
      <c r="V13" s="3">
        <v>50000000</v>
      </c>
      <c r="W13" s="3">
        <v>0</v>
      </c>
      <c r="X13" s="3">
        <v>50000000</v>
      </c>
      <c r="Y13" s="3">
        <v>0</v>
      </c>
      <c r="Z13" s="3">
        <v>0</v>
      </c>
      <c r="AA13" s="3">
        <v>50000000</v>
      </c>
      <c r="AB13" s="3">
        <v>0</v>
      </c>
      <c r="AC13" s="3">
        <v>50000000</v>
      </c>
      <c r="AD13" s="3">
        <v>0</v>
      </c>
      <c r="AE13" s="3">
        <v>0</v>
      </c>
      <c r="AF13" s="3">
        <v>50000000</v>
      </c>
      <c r="AG13" s="3">
        <v>0</v>
      </c>
      <c r="AH13" s="3">
        <v>40108498.549999997</v>
      </c>
      <c r="AI13" s="3">
        <v>0</v>
      </c>
      <c r="AJ13" s="3">
        <v>0</v>
      </c>
      <c r="AK13" s="3">
        <v>40108498.549999997</v>
      </c>
      <c r="AL13" s="3">
        <v>0</v>
      </c>
      <c r="AM13" s="3">
        <v>0</v>
      </c>
      <c r="AN13" s="3">
        <v>0</v>
      </c>
      <c r="AO13" s="3">
        <v>0</v>
      </c>
      <c r="AP13" s="3">
        <v>0</v>
      </c>
      <c r="AQ13" s="3"/>
      <c r="AR13" s="3"/>
      <c r="AS13" s="3"/>
      <c r="AT13" s="3"/>
      <c r="AU13" s="3"/>
      <c r="AV13" s="3">
        <v>0</v>
      </c>
      <c r="AW13" s="3">
        <v>50000000</v>
      </c>
      <c r="AX13" s="3">
        <v>0</v>
      </c>
      <c r="AY13" s="3">
        <v>0</v>
      </c>
      <c r="AZ13" s="3">
        <v>50000000</v>
      </c>
      <c r="BA13" s="3">
        <v>0</v>
      </c>
      <c r="BB13" s="3">
        <v>50000000</v>
      </c>
      <c r="BC13" s="3">
        <v>0</v>
      </c>
      <c r="BD13" s="3">
        <v>0</v>
      </c>
      <c r="BE13" s="3">
        <v>50000000</v>
      </c>
      <c r="BF13" s="3">
        <v>0</v>
      </c>
      <c r="BG13" s="3">
        <v>50000000</v>
      </c>
      <c r="BH13" s="3">
        <v>0</v>
      </c>
      <c r="BI13" s="3">
        <v>0</v>
      </c>
      <c r="BJ13" s="3">
        <v>50000000</v>
      </c>
      <c r="BK13" s="3">
        <v>0</v>
      </c>
      <c r="BL13" s="3">
        <v>6369154</v>
      </c>
      <c r="BM13" s="3">
        <v>0</v>
      </c>
      <c r="BN13" s="3">
        <v>0</v>
      </c>
      <c r="BO13" s="3">
        <v>6369154</v>
      </c>
      <c r="BP13" s="3">
        <v>0</v>
      </c>
      <c r="BQ13" s="3">
        <v>259412.85</v>
      </c>
      <c r="BR13" s="3">
        <v>0</v>
      </c>
      <c r="BS13" s="3">
        <v>0</v>
      </c>
      <c r="BT13" s="3">
        <v>259412.85</v>
      </c>
      <c r="BU13" s="3">
        <v>0</v>
      </c>
      <c r="BV13" s="3">
        <v>142243.12</v>
      </c>
      <c r="BW13" s="3">
        <v>0</v>
      </c>
      <c r="BX13" s="3">
        <v>0</v>
      </c>
      <c r="BY13" s="3">
        <v>142243.12</v>
      </c>
      <c r="BZ13" s="3"/>
      <c r="CA13" s="3"/>
      <c r="CB13" s="3"/>
      <c r="CC13" s="3"/>
      <c r="CD13" s="3"/>
      <c r="CE13" s="3">
        <v>0</v>
      </c>
      <c r="CF13" s="3">
        <v>620000000</v>
      </c>
      <c r="CG13" s="3">
        <v>0</v>
      </c>
      <c r="CH13" s="3">
        <v>0</v>
      </c>
      <c r="CI13" s="3">
        <v>620000000</v>
      </c>
      <c r="CJ13" s="3">
        <v>0</v>
      </c>
      <c r="CK13" s="3">
        <v>620000000</v>
      </c>
      <c r="CL13" s="3">
        <v>0</v>
      </c>
      <c r="CM13" s="3">
        <v>0</v>
      </c>
      <c r="CN13" s="3">
        <v>620000000</v>
      </c>
      <c r="CO13" s="3">
        <v>0</v>
      </c>
      <c r="CP13" s="3">
        <v>620000000</v>
      </c>
      <c r="CQ13" s="3">
        <v>0</v>
      </c>
      <c r="CR13" s="3">
        <v>0</v>
      </c>
      <c r="CS13" s="3">
        <v>620000000</v>
      </c>
      <c r="CT13" s="3">
        <v>0</v>
      </c>
      <c r="CU13" s="3">
        <v>620000000</v>
      </c>
      <c r="CV13" s="3">
        <v>0</v>
      </c>
      <c r="CW13" s="3">
        <v>0</v>
      </c>
      <c r="CX13" s="3">
        <v>620000000</v>
      </c>
      <c r="CY13" s="3">
        <v>0</v>
      </c>
      <c r="CZ13" s="3">
        <v>163824908.78999999</v>
      </c>
      <c r="DA13" s="3">
        <v>0</v>
      </c>
      <c r="DB13" s="3">
        <v>0</v>
      </c>
      <c r="DC13" s="3">
        <v>163824908.78999999</v>
      </c>
      <c r="DD13" s="3">
        <v>0</v>
      </c>
      <c r="DE13" s="3">
        <v>91047415.489999995</v>
      </c>
      <c r="DF13" s="3">
        <v>0</v>
      </c>
      <c r="DG13" s="3">
        <v>0</v>
      </c>
      <c r="DH13" s="3">
        <v>91047415.489999995</v>
      </c>
      <c r="DI13" s="3">
        <v>0</v>
      </c>
      <c r="DJ13" s="3">
        <v>2205310000</v>
      </c>
      <c r="DK13" s="3">
        <v>0</v>
      </c>
      <c r="DL13" s="3">
        <v>0</v>
      </c>
      <c r="DM13" s="3">
        <v>2205310000</v>
      </c>
      <c r="DN13" s="3">
        <v>0</v>
      </c>
      <c r="DO13" s="3">
        <v>2205310000</v>
      </c>
      <c r="DP13" s="3">
        <v>0</v>
      </c>
      <c r="DQ13" s="3">
        <v>0</v>
      </c>
      <c r="DR13" s="3">
        <v>2205310000</v>
      </c>
      <c r="DS13" s="3">
        <v>0</v>
      </c>
      <c r="DT13" s="3">
        <v>2205310000</v>
      </c>
      <c r="DU13" s="3">
        <v>0</v>
      </c>
      <c r="DV13" s="3">
        <v>0</v>
      </c>
      <c r="DW13" s="3">
        <v>2205310000</v>
      </c>
      <c r="DX13" s="3">
        <v>0</v>
      </c>
      <c r="DY13" s="3">
        <v>2205310000</v>
      </c>
      <c r="DZ13" s="3">
        <v>0</v>
      </c>
      <c r="EA13" s="3">
        <v>0</v>
      </c>
      <c r="EB13" s="3">
        <v>2205310000</v>
      </c>
      <c r="EC13" s="3">
        <v>0</v>
      </c>
      <c r="ED13" s="3">
        <v>2205310000</v>
      </c>
      <c r="EE13" s="3">
        <v>0</v>
      </c>
      <c r="EF13" s="3">
        <v>0</v>
      </c>
      <c r="EG13" s="3">
        <v>2205310000</v>
      </c>
      <c r="EH13" s="3">
        <v>0</v>
      </c>
      <c r="EI13" s="3">
        <v>696536965.46000004</v>
      </c>
      <c r="EJ13" s="3">
        <v>0</v>
      </c>
      <c r="EK13" s="3">
        <v>0</v>
      </c>
      <c r="EL13" s="3">
        <v>696536965.46000004</v>
      </c>
      <c r="EM13" s="3">
        <v>0</v>
      </c>
      <c r="EN13" s="3">
        <v>320989906.04000002</v>
      </c>
      <c r="EO13" s="3">
        <v>0</v>
      </c>
      <c r="EP13" s="3">
        <v>0</v>
      </c>
      <c r="EQ13" s="3">
        <v>320989906.04000002</v>
      </c>
      <c r="ER13" s="3">
        <v>0</v>
      </c>
      <c r="ES13" s="3">
        <v>2705310000</v>
      </c>
      <c r="ET13" s="3">
        <v>0</v>
      </c>
      <c r="EU13" s="3">
        <v>0</v>
      </c>
      <c r="EV13" s="3">
        <v>2705310000</v>
      </c>
      <c r="EW13" s="3">
        <v>0</v>
      </c>
      <c r="EX13" s="3">
        <v>4705310000</v>
      </c>
      <c r="EY13" s="3">
        <v>0</v>
      </c>
      <c r="EZ13" s="3">
        <v>0</v>
      </c>
      <c r="FA13" s="3">
        <v>4705310000</v>
      </c>
      <c r="FB13" s="3">
        <v>0</v>
      </c>
      <c r="FC13" s="3">
        <v>4705310000</v>
      </c>
      <c r="FD13" s="3">
        <v>0</v>
      </c>
      <c r="FE13" s="3">
        <v>0</v>
      </c>
      <c r="FF13" s="3">
        <v>4705310000</v>
      </c>
      <c r="FG13" s="3">
        <v>0</v>
      </c>
      <c r="FH13" s="3">
        <v>4705310000</v>
      </c>
      <c r="FI13" s="3">
        <v>0</v>
      </c>
      <c r="FJ13" s="3">
        <v>0</v>
      </c>
      <c r="FK13" s="3">
        <v>4705310000</v>
      </c>
      <c r="FL13" s="3">
        <v>0</v>
      </c>
      <c r="FM13" s="3">
        <v>4705310000</v>
      </c>
      <c r="FN13" s="3">
        <v>0</v>
      </c>
      <c r="FO13" s="3">
        <v>0</v>
      </c>
      <c r="FP13" s="3">
        <v>4705310000</v>
      </c>
      <c r="FQ13" s="3">
        <v>0</v>
      </c>
      <c r="FR13" s="3">
        <v>3894049449.3699999</v>
      </c>
      <c r="FS13" s="3">
        <v>0</v>
      </c>
      <c r="FT13" s="3">
        <v>0</v>
      </c>
      <c r="FU13" s="3">
        <v>3894049449.3699999</v>
      </c>
      <c r="FV13" s="3">
        <v>0</v>
      </c>
      <c r="FW13" s="3">
        <v>1999566419.8599999</v>
      </c>
      <c r="FX13" s="3">
        <v>0</v>
      </c>
      <c r="FY13" s="3">
        <v>0</v>
      </c>
      <c r="FZ13" s="3">
        <v>1999566419.8599999</v>
      </c>
      <c r="GA13" s="3">
        <v>0</v>
      </c>
      <c r="GB13" s="3">
        <v>2065761000</v>
      </c>
      <c r="GC13" s="3">
        <v>0</v>
      </c>
      <c r="GD13" s="3">
        <v>0</v>
      </c>
      <c r="GE13" s="3">
        <v>2065761000</v>
      </c>
      <c r="GF13" s="3">
        <v>0</v>
      </c>
      <c r="GG13" s="3">
        <v>3565761000</v>
      </c>
      <c r="GH13" s="3">
        <v>0</v>
      </c>
      <c r="GI13" s="3">
        <v>0</v>
      </c>
      <c r="GJ13" s="3">
        <v>3565761000</v>
      </c>
      <c r="GK13" s="3">
        <v>0</v>
      </c>
      <c r="GL13" s="3">
        <v>3565761000</v>
      </c>
      <c r="GM13" s="3">
        <v>0</v>
      </c>
      <c r="GN13" s="3">
        <v>0</v>
      </c>
      <c r="GO13" s="3">
        <v>3565761000</v>
      </c>
      <c r="GP13" s="3">
        <v>0</v>
      </c>
      <c r="GQ13" s="3">
        <v>3565761000</v>
      </c>
      <c r="GR13" s="3">
        <v>0</v>
      </c>
      <c r="GS13" s="3">
        <v>0</v>
      </c>
      <c r="GT13" s="3">
        <v>3565761000</v>
      </c>
      <c r="GU13" s="3">
        <v>0</v>
      </c>
      <c r="GV13" s="3">
        <v>3565761000</v>
      </c>
      <c r="GW13" s="3">
        <v>0</v>
      </c>
      <c r="GX13" s="3">
        <v>0</v>
      </c>
      <c r="GY13" s="3">
        <v>3565761000</v>
      </c>
      <c r="GZ13" s="3">
        <v>0</v>
      </c>
      <c r="HA13" s="3">
        <v>2179866717.4200001</v>
      </c>
      <c r="HB13" s="3">
        <v>0</v>
      </c>
      <c r="HC13" s="3">
        <v>0</v>
      </c>
      <c r="HD13" s="3">
        <v>2179866717.4200001</v>
      </c>
      <c r="HE13" s="3">
        <v>0</v>
      </c>
      <c r="HF13" s="3">
        <v>1725314231.71</v>
      </c>
      <c r="HG13" s="3">
        <v>0</v>
      </c>
      <c r="HH13" s="3">
        <v>0</v>
      </c>
      <c r="HI13" s="3">
        <v>1725314231.71</v>
      </c>
      <c r="HJ13" s="3">
        <v>0</v>
      </c>
      <c r="HK13" s="3">
        <v>1934709000</v>
      </c>
      <c r="HL13" s="3">
        <v>0</v>
      </c>
      <c r="HM13" s="3">
        <v>0</v>
      </c>
      <c r="HN13" s="3">
        <v>1934709000</v>
      </c>
      <c r="HO13" s="3">
        <v>0</v>
      </c>
      <c r="HP13" s="3">
        <v>2184709000</v>
      </c>
      <c r="HQ13" s="3">
        <v>0</v>
      </c>
      <c r="HR13" s="3">
        <v>0</v>
      </c>
      <c r="HS13" s="3">
        <v>2184709000</v>
      </c>
      <c r="HT13" s="3">
        <v>0</v>
      </c>
      <c r="HU13" s="3">
        <v>2184709000</v>
      </c>
      <c r="HV13" s="3">
        <v>0</v>
      </c>
      <c r="HW13" s="3">
        <v>0</v>
      </c>
      <c r="HX13" s="3">
        <v>2184709000</v>
      </c>
      <c r="HY13" s="3">
        <v>0</v>
      </c>
      <c r="HZ13" s="3">
        <v>2184709000</v>
      </c>
      <c r="IA13" s="3">
        <v>0</v>
      </c>
      <c r="IB13" s="3">
        <v>0</v>
      </c>
      <c r="IC13" s="3">
        <v>2184709000</v>
      </c>
      <c r="ID13" s="3">
        <v>0</v>
      </c>
      <c r="IE13" s="3">
        <v>2184709000</v>
      </c>
      <c r="IF13" s="3">
        <v>0</v>
      </c>
      <c r="IG13" s="3">
        <v>0</v>
      </c>
      <c r="IH13" s="3">
        <v>2184709000</v>
      </c>
      <c r="II13" s="3">
        <v>0</v>
      </c>
      <c r="IJ13" s="3">
        <v>1875877539.0999999</v>
      </c>
      <c r="IK13" s="3">
        <v>0</v>
      </c>
      <c r="IL13" s="3">
        <v>0</v>
      </c>
      <c r="IM13" s="3">
        <v>1875877539.0999999</v>
      </c>
      <c r="IN13" s="3">
        <v>0</v>
      </c>
      <c r="IO13" s="3">
        <v>1691199321.05</v>
      </c>
      <c r="IP13" s="3">
        <v>0</v>
      </c>
      <c r="IQ13" s="3">
        <v>0</v>
      </c>
      <c r="IR13" s="3">
        <v>1691199321.05</v>
      </c>
      <c r="IS13" s="3">
        <v>0</v>
      </c>
      <c r="IT13" s="3">
        <v>2110659000</v>
      </c>
      <c r="IU13" s="3">
        <v>0</v>
      </c>
      <c r="IV13" s="3">
        <v>0</v>
      </c>
      <c r="IW13" s="3">
        <v>2110659000</v>
      </c>
      <c r="IX13" s="3">
        <v>0</v>
      </c>
      <c r="IY13" s="3">
        <v>2110659000</v>
      </c>
      <c r="IZ13" s="3">
        <v>0</v>
      </c>
      <c r="JA13" s="3">
        <v>0</v>
      </c>
      <c r="JB13" s="3">
        <v>2110659000</v>
      </c>
      <c r="JC13" s="3">
        <v>0</v>
      </c>
      <c r="JD13" s="3">
        <v>2110659000</v>
      </c>
      <c r="JE13" s="3">
        <v>0</v>
      </c>
      <c r="JF13" s="3">
        <v>0</v>
      </c>
      <c r="JG13" s="3">
        <v>2110659000</v>
      </c>
      <c r="JH13" s="3">
        <v>0</v>
      </c>
      <c r="JI13" s="3">
        <v>2110659000</v>
      </c>
      <c r="JJ13" s="3">
        <v>0</v>
      </c>
      <c r="JK13" s="3">
        <v>0</v>
      </c>
      <c r="JL13" s="3">
        <v>2110659000</v>
      </c>
      <c r="JM13" s="3">
        <v>0</v>
      </c>
      <c r="JN13" s="3">
        <v>2110659000</v>
      </c>
      <c r="JO13" s="3">
        <v>0</v>
      </c>
      <c r="JP13" s="3">
        <v>0</v>
      </c>
      <c r="JQ13" s="3">
        <v>2110659000</v>
      </c>
      <c r="JR13" s="3">
        <v>0</v>
      </c>
      <c r="JS13" s="3">
        <v>1999536878.53</v>
      </c>
      <c r="JT13" s="3">
        <v>0</v>
      </c>
      <c r="JU13" s="3">
        <v>0</v>
      </c>
      <c r="JV13" s="3">
        <v>1999536878.53</v>
      </c>
      <c r="JW13" s="3">
        <v>0</v>
      </c>
      <c r="JX13" s="3">
        <v>1929196736.0999999</v>
      </c>
      <c r="JY13" s="3">
        <v>0</v>
      </c>
      <c r="JZ13" s="3">
        <v>0</v>
      </c>
      <c r="KA13" s="3">
        <v>1929196736.0999999</v>
      </c>
      <c r="KB13" s="3">
        <v>0</v>
      </c>
      <c r="KC13" s="3">
        <v>1780087000</v>
      </c>
      <c r="KD13" s="3">
        <v>0</v>
      </c>
      <c r="KE13" s="3">
        <v>0</v>
      </c>
      <c r="KF13" s="3">
        <v>1780087000</v>
      </c>
      <c r="KG13" s="3">
        <v>0</v>
      </c>
      <c r="KH13" s="3">
        <v>1780087000</v>
      </c>
      <c r="KI13" s="3">
        <v>0</v>
      </c>
      <c r="KJ13" s="3">
        <v>0</v>
      </c>
      <c r="KK13" s="3">
        <v>1780087000</v>
      </c>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v>0</v>
      </c>
      <c r="LL13" s="3">
        <v>880087000</v>
      </c>
      <c r="LM13" s="3">
        <v>0</v>
      </c>
      <c r="LN13" s="3">
        <v>0</v>
      </c>
      <c r="LO13" s="3">
        <v>880087000</v>
      </c>
      <c r="LP13" s="3"/>
      <c r="LQ13" s="3"/>
      <c r="LR13" s="3"/>
      <c r="LS13" s="3"/>
      <c r="LT13" s="3"/>
    </row>
    <row r="14" spans="1:332" x14ac:dyDescent="0.25">
      <c r="A14" t="s">
        <v>685</v>
      </c>
      <c r="B14" t="s">
        <v>686</v>
      </c>
      <c r="C14" t="s">
        <v>199</v>
      </c>
      <c r="D14" t="s">
        <v>200</v>
      </c>
      <c r="E14" t="s">
        <v>217</v>
      </c>
      <c r="F14" s="20" t="s">
        <v>641</v>
      </c>
      <c r="G14" t="s">
        <v>1368</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v>0</v>
      </c>
      <c r="LL14" s="3">
        <v>900000000</v>
      </c>
      <c r="LM14" s="3">
        <v>0</v>
      </c>
      <c r="LN14" s="3">
        <v>0</v>
      </c>
      <c r="LO14" s="3">
        <v>900000000</v>
      </c>
      <c r="LP14" s="3"/>
      <c r="LQ14" s="3"/>
      <c r="LR14" s="3"/>
      <c r="LS14" s="3"/>
      <c r="LT14" s="3"/>
    </row>
    <row r="15" spans="1:332" x14ac:dyDescent="0.25">
      <c r="A15" t="s">
        <v>685</v>
      </c>
      <c r="B15" t="s">
        <v>686</v>
      </c>
      <c r="C15" t="s">
        <v>199</v>
      </c>
      <c r="D15" t="s">
        <v>200</v>
      </c>
      <c r="E15" t="s">
        <v>217</v>
      </c>
      <c r="F15" t="s">
        <v>688</v>
      </c>
      <c r="G15" t="s">
        <v>822</v>
      </c>
      <c r="H15" s="3">
        <v>0</v>
      </c>
      <c r="I15" s="3">
        <v>5375085000</v>
      </c>
      <c r="J15" s="3">
        <v>0</v>
      </c>
      <c r="K15" s="3">
        <v>0</v>
      </c>
      <c r="L15" s="3">
        <v>5375085000</v>
      </c>
      <c r="M15" s="3">
        <v>0</v>
      </c>
      <c r="N15" s="3">
        <v>5375085000</v>
      </c>
      <c r="O15" s="3">
        <v>0</v>
      </c>
      <c r="P15" s="3">
        <v>0</v>
      </c>
      <c r="Q15" s="3">
        <v>5375085000</v>
      </c>
      <c r="R15" s="3">
        <v>0</v>
      </c>
      <c r="S15" s="3">
        <v>5375085000</v>
      </c>
      <c r="T15" s="3">
        <v>0</v>
      </c>
      <c r="U15" s="3">
        <v>0</v>
      </c>
      <c r="V15" s="3">
        <v>5375085000</v>
      </c>
      <c r="W15" s="3">
        <v>0</v>
      </c>
      <c r="X15" s="3">
        <v>5375085000</v>
      </c>
      <c r="Y15" s="3">
        <v>0</v>
      </c>
      <c r="Z15" s="3">
        <v>0</v>
      </c>
      <c r="AA15" s="3">
        <v>5375085000</v>
      </c>
      <c r="AB15" s="3">
        <v>0</v>
      </c>
      <c r="AC15" s="3">
        <v>5375085000</v>
      </c>
      <c r="AD15" s="3">
        <v>0</v>
      </c>
      <c r="AE15" s="3">
        <v>0</v>
      </c>
      <c r="AF15" s="3">
        <v>5375085000</v>
      </c>
      <c r="AG15" s="3">
        <v>0</v>
      </c>
      <c r="AH15" s="3">
        <v>4951667243.0699997</v>
      </c>
      <c r="AI15" s="3">
        <v>0</v>
      </c>
      <c r="AJ15" s="3">
        <v>0</v>
      </c>
      <c r="AK15" s="3">
        <v>4951667243.0699997</v>
      </c>
      <c r="AL15" s="3">
        <v>0</v>
      </c>
      <c r="AM15" s="3">
        <v>3118700577.21</v>
      </c>
      <c r="AN15" s="3">
        <v>0</v>
      </c>
      <c r="AO15" s="3">
        <v>0</v>
      </c>
      <c r="AP15" s="3">
        <v>3118700577.21</v>
      </c>
      <c r="AQ15" s="3">
        <v>0</v>
      </c>
      <c r="AR15" s="3">
        <v>2770271000</v>
      </c>
      <c r="AS15" s="3">
        <v>0</v>
      </c>
      <c r="AT15" s="3">
        <v>0</v>
      </c>
      <c r="AU15" s="3">
        <v>2770271000</v>
      </c>
      <c r="AV15" s="3">
        <v>0</v>
      </c>
      <c r="AW15" s="3">
        <v>2770271000</v>
      </c>
      <c r="AX15" s="3">
        <v>0</v>
      </c>
      <c r="AY15" s="3">
        <v>0</v>
      </c>
      <c r="AZ15" s="3">
        <v>2770271000</v>
      </c>
      <c r="BA15" s="3">
        <v>0</v>
      </c>
      <c r="BB15" s="3">
        <v>2770271000</v>
      </c>
      <c r="BC15" s="3">
        <v>0</v>
      </c>
      <c r="BD15" s="3">
        <v>0</v>
      </c>
      <c r="BE15" s="3">
        <v>2770271000</v>
      </c>
      <c r="BF15" s="3">
        <v>0</v>
      </c>
      <c r="BG15" s="3">
        <v>2770271000</v>
      </c>
      <c r="BH15" s="3">
        <v>0</v>
      </c>
      <c r="BI15" s="3">
        <v>0</v>
      </c>
      <c r="BJ15" s="3">
        <v>2770271000</v>
      </c>
      <c r="BK15" s="3">
        <v>0</v>
      </c>
      <c r="BL15" s="3">
        <v>2770271000</v>
      </c>
      <c r="BM15" s="3">
        <v>0</v>
      </c>
      <c r="BN15" s="3">
        <v>0</v>
      </c>
      <c r="BO15" s="3">
        <v>2770271000</v>
      </c>
      <c r="BP15" s="3">
        <v>0</v>
      </c>
      <c r="BQ15" s="3">
        <v>2226198628.0100002</v>
      </c>
      <c r="BR15" s="3">
        <v>0</v>
      </c>
      <c r="BS15" s="3">
        <v>0</v>
      </c>
      <c r="BT15" s="3">
        <v>2226198628.0100002</v>
      </c>
      <c r="BU15" s="3">
        <v>0</v>
      </c>
      <c r="BV15" s="3">
        <v>1992920581.28</v>
      </c>
      <c r="BW15" s="3">
        <v>0</v>
      </c>
      <c r="BX15" s="3">
        <v>0</v>
      </c>
      <c r="BY15" s="3">
        <v>1992920581.28</v>
      </c>
      <c r="BZ15" s="3">
        <v>0</v>
      </c>
      <c r="CA15" s="3">
        <v>1000000000</v>
      </c>
      <c r="CB15" s="3">
        <v>0</v>
      </c>
      <c r="CC15" s="3">
        <v>0</v>
      </c>
      <c r="CD15" s="3">
        <v>1000000000</v>
      </c>
      <c r="CE15" s="3">
        <v>0</v>
      </c>
      <c r="CF15" s="3">
        <v>1000000000</v>
      </c>
      <c r="CG15" s="3">
        <v>0</v>
      </c>
      <c r="CH15" s="3">
        <v>0</v>
      </c>
      <c r="CI15" s="3">
        <v>1000000000</v>
      </c>
      <c r="CJ15" s="3">
        <v>0</v>
      </c>
      <c r="CK15" s="3">
        <v>1000000000</v>
      </c>
      <c r="CL15" s="3">
        <v>0</v>
      </c>
      <c r="CM15" s="3">
        <v>0</v>
      </c>
      <c r="CN15" s="3">
        <v>1000000000</v>
      </c>
      <c r="CO15" s="3">
        <v>0</v>
      </c>
      <c r="CP15" s="3">
        <v>1000000000</v>
      </c>
      <c r="CQ15" s="3">
        <v>0</v>
      </c>
      <c r="CR15" s="3">
        <v>0</v>
      </c>
      <c r="CS15" s="3">
        <v>1000000000</v>
      </c>
      <c r="CT15" s="3">
        <v>0</v>
      </c>
      <c r="CU15" s="3">
        <v>1000000000</v>
      </c>
      <c r="CV15" s="3">
        <v>0</v>
      </c>
      <c r="CW15" s="3">
        <v>0</v>
      </c>
      <c r="CX15" s="3">
        <v>1000000000</v>
      </c>
      <c r="CY15" s="3">
        <v>0</v>
      </c>
      <c r="CZ15" s="3">
        <v>880019227.88999999</v>
      </c>
      <c r="DA15" s="3">
        <v>0</v>
      </c>
      <c r="DB15" s="3">
        <v>0</v>
      </c>
      <c r="DC15" s="3">
        <v>880019227.88999999</v>
      </c>
      <c r="DD15" s="3">
        <v>0</v>
      </c>
      <c r="DE15" s="3">
        <v>770195606.35000002</v>
      </c>
      <c r="DF15" s="3">
        <v>0</v>
      </c>
      <c r="DG15" s="3">
        <v>0</v>
      </c>
      <c r="DH15" s="3">
        <v>770195606.35000002</v>
      </c>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c r="LL15" s="3"/>
      <c r="LM15" s="3"/>
      <c r="LN15" s="3"/>
      <c r="LO15" s="3"/>
      <c r="LP15" s="3"/>
      <c r="LQ15" s="3"/>
      <c r="LR15" s="3"/>
      <c r="LS15" s="3"/>
      <c r="LT15" s="3"/>
    </row>
    <row r="16" spans="1:332" x14ac:dyDescent="0.25">
      <c r="A16" t="s">
        <v>685</v>
      </c>
      <c r="B16" t="s">
        <v>686</v>
      </c>
      <c r="C16" t="s">
        <v>199</v>
      </c>
      <c r="D16" t="s">
        <v>200</v>
      </c>
      <c r="E16" t="s">
        <v>217</v>
      </c>
      <c r="F16" t="s">
        <v>689</v>
      </c>
      <c r="G16" t="s">
        <v>803</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v>0</v>
      </c>
      <c r="ES16" s="3">
        <v>8402316000</v>
      </c>
      <c r="ET16" s="3">
        <v>0</v>
      </c>
      <c r="EU16" s="3">
        <v>0</v>
      </c>
      <c r="EV16" s="3">
        <v>8402316000</v>
      </c>
      <c r="EW16" s="3">
        <v>0</v>
      </c>
      <c r="EX16" s="3">
        <v>4698319000</v>
      </c>
      <c r="EY16" s="3">
        <v>0</v>
      </c>
      <c r="EZ16" s="3">
        <v>0</v>
      </c>
      <c r="FA16" s="3">
        <v>4698319000</v>
      </c>
      <c r="FB16" s="3">
        <v>0</v>
      </c>
      <c r="FC16" s="3">
        <v>4698319000</v>
      </c>
      <c r="FD16" s="3">
        <v>0</v>
      </c>
      <c r="FE16" s="3">
        <v>0</v>
      </c>
      <c r="FF16" s="3">
        <v>4698319000</v>
      </c>
      <c r="FG16" s="3">
        <v>0</v>
      </c>
      <c r="FH16" s="3">
        <v>4698319000</v>
      </c>
      <c r="FI16" s="3">
        <v>0</v>
      </c>
      <c r="FJ16" s="3">
        <v>0</v>
      </c>
      <c r="FK16" s="3">
        <v>4698319000</v>
      </c>
      <c r="FL16" s="3">
        <v>0</v>
      </c>
      <c r="FM16" s="3">
        <v>4698319000</v>
      </c>
      <c r="FN16" s="3">
        <v>0</v>
      </c>
      <c r="FO16" s="3">
        <v>0</v>
      </c>
      <c r="FP16" s="3">
        <v>4698319000</v>
      </c>
      <c r="FQ16" s="3">
        <v>0</v>
      </c>
      <c r="FR16" s="3">
        <v>4434949887.79</v>
      </c>
      <c r="FS16" s="3">
        <v>0</v>
      </c>
      <c r="FT16" s="3">
        <v>0</v>
      </c>
      <c r="FU16" s="3">
        <v>4434949887.79</v>
      </c>
      <c r="FV16" s="3">
        <v>0</v>
      </c>
      <c r="FW16" s="3">
        <v>4075286119.79</v>
      </c>
      <c r="FX16" s="3">
        <v>0</v>
      </c>
      <c r="FY16" s="3">
        <v>0</v>
      </c>
      <c r="FZ16" s="3">
        <v>4075286119.79</v>
      </c>
      <c r="GA16" s="3">
        <v>0</v>
      </c>
      <c r="GB16" s="3">
        <v>11035760000</v>
      </c>
      <c r="GC16" s="3">
        <v>0</v>
      </c>
      <c r="GD16" s="3">
        <v>0</v>
      </c>
      <c r="GE16" s="3">
        <v>11035760000</v>
      </c>
      <c r="GF16" s="3">
        <v>0</v>
      </c>
      <c r="GG16" s="3">
        <v>3082386000</v>
      </c>
      <c r="GH16" s="3">
        <v>0</v>
      </c>
      <c r="GI16" s="3">
        <v>0</v>
      </c>
      <c r="GJ16" s="3">
        <v>3082386000</v>
      </c>
      <c r="GK16" s="3">
        <v>0</v>
      </c>
      <c r="GL16" s="3">
        <v>3082386000</v>
      </c>
      <c r="GM16" s="3">
        <v>0</v>
      </c>
      <c r="GN16" s="3">
        <v>0</v>
      </c>
      <c r="GO16" s="3">
        <v>3082386000</v>
      </c>
      <c r="GP16" s="3">
        <v>0</v>
      </c>
      <c r="GQ16" s="3">
        <v>3082386000</v>
      </c>
      <c r="GR16" s="3">
        <v>0</v>
      </c>
      <c r="GS16" s="3">
        <v>0</v>
      </c>
      <c r="GT16" s="3">
        <v>3082386000</v>
      </c>
      <c r="GU16" s="3">
        <v>0</v>
      </c>
      <c r="GV16" s="3">
        <v>3082386000</v>
      </c>
      <c r="GW16" s="3">
        <v>0</v>
      </c>
      <c r="GX16" s="3">
        <v>0</v>
      </c>
      <c r="GY16" s="3">
        <v>3082386000</v>
      </c>
      <c r="GZ16" s="3">
        <v>0</v>
      </c>
      <c r="HA16" s="3">
        <v>2593518942.3200002</v>
      </c>
      <c r="HB16" s="3">
        <v>0</v>
      </c>
      <c r="HC16" s="3">
        <v>0</v>
      </c>
      <c r="HD16" s="3">
        <v>2593518942.3200002</v>
      </c>
      <c r="HE16" s="3">
        <v>0</v>
      </c>
      <c r="HF16" s="3">
        <v>2246458605.9299998</v>
      </c>
      <c r="HG16" s="3">
        <v>0</v>
      </c>
      <c r="HH16" s="3">
        <v>0</v>
      </c>
      <c r="HI16" s="3">
        <v>2246458605.9299998</v>
      </c>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c r="LL16" s="3"/>
      <c r="LM16" s="3"/>
      <c r="LN16" s="3"/>
      <c r="LO16" s="3"/>
      <c r="LP16" s="3"/>
      <c r="LQ16" s="3"/>
      <c r="LR16" s="3"/>
      <c r="LS16" s="3"/>
      <c r="LT16" s="3"/>
    </row>
    <row r="17" spans="1:332" x14ac:dyDescent="0.25">
      <c r="A17" t="s">
        <v>685</v>
      </c>
      <c r="B17" t="s">
        <v>686</v>
      </c>
      <c r="C17" t="s">
        <v>199</v>
      </c>
      <c r="D17" t="s">
        <v>200</v>
      </c>
      <c r="E17" t="s">
        <v>217</v>
      </c>
      <c r="F17" t="s">
        <v>690</v>
      </c>
      <c r="G17" t="s">
        <v>786</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v>0</v>
      </c>
      <c r="ES17" s="3">
        <v>260990000</v>
      </c>
      <c r="ET17" s="3">
        <v>0</v>
      </c>
      <c r="EU17" s="3">
        <v>148843000</v>
      </c>
      <c r="EV17" s="3">
        <v>409833000</v>
      </c>
      <c r="EW17" s="3">
        <v>0</v>
      </c>
      <c r="EX17" s="3">
        <v>260990000</v>
      </c>
      <c r="EY17" s="3">
        <v>0</v>
      </c>
      <c r="EZ17" s="3">
        <v>148843000</v>
      </c>
      <c r="FA17" s="3">
        <v>409833000</v>
      </c>
      <c r="FB17" s="3">
        <v>0</v>
      </c>
      <c r="FC17" s="3">
        <v>260990000</v>
      </c>
      <c r="FD17" s="3">
        <v>0</v>
      </c>
      <c r="FE17" s="3">
        <v>148843000</v>
      </c>
      <c r="FF17" s="3">
        <v>409833000</v>
      </c>
      <c r="FG17" s="3">
        <v>0</v>
      </c>
      <c r="FH17" s="3">
        <v>260990000</v>
      </c>
      <c r="FI17" s="3">
        <v>0</v>
      </c>
      <c r="FJ17" s="3">
        <v>148843000</v>
      </c>
      <c r="FK17" s="3">
        <v>409833000</v>
      </c>
      <c r="FL17" s="3">
        <v>0</v>
      </c>
      <c r="FM17" s="3">
        <v>260990000</v>
      </c>
      <c r="FN17" s="3">
        <v>0</v>
      </c>
      <c r="FO17" s="3">
        <v>148843000</v>
      </c>
      <c r="FP17" s="3">
        <v>409833000</v>
      </c>
      <c r="FQ17" s="3">
        <v>0</v>
      </c>
      <c r="FR17" s="3">
        <v>2396485.09</v>
      </c>
      <c r="FS17" s="3">
        <v>0</v>
      </c>
      <c r="FT17" s="3">
        <v>0</v>
      </c>
      <c r="FU17" s="3">
        <v>2396485.09</v>
      </c>
      <c r="FV17" s="3">
        <v>0</v>
      </c>
      <c r="FW17" s="3">
        <v>163591.09</v>
      </c>
      <c r="FX17" s="3">
        <v>0</v>
      </c>
      <c r="FY17" s="3">
        <v>0</v>
      </c>
      <c r="FZ17" s="3">
        <v>163591.09</v>
      </c>
      <c r="GA17" s="3">
        <v>0</v>
      </c>
      <c r="GB17" s="3">
        <v>126805000</v>
      </c>
      <c r="GC17" s="3">
        <v>0</v>
      </c>
      <c r="GD17" s="3">
        <v>23343000</v>
      </c>
      <c r="GE17" s="3">
        <v>150148000</v>
      </c>
      <c r="GF17" s="3">
        <v>0</v>
      </c>
      <c r="GG17" s="3">
        <v>0</v>
      </c>
      <c r="GH17" s="3">
        <v>0</v>
      </c>
      <c r="GI17" s="3">
        <v>0</v>
      </c>
      <c r="GJ17" s="3">
        <v>0</v>
      </c>
      <c r="GK17" s="3">
        <v>0</v>
      </c>
      <c r="GL17" s="3">
        <v>0</v>
      </c>
      <c r="GM17" s="3">
        <v>0</v>
      </c>
      <c r="GN17" s="3">
        <v>0</v>
      </c>
      <c r="GO17" s="3">
        <v>0</v>
      </c>
      <c r="GP17" s="3">
        <v>0</v>
      </c>
      <c r="GQ17" s="3">
        <v>0</v>
      </c>
      <c r="GR17" s="3">
        <v>0</v>
      </c>
      <c r="GS17" s="3">
        <v>0</v>
      </c>
      <c r="GT17" s="3">
        <v>0</v>
      </c>
      <c r="GU17" s="3">
        <v>0</v>
      </c>
      <c r="GV17" s="3">
        <v>0</v>
      </c>
      <c r="GW17" s="3">
        <v>0</v>
      </c>
      <c r="GX17" s="3">
        <v>0</v>
      </c>
      <c r="GY17" s="3">
        <v>0</v>
      </c>
      <c r="GZ17" s="3">
        <v>0</v>
      </c>
      <c r="HA17" s="3">
        <v>0</v>
      </c>
      <c r="HB17" s="3">
        <v>0</v>
      </c>
      <c r="HC17" s="3">
        <v>0</v>
      </c>
      <c r="HD17" s="3">
        <v>0</v>
      </c>
      <c r="HE17" s="3">
        <v>0</v>
      </c>
      <c r="HF17" s="3">
        <v>0</v>
      </c>
      <c r="HG17" s="3">
        <v>0</v>
      </c>
      <c r="HH17" s="3">
        <v>0</v>
      </c>
      <c r="HI17" s="3">
        <v>0</v>
      </c>
      <c r="HJ17" s="3">
        <v>0</v>
      </c>
      <c r="HK17" s="3">
        <v>54015000</v>
      </c>
      <c r="HL17" s="3">
        <v>0</v>
      </c>
      <c r="HM17" s="3">
        <v>17319000</v>
      </c>
      <c r="HN17" s="3">
        <v>71334000</v>
      </c>
      <c r="HO17" s="3">
        <v>0</v>
      </c>
      <c r="HP17" s="3">
        <v>0</v>
      </c>
      <c r="HQ17" s="3">
        <v>0</v>
      </c>
      <c r="HR17" s="3">
        <v>0</v>
      </c>
      <c r="HS17" s="3">
        <v>0</v>
      </c>
      <c r="HT17" s="3">
        <v>0</v>
      </c>
      <c r="HU17" s="3">
        <v>0</v>
      </c>
      <c r="HV17" s="3">
        <v>0</v>
      </c>
      <c r="HW17" s="3">
        <v>0</v>
      </c>
      <c r="HX17" s="3">
        <v>0</v>
      </c>
      <c r="HY17" s="3">
        <v>0</v>
      </c>
      <c r="HZ17" s="3">
        <v>0</v>
      </c>
      <c r="IA17" s="3">
        <v>0</v>
      </c>
      <c r="IB17" s="3">
        <v>0</v>
      </c>
      <c r="IC17" s="3">
        <v>0</v>
      </c>
      <c r="ID17" s="3">
        <v>0</v>
      </c>
      <c r="IE17" s="3">
        <v>0</v>
      </c>
      <c r="IF17" s="3">
        <v>0</v>
      </c>
      <c r="IG17" s="3">
        <v>0</v>
      </c>
      <c r="IH17" s="3">
        <v>0</v>
      </c>
      <c r="II17" s="3">
        <v>0</v>
      </c>
      <c r="IJ17" s="3">
        <v>0</v>
      </c>
      <c r="IK17" s="3">
        <v>0</v>
      </c>
      <c r="IL17" s="3">
        <v>0</v>
      </c>
      <c r="IM17" s="3">
        <v>0</v>
      </c>
      <c r="IN17" s="3">
        <v>0</v>
      </c>
      <c r="IO17" s="3">
        <v>0</v>
      </c>
      <c r="IP17" s="3">
        <v>0</v>
      </c>
      <c r="IQ17" s="3">
        <v>0</v>
      </c>
      <c r="IR17" s="3">
        <v>0</v>
      </c>
      <c r="IS17" s="3">
        <v>0</v>
      </c>
      <c r="IT17" s="3">
        <v>17620000</v>
      </c>
      <c r="IU17" s="3">
        <v>0</v>
      </c>
      <c r="IV17" s="3">
        <v>13303000</v>
      </c>
      <c r="IW17" s="3">
        <v>30923000</v>
      </c>
      <c r="IX17" s="3">
        <v>0</v>
      </c>
      <c r="IY17" s="3">
        <v>17620000</v>
      </c>
      <c r="IZ17" s="3">
        <v>0</v>
      </c>
      <c r="JA17" s="3">
        <v>13303000</v>
      </c>
      <c r="JB17" s="3">
        <v>30923000</v>
      </c>
      <c r="JC17" s="3">
        <v>0</v>
      </c>
      <c r="JD17" s="3">
        <v>17620000</v>
      </c>
      <c r="JE17" s="3">
        <v>0</v>
      </c>
      <c r="JF17" s="3">
        <v>13303000</v>
      </c>
      <c r="JG17" s="3">
        <v>30923000</v>
      </c>
      <c r="JH17" s="3">
        <v>0</v>
      </c>
      <c r="JI17" s="3">
        <v>17620000</v>
      </c>
      <c r="JJ17" s="3">
        <v>0</v>
      </c>
      <c r="JK17" s="3">
        <v>13303000</v>
      </c>
      <c r="JL17" s="3">
        <v>30923000</v>
      </c>
      <c r="JM17" s="3">
        <v>0</v>
      </c>
      <c r="JN17" s="3">
        <v>17620000</v>
      </c>
      <c r="JO17" s="3">
        <v>0</v>
      </c>
      <c r="JP17" s="3">
        <v>13303000</v>
      </c>
      <c r="JQ17" s="3">
        <v>30923000</v>
      </c>
      <c r="JR17" s="3">
        <v>0</v>
      </c>
      <c r="JS17" s="3">
        <v>12216025.880000001</v>
      </c>
      <c r="JT17" s="3">
        <v>0</v>
      </c>
      <c r="JU17" s="3">
        <v>2561000</v>
      </c>
      <c r="JV17" s="3">
        <v>14777025.880000001</v>
      </c>
      <c r="JW17" s="3">
        <v>0</v>
      </c>
      <c r="JX17" s="3">
        <v>11135297.32</v>
      </c>
      <c r="JY17" s="3">
        <v>0</v>
      </c>
      <c r="JZ17" s="3">
        <v>2561000</v>
      </c>
      <c r="KA17" s="3">
        <v>13696297.32</v>
      </c>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row>
    <row r="18" spans="1:332" x14ac:dyDescent="0.25">
      <c r="A18" t="s">
        <v>685</v>
      </c>
      <c r="B18" t="s">
        <v>686</v>
      </c>
      <c r="C18" t="s">
        <v>199</v>
      </c>
      <c r="D18" t="s">
        <v>200</v>
      </c>
      <c r="E18" t="s">
        <v>217</v>
      </c>
      <c r="F18" t="s">
        <v>691</v>
      </c>
      <c r="G18" t="s">
        <v>787</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v>0</v>
      </c>
      <c r="GB18" s="3">
        <v>693260000</v>
      </c>
      <c r="GC18" s="3">
        <v>0</v>
      </c>
      <c r="GD18" s="3">
        <v>10855000</v>
      </c>
      <c r="GE18" s="3">
        <v>704115000</v>
      </c>
      <c r="GF18" s="3">
        <v>0</v>
      </c>
      <c r="GG18" s="3">
        <v>683298000</v>
      </c>
      <c r="GH18" s="3">
        <v>0</v>
      </c>
      <c r="GI18" s="3">
        <v>10855000</v>
      </c>
      <c r="GJ18" s="3">
        <v>694153000</v>
      </c>
      <c r="GK18" s="3">
        <v>0</v>
      </c>
      <c r="GL18" s="3">
        <v>683298000</v>
      </c>
      <c r="GM18" s="3">
        <v>0</v>
      </c>
      <c r="GN18" s="3">
        <v>10855000</v>
      </c>
      <c r="GO18" s="3">
        <v>694153000</v>
      </c>
      <c r="GP18" s="3">
        <v>0</v>
      </c>
      <c r="GQ18" s="3">
        <v>683298000</v>
      </c>
      <c r="GR18" s="3">
        <v>0</v>
      </c>
      <c r="GS18" s="3">
        <v>10855000</v>
      </c>
      <c r="GT18" s="3">
        <v>694153000</v>
      </c>
      <c r="GU18" s="3">
        <v>0</v>
      </c>
      <c r="GV18" s="3">
        <v>683298000</v>
      </c>
      <c r="GW18" s="3">
        <v>0</v>
      </c>
      <c r="GX18" s="3">
        <v>10855000</v>
      </c>
      <c r="GY18" s="3">
        <v>694153000</v>
      </c>
      <c r="GZ18" s="3">
        <v>0</v>
      </c>
      <c r="HA18" s="3">
        <v>530087476.93000001</v>
      </c>
      <c r="HB18" s="3">
        <v>0</v>
      </c>
      <c r="HC18" s="3">
        <v>8131393</v>
      </c>
      <c r="HD18" s="3">
        <v>538218869.92999995</v>
      </c>
      <c r="HE18" s="3">
        <v>0</v>
      </c>
      <c r="HF18" s="3">
        <v>442080208.80000001</v>
      </c>
      <c r="HG18" s="3">
        <v>0</v>
      </c>
      <c r="HH18" s="3">
        <v>4857158.75</v>
      </c>
      <c r="HI18" s="3">
        <v>446937367.55000001</v>
      </c>
      <c r="HJ18" s="3">
        <v>0</v>
      </c>
      <c r="HK18" s="3">
        <v>611438000</v>
      </c>
      <c r="HL18" s="3">
        <v>0</v>
      </c>
      <c r="HM18" s="3">
        <v>100000</v>
      </c>
      <c r="HN18" s="3">
        <v>611538000</v>
      </c>
      <c r="HO18" s="3">
        <v>0</v>
      </c>
      <c r="HP18" s="3">
        <v>0</v>
      </c>
      <c r="HQ18" s="3">
        <v>0</v>
      </c>
      <c r="HR18" s="3">
        <v>0</v>
      </c>
      <c r="HS18" s="3">
        <v>0</v>
      </c>
      <c r="HT18" s="3">
        <v>0</v>
      </c>
      <c r="HU18" s="3">
        <v>0</v>
      </c>
      <c r="HV18" s="3">
        <v>0</v>
      </c>
      <c r="HW18" s="3">
        <v>0</v>
      </c>
      <c r="HX18" s="3">
        <v>0</v>
      </c>
      <c r="HY18" s="3">
        <v>0</v>
      </c>
      <c r="HZ18" s="3">
        <v>0</v>
      </c>
      <c r="IA18" s="3">
        <v>0</v>
      </c>
      <c r="IB18" s="3">
        <v>0</v>
      </c>
      <c r="IC18" s="3">
        <v>0</v>
      </c>
      <c r="ID18" s="3">
        <v>0</v>
      </c>
      <c r="IE18" s="3">
        <v>0</v>
      </c>
      <c r="IF18" s="3">
        <v>0</v>
      </c>
      <c r="IG18" s="3">
        <v>0</v>
      </c>
      <c r="IH18" s="3">
        <v>0</v>
      </c>
      <c r="II18" s="3">
        <v>0</v>
      </c>
      <c r="IJ18" s="3">
        <v>0</v>
      </c>
      <c r="IK18" s="3">
        <v>0</v>
      </c>
      <c r="IL18" s="3">
        <v>0</v>
      </c>
      <c r="IM18" s="3">
        <v>0</v>
      </c>
      <c r="IN18" s="3">
        <v>0</v>
      </c>
      <c r="IO18" s="3">
        <v>0</v>
      </c>
      <c r="IP18" s="3">
        <v>0</v>
      </c>
      <c r="IQ18" s="3">
        <v>0</v>
      </c>
      <c r="IR18" s="3">
        <v>0</v>
      </c>
      <c r="IS18" s="3">
        <v>0</v>
      </c>
      <c r="IT18" s="3">
        <v>992565000</v>
      </c>
      <c r="IU18" s="3">
        <v>0</v>
      </c>
      <c r="IV18" s="3">
        <v>0</v>
      </c>
      <c r="IW18" s="3">
        <v>992565000</v>
      </c>
      <c r="IX18" s="3">
        <v>0</v>
      </c>
      <c r="IY18" s="3">
        <v>992565000</v>
      </c>
      <c r="IZ18" s="3">
        <v>0</v>
      </c>
      <c r="JA18" s="3">
        <v>0</v>
      </c>
      <c r="JB18" s="3">
        <v>992565000</v>
      </c>
      <c r="JC18" s="3">
        <v>0</v>
      </c>
      <c r="JD18" s="3">
        <v>609336129</v>
      </c>
      <c r="JE18" s="3">
        <v>0</v>
      </c>
      <c r="JF18" s="3">
        <v>1300000</v>
      </c>
      <c r="JG18" s="3">
        <v>610036129</v>
      </c>
      <c r="JH18" s="3">
        <v>0</v>
      </c>
      <c r="JI18" s="3">
        <v>609336129</v>
      </c>
      <c r="JJ18" s="3">
        <v>0</v>
      </c>
      <c r="JK18" s="3">
        <v>1300000</v>
      </c>
      <c r="JL18" s="3">
        <v>610036129</v>
      </c>
      <c r="JM18" s="3">
        <v>0</v>
      </c>
      <c r="JN18" s="3">
        <v>609336129</v>
      </c>
      <c r="JO18" s="3">
        <v>0</v>
      </c>
      <c r="JP18" s="3">
        <v>1300000</v>
      </c>
      <c r="JQ18" s="3">
        <v>610036129</v>
      </c>
      <c r="JR18" s="3">
        <v>0</v>
      </c>
      <c r="JS18" s="3">
        <v>606279817.02999997</v>
      </c>
      <c r="JT18" s="3">
        <v>0</v>
      </c>
      <c r="JU18" s="3">
        <v>1300000</v>
      </c>
      <c r="JV18" s="3">
        <v>607579817.02999997</v>
      </c>
      <c r="JW18" s="3">
        <v>0</v>
      </c>
      <c r="JX18" s="3">
        <v>555415210.53999996</v>
      </c>
      <c r="JY18" s="3">
        <v>0</v>
      </c>
      <c r="JZ18" s="3">
        <v>0</v>
      </c>
      <c r="KA18" s="3">
        <v>555415210.53999996</v>
      </c>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row>
    <row r="19" spans="1:332" x14ac:dyDescent="0.25">
      <c r="A19" t="s">
        <v>685</v>
      </c>
      <c r="B19" t="s">
        <v>686</v>
      </c>
      <c r="C19" t="s">
        <v>199</v>
      </c>
      <c r="D19" t="s">
        <v>200</v>
      </c>
      <c r="E19" t="s">
        <v>217</v>
      </c>
      <c r="F19" s="20" t="s">
        <v>1369</v>
      </c>
      <c r="G19" t="s">
        <v>1370</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v>0</v>
      </c>
      <c r="LL19" s="3">
        <v>17658609000</v>
      </c>
      <c r="LM19" s="3">
        <v>0</v>
      </c>
      <c r="LN19" s="3">
        <v>0</v>
      </c>
      <c r="LO19" s="3">
        <v>17658609000</v>
      </c>
      <c r="LP19" s="3"/>
      <c r="LQ19" s="3"/>
      <c r="LR19" s="3"/>
      <c r="LS19" s="3"/>
      <c r="LT19" s="3"/>
    </row>
    <row r="20" spans="1:332" x14ac:dyDescent="0.25">
      <c r="A20" t="s">
        <v>685</v>
      </c>
      <c r="B20" t="s">
        <v>686</v>
      </c>
      <c r="C20" t="s">
        <v>199</v>
      </c>
      <c r="D20" t="s">
        <v>200</v>
      </c>
      <c r="E20" t="s">
        <v>300</v>
      </c>
      <c r="F20" t="s">
        <v>301</v>
      </c>
      <c r="G20" t="s">
        <v>746</v>
      </c>
      <c r="H20" s="3">
        <v>370771000</v>
      </c>
      <c r="I20" s="3">
        <v>1184037000</v>
      </c>
      <c r="J20" s="3">
        <v>0</v>
      </c>
      <c r="K20" s="3">
        <v>0</v>
      </c>
      <c r="L20" s="3">
        <v>1554808000</v>
      </c>
      <c r="M20" s="3">
        <v>370771000</v>
      </c>
      <c r="N20" s="3">
        <v>1684037000</v>
      </c>
      <c r="O20" s="3">
        <v>0</v>
      </c>
      <c r="P20" s="3">
        <v>1800000000</v>
      </c>
      <c r="Q20" s="3">
        <v>3854808000</v>
      </c>
      <c r="R20" s="3">
        <v>370771000</v>
      </c>
      <c r="S20" s="3">
        <v>1684037000</v>
      </c>
      <c r="T20" s="3">
        <v>0</v>
      </c>
      <c r="U20" s="3">
        <v>1800000000</v>
      </c>
      <c r="V20" s="3">
        <v>3854808000</v>
      </c>
      <c r="W20" s="3">
        <v>431810563</v>
      </c>
      <c r="X20" s="3">
        <v>1629841591</v>
      </c>
      <c r="Y20" s="3">
        <v>0</v>
      </c>
      <c r="Z20" s="3">
        <v>1800000000</v>
      </c>
      <c r="AA20" s="3">
        <v>3861652154</v>
      </c>
      <c r="AB20" s="3">
        <v>431810563</v>
      </c>
      <c r="AC20" s="3">
        <v>1629841591</v>
      </c>
      <c r="AD20" s="3">
        <v>0</v>
      </c>
      <c r="AE20" s="3">
        <v>1800000000</v>
      </c>
      <c r="AF20" s="3">
        <v>3861652154</v>
      </c>
      <c r="AG20" s="3">
        <v>413374624.12</v>
      </c>
      <c r="AH20" s="3">
        <v>1222125728.3699999</v>
      </c>
      <c r="AI20" s="3">
        <v>0</v>
      </c>
      <c r="AJ20" s="3">
        <v>1686291177.5599999</v>
      </c>
      <c r="AK20" s="3">
        <v>3321791530.0500002</v>
      </c>
      <c r="AL20" s="3">
        <v>391911976.35000002</v>
      </c>
      <c r="AM20" s="3">
        <v>967606171.45000005</v>
      </c>
      <c r="AN20" s="3">
        <v>0</v>
      </c>
      <c r="AO20" s="3">
        <v>353538675.81999999</v>
      </c>
      <c r="AP20" s="3">
        <v>1713056823.6199999</v>
      </c>
      <c r="AQ20" s="3">
        <v>391780000</v>
      </c>
      <c r="AR20" s="3">
        <v>1357195000</v>
      </c>
      <c r="AS20" s="3">
        <v>0</v>
      </c>
      <c r="AT20" s="3">
        <v>0</v>
      </c>
      <c r="AU20" s="3">
        <v>1748975000</v>
      </c>
      <c r="AV20" s="3">
        <v>391780000</v>
      </c>
      <c r="AW20" s="3">
        <v>1357195000</v>
      </c>
      <c r="AX20" s="3">
        <v>0</v>
      </c>
      <c r="AY20" s="3">
        <v>0</v>
      </c>
      <c r="AZ20" s="3">
        <v>1748975000</v>
      </c>
      <c r="BA20" s="3">
        <v>391780000</v>
      </c>
      <c r="BB20" s="3">
        <v>1357195000</v>
      </c>
      <c r="BC20" s="3">
        <v>0</v>
      </c>
      <c r="BD20" s="3">
        <v>0</v>
      </c>
      <c r="BE20" s="3">
        <v>1748975000</v>
      </c>
      <c r="BF20" s="3">
        <v>444206400</v>
      </c>
      <c r="BG20" s="3">
        <v>1304768600</v>
      </c>
      <c r="BH20" s="3">
        <v>0</v>
      </c>
      <c r="BI20" s="3">
        <v>0</v>
      </c>
      <c r="BJ20" s="3">
        <v>1748975000</v>
      </c>
      <c r="BK20" s="3">
        <v>444206400</v>
      </c>
      <c r="BL20" s="3">
        <v>1304768600</v>
      </c>
      <c r="BM20" s="3">
        <v>0</v>
      </c>
      <c r="BN20" s="3">
        <v>0</v>
      </c>
      <c r="BO20" s="3">
        <v>1748975000</v>
      </c>
      <c r="BP20" s="3">
        <v>440091958.22000003</v>
      </c>
      <c r="BQ20" s="3">
        <v>1043798330.4400001</v>
      </c>
      <c r="BR20" s="3">
        <v>0</v>
      </c>
      <c r="BS20" s="3">
        <v>0</v>
      </c>
      <c r="BT20" s="3">
        <v>1483890288.6600001</v>
      </c>
      <c r="BU20" s="3">
        <v>412031354.29000002</v>
      </c>
      <c r="BV20" s="3">
        <v>881191806.32000005</v>
      </c>
      <c r="BW20" s="3">
        <v>0</v>
      </c>
      <c r="BX20" s="3">
        <v>0</v>
      </c>
      <c r="BY20" s="3">
        <v>1293223160.6099999</v>
      </c>
      <c r="BZ20" s="3">
        <v>399040000</v>
      </c>
      <c r="CA20" s="3">
        <v>1354725000</v>
      </c>
      <c r="CB20" s="3">
        <v>0</v>
      </c>
      <c r="CC20" s="3">
        <v>114459000</v>
      </c>
      <c r="CD20" s="3">
        <v>1868224000</v>
      </c>
      <c r="CE20" s="3">
        <v>399040000</v>
      </c>
      <c r="CF20" s="3">
        <v>1355725000</v>
      </c>
      <c r="CG20" s="3">
        <v>0</v>
      </c>
      <c r="CH20" s="3">
        <v>114459000</v>
      </c>
      <c r="CI20" s="3">
        <v>1869224000</v>
      </c>
      <c r="CJ20" s="3">
        <v>399040000</v>
      </c>
      <c r="CK20" s="3">
        <v>1355725000</v>
      </c>
      <c r="CL20" s="3">
        <v>0</v>
      </c>
      <c r="CM20" s="3">
        <v>114459000</v>
      </c>
      <c r="CN20" s="3">
        <v>1869224000</v>
      </c>
      <c r="CO20" s="3">
        <v>543837144</v>
      </c>
      <c r="CP20" s="3">
        <v>1141288231</v>
      </c>
      <c r="CQ20" s="3">
        <v>0</v>
      </c>
      <c r="CR20" s="3">
        <v>110404680</v>
      </c>
      <c r="CS20" s="3">
        <v>1795530055</v>
      </c>
      <c r="CT20" s="3">
        <v>543837144</v>
      </c>
      <c r="CU20" s="3">
        <v>1141288231</v>
      </c>
      <c r="CV20" s="3">
        <v>0</v>
      </c>
      <c r="CW20" s="3">
        <v>110404680</v>
      </c>
      <c r="CX20" s="3">
        <v>1795530055</v>
      </c>
      <c r="CY20" s="3">
        <v>543269259.22000003</v>
      </c>
      <c r="CZ20" s="3">
        <v>924706433.08000004</v>
      </c>
      <c r="DA20" s="3">
        <v>0</v>
      </c>
      <c r="DB20" s="3">
        <v>110284669.98999999</v>
      </c>
      <c r="DC20" s="3">
        <v>1578260362.29</v>
      </c>
      <c r="DD20" s="3">
        <v>535864387.68000001</v>
      </c>
      <c r="DE20" s="3">
        <v>752013005.57000005</v>
      </c>
      <c r="DF20" s="3">
        <v>0</v>
      </c>
      <c r="DG20" s="3">
        <v>79545958</v>
      </c>
      <c r="DH20" s="3">
        <v>1367423351.25</v>
      </c>
      <c r="DI20" s="3">
        <v>598662000</v>
      </c>
      <c r="DJ20" s="3">
        <v>1382839000</v>
      </c>
      <c r="DK20" s="3">
        <v>0</v>
      </c>
      <c r="DL20" s="3">
        <v>0</v>
      </c>
      <c r="DM20" s="3">
        <v>1981501000</v>
      </c>
      <c r="DN20" s="3">
        <v>598662000</v>
      </c>
      <c r="DO20" s="3">
        <v>1382839000</v>
      </c>
      <c r="DP20" s="3">
        <v>0</v>
      </c>
      <c r="DQ20" s="3">
        <v>78652000</v>
      </c>
      <c r="DR20" s="3">
        <v>2060153000</v>
      </c>
      <c r="DS20" s="3">
        <v>598662000</v>
      </c>
      <c r="DT20" s="3">
        <v>1382839000</v>
      </c>
      <c r="DU20" s="3">
        <v>0</v>
      </c>
      <c r="DV20" s="3">
        <v>78652000</v>
      </c>
      <c r="DW20" s="3">
        <v>2060153000</v>
      </c>
      <c r="DX20" s="3">
        <v>651195032</v>
      </c>
      <c r="DY20" s="3">
        <v>1330305968</v>
      </c>
      <c r="DZ20" s="3">
        <v>0</v>
      </c>
      <c r="EA20" s="3">
        <v>78652000</v>
      </c>
      <c r="EB20" s="3">
        <v>2060153000</v>
      </c>
      <c r="EC20" s="3">
        <v>651195032</v>
      </c>
      <c r="ED20" s="3">
        <v>1330305968</v>
      </c>
      <c r="EE20" s="3">
        <v>0</v>
      </c>
      <c r="EF20" s="3">
        <v>78652000</v>
      </c>
      <c r="EG20" s="3">
        <v>2060153000</v>
      </c>
      <c r="EH20" s="3">
        <v>650997762.20000005</v>
      </c>
      <c r="EI20" s="3">
        <v>1200549046.52</v>
      </c>
      <c r="EJ20" s="3">
        <v>0</v>
      </c>
      <c r="EK20" s="3">
        <v>74572695.969999999</v>
      </c>
      <c r="EL20" s="3">
        <v>1926119504.6900001</v>
      </c>
      <c r="EM20" s="3">
        <v>610008301.45000005</v>
      </c>
      <c r="EN20" s="3">
        <v>960703211.45000005</v>
      </c>
      <c r="EO20" s="3">
        <v>0</v>
      </c>
      <c r="EP20" s="3">
        <v>29954396.23</v>
      </c>
      <c r="EQ20" s="3">
        <v>1600665909.1300001</v>
      </c>
      <c r="ER20" s="3">
        <v>626299000</v>
      </c>
      <c r="ES20" s="3">
        <v>1382839000</v>
      </c>
      <c r="ET20" s="3">
        <v>0</v>
      </c>
      <c r="EU20" s="3">
        <v>0</v>
      </c>
      <c r="EV20" s="3">
        <v>2009138000</v>
      </c>
      <c r="EW20" s="3">
        <v>626299000</v>
      </c>
      <c r="EX20" s="3">
        <v>1382839000</v>
      </c>
      <c r="EY20" s="3">
        <v>0</v>
      </c>
      <c r="EZ20" s="3">
        <v>100000000</v>
      </c>
      <c r="FA20" s="3">
        <v>2109138000</v>
      </c>
      <c r="FB20" s="3">
        <v>626299000</v>
      </c>
      <c r="FC20" s="3">
        <v>1382839000</v>
      </c>
      <c r="FD20" s="3">
        <v>0</v>
      </c>
      <c r="FE20" s="3">
        <v>100000000</v>
      </c>
      <c r="FF20" s="3">
        <v>2109138000</v>
      </c>
      <c r="FG20" s="3">
        <v>674901073</v>
      </c>
      <c r="FH20" s="3">
        <v>1334236927</v>
      </c>
      <c r="FI20" s="3">
        <v>0</v>
      </c>
      <c r="FJ20" s="3">
        <v>100000000</v>
      </c>
      <c r="FK20" s="3">
        <v>2109138000</v>
      </c>
      <c r="FL20" s="3">
        <v>674901073</v>
      </c>
      <c r="FM20" s="3">
        <v>1334236927</v>
      </c>
      <c r="FN20" s="3">
        <v>0</v>
      </c>
      <c r="FO20" s="3">
        <v>100000000</v>
      </c>
      <c r="FP20" s="3">
        <v>2109138000</v>
      </c>
      <c r="FQ20" s="3">
        <v>674328333.33000004</v>
      </c>
      <c r="FR20" s="3">
        <v>1178888129.9000001</v>
      </c>
      <c r="FS20" s="3">
        <v>0</v>
      </c>
      <c r="FT20" s="3">
        <v>39503151.509999998</v>
      </c>
      <c r="FU20" s="3">
        <v>1892719614.74</v>
      </c>
      <c r="FV20" s="3">
        <v>638055160.85000002</v>
      </c>
      <c r="FW20" s="3">
        <v>963676515.09000003</v>
      </c>
      <c r="FX20" s="3">
        <v>0</v>
      </c>
      <c r="FY20" s="3">
        <v>917368.58</v>
      </c>
      <c r="FZ20" s="3">
        <v>1602649044.52</v>
      </c>
      <c r="GA20" s="3">
        <v>673984000</v>
      </c>
      <c r="GB20" s="3">
        <v>1382839000</v>
      </c>
      <c r="GC20" s="3">
        <v>0</v>
      </c>
      <c r="GD20" s="3">
        <v>1194528000</v>
      </c>
      <c r="GE20" s="3">
        <v>3251351000</v>
      </c>
      <c r="GF20" s="3">
        <v>673984000</v>
      </c>
      <c r="GG20" s="3">
        <v>1382839000</v>
      </c>
      <c r="GH20" s="3">
        <v>0</v>
      </c>
      <c r="GI20" s="3">
        <v>1194528000</v>
      </c>
      <c r="GJ20" s="3">
        <v>3251351000</v>
      </c>
      <c r="GK20" s="3">
        <v>673984000</v>
      </c>
      <c r="GL20" s="3">
        <v>1382839000</v>
      </c>
      <c r="GM20" s="3">
        <v>0</v>
      </c>
      <c r="GN20" s="3">
        <v>1194528000</v>
      </c>
      <c r="GO20" s="3">
        <v>3251351000</v>
      </c>
      <c r="GP20" s="3">
        <v>714138157</v>
      </c>
      <c r="GQ20" s="3">
        <v>1342684843</v>
      </c>
      <c r="GR20" s="3">
        <v>0</v>
      </c>
      <c r="GS20" s="3">
        <v>1194528000</v>
      </c>
      <c r="GT20" s="3">
        <v>3251351000</v>
      </c>
      <c r="GU20" s="3">
        <v>714138157</v>
      </c>
      <c r="GV20" s="3">
        <v>1342684843</v>
      </c>
      <c r="GW20" s="3">
        <v>0</v>
      </c>
      <c r="GX20" s="3">
        <v>1194528000</v>
      </c>
      <c r="GY20" s="3">
        <v>3251351000</v>
      </c>
      <c r="GZ20" s="3">
        <v>702067764.16999996</v>
      </c>
      <c r="HA20" s="3">
        <v>1244478536.99</v>
      </c>
      <c r="HB20" s="3">
        <v>0</v>
      </c>
      <c r="HC20" s="3">
        <v>929928725.80999994</v>
      </c>
      <c r="HD20" s="3">
        <v>2876475026.9699998</v>
      </c>
      <c r="HE20" s="3">
        <v>672206750.07000005</v>
      </c>
      <c r="HF20" s="3">
        <v>1015253819.16</v>
      </c>
      <c r="HG20" s="3">
        <v>0</v>
      </c>
      <c r="HH20" s="3">
        <v>220776495.47999999</v>
      </c>
      <c r="HI20" s="3">
        <v>1908237064.71</v>
      </c>
      <c r="HJ20" s="3">
        <v>683476000</v>
      </c>
      <c r="HK20" s="3">
        <v>1382839000</v>
      </c>
      <c r="HL20" s="3">
        <v>0</v>
      </c>
      <c r="HM20" s="3">
        <v>0</v>
      </c>
      <c r="HN20" s="3">
        <v>2066315000</v>
      </c>
      <c r="HO20" s="3">
        <v>683476000</v>
      </c>
      <c r="HP20" s="3">
        <v>1382839000</v>
      </c>
      <c r="HQ20" s="3">
        <v>0</v>
      </c>
      <c r="HR20" s="3">
        <v>0</v>
      </c>
      <c r="HS20" s="3">
        <v>2066315000</v>
      </c>
      <c r="HT20" s="3">
        <v>683476000</v>
      </c>
      <c r="HU20" s="3">
        <v>1382839000</v>
      </c>
      <c r="HV20" s="3">
        <v>0</v>
      </c>
      <c r="HW20" s="3">
        <v>0</v>
      </c>
      <c r="HX20" s="3">
        <v>2066315000</v>
      </c>
      <c r="HY20" s="3">
        <v>726109240.91999996</v>
      </c>
      <c r="HZ20" s="3">
        <v>1340216459.0799999</v>
      </c>
      <c r="IA20" s="3">
        <v>0</v>
      </c>
      <c r="IB20" s="3">
        <v>0</v>
      </c>
      <c r="IC20" s="3">
        <v>2066325700</v>
      </c>
      <c r="ID20" s="3">
        <v>726109240.91999996</v>
      </c>
      <c r="IE20" s="3">
        <v>1340216459.0799999</v>
      </c>
      <c r="IF20" s="3">
        <v>0</v>
      </c>
      <c r="IG20" s="3">
        <v>0</v>
      </c>
      <c r="IH20" s="3">
        <v>2066325700</v>
      </c>
      <c r="II20" s="3">
        <v>726109240.55999994</v>
      </c>
      <c r="IJ20" s="3">
        <v>1329795463.7</v>
      </c>
      <c r="IK20" s="3">
        <v>0</v>
      </c>
      <c r="IL20" s="3">
        <v>0</v>
      </c>
      <c r="IM20" s="3">
        <v>2055904704.26</v>
      </c>
      <c r="IN20" s="3">
        <v>668372576.01999998</v>
      </c>
      <c r="IO20" s="3">
        <v>1128236075.53</v>
      </c>
      <c r="IP20" s="3">
        <v>0</v>
      </c>
      <c r="IQ20" s="3">
        <v>0</v>
      </c>
      <c r="IR20" s="3">
        <v>1796608651.55</v>
      </c>
      <c r="IS20" s="3">
        <v>665902000</v>
      </c>
      <c r="IT20" s="3">
        <v>2255280000</v>
      </c>
      <c r="IU20" s="3">
        <v>0</v>
      </c>
      <c r="IV20" s="3">
        <v>0</v>
      </c>
      <c r="IW20" s="3">
        <v>2921182000</v>
      </c>
      <c r="IX20" s="3">
        <v>665902000</v>
      </c>
      <c r="IY20" s="3">
        <v>2255280000</v>
      </c>
      <c r="IZ20" s="3">
        <v>0</v>
      </c>
      <c r="JA20" s="3">
        <v>0</v>
      </c>
      <c r="JB20" s="3">
        <v>2921182000</v>
      </c>
      <c r="JC20" s="3">
        <v>665902000</v>
      </c>
      <c r="JD20" s="3">
        <v>2255280000</v>
      </c>
      <c r="JE20" s="3">
        <v>0</v>
      </c>
      <c r="JF20" s="3">
        <v>0</v>
      </c>
      <c r="JG20" s="3">
        <v>2921182000</v>
      </c>
      <c r="JH20" s="3">
        <v>726594593</v>
      </c>
      <c r="JI20" s="3">
        <v>2191663286</v>
      </c>
      <c r="JJ20" s="3">
        <v>0</v>
      </c>
      <c r="JK20" s="3">
        <v>2924121</v>
      </c>
      <c r="JL20" s="3">
        <v>729518714</v>
      </c>
      <c r="JM20" s="3">
        <v>726594593</v>
      </c>
      <c r="JN20" s="3">
        <v>2191663286</v>
      </c>
      <c r="JO20" s="3">
        <v>0</v>
      </c>
      <c r="JP20" s="3">
        <v>2924121</v>
      </c>
      <c r="JQ20" s="3">
        <v>2921182000</v>
      </c>
      <c r="JR20" s="3">
        <v>726594593</v>
      </c>
      <c r="JS20" s="3">
        <v>2075303193.2</v>
      </c>
      <c r="JT20" s="3">
        <v>0</v>
      </c>
      <c r="JU20" s="3">
        <v>2863751.64</v>
      </c>
      <c r="JV20" s="3">
        <v>2804761537.8400002</v>
      </c>
      <c r="JW20" s="3">
        <v>702620815.75999999</v>
      </c>
      <c r="JX20" s="3">
        <v>1635532758.3800001</v>
      </c>
      <c r="JY20" s="3">
        <v>0</v>
      </c>
      <c r="JZ20" s="3">
        <v>0</v>
      </c>
      <c r="KA20" s="3">
        <v>2338153574.1399999</v>
      </c>
      <c r="KB20" s="3">
        <v>777121000</v>
      </c>
      <c r="KC20" s="3">
        <v>2255280000</v>
      </c>
      <c r="KD20" s="3">
        <v>0</v>
      </c>
      <c r="KE20" s="3">
        <v>0</v>
      </c>
      <c r="KF20" s="3">
        <v>3032401000</v>
      </c>
      <c r="KG20" s="3">
        <v>777121000</v>
      </c>
      <c r="KH20" s="3">
        <v>2255280000</v>
      </c>
      <c r="KI20" s="3">
        <v>0</v>
      </c>
      <c r="KJ20" s="3">
        <v>30000000</v>
      </c>
      <c r="KK20" s="3">
        <v>3062401000</v>
      </c>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v>800288000</v>
      </c>
      <c r="LL20" s="3">
        <v>2295875000</v>
      </c>
      <c r="LM20" s="3">
        <v>0</v>
      </c>
      <c r="LN20" s="3">
        <v>234100000</v>
      </c>
      <c r="LO20" s="3">
        <v>3330263000</v>
      </c>
      <c r="LP20" s="3"/>
      <c r="LQ20" s="3"/>
      <c r="LR20" s="3"/>
      <c r="LS20" s="3"/>
      <c r="LT20" s="3"/>
    </row>
    <row r="21" spans="1:332" x14ac:dyDescent="0.25">
      <c r="A21" t="s">
        <v>685</v>
      </c>
      <c r="B21" t="s">
        <v>686</v>
      </c>
      <c r="C21" t="s">
        <v>199</v>
      </c>
      <c r="D21" t="s">
        <v>200</v>
      </c>
      <c r="E21" t="s">
        <v>300</v>
      </c>
      <c r="F21" t="s">
        <v>692</v>
      </c>
      <c r="G21" t="s">
        <v>766</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v>0</v>
      </c>
      <c r="FG21" s="3"/>
      <c r="FH21" s="3"/>
      <c r="FI21" s="3"/>
      <c r="FJ21" s="3"/>
      <c r="FK21" s="3">
        <v>0</v>
      </c>
      <c r="FL21" s="3"/>
      <c r="FM21" s="3"/>
      <c r="FN21" s="3"/>
      <c r="FO21" s="3"/>
      <c r="FP21" s="3">
        <v>0</v>
      </c>
      <c r="FQ21" s="3"/>
      <c r="FR21" s="3"/>
      <c r="FS21" s="3"/>
      <c r="FT21" s="3"/>
      <c r="FU21" s="3">
        <v>0</v>
      </c>
      <c r="FV21" s="3"/>
      <c r="FW21" s="3"/>
      <c r="FX21" s="3"/>
      <c r="FY21" s="3"/>
      <c r="FZ21" s="3">
        <v>0</v>
      </c>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v>0</v>
      </c>
      <c r="JH21" s="3"/>
      <c r="JI21" s="3"/>
      <c r="JJ21" s="3"/>
      <c r="JK21" s="3"/>
      <c r="JL21" s="3">
        <v>0</v>
      </c>
      <c r="JM21" s="3"/>
      <c r="JN21" s="3"/>
      <c r="JO21" s="3"/>
      <c r="JP21" s="3"/>
      <c r="JQ21" s="3">
        <v>0</v>
      </c>
      <c r="JR21" s="3"/>
      <c r="JS21" s="3"/>
      <c r="JT21" s="3"/>
      <c r="JU21" s="3"/>
      <c r="JV21" s="3">
        <v>0</v>
      </c>
      <c r="JW21" s="3"/>
      <c r="JX21" s="3"/>
      <c r="JY21" s="3"/>
      <c r="JZ21" s="3"/>
      <c r="KA21" s="3">
        <v>0</v>
      </c>
      <c r="KB21" s="3">
        <v>0</v>
      </c>
      <c r="KC21" s="3">
        <v>0</v>
      </c>
      <c r="KD21" s="3">
        <v>0</v>
      </c>
      <c r="KE21" s="3">
        <v>0</v>
      </c>
      <c r="KF21" s="3">
        <v>0</v>
      </c>
      <c r="KG21" s="3">
        <v>0</v>
      </c>
      <c r="KH21" s="3">
        <v>0</v>
      </c>
      <c r="KI21" s="3">
        <v>0</v>
      </c>
      <c r="KJ21" s="3">
        <v>275000000</v>
      </c>
      <c r="KK21" s="3">
        <v>275000000</v>
      </c>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row>
    <row r="22" spans="1:332" x14ac:dyDescent="0.25">
      <c r="A22" t="s">
        <v>685</v>
      </c>
      <c r="B22" t="s">
        <v>686</v>
      </c>
      <c r="C22" t="s">
        <v>199</v>
      </c>
      <c r="D22" t="s">
        <v>200</v>
      </c>
      <c r="E22" t="s">
        <v>300</v>
      </c>
      <c r="F22" t="s">
        <v>311</v>
      </c>
      <c r="G22" t="s">
        <v>747</v>
      </c>
      <c r="H22" s="3">
        <v>0</v>
      </c>
      <c r="I22" s="3">
        <v>3428462000</v>
      </c>
      <c r="J22" s="3">
        <v>0</v>
      </c>
      <c r="K22" s="3">
        <v>0</v>
      </c>
      <c r="L22" s="3">
        <v>3428462000</v>
      </c>
      <c r="M22" s="3">
        <v>0</v>
      </c>
      <c r="N22" s="3">
        <v>3428462000</v>
      </c>
      <c r="O22" s="3">
        <v>0</v>
      </c>
      <c r="P22" s="3">
        <v>0</v>
      </c>
      <c r="Q22" s="3">
        <v>3428462000</v>
      </c>
      <c r="R22" s="3">
        <v>0</v>
      </c>
      <c r="S22" s="3">
        <v>3428462000</v>
      </c>
      <c r="T22" s="3">
        <v>0</v>
      </c>
      <c r="U22" s="3">
        <v>0</v>
      </c>
      <c r="V22" s="3">
        <v>3428462000</v>
      </c>
      <c r="W22" s="3">
        <v>0</v>
      </c>
      <c r="X22" s="3">
        <v>3246590844</v>
      </c>
      <c r="Y22" s="3">
        <v>0</v>
      </c>
      <c r="Z22" s="3">
        <v>0</v>
      </c>
      <c r="AA22" s="3">
        <v>3246590844</v>
      </c>
      <c r="AB22" s="3">
        <v>0</v>
      </c>
      <c r="AC22" s="3">
        <v>3246590844</v>
      </c>
      <c r="AD22" s="3">
        <v>0</v>
      </c>
      <c r="AE22" s="3">
        <v>0</v>
      </c>
      <c r="AF22" s="3">
        <v>3246590844</v>
      </c>
      <c r="AG22" s="3">
        <v>0</v>
      </c>
      <c r="AH22" s="3">
        <v>3225316194.8000002</v>
      </c>
      <c r="AI22" s="3">
        <v>0</v>
      </c>
      <c r="AJ22" s="3">
        <v>0</v>
      </c>
      <c r="AK22" s="3">
        <v>3225316194.8000002</v>
      </c>
      <c r="AL22" s="3">
        <v>0</v>
      </c>
      <c r="AM22" s="3">
        <v>3139446059.6900001</v>
      </c>
      <c r="AN22" s="3">
        <v>0</v>
      </c>
      <c r="AO22" s="3">
        <v>0</v>
      </c>
      <c r="AP22" s="3">
        <v>3139446059.6900001</v>
      </c>
      <c r="AQ22" s="3">
        <v>0</v>
      </c>
      <c r="AR22" s="3">
        <v>3489189000</v>
      </c>
      <c r="AS22" s="3">
        <v>0</v>
      </c>
      <c r="AT22" s="3">
        <v>0</v>
      </c>
      <c r="AU22" s="3">
        <v>3489189000</v>
      </c>
      <c r="AV22" s="3">
        <v>0</v>
      </c>
      <c r="AW22" s="3">
        <v>3489189000</v>
      </c>
      <c r="AX22" s="3">
        <v>0</v>
      </c>
      <c r="AY22" s="3">
        <v>0</v>
      </c>
      <c r="AZ22" s="3">
        <v>3489189000</v>
      </c>
      <c r="BA22" s="3">
        <v>0</v>
      </c>
      <c r="BB22" s="3">
        <v>3489189000</v>
      </c>
      <c r="BC22" s="3">
        <v>0</v>
      </c>
      <c r="BD22" s="3">
        <v>0</v>
      </c>
      <c r="BE22" s="3">
        <v>3489189000</v>
      </c>
      <c r="BF22" s="3">
        <v>0</v>
      </c>
      <c r="BG22" s="3">
        <v>3341245000</v>
      </c>
      <c r="BH22" s="3">
        <v>0</v>
      </c>
      <c r="BI22" s="3">
        <v>0</v>
      </c>
      <c r="BJ22" s="3">
        <v>3341245000</v>
      </c>
      <c r="BK22" s="3">
        <v>0</v>
      </c>
      <c r="BL22" s="3">
        <v>3341245000</v>
      </c>
      <c r="BM22" s="3">
        <v>0</v>
      </c>
      <c r="BN22" s="3">
        <v>0</v>
      </c>
      <c r="BO22" s="3">
        <v>0</v>
      </c>
      <c r="BP22" s="3">
        <v>0</v>
      </c>
      <c r="BQ22" s="3">
        <v>2835069396.3299999</v>
      </c>
      <c r="BR22" s="3">
        <v>0</v>
      </c>
      <c r="BS22" s="3">
        <v>0</v>
      </c>
      <c r="BT22" s="3">
        <v>2835069396.3299999</v>
      </c>
      <c r="BU22" s="3">
        <v>0</v>
      </c>
      <c r="BV22" s="3">
        <v>1380580125.8099999</v>
      </c>
      <c r="BW22" s="3">
        <v>0</v>
      </c>
      <c r="BX22" s="3">
        <v>0</v>
      </c>
      <c r="BY22" s="3">
        <v>1380580125.8099999</v>
      </c>
      <c r="BZ22" s="3">
        <v>0</v>
      </c>
      <c r="CA22" s="3">
        <v>3600416000</v>
      </c>
      <c r="CB22" s="3">
        <v>0</v>
      </c>
      <c r="CC22" s="3">
        <v>0</v>
      </c>
      <c r="CD22" s="3">
        <v>3600416000</v>
      </c>
      <c r="CE22" s="3">
        <v>0</v>
      </c>
      <c r="CF22" s="3">
        <v>3700416000</v>
      </c>
      <c r="CG22" s="3">
        <v>0</v>
      </c>
      <c r="CH22" s="3">
        <v>0</v>
      </c>
      <c r="CI22" s="3">
        <v>3700416000</v>
      </c>
      <c r="CJ22" s="3">
        <v>0</v>
      </c>
      <c r="CK22" s="3">
        <v>3700416000</v>
      </c>
      <c r="CL22" s="3">
        <v>0</v>
      </c>
      <c r="CM22" s="3">
        <v>0</v>
      </c>
      <c r="CN22" s="3">
        <v>3700416000</v>
      </c>
      <c r="CO22" s="3">
        <v>0</v>
      </c>
      <c r="CP22" s="3">
        <v>3590722289</v>
      </c>
      <c r="CQ22" s="3">
        <v>0</v>
      </c>
      <c r="CR22" s="3">
        <v>0</v>
      </c>
      <c r="CS22" s="3">
        <v>3590722289</v>
      </c>
      <c r="CT22" s="3">
        <v>0</v>
      </c>
      <c r="CU22" s="3">
        <v>3590722289</v>
      </c>
      <c r="CV22" s="3">
        <v>0</v>
      </c>
      <c r="CW22" s="3">
        <v>0</v>
      </c>
      <c r="CX22" s="3">
        <v>3590722289</v>
      </c>
      <c r="CY22" s="3">
        <v>0</v>
      </c>
      <c r="CZ22" s="3">
        <v>3427503017.1799998</v>
      </c>
      <c r="DA22" s="3">
        <v>0</v>
      </c>
      <c r="DB22" s="3">
        <v>0</v>
      </c>
      <c r="DC22" s="3">
        <v>3427503017.1799998</v>
      </c>
      <c r="DD22" s="3">
        <v>0</v>
      </c>
      <c r="DE22" s="3">
        <v>1546080336.1400001</v>
      </c>
      <c r="DF22" s="3">
        <v>0</v>
      </c>
      <c r="DG22" s="3">
        <v>0</v>
      </c>
      <c r="DH22" s="3">
        <v>1546080336.1400001</v>
      </c>
      <c r="DI22" s="3">
        <v>0</v>
      </c>
      <c r="DJ22" s="3">
        <v>3700416000</v>
      </c>
      <c r="DK22" s="3">
        <v>0</v>
      </c>
      <c r="DL22" s="3">
        <v>0</v>
      </c>
      <c r="DM22" s="3">
        <v>3700416000</v>
      </c>
      <c r="DN22" s="3">
        <v>0</v>
      </c>
      <c r="DO22" s="3">
        <v>3830416000</v>
      </c>
      <c r="DP22" s="3">
        <v>0</v>
      </c>
      <c r="DQ22" s="3">
        <v>0</v>
      </c>
      <c r="DR22" s="3">
        <v>3830416000</v>
      </c>
      <c r="DS22" s="3">
        <v>0</v>
      </c>
      <c r="DT22" s="3">
        <v>3830416000</v>
      </c>
      <c r="DU22" s="3">
        <v>0</v>
      </c>
      <c r="DV22" s="3">
        <v>0</v>
      </c>
      <c r="DW22" s="3">
        <v>3830416000</v>
      </c>
      <c r="DX22" s="3">
        <v>0</v>
      </c>
      <c r="DY22" s="3">
        <v>3830416000</v>
      </c>
      <c r="DZ22" s="3">
        <v>0</v>
      </c>
      <c r="EA22" s="3">
        <v>0</v>
      </c>
      <c r="EB22" s="3">
        <v>3830416000</v>
      </c>
      <c r="EC22" s="3">
        <v>0</v>
      </c>
      <c r="ED22" s="3">
        <v>3830416000</v>
      </c>
      <c r="EE22" s="3">
        <v>0</v>
      </c>
      <c r="EF22" s="3">
        <v>0</v>
      </c>
      <c r="EG22" s="3">
        <v>3830416000</v>
      </c>
      <c r="EH22" s="3">
        <v>0</v>
      </c>
      <c r="EI22" s="3">
        <v>3752115654.9400001</v>
      </c>
      <c r="EJ22" s="3">
        <v>0</v>
      </c>
      <c r="EK22" s="3">
        <v>0</v>
      </c>
      <c r="EL22" s="3">
        <v>3752115654.9400001</v>
      </c>
      <c r="EM22" s="3">
        <v>0</v>
      </c>
      <c r="EN22" s="3">
        <v>3205621682.48</v>
      </c>
      <c r="EO22" s="3">
        <v>0</v>
      </c>
      <c r="EP22" s="3">
        <v>0</v>
      </c>
      <c r="EQ22" s="3">
        <v>3205621682.48</v>
      </c>
      <c r="ER22" s="3">
        <v>0</v>
      </c>
      <c r="ES22" s="3">
        <v>4161542000</v>
      </c>
      <c r="ET22" s="3">
        <v>0</v>
      </c>
      <c r="EU22" s="3">
        <v>0</v>
      </c>
      <c r="EV22" s="3">
        <v>4161542000</v>
      </c>
      <c r="EW22" s="3">
        <v>0</v>
      </c>
      <c r="EX22" s="3">
        <v>4161542000</v>
      </c>
      <c r="EY22" s="3">
        <v>0</v>
      </c>
      <c r="EZ22" s="3">
        <v>0</v>
      </c>
      <c r="FA22" s="3">
        <v>4161542000</v>
      </c>
      <c r="FB22" s="3">
        <v>0</v>
      </c>
      <c r="FC22" s="3">
        <v>4161542000</v>
      </c>
      <c r="FD22" s="3">
        <v>0</v>
      </c>
      <c r="FE22" s="3">
        <v>0</v>
      </c>
      <c r="FF22" s="3">
        <v>4161542000</v>
      </c>
      <c r="FG22" s="3">
        <v>0</v>
      </c>
      <c r="FH22" s="3">
        <v>4161542000</v>
      </c>
      <c r="FI22" s="3">
        <v>0</v>
      </c>
      <c r="FJ22" s="3">
        <v>0</v>
      </c>
      <c r="FK22" s="3">
        <v>4161542000</v>
      </c>
      <c r="FL22" s="3">
        <v>0</v>
      </c>
      <c r="FM22" s="3">
        <v>4161542000</v>
      </c>
      <c r="FN22" s="3">
        <v>0</v>
      </c>
      <c r="FO22" s="3">
        <v>0</v>
      </c>
      <c r="FP22" s="3">
        <v>4161542000</v>
      </c>
      <c r="FQ22" s="3">
        <v>0</v>
      </c>
      <c r="FR22" s="3">
        <v>4006184972.5100002</v>
      </c>
      <c r="FS22" s="3">
        <v>0</v>
      </c>
      <c r="FT22" s="3">
        <v>0</v>
      </c>
      <c r="FU22" s="3">
        <v>4006184972.5100002</v>
      </c>
      <c r="FV22" s="3">
        <v>0</v>
      </c>
      <c r="FW22" s="3">
        <v>2862165427.25</v>
      </c>
      <c r="FX22" s="3">
        <v>0</v>
      </c>
      <c r="FY22" s="3">
        <v>0</v>
      </c>
      <c r="FZ22" s="3">
        <v>2862165427.25</v>
      </c>
      <c r="GA22" s="3">
        <v>0</v>
      </c>
      <c r="GB22" s="3">
        <v>3700416000</v>
      </c>
      <c r="GC22" s="3">
        <v>0</v>
      </c>
      <c r="GD22" s="3">
        <v>0</v>
      </c>
      <c r="GE22" s="3">
        <v>3700416000</v>
      </c>
      <c r="GF22" s="3">
        <v>0</v>
      </c>
      <c r="GG22" s="3">
        <v>5200416000</v>
      </c>
      <c r="GH22" s="3">
        <v>0</v>
      </c>
      <c r="GI22" s="3">
        <v>0</v>
      </c>
      <c r="GJ22" s="3">
        <v>5200416000</v>
      </c>
      <c r="GK22" s="3">
        <v>0</v>
      </c>
      <c r="GL22" s="3">
        <v>5200416000</v>
      </c>
      <c r="GM22" s="3">
        <v>0</v>
      </c>
      <c r="GN22" s="3">
        <v>0</v>
      </c>
      <c r="GO22" s="3">
        <v>5200416000</v>
      </c>
      <c r="GP22" s="3">
        <v>0</v>
      </c>
      <c r="GQ22" s="3">
        <v>4980161000</v>
      </c>
      <c r="GR22" s="3">
        <v>0</v>
      </c>
      <c r="GS22" s="3">
        <v>0</v>
      </c>
      <c r="GT22" s="3">
        <v>4980161000</v>
      </c>
      <c r="GU22" s="3">
        <v>0</v>
      </c>
      <c r="GV22" s="3">
        <v>4980161000</v>
      </c>
      <c r="GW22" s="3">
        <v>0</v>
      </c>
      <c r="GX22" s="3">
        <v>0</v>
      </c>
      <c r="GY22" s="3">
        <v>4980161000</v>
      </c>
      <c r="GZ22" s="3">
        <v>0</v>
      </c>
      <c r="HA22" s="3">
        <v>4882730888.2200003</v>
      </c>
      <c r="HB22" s="3">
        <v>0</v>
      </c>
      <c r="HC22" s="3">
        <v>0</v>
      </c>
      <c r="HD22" s="3">
        <v>4882730888.2200003</v>
      </c>
      <c r="HE22" s="3">
        <v>0</v>
      </c>
      <c r="HF22" s="3">
        <v>3602088758.4000001</v>
      </c>
      <c r="HG22" s="3">
        <v>0</v>
      </c>
      <c r="HH22" s="3">
        <v>0</v>
      </c>
      <c r="HI22" s="3">
        <v>3602088758.4000001</v>
      </c>
      <c r="HJ22" s="3">
        <v>0</v>
      </c>
      <c r="HK22" s="3">
        <v>4084485000</v>
      </c>
      <c r="HL22" s="3">
        <v>0</v>
      </c>
      <c r="HM22" s="3">
        <v>0</v>
      </c>
      <c r="HN22" s="3">
        <v>4084485000</v>
      </c>
      <c r="HO22" s="3">
        <v>0</v>
      </c>
      <c r="HP22" s="3">
        <v>4084485000</v>
      </c>
      <c r="HQ22" s="3">
        <v>0</v>
      </c>
      <c r="HR22" s="3">
        <v>0</v>
      </c>
      <c r="HS22" s="3">
        <v>4084485000</v>
      </c>
      <c r="HT22" s="3">
        <v>0</v>
      </c>
      <c r="HU22" s="3">
        <v>4084485000</v>
      </c>
      <c r="HV22" s="3">
        <v>0</v>
      </c>
      <c r="HW22" s="3">
        <v>0</v>
      </c>
      <c r="HX22" s="3">
        <v>4084485000</v>
      </c>
      <c r="HY22" s="3">
        <v>0</v>
      </c>
      <c r="HZ22" s="3">
        <v>3892419000</v>
      </c>
      <c r="IA22" s="3">
        <v>0</v>
      </c>
      <c r="IB22" s="3">
        <v>0</v>
      </c>
      <c r="IC22" s="3">
        <v>3892419000</v>
      </c>
      <c r="ID22" s="3">
        <v>0</v>
      </c>
      <c r="IE22" s="3">
        <v>3892419000</v>
      </c>
      <c r="IF22" s="3">
        <v>0</v>
      </c>
      <c r="IG22" s="3">
        <v>0</v>
      </c>
      <c r="IH22" s="3">
        <v>3892419000</v>
      </c>
      <c r="II22" s="3">
        <v>0</v>
      </c>
      <c r="IJ22" s="3">
        <v>3860885193.9200001</v>
      </c>
      <c r="IK22" s="3">
        <v>0</v>
      </c>
      <c r="IL22" s="3">
        <v>0</v>
      </c>
      <c r="IM22" s="3">
        <v>3860885193.9200001</v>
      </c>
      <c r="IN22" s="3">
        <v>0</v>
      </c>
      <c r="IO22" s="3">
        <v>3270982525.96</v>
      </c>
      <c r="IP22" s="3">
        <v>0</v>
      </c>
      <c r="IQ22" s="3">
        <v>0</v>
      </c>
      <c r="IR22" s="3">
        <v>3270982525.96</v>
      </c>
      <c r="IS22" s="3">
        <v>0</v>
      </c>
      <c r="IT22" s="3">
        <v>5182950000</v>
      </c>
      <c r="IU22" s="3">
        <v>0</v>
      </c>
      <c r="IV22" s="3">
        <v>0</v>
      </c>
      <c r="IW22" s="3">
        <v>5182950000</v>
      </c>
      <c r="IX22" s="3">
        <v>0</v>
      </c>
      <c r="IY22" s="3">
        <v>5182950000</v>
      </c>
      <c r="IZ22" s="3">
        <v>0</v>
      </c>
      <c r="JA22" s="3">
        <v>0</v>
      </c>
      <c r="JB22" s="3">
        <v>5182950000</v>
      </c>
      <c r="JC22" s="3">
        <v>0</v>
      </c>
      <c r="JD22" s="3">
        <v>5182950000</v>
      </c>
      <c r="JE22" s="3">
        <v>0</v>
      </c>
      <c r="JF22" s="3">
        <v>0</v>
      </c>
      <c r="JG22" s="3">
        <v>5182950000</v>
      </c>
      <c r="JH22" s="3">
        <v>0</v>
      </c>
      <c r="JI22" s="3">
        <v>5009654000</v>
      </c>
      <c r="JJ22" s="3">
        <v>0</v>
      </c>
      <c r="JK22" s="3">
        <v>0</v>
      </c>
      <c r="JL22" s="3">
        <v>5009654000</v>
      </c>
      <c r="JM22" s="3">
        <v>0</v>
      </c>
      <c r="JN22" s="3">
        <v>5009654000</v>
      </c>
      <c r="JO22" s="3">
        <v>0</v>
      </c>
      <c r="JP22" s="3">
        <v>0</v>
      </c>
      <c r="JQ22" s="3">
        <v>5009654000</v>
      </c>
      <c r="JR22" s="3">
        <v>0</v>
      </c>
      <c r="JS22" s="3">
        <v>4987386020.3500004</v>
      </c>
      <c r="JT22" s="3">
        <v>0</v>
      </c>
      <c r="JU22" s="3">
        <v>0</v>
      </c>
      <c r="JV22" s="3">
        <v>4987386020.3500004</v>
      </c>
      <c r="JW22" s="3">
        <v>0</v>
      </c>
      <c r="JX22" s="3">
        <v>4640245150.5299997</v>
      </c>
      <c r="JY22" s="3">
        <v>0</v>
      </c>
      <c r="JZ22" s="3">
        <v>0</v>
      </c>
      <c r="KA22" s="3">
        <v>4640245150.5299997</v>
      </c>
      <c r="KB22" s="3">
        <v>0</v>
      </c>
      <c r="KC22" s="3">
        <v>6113551000</v>
      </c>
      <c r="KD22" s="3">
        <v>0</v>
      </c>
      <c r="KE22" s="3">
        <v>0</v>
      </c>
      <c r="KF22" s="3">
        <v>6113551000</v>
      </c>
      <c r="KG22" s="3">
        <v>0</v>
      </c>
      <c r="KH22" s="3">
        <v>9563551000</v>
      </c>
      <c r="KI22" s="3">
        <v>0</v>
      </c>
      <c r="KJ22" s="3">
        <v>0</v>
      </c>
      <c r="KK22" s="3">
        <v>9563551000</v>
      </c>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v>0</v>
      </c>
      <c r="LL22" s="3">
        <v>6359369000</v>
      </c>
      <c r="LM22" s="3">
        <v>0</v>
      </c>
      <c r="LN22" s="3">
        <v>0</v>
      </c>
      <c r="LO22" s="3">
        <v>6359369000</v>
      </c>
      <c r="LP22" s="3"/>
      <c r="LQ22" s="3"/>
      <c r="LR22" s="3"/>
      <c r="LS22" s="3"/>
      <c r="LT22" s="3"/>
    </row>
    <row r="23" spans="1:332" x14ac:dyDescent="0.25">
      <c r="A23" t="s">
        <v>685</v>
      </c>
      <c r="B23" t="s">
        <v>686</v>
      </c>
      <c r="C23" t="s">
        <v>199</v>
      </c>
      <c r="D23" t="s">
        <v>200</v>
      </c>
      <c r="E23" t="s">
        <v>300</v>
      </c>
      <c r="F23" t="s">
        <v>693</v>
      </c>
      <c r="G23" t="s">
        <v>748</v>
      </c>
      <c r="H23" s="3">
        <v>22858000</v>
      </c>
      <c r="I23" s="3">
        <v>19260000000</v>
      </c>
      <c r="J23" s="3">
        <v>0</v>
      </c>
      <c r="K23" s="3">
        <v>0</v>
      </c>
      <c r="L23" s="3">
        <v>19282858000</v>
      </c>
      <c r="M23" s="3">
        <v>22858000</v>
      </c>
      <c r="N23" s="3">
        <v>19260000000</v>
      </c>
      <c r="O23" s="3">
        <v>0</v>
      </c>
      <c r="P23" s="3">
        <v>0</v>
      </c>
      <c r="Q23" s="3">
        <v>19282858000</v>
      </c>
      <c r="R23" s="3">
        <v>22858000</v>
      </c>
      <c r="S23" s="3">
        <v>19260000000</v>
      </c>
      <c r="T23" s="3">
        <v>0</v>
      </c>
      <c r="U23" s="3">
        <v>0</v>
      </c>
      <c r="V23" s="3">
        <v>19282858000</v>
      </c>
      <c r="W23" s="3">
        <v>22858000</v>
      </c>
      <c r="X23" s="3">
        <v>18294938000</v>
      </c>
      <c r="Y23" s="3">
        <v>0</v>
      </c>
      <c r="Z23" s="3">
        <v>0</v>
      </c>
      <c r="AA23" s="3">
        <v>18317796000</v>
      </c>
      <c r="AB23" s="3">
        <v>22858000</v>
      </c>
      <c r="AC23" s="3">
        <v>18294938000</v>
      </c>
      <c r="AD23" s="3">
        <v>0</v>
      </c>
      <c r="AE23" s="3">
        <v>0</v>
      </c>
      <c r="AF23" s="3">
        <v>18317796000</v>
      </c>
      <c r="AG23" s="3">
        <v>22441812.32</v>
      </c>
      <c r="AH23" s="3">
        <v>18266061951.75</v>
      </c>
      <c r="AI23" s="3">
        <v>0</v>
      </c>
      <c r="AJ23" s="3">
        <v>0</v>
      </c>
      <c r="AK23" s="3">
        <v>18288503764.07</v>
      </c>
      <c r="AL23" s="3">
        <v>21556276.140000001</v>
      </c>
      <c r="AM23" s="3">
        <v>18089434289.849998</v>
      </c>
      <c r="AN23" s="3">
        <v>0</v>
      </c>
      <c r="AO23" s="3">
        <v>0</v>
      </c>
      <c r="AP23" s="3">
        <v>18110990565.990002</v>
      </c>
      <c r="AQ23" s="3">
        <v>26683000</v>
      </c>
      <c r="AR23" s="3">
        <v>23157534000</v>
      </c>
      <c r="AS23" s="3">
        <v>0</v>
      </c>
      <c r="AT23" s="3">
        <v>0</v>
      </c>
      <c r="AU23" s="3">
        <v>23184217000</v>
      </c>
      <c r="AV23" s="3">
        <v>26683000</v>
      </c>
      <c r="AW23" s="3">
        <v>23157534000</v>
      </c>
      <c r="AX23" s="3">
        <v>0</v>
      </c>
      <c r="AY23" s="3">
        <v>0</v>
      </c>
      <c r="AZ23" s="3">
        <v>23184217000</v>
      </c>
      <c r="BA23" s="3">
        <v>26683000</v>
      </c>
      <c r="BB23" s="3">
        <v>23157534000</v>
      </c>
      <c r="BC23" s="3">
        <v>0</v>
      </c>
      <c r="BD23" s="3">
        <v>0</v>
      </c>
      <c r="BE23" s="3">
        <v>23184217000</v>
      </c>
      <c r="BF23" s="3">
        <v>26683000</v>
      </c>
      <c r="BG23" s="3">
        <v>22100629000</v>
      </c>
      <c r="BH23" s="3">
        <v>0</v>
      </c>
      <c r="BI23" s="3">
        <v>0</v>
      </c>
      <c r="BJ23" s="3">
        <v>22127312000</v>
      </c>
      <c r="BK23" s="3">
        <v>26683000</v>
      </c>
      <c r="BL23" s="3">
        <v>22100629000</v>
      </c>
      <c r="BM23" s="3">
        <v>0</v>
      </c>
      <c r="BN23" s="3">
        <v>0</v>
      </c>
      <c r="BO23" s="3">
        <v>22127312000</v>
      </c>
      <c r="BP23" s="3">
        <v>25565909.760000002</v>
      </c>
      <c r="BQ23" s="3">
        <v>21189948944.060001</v>
      </c>
      <c r="BR23" s="3">
        <v>0</v>
      </c>
      <c r="BS23" s="3">
        <v>0</v>
      </c>
      <c r="BT23" s="3">
        <v>21215514853.82</v>
      </c>
      <c r="BU23" s="3">
        <v>24168690.190000001</v>
      </c>
      <c r="BV23" s="3">
        <v>16262218622.58</v>
      </c>
      <c r="BW23" s="3">
        <v>0</v>
      </c>
      <c r="BX23" s="3">
        <v>0</v>
      </c>
      <c r="BY23" s="3">
        <v>16286387312.77</v>
      </c>
      <c r="BZ23" s="3">
        <v>26696000</v>
      </c>
      <c r="CA23" s="3">
        <v>23157534000</v>
      </c>
      <c r="CB23" s="3">
        <v>0</v>
      </c>
      <c r="CC23" s="3">
        <v>0</v>
      </c>
      <c r="CD23" s="3">
        <v>23184230000</v>
      </c>
      <c r="CE23" s="3">
        <v>26696000</v>
      </c>
      <c r="CF23" s="3">
        <v>23157534000</v>
      </c>
      <c r="CG23" s="3">
        <v>0</v>
      </c>
      <c r="CH23" s="3">
        <v>0</v>
      </c>
      <c r="CI23" s="3">
        <v>23184230000</v>
      </c>
      <c r="CJ23" s="3">
        <v>26696000</v>
      </c>
      <c r="CK23" s="3">
        <v>23157534000</v>
      </c>
      <c r="CL23" s="3">
        <v>0</v>
      </c>
      <c r="CM23" s="3">
        <v>0</v>
      </c>
      <c r="CN23" s="3">
        <v>23184230000</v>
      </c>
      <c r="CO23" s="3">
        <v>26696000</v>
      </c>
      <c r="CP23" s="3">
        <v>23126122946</v>
      </c>
      <c r="CQ23" s="3">
        <v>0</v>
      </c>
      <c r="CR23" s="3">
        <v>0</v>
      </c>
      <c r="CS23" s="3">
        <v>23152818946</v>
      </c>
      <c r="CT23" s="3">
        <v>26696000</v>
      </c>
      <c r="CU23" s="3">
        <v>23126122946</v>
      </c>
      <c r="CV23" s="3">
        <v>0</v>
      </c>
      <c r="CW23" s="3">
        <v>0</v>
      </c>
      <c r="CX23" s="3">
        <v>23152818946</v>
      </c>
      <c r="CY23" s="3">
        <v>26394277.039999999</v>
      </c>
      <c r="CZ23" s="3">
        <v>22550563823.220001</v>
      </c>
      <c r="DA23" s="3">
        <v>0</v>
      </c>
      <c r="DB23" s="3">
        <v>0</v>
      </c>
      <c r="DC23" s="3">
        <v>22576958100.259998</v>
      </c>
      <c r="DD23" s="3">
        <v>25337431.93</v>
      </c>
      <c r="DE23" s="3">
        <v>21326357850.919998</v>
      </c>
      <c r="DF23" s="3">
        <v>0</v>
      </c>
      <c r="DG23" s="3">
        <v>0</v>
      </c>
      <c r="DH23" s="3">
        <v>21351695282.849998</v>
      </c>
      <c r="DI23" s="3">
        <v>29579000</v>
      </c>
      <c r="DJ23" s="3">
        <v>23157534000</v>
      </c>
      <c r="DK23" s="3">
        <v>0</v>
      </c>
      <c r="DL23" s="3">
        <v>0</v>
      </c>
      <c r="DM23" s="3">
        <v>23187113000</v>
      </c>
      <c r="DN23" s="3">
        <v>29579000</v>
      </c>
      <c r="DO23" s="3">
        <v>23428688000</v>
      </c>
      <c r="DP23" s="3">
        <v>0</v>
      </c>
      <c r="DQ23" s="3">
        <v>0</v>
      </c>
      <c r="DR23" s="3">
        <v>23458267000</v>
      </c>
      <c r="DS23" s="3">
        <v>29579000</v>
      </c>
      <c r="DT23" s="3">
        <v>23428688000</v>
      </c>
      <c r="DU23" s="3">
        <v>0</v>
      </c>
      <c r="DV23" s="3">
        <v>0</v>
      </c>
      <c r="DW23" s="3">
        <v>23458267000</v>
      </c>
      <c r="DX23" s="3">
        <v>29579000</v>
      </c>
      <c r="DY23" s="3">
        <v>23428688000</v>
      </c>
      <c r="DZ23" s="3">
        <v>0</v>
      </c>
      <c r="EA23" s="3">
        <v>0</v>
      </c>
      <c r="EB23" s="3">
        <v>23458267000</v>
      </c>
      <c r="EC23" s="3">
        <v>29579000</v>
      </c>
      <c r="ED23" s="3">
        <v>23428688000</v>
      </c>
      <c r="EE23" s="3">
        <v>0</v>
      </c>
      <c r="EF23" s="3">
        <v>0</v>
      </c>
      <c r="EG23" s="3">
        <v>23458267000</v>
      </c>
      <c r="EH23" s="3">
        <v>29327673.27</v>
      </c>
      <c r="EI23" s="3">
        <v>23201557084.610001</v>
      </c>
      <c r="EJ23" s="3">
        <v>0</v>
      </c>
      <c r="EK23" s="3">
        <v>0</v>
      </c>
      <c r="EL23" s="3">
        <v>23230884757.880001</v>
      </c>
      <c r="EM23" s="3">
        <v>27741540</v>
      </c>
      <c r="EN23" s="3">
        <v>22883441822.09</v>
      </c>
      <c r="EO23" s="3">
        <v>0</v>
      </c>
      <c r="EP23" s="3">
        <v>0</v>
      </c>
      <c r="EQ23" s="3">
        <v>22911183362.09</v>
      </c>
      <c r="ER23" s="3">
        <v>30701000</v>
      </c>
      <c r="ES23" s="3">
        <v>23470604000</v>
      </c>
      <c r="ET23" s="3">
        <v>16710000</v>
      </c>
      <c r="EU23" s="3">
        <v>0</v>
      </c>
      <c r="EV23" s="3">
        <v>23518015000</v>
      </c>
      <c r="EW23" s="3">
        <v>30701000</v>
      </c>
      <c r="EX23" s="3">
        <v>24970604000</v>
      </c>
      <c r="EY23" s="3">
        <v>16710000</v>
      </c>
      <c r="EZ23" s="3">
        <v>0</v>
      </c>
      <c r="FA23" s="3">
        <v>25018015000</v>
      </c>
      <c r="FB23" s="3">
        <v>30701000</v>
      </c>
      <c r="FC23" s="3">
        <v>24970604000</v>
      </c>
      <c r="FD23" s="3">
        <v>16710000</v>
      </c>
      <c r="FE23" s="3">
        <v>0</v>
      </c>
      <c r="FF23" s="3">
        <v>25018015000</v>
      </c>
      <c r="FG23" s="3">
        <v>30701000</v>
      </c>
      <c r="FH23" s="3">
        <v>24987314000</v>
      </c>
      <c r="FI23" s="3">
        <v>0</v>
      </c>
      <c r="FJ23" s="3">
        <v>0</v>
      </c>
      <c r="FK23" s="3">
        <v>25018015000</v>
      </c>
      <c r="FL23" s="3">
        <v>30701000</v>
      </c>
      <c r="FM23" s="3">
        <v>24987314000</v>
      </c>
      <c r="FN23" s="3">
        <v>0</v>
      </c>
      <c r="FO23" s="3">
        <v>0</v>
      </c>
      <c r="FP23" s="3">
        <v>25018015000</v>
      </c>
      <c r="FQ23" s="3">
        <v>30647676.030000001</v>
      </c>
      <c r="FR23" s="3">
        <v>24596573002.049999</v>
      </c>
      <c r="FS23" s="3">
        <v>0</v>
      </c>
      <c r="FT23" s="3">
        <v>0</v>
      </c>
      <c r="FU23" s="3">
        <v>24627220678.080002</v>
      </c>
      <c r="FV23" s="3">
        <v>28231988.870000001</v>
      </c>
      <c r="FW23" s="3">
        <v>24293898946.689999</v>
      </c>
      <c r="FX23" s="3">
        <v>0</v>
      </c>
      <c r="FY23" s="3">
        <v>0</v>
      </c>
      <c r="FZ23" s="3">
        <v>24322130935.560001</v>
      </c>
      <c r="GA23" s="3">
        <v>34078000</v>
      </c>
      <c r="GB23" s="3">
        <v>25262418000</v>
      </c>
      <c r="GC23" s="3">
        <v>0</v>
      </c>
      <c r="GD23" s="3">
        <v>0</v>
      </c>
      <c r="GE23" s="3">
        <v>25296496000</v>
      </c>
      <c r="GF23" s="3">
        <v>34078000</v>
      </c>
      <c r="GG23" s="3">
        <v>25262418000</v>
      </c>
      <c r="GH23" s="3">
        <v>0</v>
      </c>
      <c r="GI23" s="3">
        <v>0</v>
      </c>
      <c r="GJ23" s="3">
        <v>25296496000</v>
      </c>
      <c r="GK23" s="3">
        <v>34078000</v>
      </c>
      <c r="GL23" s="3">
        <v>25262418000</v>
      </c>
      <c r="GM23" s="3">
        <v>0</v>
      </c>
      <c r="GN23" s="3">
        <v>0</v>
      </c>
      <c r="GO23" s="3">
        <v>25296496000</v>
      </c>
      <c r="GP23" s="3">
        <v>43790687</v>
      </c>
      <c r="GQ23" s="3">
        <v>24182096313</v>
      </c>
      <c r="GR23" s="3">
        <v>0</v>
      </c>
      <c r="GS23" s="3">
        <v>0</v>
      </c>
      <c r="GT23" s="3">
        <v>24225887000</v>
      </c>
      <c r="GU23" s="3">
        <v>43790687</v>
      </c>
      <c r="GV23" s="3">
        <v>24182096313</v>
      </c>
      <c r="GW23" s="3">
        <v>0</v>
      </c>
      <c r="GX23" s="3">
        <v>0</v>
      </c>
      <c r="GY23" s="3">
        <v>24225887000</v>
      </c>
      <c r="GZ23" s="3">
        <v>42525962.310000002</v>
      </c>
      <c r="HA23" s="3">
        <v>24093063211.790001</v>
      </c>
      <c r="HB23" s="3">
        <v>0</v>
      </c>
      <c r="HC23" s="3">
        <v>0</v>
      </c>
      <c r="HD23" s="3">
        <v>24135589174.099998</v>
      </c>
      <c r="HE23" s="3">
        <v>37609788.68</v>
      </c>
      <c r="HF23" s="3">
        <v>23862161375.41</v>
      </c>
      <c r="HG23" s="3">
        <v>0</v>
      </c>
      <c r="HH23" s="3">
        <v>0</v>
      </c>
      <c r="HI23" s="3">
        <v>23899771164.09</v>
      </c>
      <c r="HJ23" s="3">
        <v>34271000</v>
      </c>
      <c r="HK23" s="3">
        <v>49772814000</v>
      </c>
      <c r="HL23" s="3">
        <v>0</v>
      </c>
      <c r="HM23" s="3">
        <v>0</v>
      </c>
      <c r="HN23" s="3">
        <v>49807085000</v>
      </c>
      <c r="HO23" s="3">
        <v>34271000</v>
      </c>
      <c r="HP23" s="3">
        <v>49772814000</v>
      </c>
      <c r="HQ23" s="3">
        <v>0</v>
      </c>
      <c r="HR23" s="3">
        <v>0</v>
      </c>
      <c r="HS23" s="3">
        <v>49807085000</v>
      </c>
      <c r="HT23" s="3">
        <v>34271000</v>
      </c>
      <c r="HU23" s="3">
        <v>49772814000</v>
      </c>
      <c r="HV23" s="3">
        <v>0</v>
      </c>
      <c r="HW23" s="3">
        <v>0</v>
      </c>
      <c r="HX23" s="3">
        <v>49807085000</v>
      </c>
      <c r="HY23" s="3">
        <v>62572894</v>
      </c>
      <c r="HZ23" s="3">
        <v>47632952106</v>
      </c>
      <c r="IA23" s="3">
        <v>0</v>
      </c>
      <c r="IB23" s="3">
        <v>0</v>
      </c>
      <c r="IC23" s="3">
        <v>47695525000</v>
      </c>
      <c r="ID23" s="3">
        <v>62572894</v>
      </c>
      <c r="IE23" s="3">
        <v>47632952106</v>
      </c>
      <c r="IF23" s="3">
        <v>0</v>
      </c>
      <c r="IG23" s="3">
        <v>0</v>
      </c>
      <c r="IH23" s="3">
        <v>47695525000</v>
      </c>
      <c r="II23" s="3">
        <v>62572805.369999997</v>
      </c>
      <c r="IJ23" s="3">
        <v>47566574943.660004</v>
      </c>
      <c r="IK23" s="3">
        <v>0</v>
      </c>
      <c r="IL23" s="3">
        <v>0</v>
      </c>
      <c r="IM23" s="3">
        <v>47629147749.029999</v>
      </c>
      <c r="IN23" s="3">
        <v>42530499.289999999</v>
      </c>
      <c r="IO23" s="3">
        <v>47358477612.879997</v>
      </c>
      <c r="IP23" s="3">
        <v>0</v>
      </c>
      <c r="IQ23" s="3">
        <v>0</v>
      </c>
      <c r="IR23" s="3">
        <v>47401008112.169998</v>
      </c>
      <c r="IS23" s="3">
        <v>34236000</v>
      </c>
      <c r="IT23" s="3">
        <v>49772814000</v>
      </c>
      <c r="IU23" s="3">
        <v>0</v>
      </c>
      <c r="IV23" s="3">
        <v>0</v>
      </c>
      <c r="IW23" s="3">
        <v>49807050000</v>
      </c>
      <c r="IX23" s="3">
        <v>34236000</v>
      </c>
      <c r="IY23" s="3">
        <v>49772814000</v>
      </c>
      <c r="IZ23" s="3">
        <v>0</v>
      </c>
      <c r="JA23" s="3">
        <v>0</v>
      </c>
      <c r="JB23" s="3">
        <v>49807050000</v>
      </c>
      <c r="JC23" s="3">
        <v>34236000</v>
      </c>
      <c r="JD23" s="3">
        <v>49772814000</v>
      </c>
      <c r="JE23" s="3">
        <v>0</v>
      </c>
      <c r="JF23" s="3">
        <v>0</v>
      </c>
      <c r="JG23" s="3">
        <v>49807050000</v>
      </c>
      <c r="JH23" s="3">
        <v>44784953</v>
      </c>
      <c r="JI23" s="3">
        <v>47905565047</v>
      </c>
      <c r="JJ23" s="3">
        <v>0</v>
      </c>
      <c r="JK23" s="3">
        <v>0</v>
      </c>
      <c r="JL23" s="3">
        <v>47950350000</v>
      </c>
      <c r="JM23" s="3">
        <v>44784953</v>
      </c>
      <c r="JN23" s="3">
        <v>47905565047</v>
      </c>
      <c r="JO23" s="3">
        <v>0</v>
      </c>
      <c r="JP23" s="3">
        <v>0</v>
      </c>
      <c r="JQ23" s="3">
        <v>47950350000</v>
      </c>
      <c r="JR23" s="3">
        <v>44784953</v>
      </c>
      <c r="JS23" s="3">
        <v>47565337648.550003</v>
      </c>
      <c r="JT23" s="3">
        <v>0</v>
      </c>
      <c r="JU23" s="3">
        <v>0</v>
      </c>
      <c r="JV23" s="3">
        <v>47610122601.550003</v>
      </c>
      <c r="JW23" s="3">
        <v>42661996.960000001</v>
      </c>
      <c r="JX23" s="3">
        <v>46844799947.269997</v>
      </c>
      <c r="JY23" s="3">
        <v>0</v>
      </c>
      <c r="JZ23" s="3">
        <v>0</v>
      </c>
      <c r="KA23" s="3">
        <v>46887461944.230003</v>
      </c>
      <c r="KB23" s="3">
        <v>39481000</v>
      </c>
      <c r="KC23" s="3">
        <v>49772814000</v>
      </c>
      <c r="KD23" s="3">
        <v>0</v>
      </c>
      <c r="KE23" s="3">
        <v>0</v>
      </c>
      <c r="KF23" s="3">
        <v>49812295000</v>
      </c>
      <c r="KG23" s="3">
        <v>39481000</v>
      </c>
      <c r="KH23" s="3">
        <v>51825314000</v>
      </c>
      <c r="KI23" s="3">
        <v>0</v>
      </c>
      <c r="KJ23" s="3">
        <v>0</v>
      </c>
      <c r="KK23" s="3">
        <v>51864795000</v>
      </c>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v>39620000</v>
      </c>
      <c r="LL23" s="3">
        <v>51604724000</v>
      </c>
      <c r="LM23" s="3">
        <v>0</v>
      </c>
      <c r="LN23" s="3">
        <v>0</v>
      </c>
      <c r="LO23" s="3">
        <v>51644344000</v>
      </c>
      <c r="LP23" s="3"/>
      <c r="LQ23" s="3"/>
      <c r="LR23" s="3"/>
      <c r="LS23" s="3"/>
      <c r="LT23" s="3"/>
    </row>
    <row r="24" spans="1:332" x14ac:dyDescent="0.25">
      <c r="A24" t="s">
        <v>685</v>
      </c>
      <c r="B24" t="s">
        <v>686</v>
      </c>
      <c r="C24" t="s">
        <v>199</v>
      </c>
      <c r="D24" t="s">
        <v>200</v>
      </c>
      <c r="E24" t="s">
        <v>300</v>
      </c>
      <c r="F24" t="s">
        <v>694</v>
      </c>
      <c r="G24" t="s">
        <v>791</v>
      </c>
      <c r="H24" s="3">
        <v>0</v>
      </c>
      <c r="I24" s="3">
        <v>189500000</v>
      </c>
      <c r="J24" s="3">
        <v>0</v>
      </c>
      <c r="K24" s="3">
        <v>0</v>
      </c>
      <c r="L24" s="3">
        <v>189500000</v>
      </c>
      <c r="M24" s="3">
        <v>0</v>
      </c>
      <c r="N24" s="3">
        <v>189500000</v>
      </c>
      <c r="O24" s="3">
        <v>0</v>
      </c>
      <c r="P24" s="3">
        <v>0</v>
      </c>
      <c r="Q24" s="3">
        <v>189500000</v>
      </c>
      <c r="R24" s="3">
        <v>0</v>
      </c>
      <c r="S24" s="3">
        <v>189500000</v>
      </c>
      <c r="T24" s="3">
        <v>0</v>
      </c>
      <c r="U24" s="3">
        <v>0</v>
      </c>
      <c r="V24" s="3">
        <v>189500000</v>
      </c>
      <c r="W24" s="3">
        <v>0</v>
      </c>
      <c r="X24" s="3">
        <v>163900000</v>
      </c>
      <c r="Y24" s="3">
        <v>0</v>
      </c>
      <c r="Z24" s="3">
        <v>0</v>
      </c>
      <c r="AA24" s="3">
        <v>163900000</v>
      </c>
      <c r="AB24" s="3">
        <v>0</v>
      </c>
      <c r="AC24" s="3">
        <v>163900000</v>
      </c>
      <c r="AD24" s="3">
        <v>0</v>
      </c>
      <c r="AE24" s="3">
        <v>0</v>
      </c>
      <c r="AF24" s="3">
        <v>163900000</v>
      </c>
      <c r="AG24" s="3">
        <v>0</v>
      </c>
      <c r="AH24" s="3">
        <v>139200000</v>
      </c>
      <c r="AI24" s="3">
        <v>0</v>
      </c>
      <c r="AJ24" s="3">
        <v>0</v>
      </c>
      <c r="AK24" s="3">
        <v>139200000</v>
      </c>
      <c r="AL24" s="3">
        <v>0</v>
      </c>
      <c r="AM24" s="3">
        <v>132800000</v>
      </c>
      <c r="AN24" s="3">
        <v>0</v>
      </c>
      <c r="AO24" s="3">
        <v>0</v>
      </c>
      <c r="AP24" s="3">
        <v>132800000</v>
      </c>
      <c r="AQ24" s="3">
        <v>0</v>
      </c>
      <c r="AR24" s="3">
        <v>109140000</v>
      </c>
      <c r="AS24" s="3">
        <v>0</v>
      </c>
      <c r="AT24" s="3">
        <v>0</v>
      </c>
      <c r="AU24" s="3">
        <v>109140000</v>
      </c>
      <c r="AV24" s="3">
        <v>0</v>
      </c>
      <c r="AW24" s="3">
        <v>109140000</v>
      </c>
      <c r="AX24" s="3">
        <v>0</v>
      </c>
      <c r="AY24" s="3">
        <v>0</v>
      </c>
      <c r="AZ24" s="3">
        <v>109140000</v>
      </c>
      <c r="BA24" s="3">
        <v>0</v>
      </c>
      <c r="BB24" s="3">
        <v>109140000</v>
      </c>
      <c r="BC24" s="3">
        <v>0</v>
      </c>
      <c r="BD24" s="3">
        <v>0</v>
      </c>
      <c r="BE24" s="3">
        <v>109140000</v>
      </c>
      <c r="BF24" s="3">
        <v>0</v>
      </c>
      <c r="BG24" s="3">
        <v>87340000</v>
      </c>
      <c r="BH24" s="3">
        <v>0</v>
      </c>
      <c r="BI24" s="3">
        <v>0</v>
      </c>
      <c r="BJ24" s="3">
        <v>87340000</v>
      </c>
      <c r="BK24" s="3">
        <v>0</v>
      </c>
      <c r="BL24" s="3">
        <v>87340000</v>
      </c>
      <c r="BM24" s="3">
        <v>0</v>
      </c>
      <c r="BN24" s="3">
        <v>0</v>
      </c>
      <c r="BO24" s="3">
        <v>87340000</v>
      </c>
      <c r="BP24" s="3">
        <v>0</v>
      </c>
      <c r="BQ24" s="3">
        <v>82908504.480000004</v>
      </c>
      <c r="BR24" s="3">
        <v>0</v>
      </c>
      <c r="BS24" s="3">
        <v>0</v>
      </c>
      <c r="BT24" s="3">
        <v>82908504.480000004</v>
      </c>
      <c r="BU24" s="3">
        <v>0</v>
      </c>
      <c r="BV24" s="3">
        <v>67679366.700000003</v>
      </c>
      <c r="BW24" s="3">
        <v>0</v>
      </c>
      <c r="BX24" s="3">
        <v>0</v>
      </c>
      <c r="BY24" s="3">
        <v>67679366.700000003</v>
      </c>
      <c r="BZ24" s="3">
        <v>0</v>
      </c>
      <c r="CA24" s="3">
        <v>109140000</v>
      </c>
      <c r="CB24" s="3">
        <v>0</v>
      </c>
      <c r="CC24" s="3">
        <v>0</v>
      </c>
      <c r="CD24" s="3">
        <v>109140000</v>
      </c>
      <c r="CE24" s="3">
        <v>0</v>
      </c>
      <c r="CF24" s="3">
        <v>109140000</v>
      </c>
      <c r="CG24" s="3">
        <v>0</v>
      </c>
      <c r="CH24" s="3">
        <v>0</v>
      </c>
      <c r="CI24" s="3">
        <v>109140000</v>
      </c>
      <c r="CJ24" s="3">
        <v>0</v>
      </c>
      <c r="CK24" s="3">
        <v>109140000</v>
      </c>
      <c r="CL24" s="3">
        <v>0</v>
      </c>
      <c r="CM24" s="3">
        <v>0</v>
      </c>
      <c r="CN24" s="3">
        <v>109140000</v>
      </c>
      <c r="CO24" s="3">
        <v>0</v>
      </c>
      <c r="CP24" s="3">
        <v>108666227</v>
      </c>
      <c r="CQ24" s="3">
        <v>0</v>
      </c>
      <c r="CR24" s="3">
        <v>0</v>
      </c>
      <c r="CS24" s="3">
        <v>108666227</v>
      </c>
      <c r="CT24" s="3">
        <v>0</v>
      </c>
      <c r="CU24" s="3">
        <v>108666227</v>
      </c>
      <c r="CV24" s="3">
        <v>0</v>
      </c>
      <c r="CW24" s="3">
        <v>0</v>
      </c>
      <c r="CX24" s="3">
        <v>108666227</v>
      </c>
      <c r="CY24" s="3">
        <v>0</v>
      </c>
      <c r="CZ24" s="3">
        <v>106936090.86</v>
      </c>
      <c r="DA24" s="3">
        <v>0</v>
      </c>
      <c r="DB24" s="3">
        <v>0</v>
      </c>
      <c r="DC24" s="3">
        <v>106936090.86</v>
      </c>
      <c r="DD24" s="3">
        <v>0</v>
      </c>
      <c r="DE24" s="3">
        <v>104769997.72</v>
      </c>
      <c r="DF24" s="3">
        <v>0</v>
      </c>
      <c r="DG24" s="3">
        <v>0</v>
      </c>
      <c r="DH24" s="3">
        <v>104769997.72</v>
      </c>
      <c r="DI24" s="3">
        <v>0</v>
      </c>
      <c r="DJ24" s="3">
        <v>135857000</v>
      </c>
      <c r="DK24" s="3">
        <v>0</v>
      </c>
      <c r="DL24" s="3">
        <v>0</v>
      </c>
      <c r="DM24" s="3">
        <v>135857000</v>
      </c>
      <c r="DN24" s="3">
        <v>0</v>
      </c>
      <c r="DO24" s="3">
        <v>135857000</v>
      </c>
      <c r="DP24" s="3">
        <v>0</v>
      </c>
      <c r="DQ24" s="3">
        <v>0</v>
      </c>
      <c r="DR24" s="3">
        <v>135857000</v>
      </c>
      <c r="DS24" s="3">
        <v>0</v>
      </c>
      <c r="DT24" s="3">
        <v>135857000</v>
      </c>
      <c r="DU24" s="3">
        <v>0</v>
      </c>
      <c r="DV24" s="3">
        <v>0</v>
      </c>
      <c r="DW24" s="3">
        <v>135857000</v>
      </c>
      <c r="DX24" s="3">
        <v>0</v>
      </c>
      <c r="DY24" s="3">
        <v>35857000</v>
      </c>
      <c r="DZ24" s="3">
        <v>0</v>
      </c>
      <c r="EA24" s="3">
        <v>0</v>
      </c>
      <c r="EB24" s="3">
        <v>35857000</v>
      </c>
      <c r="EC24" s="3">
        <v>0</v>
      </c>
      <c r="ED24" s="3">
        <v>135857000</v>
      </c>
      <c r="EE24" s="3">
        <v>0</v>
      </c>
      <c r="EF24" s="3">
        <v>0</v>
      </c>
      <c r="EG24" s="3">
        <v>135857000</v>
      </c>
      <c r="EH24" s="3">
        <v>0</v>
      </c>
      <c r="EI24" s="3">
        <v>135302205.06</v>
      </c>
      <c r="EJ24" s="3">
        <v>0</v>
      </c>
      <c r="EK24" s="3">
        <v>0</v>
      </c>
      <c r="EL24" s="3">
        <v>135302205.06</v>
      </c>
      <c r="EM24" s="3">
        <v>0</v>
      </c>
      <c r="EN24" s="3">
        <v>130157090.84999999</v>
      </c>
      <c r="EO24" s="3">
        <v>0</v>
      </c>
      <c r="EP24" s="3">
        <v>0</v>
      </c>
      <c r="EQ24" s="3">
        <v>130157090.84999999</v>
      </c>
      <c r="ER24" s="3">
        <v>0</v>
      </c>
      <c r="ES24" s="3">
        <v>135857000</v>
      </c>
      <c r="ET24" s="3">
        <v>0</v>
      </c>
      <c r="EU24" s="3">
        <v>0</v>
      </c>
      <c r="EV24" s="3">
        <v>135857000</v>
      </c>
      <c r="EW24" s="3">
        <v>0</v>
      </c>
      <c r="EX24" s="3">
        <v>177857000</v>
      </c>
      <c r="EY24" s="3">
        <v>0</v>
      </c>
      <c r="EZ24" s="3">
        <v>0</v>
      </c>
      <c r="FA24" s="3">
        <v>177857000</v>
      </c>
      <c r="FB24" s="3">
        <v>0</v>
      </c>
      <c r="FC24" s="3">
        <v>177857000</v>
      </c>
      <c r="FD24" s="3">
        <v>0</v>
      </c>
      <c r="FE24" s="3">
        <v>0</v>
      </c>
      <c r="FF24" s="3">
        <v>177857000</v>
      </c>
      <c r="FG24" s="3">
        <v>0</v>
      </c>
      <c r="FH24" s="3">
        <v>177857000</v>
      </c>
      <c r="FI24" s="3">
        <v>0</v>
      </c>
      <c r="FJ24" s="3">
        <v>0</v>
      </c>
      <c r="FK24" s="3">
        <v>177857000</v>
      </c>
      <c r="FL24" s="3">
        <v>0</v>
      </c>
      <c r="FM24" s="3">
        <v>177857000</v>
      </c>
      <c r="FN24" s="3">
        <v>0</v>
      </c>
      <c r="FO24" s="3">
        <v>0</v>
      </c>
      <c r="FP24" s="3">
        <v>177857000</v>
      </c>
      <c r="FQ24" s="3">
        <v>0</v>
      </c>
      <c r="FR24" s="3">
        <v>176112030.99000001</v>
      </c>
      <c r="FS24" s="3">
        <v>0</v>
      </c>
      <c r="FT24" s="3">
        <v>0</v>
      </c>
      <c r="FU24" s="3">
        <v>176112030.99000001</v>
      </c>
      <c r="FV24" s="3">
        <v>0</v>
      </c>
      <c r="FW24" s="3">
        <v>174638832.91</v>
      </c>
      <c r="FX24" s="3">
        <v>0</v>
      </c>
      <c r="FY24" s="3">
        <v>0</v>
      </c>
      <c r="FZ24" s="3">
        <v>174638832.91</v>
      </c>
      <c r="GA24" s="3">
        <v>0</v>
      </c>
      <c r="GB24" s="3">
        <v>175100000</v>
      </c>
      <c r="GC24" s="3">
        <v>0</v>
      </c>
      <c r="GD24" s="3">
        <v>0</v>
      </c>
      <c r="GE24" s="3">
        <v>175100000</v>
      </c>
      <c r="GF24" s="3">
        <v>0</v>
      </c>
      <c r="GG24" s="3">
        <v>254100000</v>
      </c>
      <c r="GH24" s="3">
        <v>0</v>
      </c>
      <c r="GI24" s="3">
        <v>0</v>
      </c>
      <c r="GJ24" s="3">
        <v>254100000</v>
      </c>
      <c r="GK24" s="3">
        <v>0</v>
      </c>
      <c r="GL24" s="3">
        <v>254100000</v>
      </c>
      <c r="GM24" s="3">
        <v>0</v>
      </c>
      <c r="GN24" s="3">
        <v>0</v>
      </c>
      <c r="GO24" s="3">
        <v>254100000</v>
      </c>
      <c r="GP24" s="3">
        <v>0</v>
      </c>
      <c r="GQ24" s="3">
        <v>249652000</v>
      </c>
      <c r="GR24" s="3">
        <v>0</v>
      </c>
      <c r="GS24" s="3">
        <v>0</v>
      </c>
      <c r="GT24" s="3">
        <v>249652000</v>
      </c>
      <c r="GU24" s="3">
        <v>0</v>
      </c>
      <c r="GV24" s="3">
        <v>249652000</v>
      </c>
      <c r="GW24" s="3">
        <v>0</v>
      </c>
      <c r="GX24" s="3">
        <v>0</v>
      </c>
      <c r="GY24" s="3">
        <v>249652000</v>
      </c>
      <c r="GZ24" s="3">
        <v>0</v>
      </c>
      <c r="HA24" s="3">
        <v>35759209.899999999</v>
      </c>
      <c r="HB24" s="3">
        <v>0</v>
      </c>
      <c r="HC24" s="3">
        <v>0</v>
      </c>
      <c r="HD24" s="3">
        <v>35759209.899999999</v>
      </c>
      <c r="HE24" s="3">
        <v>0</v>
      </c>
      <c r="HF24" s="3">
        <v>245430809.28999999</v>
      </c>
      <c r="HG24" s="3">
        <v>0</v>
      </c>
      <c r="HH24" s="3">
        <v>0</v>
      </c>
      <c r="HI24" s="3">
        <v>245430809.28999999</v>
      </c>
      <c r="HJ24" s="3">
        <v>0</v>
      </c>
      <c r="HK24" s="3">
        <v>186121000</v>
      </c>
      <c r="HL24" s="3">
        <v>0</v>
      </c>
      <c r="HM24" s="3">
        <v>0</v>
      </c>
      <c r="HN24" s="3">
        <v>186121000</v>
      </c>
      <c r="HO24" s="3">
        <v>0</v>
      </c>
      <c r="HP24" s="3">
        <v>186121000</v>
      </c>
      <c r="HQ24" s="3">
        <v>0</v>
      </c>
      <c r="HR24" s="3">
        <v>0</v>
      </c>
      <c r="HS24" s="3">
        <v>186121000</v>
      </c>
      <c r="HT24" s="3">
        <v>0</v>
      </c>
      <c r="HU24" s="3">
        <v>186121000</v>
      </c>
      <c r="HV24" s="3">
        <v>0</v>
      </c>
      <c r="HW24" s="3">
        <v>0</v>
      </c>
      <c r="HX24" s="3">
        <v>186121000</v>
      </c>
      <c r="HY24" s="3">
        <v>0</v>
      </c>
      <c r="HZ24" s="3">
        <v>183527000</v>
      </c>
      <c r="IA24" s="3">
        <v>0</v>
      </c>
      <c r="IB24" s="3">
        <v>0</v>
      </c>
      <c r="IC24" s="3">
        <v>183527000</v>
      </c>
      <c r="ID24" s="3">
        <v>0</v>
      </c>
      <c r="IE24" s="3">
        <v>183527000</v>
      </c>
      <c r="IF24" s="3">
        <v>0</v>
      </c>
      <c r="IG24" s="3">
        <v>0</v>
      </c>
      <c r="IH24" s="3">
        <v>183527000</v>
      </c>
      <c r="II24" s="3">
        <v>0</v>
      </c>
      <c r="IJ24" s="3">
        <v>183196976.72</v>
      </c>
      <c r="IK24" s="3">
        <v>0</v>
      </c>
      <c r="IL24" s="3">
        <v>0</v>
      </c>
      <c r="IM24" s="3">
        <v>183196976.72</v>
      </c>
      <c r="IN24" s="3">
        <v>0</v>
      </c>
      <c r="IO24" s="3">
        <v>182678412.53999999</v>
      </c>
      <c r="IP24" s="3">
        <v>0</v>
      </c>
      <c r="IQ24" s="3">
        <v>0</v>
      </c>
      <c r="IR24" s="3">
        <v>182678412.53999999</v>
      </c>
      <c r="IS24" s="3"/>
      <c r="IT24" s="3"/>
      <c r="IU24" s="3"/>
      <c r="IV24" s="3"/>
      <c r="IW24" s="3"/>
      <c r="IX24" s="3"/>
      <c r="IY24" s="3"/>
      <c r="IZ24" s="3"/>
      <c r="JA24" s="3"/>
      <c r="JB24" s="3"/>
      <c r="JC24" s="3"/>
      <c r="JD24" s="3"/>
      <c r="JE24" s="3"/>
      <c r="JF24" s="3"/>
      <c r="JG24" s="3">
        <v>0</v>
      </c>
      <c r="JH24" s="3"/>
      <c r="JI24" s="3"/>
      <c r="JJ24" s="3"/>
      <c r="JK24" s="3"/>
      <c r="JL24" s="3">
        <v>0</v>
      </c>
      <c r="JM24" s="3"/>
      <c r="JN24" s="3"/>
      <c r="JO24" s="3"/>
      <c r="JP24" s="3"/>
      <c r="JQ24" s="3">
        <v>0</v>
      </c>
      <c r="JR24" s="3"/>
      <c r="JS24" s="3"/>
      <c r="JT24" s="3"/>
      <c r="JU24" s="3"/>
      <c r="JV24" s="3">
        <v>0</v>
      </c>
      <c r="JW24" s="3"/>
      <c r="JX24" s="3"/>
      <c r="JY24" s="3"/>
      <c r="JZ24" s="3"/>
      <c r="KA24" s="3">
        <v>0</v>
      </c>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row>
    <row r="25" spans="1:332" x14ac:dyDescent="0.25">
      <c r="A25" t="s">
        <v>685</v>
      </c>
      <c r="B25" t="s">
        <v>686</v>
      </c>
      <c r="C25" t="s">
        <v>199</v>
      </c>
      <c r="D25" t="s">
        <v>200</v>
      </c>
      <c r="E25" t="s">
        <v>300</v>
      </c>
      <c r="F25" t="s">
        <v>695</v>
      </c>
      <c r="G25" t="s">
        <v>749</v>
      </c>
      <c r="H25" s="3">
        <v>37112000</v>
      </c>
      <c r="I25" s="3">
        <v>3418232000</v>
      </c>
      <c r="J25" s="3">
        <v>0</v>
      </c>
      <c r="K25" s="3">
        <v>0</v>
      </c>
      <c r="L25" s="3">
        <v>3455344000</v>
      </c>
      <c r="M25" s="3">
        <v>37112000</v>
      </c>
      <c r="N25" s="3">
        <v>5670966000</v>
      </c>
      <c r="O25" s="3">
        <v>0</v>
      </c>
      <c r="P25" s="3">
        <v>0</v>
      </c>
      <c r="Q25" s="3">
        <v>5708078000</v>
      </c>
      <c r="R25" s="3">
        <v>37112000</v>
      </c>
      <c r="S25" s="3">
        <v>5670966000</v>
      </c>
      <c r="T25" s="3">
        <v>0</v>
      </c>
      <c r="U25" s="3">
        <v>0</v>
      </c>
      <c r="V25" s="3">
        <v>5708078000</v>
      </c>
      <c r="W25" s="3">
        <v>37112000</v>
      </c>
      <c r="X25" s="3">
        <v>5670966000</v>
      </c>
      <c r="Y25" s="3">
        <v>0</v>
      </c>
      <c r="Z25" s="3">
        <v>0</v>
      </c>
      <c r="AA25" s="3">
        <v>5708078000</v>
      </c>
      <c r="AB25" s="3">
        <v>37112000</v>
      </c>
      <c r="AC25" s="3">
        <v>5670966000</v>
      </c>
      <c r="AD25" s="3">
        <v>0</v>
      </c>
      <c r="AE25" s="3">
        <v>0</v>
      </c>
      <c r="AF25" s="3">
        <v>5708078000</v>
      </c>
      <c r="AG25" s="3">
        <v>36909627.939999998</v>
      </c>
      <c r="AH25" s="3">
        <v>5565460643.1800003</v>
      </c>
      <c r="AI25" s="3">
        <v>0</v>
      </c>
      <c r="AJ25" s="3">
        <v>0</v>
      </c>
      <c r="AK25" s="3">
        <v>5602370271.1199999</v>
      </c>
      <c r="AL25" s="3">
        <v>31837794.780000001</v>
      </c>
      <c r="AM25" s="3">
        <v>4833141794.2600002</v>
      </c>
      <c r="AN25" s="3">
        <v>0</v>
      </c>
      <c r="AO25" s="3">
        <v>0</v>
      </c>
      <c r="AP25" s="3">
        <v>4864979589.04</v>
      </c>
      <c r="AQ25" s="3">
        <v>42740000</v>
      </c>
      <c r="AR25" s="3">
        <v>4105211000</v>
      </c>
      <c r="AS25" s="3">
        <v>0</v>
      </c>
      <c r="AT25" s="3">
        <v>0</v>
      </c>
      <c r="AU25" s="3">
        <v>4147951000</v>
      </c>
      <c r="AV25" s="3">
        <v>42740000</v>
      </c>
      <c r="AW25" s="3">
        <v>5045211000</v>
      </c>
      <c r="AX25" s="3">
        <v>0</v>
      </c>
      <c r="AY25" s="3">
        <v>0</v>
      </c>
      <c r="AZ25" s="3">
        <v>5087951000</v>
      </c>
      <c r="BA25" s="3">
        <v>42740000</v>
      </c>
      <c r="BB25" s="3">
        <v>5045211000</v>
      </c>
      <c r="BC25" s="3">
        <v>0</v>
      </c>
      <c r="BD25" s="3">
        <v>0</v>
      </c>
      <c r="BE25" s="3">
        <v>5087951000</v>
      </c>
      <c r="BF25" s="3">
        <v>42740000</v>
      </c>
      <c r="BG25" s="3">
        <v>5045211000</v>
      </c>
      <c r="BH25" s="3">
        <v>0</v>
      </c>
      <c r="BI25" s="3">
        <v>0</v>
      </c>
      <c r="BJ25" s="3">
        <v>5087951000</v>
      </c>
      <c r="BK25" s="3">
        <v>42740000</v>
      </c>
      <c r="BL25" s="3">
        <v>5045211000</v>
      </c>
      <c r="BM25" s="3">
        <v>0</v>
      </c>
      <c r="BN25" s="3">
        <v>0</v>
      </c>
      <c r="BO25" s="3">
        <v>5087951000</v>
      </c>
      <c r="BP25" s="3">
        <v>42739574.619999997</v>
      </c>
      <c r="BQ25" s="3">
        <v>4963673326.3100004</v>
      </c>
      <c r="BR25" s="3">
        <v>0</v>
      </c>
      <c r="BS25" s="3">
        <v>0</v>
      </c>
      <c r="BT25" s="3">
        <v>5006412900.9300003</v>
      </c>
      <c r="BU25" s="3">
        <v>41904353.490000002</v>
      </c>
      <c r="BV25" s="3">
        <v>4497396799.9099998</v>
      </c>
      <c r="BW25" s="3">
        <v>0</v>
      </c>
      <c r="BX25" s="3">
        <v>0</v>
      </c>
      <c r="BY25" s="3">
        <v>4539301153.3999996</v>
      </c>
      <c r="BZ25" s="3">
        <v>41725000</v>
      </c>
      <c r="CA25" s="3">
        <v>6566304000</v>
      </c>
      <c r="CB25" s="3">
        <v>0</v>
      </c>
      <c r="CC25" s="3">
        <v>0</v>
      </c>
      <c r="CD25" s="3">
        <v>6608029000</v>
      </c>
      <c r="CE25" s="3">
        <v>76725000</v>
      </c>
      <c r="CF25" s="3">
        <v>8657202000</v>
      </c>
      <c r="CG25" s="3">
        <v>0</v>
      </c>
      <c r="CH25" s="3">
        <v>0</v>
      </c>
      <c r="CI25" s="3">
        <v>8733927000</v>
      </c>
      <c r="CJ25" s="3">
        <v>76725000</v>
      </c>
      <c r="CK25" s="3">
        <v>8657202000</v>
      </c>
      <c r="CL25" s="3">
        <v>0</v>
      </c>
      <c r="CM25" s="3">
        <v>0</v>
      </c>
      <c r="CN25" s="3">
        <v>8733927000</v>
      </c>
      <c r="CO25" s="3">
        <v>76725000</v>
      </c>
      <c r="CP25" s="3">
        <v>18124260933</v>
      </c>
      <c r="CQ25" s="3">
        <v>0</v>
      </c>
      <c r="CR25" s="3">
        <v>40000000</v>
      </c>
      <c r="CS25" s="3">
        <v>18240985933</v>
      </c>
      <c r="CT25" s="3">
        <v>76725000</v>
      </c>
      <c r="CU25" s="3">
        <v>18124260933</v>
      </c>
      <c r="CV25" s="3">
        <v>0</v>
      </c>
      <c r="CW25" s="3">
        <v>40000000</v>
      </c>
      <c r="CX25" s="3">
        <v>18240985933</v>
      </c>
      <c r="CY25" s="3">
        <v>76725000</v>
      </c>
      <c r="CZ25" s="3">
        <v>10451263276.360001</v>
      </c>
      <c r="DA25" s="3">
        <v>0</v>
      </c>
      <c r="DB25" s="3">
        <v>0</v>
      </c>
      <c r="DC25" s="3">
        <v>10527988276.360001</v>
      </c>
      <c r="DD25" s="3">
        <v>76716570.200000003</v>
      </c>
      <c r="DE25" s="3">
        <v>9573587545.2900009</v>
      </c>
      <c r="DF25" s="3">
        <v>0</v>
      </c>
      <c r="DG25" s="3">
        <v>0</v>
      </c>
      <c r="DH25" s="3">
        <v>9650304115.4899998</v>
      </c>
      <c r="DI25" s="3">
        <v>47812000</v>
      </c>
      <c r="DJ25" s="3">
        <v>11977913000</v>
      </c>
      <c r="DK25" s="3">
        <v>0</v>
      </c>
      <c r="DL25" s="3">
        <v>0</v>
      </c>
      <c r="DM25" s="3">
        <v>12025725000</v>
      </c>
      <c r="DN25" s="3">
        <v>47812000</v>
      </c>
      <c r="DO25" s="3">
        <v>23513113000</v>
      </c>
      <c r="DP25" s="3">
        <v>0</v>
      </c>
      <c r="DQ25" s="3">
        <v>0</v>
      </c>
      <c r="DR25" s="3">
        <v>23560925000</v>
      </c>
      <c r="DS25" s="3">
        <v>47812000</v>
      </c>
      <c r="DT25" s="3">
        <v>23513113000</v>
      </c>
      <c r="DU25" s="3">
        <v>0</v>
      </c>
      <c r="DV25" s="3">
        <v>0</v>
      </c>
      <c r="DW25" s="3">
        <v>23560925000</v>
      </c>
      <c r="DX25" s="3">
        <v>47812000</v>
      </c>
      <c r="DY25" s="3">
        <v>23513113000</v>
      </c>
      <c r="DZ25" s="3">
        <v>0</v>
      </c>
      <c r="EA25" s="3">
        <v>0</v>
      </c>
      <c r="EB25" s="3">
        <v>23560925000</v>
      </c>
      <c r="EC25" s="3">
        <v>47812000</v>
      </c>
      <c r="ED25" s="3">
        <v>23513113000</v>
      </c>
      <c r="EE25" s="3">
        <v>0</v>
      </c>
      <c r="EF25" s="3">
        <v>0</v>
      </c>
      <c r="EG25" s="3">
        <v>23560925000</v>
      </c>
      <c r="EH25" s="3">
        <v>47811659.25</v>
      </c>
      <c r="EI25" s="3">
        <v>20413058270.689999</v>
      </c>
      <c r="EJ25" s="3">
        <v>0</v>
      </c>
      <c r="EK25" s="3">
        <v>0</v>
      </c>
      <c r="EL25" s="3">
        <v>20460869929.939999</v>
      </c>
      <c r="EM25" s="3">
        <v>45125985.990000002</v>
      </c>
      <c r="EN25" s="3">
        <v>17837047102.169998</v>
      </c>
      <c r="EO25" s="3">
        <v>0</v>
      </c>
      <c r="EP25" s="3">
        <v>0</v>
      </c>
      <c r="EQ25" s="3">
        <v>17882173088.16</v>
      </c>
      <c r="ER25" s="3">
        <v>55907000</v>
      </c>
      <c r="ES25" s="3">
        <v>17977913000</v>
      </c>
      <c r="ET25" s="3">
        <v>0</v>
      </c>
      <c r="EU25" s="3">
        <v>0</v>
      </c>
      <c r="EV25" s="3">
        <v>18033820000</v>
      </c>
      <c r="EW25" s="3">
        <v>55907000</v>
      </c>
      <c r="EX25" s="3">
        <v>39711163000</v>
      </c>
      <c r="EY25" s="3">
        <v>0</v>
      </c>
      <c r="EZ25" s="3">
        <v>98000000</v>
      </c>
      <c r="FA25" s="3">
        <v>39865070000</v>
      </c>
      <c r="FB25" s="3">
        <v>55907000</v>
      </c>
      <c r="FC25" s="3">
        <v>39711163000</v>
      </c>
      <c r="FD25" s="3">
        <v>0</v>
      </c>
      <c r="FE25" s="3">
        <v>98000000</v>
      </c>
      <c r="FF25" s="3">
        <v>39865070000</v>
      </c>
      <c r="FG25" s="3">
        <v>55907000</v>
      </c>
      <c r="FH25" s="3">
        <v>39711163000</v>
      </c>
      <c r="FI25" s="3">
        <v>0</v>
      </c>
      <c r="FJ25" s="3">
        <v>98000000</v>
      </c>
      <c r="FK25" s="3">
        <v>39865070000</v>
      </c>
      <c r="FL25" s="3">
        <v>55907000</v>
      </c>
      <c r="FM25" s="3">
        <v>39711163000</v>
      </c>
      <c r="FN25" s="3">
        <v>0</v>
      </c>
      <c r="FO25" s="3">
        <v>70000000</v>
      </c>
      <c r="FP25" s="3">
        <v>39837070000</v>
      </c>
      <c r="FQ25" s="3">
        <v>55906448.909999996</v>
      </c>
      <c r="FR25" s="3">
        <v>34062436046.970001</v>
      </c>
      <c r="FS25" s="3">
        <v>0</v>
      </c>
      <c r="FT25" s="3">
        <v>0</v>
      </c>
      <c r="FU25" s="3">
        <v>34118342495.880001</v>
      </c>
      <c r="FV25" s="3">
        <v>54158299.159999996</v>
      </c>
      <c r="FW25" s="3">
        <v>31534551959.080002</v>
      </c>
      <c r="FX25" s="3">
        <v>0</v>
      </c>
      <c r="FY25" s="3">
        <v>0</v>
      </c>
      <c r="FZ25" s="3">
        <v>31588710258.240002</v>
      </c>
      <c r="GA25" s="3">
        <v>61319000</v>
      </c>
      <c r="GB25" s="3">
        <v>19830763000</v>
      </c>
      <c r="GC25" s="3">
        <v>0</v>
      </c>
      <c r="GD25" s="3">
        <v>0</v>
      </c>
      <c r="GE25" s="3">
        <v>19892082000</v>
      </c>
      <c r="GF25" s="3">
        <v>61319000</v>
      </c>
      <c r="GG25" s="3">
        <v>36757363000</v>
      </c>
      <c r="GH25" s="3">
        <v>0</v>
      </c>
      <c r="GI25" s="3">
        <v>0</v>
      </c>
      <c r="GJ25" s="3">
        <v>36818682000</v>
      </c>
      <c r="GK25" s="3">
        <v>61319000</v>
      </c>
      <c r="GL25" s="3">
        <v>36757363000</v>
      </c>
      <c r="GM25" s="3">
        <v>0</v>
      </c>
      <c r="GN25" s="3">
        <v>0</v>
      </c>
      <c r="GO25" s="3">
        <v>36818682000</v>
      </c>
      <c r="GP25" s="3">
        <v>61319000</v>
      </c>
      <c r="GQ25" s="3">
        <v>36757363000</v>
      </c>
      <c r="GR25" s="3">
        <v>0</v>
      </c>
      <c r="GS25" s="3">
        <v>0</v>
      </c>
      <c r="GT25" s="3">
        <v>36818682000</v>
      </c>
      <c r="GU25" s="3">
        <v>61319000</v>
      </c>
      <c r="GV25" s="3">
        <v>36757363000</v>
      </c>
      <c r="GW25" s="3">
        <v>0</v>
      </c>
      <c r="GX25" s="3">
        <v>0</v>
      </c>
      <c r="GY25" s="3">
        <v>36818682000</v>
      </c>
      <c r="GZ25" s="3">
        <v>61317848.75</v>
      </c>
      <c r="HA25" s="3">
        <v>36691983563.900002</v>
      </c>
      <c r="HB25" s="3">
        <v>0</v>
      </c>
      <c r="HC25" s="3">
        <v>0</v>
      </c>
      <c r="HD25" s="3">
        <v>36753301412.650002</v>
      </c>
      <c r="HE25" s="3">
        <v>57718803.189999998</v>
      </c>
      <c r="HF25" s="3">
        <v>35607337155.949997</v>
      </c>
      <c r="HG25" s="3">
        <v>0</v>
      </c>
      <c r="HH25" s="3">
        <v>0</v>
      </c>
      <c r="HI25" s="3">
        <v>35665055959.139999</v>
      </c>
      <c r="HJ25" s="3">
        <v>53054000</v>
      </c>
      <c r="HK25" s="3">
        <v>19918516000</v>
      </c>
      <c r="HL25" s="3">
        <v>0</v>
      </c>
      <c r="HM25" s="3">
        <v>0</v>
      </c>
      <c r="HN25" s="3">
        <v>19971570000</v>
      </c>
      <c r="HO25" s="3">
        <v>53054000</v>
      </c>
      <c r="HP25" s="3">
        <v>34216296000</v>
      </c>
      <c r="HQ25" s="3">
        <v>0</v>
      </c>
      <c r="HR25" s="3">
        <v>0</v>
      </c>
      <c r="HS25" s="3">
        <v>34269350000</v>
      </c>
      <c r="HT25" s="3">
        <v>53054000</v>
      </c>
      <c r="HU25" s="3">
        <v>34216296000</v>
      </c>
      <c r="HV25" s="3">
        <v>0</v>
      </c>
      <c r="HW25" s="3">
        <v>0</v>
      </c>
      <c r="HX25" s="3">
        <v>34269350000</v>
      </c>
      <c r="HY25" s="3">
        <v>55975744</v>
      </c>
      <c r="HZ25" s="3">
        <v>34213374256</v>
      </c>
      <c r="IA25" s="3">
        <v>0</v>
      </c>
      <c r="IB25" s="3">
        <v>0</v>
      </c>
      <c r="IC25" s="3">
        <v>34269350000</v>
      </c>
      <c r="ID25" s="3">
        <v>55975744</v>
      </c>
      <c r="IE25" s="3">
        <v>34213374256</v>
      </c>
      <c r="IF25" s="3">
        <v>0</v>
      </c>
      <c r="IG25" s="3">
        <v>0</v>
      </c>
      <c r="IH25" s="3">
        <v>34269350000</v>
      </c>
      <c r="II25" s="3">
        <v>55975744</v>
      </c>
      <c r="IJ25" s="3">
        <v>34209084427.130001</v>
      </c>
      <c r="IK25" s="3">
        <v>0</v>
      </c>
      <c r="IL25" s="3">
        <v>0</v>
      </c>
      <c r="IM25" s="3">
        <v>34265060171.130001</v>
      </c>
      <c r="IN25" s="3">
        <v>52931708.590000004</v>
      </c>
      <c r="IO25" s="3">
        <v>33489280511.5</v>
      </c>
      <c r="IP25" s="3">
        <v>0</v>
      </c>
      <c r="IQ25" s="3">
        <v>0</v>
      </c>
      <c r="IR25" s="3">
        <v>33542212220.09</v>
      </c>
      <c r="IS25" s="3">
        <v>47769000</v>
      </c>
      <c r="IT25" s="3">
        <v>35138361000</v>
      </c>
      <c r="IU25" s="3">
        <v>0</v>
      </c>
      <c r="IV25" s="3">
        <v>0</v>
      </c>
      <c r="IW25" s="3">
        <v>35186130000</v>
      </c>
      <c r="IX25" s="3">
        <v>58961000</v>
      </c>
      <c r="IY25" s="3">
        <v>44685266000</v>
      </c>
      <c r="IZ25" s="3">
        <v>0</v>
      </c>
      <c r="JA25" s="3">
        <v>0</v>
      </c>
      <c r="JB25" s="3">
        <v>44744227000</v>
      </c>
      <c r="JC25" s="3">
        <v>58961000</v>
      </c>
      <c r="JD25" s="3">
        <v>44685266000</v>
      </c>
      <c r="JE25" s="3">
        <v>0</v>
      </c>
      <c r="JF25" s="3">
        <v>0</v>
      </c>
      <c r="JG25" s="3">
        <v>44744227000</v>
      </c>
      <c r="JH25" s="3">
        <v>58961000</v>
      </c>
      <c r="JI25" s="3">
        <v>44685266000</v>
      </c>
      <c r="JJ25" s="3">
        <v>0</v>
      </c>
      <c r="JK25" s="3">
        <v>0</v>
      </c>
      <c r="JL25" s="3">
        <v>44744227000</v>
      </c>
      <c r="JM25" s="3">
        <v>47769000</v>
      </c>
      <c r="JN25" s="3">
        <v>44685266000</v>
      </c>
      <c r="JO25" s="3">
        <v>0</v>
      </c>
      <c r="JP25" s="3">
        <v>0</v>
      </c>
      <c r="JQ25" s="3">
        <v>44733035000</v>
      </c>
      <c r="JR25" s="3">
        <v>47769000</v>
      </c>
      <c r="JS25" s="3">
        <v>44662982798.580002</v>
      </c>
      <c r="JT25" s="3">
        <v>0</v>
      </c>
      <c r="JU25" s="3">
        <v>0</v>
      </c>
      <c r="JV25" s="3">
        <v>44710751798.580002</v>
      </c>
      <c r="JW25" s="3">
        <v>46176019.090000004</v>
      </c>
      <c r="JX25" s="3">
        <v>44239365364.040001</v>
      </c>
      <c r="JY25" s="3">
        <v>0</v>
      </c>
      <c r="JZ25" s="3">
        <v>0</v>
      </c>
      <c r="KA25" s="3">
        <v>44285541383.129997</v>
      </c>
      <c r="KB25" s="3">
        <v>50043000</v>
      </c>
      <c r="KC25" s="3">
        <v>26978411000</v>
      </c>
      <c r="KD25" s="3">
        <v>0</v>
      </c>
      <c r="KE25" s="3">
        <v>0</v>
      </c>
      <c r="KF25" s="3">
        <v>27028454000</v>
      </c>
      <c r="KG25" s="3">
        <v>50043000</v>
      </c>
      <c r="KH25" s="3">
        <v>63845435000</v>
      </c>
      <c r="KI25" s="3">
        <v>0</v>
      </c>
      <c r="KJ25" s="3">
        <v>0</v>
      </c>
      <c r="KK25" s="3">
        <v>63895478000</v>
      </c>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v>54980000</v>
      </c>
      <c r="LL25" s="3">
        <v>33229603000</v>
      </c>
      <c r="LM25" s="3">
        <v>0</v>
      </c>
      <c r="LN25" s="3">
        <v>0</v>
      </c>
      <c r="LO25" s="3">
        <v>33284583000</v>
      </c>
      <c r="LP25" s="3"/>
      <c r="LQ25" s="3"/>
      <c r="LR25" s="3"/>
      <c r="LS25" s="3"/>
      <c r="LT25" s="3"/>
    </row>
    <row r="26" spans="1:332" x14ac:dyDescent="0.25">
      <c r="A26" t="s">
        <v>685</v>
      </c>
      <c r="B26" t="s">
        <v>686</v>
      </c>
      <c r="C26" t="s">
        <v>199</v>
      </c>
      <c r="D26" t="s">
        <v>200</v>
      </c>
      <c r="E26" t="s">
        <v>300</v>
      </c>
      <c r="F26" t="s">
        <v>696</v>
      </c>
      <c r="G26" t="s">
        <v>804</v>
      </c>
      <c r="H26" s="3">
        <v>0</v>
      </c>
      <c r="I26" s="3">
        <v>12441000</v>
      </c>
      <c r="J26" s="3">
        <v>0</v>
      </c>
      <c r="K26" s="3">
        <v>0</v>
      </c>
      <c r="L26" s="3">
        <v>12441000</v>
      </c>
      <c r="M26" s="3">
        <v>0</v>
      </c>
      <c r="N26" s="3">
        <v>12441000</v>
      </c>
      <c r="O26" s="3">
        <v>0</v>
      </c>
      <c r="P26" s="3">
        <v>0</v>
      </c>
      <c r="Q26" s="3">
        <v>12441000</v>
      </c>
      <c r="R26" s="3">
        <v>0</v>
      </c>
      <c r="S26" s="3">
        <v>12441000</v>
      </c>
      <c r="T26" s="3">
        <v>0</v>
      </c>
      <c r="U26" s="3">
        <v>0</v>
      </c>
      <c r="V26" s="3">
        <v>12441000</v>
      </c>
      <c r="W26" s="3">
        <v>0</v>
      </c>
      <c r="X26" s="3">
        <v>12441000</v>
      </c>
      <c r="Y26" s="3">
        <v>0</v>
      </c>
      <c r="Z26" s="3">
        <v>0</v>
      </c>
      <c r="AA26" s="3">
        <v>12441000</v>
      </c>
      <c r="AB26" s="3">
        <v>0</v>
      </c>
      <c r="AC26" s="3">
        <v>12441000</v>
      </c>
      <c r="AD26" s="3">
        <v>0</v>
      </c>
      <c r="AE26" s="3">
        <v>0</v>
      </c>
      <c r="AF26" s="3">
        <v>12441000</v>
      </c>
      <c r="AG26" s="3">
        <v>0</v>
      </c>
      <c r="AH26" s="3">
        <v>10686851.220000001</v>
      </c>
      <c r="AI26" s="3">
        <v>0</v>
      </c>
      <c r="AJ26" s="3">
        <v>0</v>
      </c>
      <c r="AK26" s="3">
        <v>10686851.220000001</v>
      </c>
      <c r="AL26" s="3">
        <v>0</v>
      </c>
      <c r="AM26" s="3">
        <v>6839659.6200000001</v>
      </c>
      <c r="AN26" s="3">
        <v>0</v>
      </c>
      <c r="AO26" s="3">
        <v>0</v>
      </c>
      <c r="AP26" s="3">
        <v>6839659.6200000001</v>
      </c>
      <c r="AQ26" s="3">
        <v>0</v>
      </c>
      <c r="AR26" s="3">
        <v>10996000</v>
      </c>
      <c r="AS26" s="3">
        <v>0</v>
      </c>
      <c r="AT26" s="3">
        <v>0</v>
      </c>
      <c r="AU26" s="3">
        <v>10996000</v>
      </c>
      <c r="AV26" s="3">
        <v>0</v>
      </c>
      <c r="AW26" s="3">
        <v>10996000</v>
      </c>
      <c r="AX26" s="3">
        <v>0</v>
      </c>
      <c r="AY26" s="3">
        <v>0</v>
      </c>
      <c r="AZ26" s="3">
        <v>10996000</v>
      </c>
      <c r="BA26" s="3">
        <v>0</v>
      </c>
      <c r="BB26" s="3">
        <v>10996000</v>
      </c>
      <c r="BC26" s="3">
        <v>0</v>
      </c>
      <c r="BD26" s="3">
        <v>0</v>
      </c>
      <c r="BE26" s="3">
        <v>10996000</v>
      </c>
      <c r="BF26" s="3">
        <v>0</v>
      </c>
      <c r="BG26" s="3">
        <v>10996000</v>
      </c>
      <c r="BH26" s="3">
        <v>0</v>
      </c>
      <c r="BI26" s="3">
        <v>0</v>
      </c>
      <c r="BJ26" s="3">
        <v>10996000</v>
      </c>
      <c r="BK26" s="3">
        <v>0</v>
      </c>
      <c r="BL26" s="3">
        <v>10996000</v>
      </c>
      <c r="BM26" s="3">
        <v>0</v>
      </c>
      <c r="BN26" s="3">
        <v>0</v>
      </c>
      <c r="BO26" s="3">
        <v>10996000</v>
      </c>
      <c r="BP26" s="3">
        <v>0</v>
      </c>
      <c r="BQ26" s="3">
        <v>8975348.5600000005</v>
      </c>
      <c r="BR26" s="3">
        <v>0</v>
      </c>
      <c r="BS26" s="3">
        <v>0</v>
      </c>
      <c r="BT26" s="3">
        <v>8975348.5600000005</v>
      </c>
      <c r="BU26" s="3">
        <v>0</v>
      </c>
      <c r="BV26" s="3">
        <v>5576078.54</v>
      </c>
      <c r="BW26" s="3">
        <v>0</v>
      </c>
      <c r="BX26" s="3">
        <v>0</v>
      </c>
      <c r="BY26" s="3">
        <v>5576078.54</v>
      </c>
      <c r="BZ26" s="3">
        <v>0</v>
      </c>
      <c r="CA26" s="3">
        <v>10970000</v>
      </c>
      <c r="CB26" s="3">
        <v>0</v>
      </c>
      <c r="CC26" s="3">
        <v>0</v>
      </c>
      <c r="CD26" s="3">
        <v>10970000</v>
      </c>
      <c r="CE26" s="3">
        <v>0</v>
      </c>
      <c r="CF26" s="3">
        <v>10970000</v>
      </c>
      <c r="CG26" s="3">
        <v>0</v>
      </c>
      <c r="CH26" s="3">
        <v>0</v>
      </c>
      <c r="CI26" s="3">
        <v>10970000</v>
      </c>
      <c r="CJ26" s="3">
        <v>0</v>
      </c>
      <c r="CK26" s="3">
        <v>10970000</v>
      </c>
      <c r="CL26" s="3">
        <v>0</v>
      </c>
      <c r="CM26" s="3">
        <v>0</v>
      </c>
      <c r="CN26" s="3">
        <v>10970000</v>
      </c>
      <c r="CO26" s="3">
        <v>0</v>
      </c>
      <c r="CP26" s="3">
        <v>10380970</v>
      </c>
      <c r="CQ26" s="3">
        <v>0</v>
      </c>
      <c r="CR26" s="3">
        <v>0</v>
      </c>
      <c r="CS26" s="3">
        <v>10380970</v>
      </c>
      <c r="CT26" s="3">
        <v>0</v>
      </c>
      <c r="CU26" s="3">
        <v>10380970</v>
      </c>
      <c r="CV26" s="3">
        <v>0</v>
      </c>
      <c r="CW26" s="3">
        <v>0</v>
      </c>
      <c r="CX26" s="3">
        <v>10380970</v>
      </c>
      <c r="CY26" s="3">
        <v>0</v>
      </c>
      <c r="CZ26" s="3">
        <v>7607895.9400000004</v>
      </c>
      <c r="DA26" s="3">
        <v>0</v>
      </c>
      <c r="DB26" s="3">
        <v>0</v>
      </c>
      <c r="DC26" s="3">
        <v>7607895.9400000004</v>
      </c>
      <c r="DD26" s="3">
        <v>0</v>
      </c>
      <c r="DE26" s="3">
        <v>4521235.42</v>
      </c>
      <c r="DF26" s="3">
        <v>0</v>
      </c>
      <c r="DG26" s="3">
        <v>0</v>
      </c>
      <c r="DH26" s="3">
        <v>4521235.42</v>
      </c>
      <c r="DI26" s="3">
        <v>0</v>
      </c>
      <c r="DJ26" s="3">
        <v>11167000</v>
      </c>
      <c r="DK26" s="3">
        <v>0</v>
      </c>
      <c r="DL26" s="3">
        <v>0</v>
      </c>
      <c r="DM26" s="3">
        <v>11167000</v>
      </c>
      <c r="DN26" s="3">
        <v>0</v>
      </c>
      <c r="DO26" s="3">
        <v>11167000</v>
      </c>
      <c r="DP26" s="3">
        <v>0</v>
      </c>
      <c r="DQ26" s="3">
        <v>0</v>
      </c>
      <c r="DR26" s="3">
        <v>11167000</v>
      </c>
      <c r="DS26" s="3">
        <v>0</v>
      </c>
      <c r="DT26" s="3">
        <v>11167000</v>
      </c>
      <c r="DU26" s="3">
        <v>0</v>
      </c>
      <c r="DV26" s="3">
        <v>0</v>
      </c>
      <c r="DW26" s="3">
        <v>11167000</v>
      </c>
      <c r="DX26" s="3">
        <v>0</v>
      </c>
      <c r="DY26" s="3">
        <v>11167000</v>
      </c>
      <c r="DZ26" s="3">
        <v>0</v>
      </c>
      <c r="EA26" s="3">
        <v>0</v>
      </c>
      <c r="EB26" s="3">
        <v>11167000</v>
      </c>
      <c r="EC26" s="3">
        <v>0</v>
      </c>
      <c r="ED26" s="3">
        <v>11167000</v>
      </c>
      <c r="EE26" s="3">
        <v>0</v>
      </c>
      <c r="EF26" s="3">
        <v>0</v>
      </c>
      <c r="EG26" s="3">
        <v>11167000</v>
      </c>
      <c r="EH26" s="3">
        <v>0</v>
      </c>
      <c r="EI26" s="3">
        <v>9767790.3399999999</v>
      </c>
      <c r="EJ26" s="3">
        <v>0</v>
      </c>
      <c r="EK26" s="3">
        <v>0</v>
      </c>
      <c r="EL26" s="3">
        <v>9767790.3399999999</v>
      </c>
      <c r="EM26" s="3">
        <v>0</v>
      </c>
      <c r="EN26" s="3">
        <v>7203444.0999999996</v>
      </c>
      <c r="EO26" s="3">
        <v>0</v>
      </c>
      <c r="EP26" s="3">
        <v>0</v>
      </c>
      <c r="EQ26" s="3">
        <v>7203444.0999999996</v>
      </c>
      <c r="ER26" s="3">
        <v>0</v>
      </c>
      <c r="ES26" s="3">
        <v>11167000</v>
      </c>
      <c r="ET26" s="3">
        <v>0</v>
      </c>
      <c r="EU26" s="3">
        <v>0</v>
      </c>
      <c r="EV26" s="3">
        <v>11167000</v>
      </c>
      <c r="EW26" s="3">
        <v>0</v>
      </c>
      <c r="EX26" s="3">
        <v>11167000</v>
      </c>
      <c r="EY26" s="3">
        <v>0</v>
      </c>
      <c r="EZ26" s="3">
        <v>0</v>
      </c>
      <c r="FA26" s="3">
        <v>11167000</v>
      </c>
      <c r="FB26" s="3">
        <v>0</v>
      </c>
      <c r="FC26" s="3">
        <v>11167000</v>
      </c>
      <c r="FD26" s="3">
        <v>0</v>
      </c>
      <c r="FE26" s="3">
        <v>0</v>
      </c>
      <c r="FF26" s="3">
        <v>11167000</v>
      </c>
      <c r="FG26" s="3">
        <v>0</v>
      </c>
      <c r="FH26" s="3">
        <v>11167000</v>
      </c>
      <c r="FI26" s="3">
        <v>0</v>
      </c>
      <c r="FJ26" s="3">
        <v>0</v>
      </c>
      <c r="FK26" s="3">
        <v>11167000</v>
      </c>
      <c r="FL26" s="3">
        <v>0</v>
      </c>
      <c r="FM26" s="3">
        <v>11167000</v>
      </c>
      <c r="FN26" s="3">
        <v>0</v>
      </c>
      <c r="FO26" s="3">
        <v>0</v>
      </c>
      <c r="FP26" s="3">
        <v>11167000</v>
      </c>
      <c r="FQ26" s="3">
        <v>0</v>
      </c>
      <c r="FR26" s="3">
        <v>9571086.5999999996</v>
      </c>
      <c r="FS26" s="3">
        <v>0</v>
      </c>
      <c r="FT26" s="3">
        <v>0</v>
      </c>
      <c r="FU26" s="3">
        <v>9571086.5999999996</v>
      </c>
      <c r="FV26" s="3">
        <v>0</v>
      </c>
      <c r="FW26" s="3">
        <v>7344892.9400000004</v>
      </c>
      <c r="FX26" s="3">
        <v>0</v>
      </c>
      <c r="FY26" s="3">
        <v>0</v>
      </c>
      <c r="FZ26" s="3">
        <v>7344892.9400000004</v>
      </c>
      <c r="GA26" s="3">
        <v>0</v>
      </c>
      <c r="GB26" s="3">
        <v>11573000</v>
      </c>
      <c r="GC26" s="3">
        <v>0</v>
      </c>
      <c r="GD26" s="3">
        <v>0</v>
      </c>
      <c r="GE26" s="3">
        <v>11573000</v>
      </c>
      <c r="GF26" s="3">
        <v>0</v>
      </c>
      <c r="GG26" s="3">
        <v>11573000</v>
      </c>
      <c r="GH26" s="3">
        <v>0</v>
      </c>
      <c r="GI26" s="3">
        <v>0</v>
      </c>
      <c r="GJ26" s="3">
        <v>11573000</v>
      </c>
      <c r="GK26" s="3">
        <v>0</v>
      </c>
      <c r="GL26" s="3">
        <v>11573000</v>
      </c>
      <c r="GM26" s="3">
        <v>0</v>
      </c>
      <c r="GN26" s="3">
        <v>0</v>
      </c>
      <c r="GO26" s="3">
        <v>11573000</v>
      </c>
      <c r="GP26" s="3">
        <v>0</v>
      </c>
      <c r="GQ26" s="3">
        <v>11573000</v>
      </c>
      <c r="GR26" s="3">
        <v>0</v>
      </c>
      <c r="GS26" s="3">
        <v>0</v>
      </c>
      <c r="GT26" s="3">
        <v>11573000</v>
      </c>
      <c r="GU26" s="3">
        <v>0</v>
      </c>
      <c r="GV26" s="3">
        <v>11573000</v>
      </c>
      <c r="GW26" s="3">
        <v>0</v>
      </c>
      <c r="GX26" s="3">
        <v>0</v>
      </c>
      <c r="GY26" s="3">
        <v>11573000</v>
      </c>
      <c r="GZ26" s="3">
        <v>0</v>
      </c>
      <c r="HA26" s="3">
        <v>9005514.2100000009</v>
      </c>
      <c r="HB26" s="3">
        <v>0</v>
      </c>
      <c r="HC26" s="3">
        <v>0</v>
      </c>
      <c r="HD26" s="3">
        <v>9005514.2100000009</v>
      </c>
      <c r="HE26" s="3">
        <v>0</v>
      </c>
      <c r="HF26" s="3">
        <v>6804197.1600000001</v>
      </c>
      <c r="HG26" s="3">
        <v>0</v>
      </c>
      <c r="HH26" s="3">
        <v>0</v>
      </c>
      <c r="HI26" s="3">
        <v>6804197.1600000001</v>
      </c>
      <c r="HJ26" s="3">
        <v>0</v>
      </c>
      <c r="HK26" s="3">
        <v>10721000</v>
      </c>
      <c r="HL26" s="3">
        <v>0</v>
      </c>
      <c r="HM26" s="3">
        <v>0</v>
      </c>
      <c r="HN26" s="3">
        <v>10721000</v>
      </c>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row>
    <row r="27" spans="1:332" x14ac:dyDescent="0.25">
      <c r="A27" t="s">
        <v>685</v>
      </c>
      <c r="B27" t="s">
        <v>686</v>
      </c>
      <c r="C27" t="s">
        <v>199</v>
      </c>
      <c r="D27" t="s">
        <v>200</v>
      </c>
      <c r="E27" t="s">
        <v>300</v>
      </c>
      <c r="F27" t="s">
        <v>697</v>
      </c>
      <c r="G27" t="s">
        <v>750</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v>0</v>
      </c>
      <c r="BF27" s="3"/>
      <c r="BG27" s="3"/>
      <c r="BH27" s="3"/>
      <c r="BI27" s="3"/>
      <c r="BJ27" s="3">
        <v>0</v>
      </c>
      <c r="BK27" s="3"/>
      <c r="BL27" s="3"/>
      <c r="BM27" s="3"/>
      <c r="BN27" s="3"/>
      <c r="BO27" s="3">
        <v>0</v>
      </c>
      <c r="BP27" s="3"/>
      <c r="BQ27" s="3"/>
      <c r="BR27" s="3"/>
      <c r="BS27" s="3"/>
      <c r="BT27" s="3">
        <v>0</v>
      </c>
      <c r="BU27" s="3"/>
      <c r="BV27" s="3"/>
      <c r="BW27" s="3"/>
      <c r="BX27" s="3"/>
      <c r="BY27" s="3">
        <v>0</v>
      </c>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v>0</v>
      </c>
      <c r="FG27" s="3"/>
      <c r="FH27" s="3"/>
      <c r="FI27" s="3"/>
      <c r="FJ27" s="3"/>
      <c r="FK27" s="3">
        <v>0</v>
      </c>
      <c r="FL27" s="3"/>
      <c r="FM27" s="3"/>
      <c r="FN27" s="3"/>
      <c r="FO27" s="3"/>
      <c r="FP27" s="3">
        <v>0</v>
      </c>
      <c r="FQ27" s="3"/>
      <c r="FR27" s="3"/>
      <c r="FS27" s="3"/>
      <c r="FT27" s="3"/>
      <c r="FU27" s="3">
        <v>0</v>
      </c>
      <c r="FV27" s="3"/>
      <c r="FW27" s="3"/>
      <c r="FX27" s="3"/>
      <c r="FY27" s="3"/>
      <c r="FZ27" s="3">
        <v>0</v>
      </c>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v>0</v>
      </c>
      <c r="HP27" s="3">
        <v>7421000</v>
      </c>
      <c r="HQ27" s="3"/>
      <c r="HR27" s="3">
        <v>0</v>
      </c>
      <c r="HS27" s="3">
        <v>7421000</v>
      </c>
      <c r="HT27" s="3">
        <v>0</v>
      </c>
      <c r="HU27" s="3">
        <v>7421000</v>
      </c>
      <c r="HV27" s="3">
        <v>0</v>
      </c>
      <c r="HW27" s="3">
        <v>0</v>
      </c>
      <c r="HX27" s="3">
        <v>7421000</v>
      </c>
      <c r="HY27" s="3">
        <v>0</v>
      </c>
      <c r="HZ27" s="3">
        <v>7421000</v>
      </c>
      <c r="IA27" s="3">
        <v>0</v>
      </c>
      <c r="IB27" s="3">
        <v>0</v>
      </c>
      <c r="IC27" s="3">
        <v>7421000</v>
      </c>
      <c r="ID27" s="3">
        <v>0</v>
      </c>
      <c r="IE27" s="3">
        <v>7421000</v>
      </c>
      <c r="IF27" s="3">
        <v>0</v>
      </c>
      <c r="IG27" s="3">
        <v>0</v>
      </c>
      <c r="IH27" s="3">
        <v>7421000</v>
      </c>
      <c r="II27" s="3">
        <v>0</v>
      </c>
      <c r="IJ27" s="3">
        <v>6991498.2599999998</v>
      </c>
      <c r="IK27" s="3">
        <v>0</v>
      </c>
      <c r="IL27" s="3">
        <v>0</v>
      </c>
      <c r="IM27" s="3">
        <v>6991498.2599999998</v>
      </c>
      <c r="IN27" s="3">
        <v>0</v>
      </c>
      <c r="IO27" s="3">
        <v>5240347.6399999997</v>
      </c>
      <c r="IP27" s="3">
        <v>0</v>
      </c>
      <c r="IQ27" s="3">
        <v>0</v>
      </c>
      <c r="IR27" s="3">
        <v>5240347.6399999997</v>
      </c>
      <c r="IS27" s="3">
        <v>0</v>
      </c>
      <c r="IT27" s="3">
        <v>7614000</v>
      </c>
      <c r="IU27" s="3">
        <v>0</v>
      </c>
      <c r="IV27" s="3">
        <v>0</v>
      </c>
      <c r="IW27" s="3">
        <v>7614000</v>
      </c>
      <c r="IX27" s="3">
        <v>0</v>
      </c>
      <c r="IY27" s="3">
        <v>7614000</v>
      </c>
      <c r="IZ27" s="3">
        <v>0</v>
      </c>
      <c r="JA27" s="3">
        <v>0</v>
      </c>
      <c r="JB27" s="3">
        <v>7614000</v>
      </c>
      <c r="JC27" s="3">
        <v>0</v>
      </c>
      <c r="JD27" s="3">
        <v>7614000</v>
      </c>
      <c r="JE27" s="3">
        <v>0</v>
      </c>
      <c r="JF27" s="3">
        <v>0</v>
      </c>
      <c r="JG27" s="3">
        <v>7614000</v>
      </c>
      <c r="JH27" s="3">
        <v>0</v>
      </c>
      <c r="JI27" s="3">
        <v>7614000</v>
      </c>
      <c r="JJ27" s="3">
        <v>0</v>
      </c>
      <c r="JK27" s="3">
        <v>0</v>
      </c>
      <c r="JL27" s="3">
        <v>7614000</v>
      </c>
      <c r="JM27" s="3">
        <v>0</v>
      </c>
      <c r="JN27" s="3">
        <v>7614000</v>
      </c>
      <c r="JO27" s="3">
        <v>0</v>
      </c>
      <c r="JP27" s="3">
        <v>0</v>
      </c>
      <c r="JQ27" s="3">
        <v>7614000</v>
      </c>
      <c r="JR27" s="3">
        <v>0</v>
      </c>
      <c r="JS27" s="3">
        <v>7174720.5599999996</v>
      </c>
      <c r="JT27" s="3">
        <v>0</v>
      </c>
      <c r="JU27" s="3">
        <v>0</v>
      </c>
      <c r="JV27" s="3">
        <v>7174720.5599999996</v>
      </c>
      <c r="JW27" s="3">
        <v>0</v>
      </c>
      <c r="JX27" s="3">
        <v>5283043.1900000004</v>
      </c>
      <c r="JY27" s="3">
        <v>0</v>
      </c>
      <c r="JZ27" s="3">
        <v>0</v>
      </c>
      <c r="KA27" s="3">
        <v>5283043.1900000004</v>
      </c>
      <c r="KB27" s="3">
        <v>0</v>
      </c>
      <c r="KC27" s="3">
        <v>7810000</v>
      </c>
      <c r="KD27" s="3">
        <v>0</v>
      </c>
      <c r="KE27" s="3">
        <v>0</v>
      </c>
      <c r="KF27" s="3">
        <v>7810000</v>
      </c>
      <c r="KG27" s="3">
        <v>0</v>
      </c>
      <c r="KH27" s="3">
        <v>7810000</v>
      </c>
      <c r="KI27" s="3">
        <v>0</v>
      </c>
      <c r="KJ27" s="3">
        <v>0</v>
      </c>
      <c r="KK27" s="3">
        <v>7810000</v>
      </c>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v>0</v>
      </c>
      <c r="LL27" s="3">
        <v>7951000</v>
      </c>
      <c r="LM27" s="3">
        <v>0</v>
      </c>
      <c r="LN27" s="3">
        <v>0</v>
      </c>
      <c r="LO27" s="3">
        <v>7951000</v>
      </c>
      <c r="LP27" s="3"/>
      <c r="LQ27" s="3"/>
      <c r="LR27" s="3"/>
      <c r="LS27" s="3"/>
      <c r="LT27" s="3"/>
    </row>
    <row r="28" spans="1:332" x14ac:dyDescent="0.25">
      <c r="A28" t="s">
        <v>685</v>
      </c>
      <c r="B28" t="s">
        <v>686</v>
      </c>
      <c r="C28" t="s">
        <v>199</v>
      </c>
      <c r="D28" t="s">
        <v>200</v>
      </c>
      <c r="E28" t="s">
        <v>300</v>
      </c>
      <c r="F28" t="s">
        <v>698</v>
      </c>
      <c r="G28" t="s">
        <v>792</v>
      </c>
      <c r="H28" s="3">
        <v>0</v>
      </c>
      <c r="I28" s="3">
        <v>38907000</v>
      </c>
      <c r="J28" s="3">
        <v>0</v>
      </c>
      <c r="K28" s="3">
        <v>0</v>
      </c>
      <c r="L28" s="3">
        <v>38907000</v>
      </c>
      <c r="M28" s="3">
        <v>0</v>
      </c>
      <c r="N28" s="3">
        <v>38907000</v>
      </c>
      <c r="O28" s="3">
        <v>0</v>
      </c>
      <c r="P28" s="3">
        <v>0</v>
      </c>
      <c r="Q28" s="3">
        <v>38907000</v>
      </c>
      <c r="R28" s="3">
        <v>0</v>
      </c>
      <c r="S28" s="3">
        <v>38907000</v>
      </c>
      <c r="T28" s="3">
        <v>0</v>
      </c>
      <c r="U28" s="3">
        <v>0</v>
      </c>
      <c r="V28" s="3">
        <v>38907000</v>
      </c>
      <c r="W28" s="3">
        <v>0</v>
      </c>
      <c r="X28" s="3">
        <v>38907000</v>
      </c>
      <c r="Y28" s="3">
        <v>0</v>
      </c>
      <c r="Z28" s="3">
        <v>0</v>
      </c>
      <c r="AA28" s="3">
        <v>38907000</v>
      </c>
      <c r="AB28" s="3">
        <v>0</v>
      </c>
      <c r="AC28" s="3">
        <v>38907000</v>
      </c>
      <c r="AD28" s="3">
        <v>0</v>
      </c>
      <c r="AE28" s="3">
        <v>0</v>
      </c>
      <c r="AF28" s="3">
        <v>38907000</v>
      </c>
      <c r="AG28" s="3">
        <v>0</v>
      </c>
      <c r="AH28" s="3">
        <v>33657121.859999999</v>
      </c>
      <c r="AI28" s="3">
        <v>0</v>
      </c>
      <c r="AJ28" s="3">
        <v>0</v>
      </c>
      <c r="AK28" s="3">
        <v>33657121.859999999</v>
      </c>
      <c r="AL28" s="3">
        <v>0</v>
      </c>
      <c r="AM28" s="3">
        <v>28990458.379999999</v>
      </c>
      <c r="AN28" s="3">
        <v>0</v>
      </c>
      <c r="AO28" s="3">
        <v>0</v>
      </c>
      <c r="AP28" s="3">
        <v>28990458.379999999</v>
      </c>
      <c r="AQ28" s="3">
        <v>0</v>
      </c>
      <c r="AR28" s="3">
        <v>34387000</v>
      </c>
      <c r="AS28" s="3">
        <v>0</v>
      </c>
      <c r="AT28" s="3">
        <v>0</v>
      </c>
      <c r="AU28" s="3">
        <v>34387000</v>
      </c>
      <c r="AV28" s="3">
        <v>0</v>
      </c>
      <c r="AW28" s="3">
        <v>34387000</v>
      </c>
      <c r="AX28" s="3">
        <v>0</v>
      </c>
      <c r="AY28" s="3">
        <v>0</v>
      </c>
      <c r="AZ28" s="3">
        <v>34387000</v>
      </c>
      <c r="BA28" s="3">
        <v>0</v>
      </c>
      <c r="BB28" s="3">
        <v>34387000</v>
      </c>
      <c r="BC28" s="3">
        <v>0</v>
      </c>
      <c r="BD28" s="3">
        <v>0</v>
      </c>
      <c r="BE28" s="3">
        <v>34387000</v>
      </c>
      <c r="BF28" s="3">
        <v>0</v>
      </c>
      <c r="BG28" s="3">
        <v>34387000</v>
      </c>
      <c r="BH28" s="3">
        <v>0</v>
      </c>
      <c r="BI28" s="3">
        <v>0</v>
      </c>
      <c r="BJ28" s="3">
        <v>34387000</v>
      </c>
      <c r="BK28" s="3">
        <v>0</v>
      </c>
      <c r="BL28" s="3">
        <v>34387000</v>
      </c>
      <c r="BM28" s="3">
        <v>0</v>
      </c>
      <c r="BN28" s="3">
        <v>0</v>
      </c>
      <c r="BO28" s="3">
        <v>34387000</v>
      </c>
      <c r="BP28" s="3">
        <v>0</v>
      </c>
      <c r="BQ28" s="3">
        <v>30728210.510000002</v>
      </c>
      <c r="BR28" s="3">
        <v>0</v>
      </c>
      <c r="BS28" s="3">
        <v>0</v>
      </c>
      <c r="BT28" s="3">
        <v>30728210.510000002</v>
      </c>
      <c r="BU28" s="3">
        <v>0</v>
      </c>
      <c r="BV28" s="3">
        <v>22156365.02</v>
      </c>
      <c r="BW28" s="3">
        <v>0</v>
      </c>
      <c r="BX28" s="3">
        <v>0</v>
      </c>
      <c r="BY28" s="3">
        <v>22156365.02</v>
      </c>
      <c r="BZ28" s="3">
        <v>0</v>
      </c>
      <c r="CA28" s="3">
        <v>34306000</v>
      </c>
      <c r="CB28" s="3">
        <v>0</v>
      </c>
      <c r="CC28" s="3">
        <v>0</v>
      </c>
      <c r="CD28" s="3">
        <v>34306000</v>
      </c>
      <c r="CE28" s="3">
        <v>0</v>
      </c>
      <c r="CF28" s="3">
        <v>34306000</v>
      </c>
      <c r="CG28" s="3">
        <v>0</v>
      </c>
      <c r="CH28" s="3">
        <v>0</v>
      </c>
      <c r="CI28" s="3">
        <v>34306000</v>
      </c>
      <c r="CJ28" s="3">
        <v>0</v>
      </c>
      <c r="CK28" s="3">
        <v>34306000</v>
      </c>
      <c r="CL28" s="3">
        <v>0</v>
      </c>
      <c r="CM28" s="3">
        <v>0</v>
      </c>
      <c r="CN28" s="3">
        <v>34306000</v>
      </c>
      <c r="CO28" s="3">
        <v>0</v>
      </c>
      <c r="CP28" s="3">
        <v>29588954</v>
      </c>
      <c r="CQ28" s="3">
        <v>0</v>
      </c>
      <c r="CR28" s="3">
        <v>0</v>
      </c>
      <c r="CS28" s="3">
        <v>29588954</v>
      </c>
      <c r="CT28" s="3">
        <v>0</v>
      </c>
      <c r="CU28" s="3">
        <v>29588954</v>
      </c>
      <c r="CV28" s="3">
        <v>0</v>
      </c>
      <c r="CW28" s="3">
        <v>0</v>
      </c>
      <c r="CX28" s="3">
        <v>29588954</v>
      </c>
      <c r="CY28" s="3">
        <v>0</v>
      </c>
      <c r="CZ28" s="3">
        <v>27941302.780000001</v>
      </c>
      <c r="DA28" s="3">
        <v>0</v>
      </c>
      <c r="DB28" s="3">
        <v>0</v>
      </c>
      <c r="DC28" s="3">
        <v>27941302.780000001</v>
      </c>
      <c r="DD28" s="3">
        <v>0</v>
      </c>
      <c r="DE28" s="3">
        <v>19646147.670000002</v>
      </c>
      <c r="DF28" s="3">
        <v>0</v>
      </c>
      <c r="DG28" s="3">
        <v>0</v>
      </c>
      <c r="DH28" s="3">
        <v>19646147.670000002</v>
      </c>
      <c r="DI28" s="3">
        <v>0</v>
      </c>
      <c r="DJ28" s="3">
        <v>34924000</v>
      </c>
      <c r="DK28" s="3">
        <v>0</v>
      </c>
      <c r="DL28" s="3">
        <v>0</v>
      </c>
      <c r="DM28" s="3">
        <v>34924000</v>
      </c>
      <c r="DN28" s="3">
        <v>0</v>
      </c>
      <c r="DO28" s="3">
        <v>34924000</v>
      </c>
      <c r="DP28" s="3">
        <v>0</v>
      </c>
      <c r="DQ28" s="3">
        <v>0</v>
      </c>
      <c r="DR28" s="3">
        <v>34924000</v>
      </c>
      <c r="DS28" s="3">
        <v>0</v>
      </c>
      <c r="DT28" s="3">
        <v>34924000</v>
      </c>
      <c r="DU28" s="3">
        <v>0</v>
      </c>
      <c r="DV28" s="3">
        <v>0</v>
      </c>
      <c r="DW28" s="3">
        <v>34924000</v>
      </c>
      <c r="DX28" s="3">
        <v>0</v>
      </c>
      <c r="DY28" s="3">
        <v>34924000</v>
      </c>
      <c r="DZ28" s="3">
        <v>0</v>
      </c>
      <c r="EA28" s="3">
        <v>0</v>
      </c>
      <c r="EB28" s="3">
        <v>34924000</v>
      </c>
      <c r="EC28" s="3">
        <v>0</v>
      </c>
      <c r="ED28" s="3">
        <v>34924000</v>
      </c>
      <c r="EE28" s="3">
        <v>0</v>
      </c>
      <c r="EF28" s="3">
        <v>0</v>
      </c>
      <c r="EG28" s="3">
        <v>34924000</v>
      </c>
      <c r="EH28" s="3">
        <v>0</v>
      </c>
      <c r="EI28" s="3">
        <v>34027818.670000002</v>
      </c>
      <c r="EJ28" s="3">
        <v>0</v>
      </c>
      <c r="EK28" s="3">
        <v>0</v>
      </c>
      <c r="EL28" s="3">
        <v>34027818.670000002</v>
      </c>
      <c r="EM28" s="3">
        <v>0</v>
      </c>
      <c r="EN28" s="3">
        <v>28959332.93</v>
      </c>
      <c r="EO28" s="3">
        <v>0</v>
      </c>
      <c r="EP28" s="3">
        <v>0</v>
      </c>
      <c r="EQ28" s="3">
        <v>28959332.93</v>
      </c>
      <c r="ER28" s="3">
        <v>0</v>
      </c>
      <c r="ES28" s="3">
        <v>34924000</v>
      </c>
      <c r="ET28" s="3">
        <v>0</v>
      </c>
      <c r="EU28" s="3">
        <v>0</v>
      </c>
      <c r="EV28" s="3">
        <v>34924000</v>
      </c>
      <c r="EW28" s="3">
        <v>0</v>
      </c>
      <c r="EX28" s="3">
        <v>34924000</v>
      </c>
      <c r="EY28" s="3">
        <v>0</v>
      </c>
      <c r="EZ28" s="3">
        <v>0</v>
      </c>
      <c r="FA28" s="3">
        <v>34924000</v>
      </c>
      <c r="FB28" s="3">
        <v>0</v>
      </c>
      <c r="FC28" s="3">
        <v>34924000</v>
      </c>
      <c r="FD28" s="3">
        <v>0</v>
      </c>
      <c r="FE28" s="3">
        <v>0</v>
      </c>
      <c r="FF28" s="3">
        <v>34924000</v>
      </c>
      <c r="FG28" s="3">
        <v>0</v>
      </c>
      <c r="FH28" s="3">
        <v>34924000</v>
      </c>
      <c r="FI28" s="3">
        <v>0</v>
      </c>
      <c r="FJ28" s="3">
        <v>0</v>
      </c>
      <c r="FK28" s="3">
        <v>34924000</v>
      </c>
      <c r="FL28" s="3">
        <v>0</v>
      </c>
      <c r="FM28" s="3">
        <v>34924000</v>
      </c>
      <c r="FN28" s="3">
        <v>0</v>
      </c>
      <c r="FO28" s="3">
        <v>0</v>
      </c>
      <c r="FP28" s="3">
        <v>34924000</v>
      </c>
      <c r="FQ28" s="3">
        <v>0</v>
      </c>
      <c r="FR28" s="3">
        <v>31275485.969999999</v>
      </c>
      <c r="FS28" s="3">
        <v>0</v>
      </c>
      <c r="FT28" s="3">
        <v>0</v>
      </c>
      <c r="FU28" s="3">
        <v>31275485.969999999</v>
      </c>
      <c r="FV28" s="3">
        <v>0</v>
      </c>
      <c r="FW28" s="3">
        <v>24977076.43</v>
      </c>
      <c r="FX28" s="3">
        <v>0</v>
      </c>
      <c r="FY28" s="3">
        <v>0</v>
      </c>
      <c r="FZ28" s="3">
        <v>24977076.43</v>
      </c>
      <c r="GA28" s="3">
        <v>0</v>
      </c>
      <c r="GB28" s="3">
        <v>36192000</v>
      </c>
      <c r="GC28" s="3">
        <v>0</v>
      </c>
      <c r="GD28" s="3">
        <v>0</v>
      </c>
      <c r="GE28" s="3">
        <v>36192000</v>
      </c>
      <c r="GF28" s="3">
        <v>0</v>
      </c>
      <c r="GG28" s="3">
        <v>36192000</v>
      </c>
      <c r="GH28" s="3">
        <v>0</v>
      </c>
      <c r="GI28" s="3">
        <v>0</v>
      </c>
      <c r="GJ28" s="3">
        <v>36192000</v>
      </c>
      <c r="GK28" s="3">
        <v>0</v>
      </c>
      <c r="GL28" s="3">
        <v>36192000</v>
      </c>
      <c r="GM28" s="3">
        <v>0</v>
      </c>
      <c r="GN28" s="3">
        <v>0</v>
      </c>
      <c r="GO28" s="3">
        <v>36192000</v>
      </c>
      <c r="GP28" s="3">
        <v>0</v>
      </c>
      <c r="GQ28" s="3">
        <v>36192000</v>
      </c>
      <c r="GR28" s="3">
        <v>0</v>
      </c>
      <c r="GS28" s="3">
        <v>0</v>
      </c>
      <c r="GT28" s="3">
        <v>36192000</v>
      </c>
      <c r="GU28" s="3">
        <v>0</v>
      </c>
      <c r="GV28" s="3">
        <v>36192000</v>
      </c>
      <c r="GW28" s="3">
        <v>0</v>
      </c>
      <c r="GX28" s="3">
        <v>0</v>
      </c>
      <c r="GY28" s="3">
        <v>36192000</v>
      </c>
      <c r="GZ28" s="3">
        <v>0</v>
      </c>
      <c r="HA28" s="3">
        <v>28652804.98</v>
      </c>
      <c r="HB28" s="3">
        <v>0</v>
      </c>
      <c r="HC28" s="3">
        <v>0</v>
      </c>
      <c r="HD28" s="3">
        <v>28652804.98</v>
      </c>
      <c r="HE28" s="3">
        <v>0</v>
      </c>
      <c r="HF28" s="3">
        <v>20781500.66</v>
      </c>
      <c r="HG28" s="3">
        <v>0</v>
      </c>
      <c r="HH28" s="3">
        <v>0</v>
      </c>
      <c r="HI28" s="3">
        <v>20781500.66</v>
      </c>
      <c r="HJ28" s="3">
        <v>0</v>
      </c>
      <c r="HK28" s="3">
        <v>33528000</v>
      </c>
      <c r="HL28" s="3">
        <v>0</v>
      </c>
      <c r="HM28" s="3">
        <v>0</v>
      </c>
      <c r="HN28" s="3">
        <v>33528000</v>
      </c>
      <c r="HO28" s="3">
        <v>0</v>
      </c>
      <c r="HP28" s="3">
        <v>33528000</v>
      </c>
      <c r="HQ28" s="3">
        <v>0</v>
      </c>
      <c r="HR28" s="3">
        <v>0</v>
      </c>
      <c r="HS28" s="3">
        <v>33528000</v>
      </c>
      <c r="HT28" s="3">
        <v>0</v>
      </c>
      <c r="HU28" s="3">
        <v>33528000</v>
      </c>
      <c r="HV28" s="3">
        <v>0</v>
      </c>
      <c r="HW28" s="3">
        <v>0</v>
      </c>
      <c r="HX28" s="3">
        <v>33528000</v>
      </c>
      <c r="HY28" s="3">
        <v>0</v>
      </c>
      <c r="HZ28" s="3">
        <v>33528000</v>
      </c>
      <c r="IA28" s="3">
        <v>0</v>
      </c>
      <c r="IB28" s="3">
        <v>0</v>
      </c>
      <c r="IC28" s="3">
        <v>33528000</v>
      </c>
      <c r="ID28" s="3">
        <v>0</v>
      </c>
      <c r="IE28" s="3">
        <v>33528000</v>
      </c>
      <c r="IF28" s="3">
        <v>0</v>
      </c>
      <c r="IG28" s="3">
        <v>0</v>
      </c>
      <c r="IH28" s="3">
        <v>33528000</v>
      </c>
      <c r="II28" s="3">
        <v>0</v>
      </c>
      <c r="IJ28" s="3">
        <v>30875710.859999999</v>
      </c>
      <c r="IK28" s="3">
        <v>0</v>
      </c>
      <c r="IL28" s="3">
        <v>0</v>
      </c>
      <c r="IM28" s="3">
        <v>30875710.859999999</v>
      </c>
      <c r="IN28" s="3">
        <v>0</v>
      </c>
      <c r="IO28" s="3">
        <v>27982058.27</v>
      </c>
      <c r="IP28" s="3">
        <v>0</v>
      </c>
      <c r="IQ28" s="3">
        <v>0</v>
      </c>
      <c r="IR28" s="3">
        <v>27982058.27</v>
      </c>
      <c r="IS28" s="3"/>
      <c r="IT28" s="3"/>
      <c r="IU28" s="3"/>
      <c r="IV28" s="3"/>
      <c r="IW28" s="3"/>
      <c r="IX28" s="3"/>
      <c r="IY28" s="3"/>
      <c r="IZ28" s="3"/>
      <c r="JA28" s="3"/>
      <c r="JB28" s="3"/>
      <c r="JC28" s="3"/>
      <c r="JD28" s="3"/>
      <c r="JE28" s="3"/>
      <c r="JF28" s="3"/>
      <c r="JG28" s="3">
        <v>0</v>
      </c>
      <c r="JH28" s="3"/>
      <c r="JI28" s="3"/>
      <c r="JJ28" s="3"/>
      <c r="JK28" s="3"/>
      <c r="JL28" s="3">
        <v>0</v>
      </c>
      <c r="JM28" s="3"/>
      <c r="JN28" s="3"/>
      <c r="JO28" s="3"/>
      <c r="JP28" s="3"/>
      <c r="JQ28" s="3">
        <v>0</v>
      </c>
      <c r="JR28" s="3"/>
      <c r="JS28" s="3"/>
      <c r="JT28" s="3"/>
      <c r="JU28" s="3"/>
      <c r="JV28" s="3">
        <v>0</v>
      </c>
      <c r="JW28" s="3"/>
      <c r="JX28" s="3"/>
      <c r="JY28" s="3"/>
      <c r="JZ28" s="3"/>
      <c r="KA28" s="3">
        <v>0</v>
      </c>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row>
    <row r="29" spans="1:332" x14ac:dyDescent="0.25">
      <c r="A29" t="s">
        <v>685</v>
      </c>
      <c r="B29" t="s">
        <v>686</v>
      </c>
      <c r="C29" t="s">
        <v>199</v>
      </c>
      <c r="D29" t="s">
        <v>200</v>
      </c>
      <c r="E29" t="s">
        <v>300</v>
      </c>
      <c r="F29" t="s">
        <v>699</v>
      </c>
      <c r="G29" t="s">
        <v>760</v>
      </c>
      <c r="H29" s="3">
        <v>0</v>
      </c>
      <c r="I29" s="3">
        <v>156011000</v>
      </c>
      <c r="J29" s="3">
        <v>0</v>
      </c>
      <c r="K29" s="3">
        <v>0</v>
      </c>
      <c r="L29" s="3">
        <v>156011000</v>
      </c>
      <c r="M29" s="3">
        <v>0</v>
      </c>
      <c r="N29" s="3">
        <v>156011000</v>
      </c>
      <c r="O29" s="3">
        <v>0</v>
      </c>
      <c r="P29" s="3">
        <v>0</v>
      </c>
      <c r="Q29" s="3">
        <v>156011000</v>
      </c>
      <c r="R29" s="3">
        <v>0</v>
      </c>
      <c r="S29" s="3">
        <v>156011000</v>
      </c>
      <c r="T29" s="3">
        <v>0</v>
      </c>
      <c r="U29" s="3">
        <v>0</v>
      </c>
      <c r="V29" s="3">
        <v>156011000</v>
      </c>
      <c r="W29" s="3">
        <v>0</v>
      </c>
      <c r="X29" s="3">
        <v>156011000</v>
      </c>
      <c r="Y29" s="3">
        <v>0</v>
      </c>
      <c r="Z29" s="3">
        <v>0</v>
      </c>
      <c r="AA29" s="3">
        <v>156011000</v>
      </c>
      <c r="AB29" s="3">
        <v>0</v>
      </c>
      <c r="AC29" s="3">
        <v>156011000</v>
      </c>
      <c r="AD29" s="3">
        <v>0</v>
      </c>
      <c r="AE29" s="3">
        <v>0</v>
      </c>
      <c r="AF29" s="3">
        <v>156011000</v>
      </c>
      <c r="AG29" s="3">
        <v>0</v>
      </c>
      <c r="AH29" s="3">
        <v>128160268.03</v>
      </c>
      <c r="AI29" s="3">
        <v>0</v>
      </c>
      <c r="AJ29" s="3">
        <v>0</v>
      </c>
      <c r="AK29" s="3">
        <v>128160268.03</v>
      </c>
      <c r="AL29" s="3">
        <v>0</v>
      </c>
      <c r="AM29" s="3">
        <v>51481995.140000001</v>
      </c>
      <c r="AN29" s="3">
        <v>0</v>
      </c>
      <c r="AO29" s="3">
        <v>0</v>
      </c>
      <c r="AP29" s="3">
        <v>51481995.140000001</v>
      </c>
      <c r="AQ29" s="3">
        <v>0</v>
      </c>
      <c r="AR29" s="3">
        <v>158819000</v>
      </c>
      <c r="AS29" s="3">
        <v>0</v>
      </c>
      <c r="AT29" s="3">
        <v>0</v>
      </c>
      <c r="AU29" s="3">
        <v>158819000</v>
      </c>
      <c r="AV29" s="3">
        <v>0</v>
      </c>
      <c r="AW29" s="3">
        <v>158819000</v>
      </c>
      <c r="AX29" s="3">
        <v>0</v>
      </c>
      <c r="AY29" s="3">
        <v>0</v>
      </c>
      <c r="AZ29" s="3">
        <v>158819000</v>
      </c>
      <c r="BA29" s="3">
        <v>0</v>
      </c>
      <c r="BB29" s="3">
        <v>158819000</v>
      </c>
      <c r="BC29" s="3">
        <v>0</v>
      </c>
      <c r="BD29" s="3">
        <v>0</v>
      </c>
      <c r="BE29" s="3">
        <v>158819000</v>
      </c>
      <c r="BF29" s="3">
        <v>0</v>
      </c>
      <c r="BG29" s="3">
        <v>158819000</v>
      </c>
      <c r="BH29" s="3">
        <v>0</v>
      </c>
      <c r="BI29" s="3">
        <v>0</v>
      </c>
      <c r="BJ29" s="3">
        <v>158819000</v>
      </c>
      <c r="BK29" s="3">
        <v>0</v>
      </c>
      <c r="BL29" s="3">
        <v>158819000</v>
      </c>
      <c r="BM29" s="3">
        <v>0</v>
      </c>
      <c r="BN29" s="3">
        <v>0</v>
      </c>
      <c r="BO29" s="3">
        <v>158819000</v>
      </c>
      <c r="BP29" s="3">
        <v>0</v>
      </c>
      <c r="BQ29" s="3">
        <v>153562986.94</v>
      </c>
      <c r="BR29" s="3">
        <v>0</v>
      </c>
      <c r="BS29" s="3">
        <v>0</v>
      </c>
      <c r="BT29" s="3">
        <v>153562986.94</v>
      </c>
      <c r="BU29" s="3">
        <v>0</v>
      </c>
      <c r="BV29" s="3">
        <v>77859150.420000002</v>
      </c>
      <c r="BW29" s="3">
        <v>0</v>
      </c>
      <c r="BX29" s="3">
        <v>0</v>
      </c>
      <c r="BY29" s="3">
        <v>77859150.420000002</v>
      </c>
      <c r="BZ29" s="3">
        <v>0</v>
      </c>
      <c r="CA29" s="3">
        <v>158444000</v>
      </c>
      <c r="CB29" s="3">
        <v>0</v>
      </c>
      <c r="CC29" s="3">
        <v>0</v>
      </c>
      <c r="CD29" s="3">
        <v>158444000</v>
      </c>
      <c r="CE29" s="3">
        <v>0</v>
      </c>
      <c r="CF29" s="3">
        <v>158444000</v>
      </c>
      <c r="CG29" s="3">
        <v>0</v>
      </c>
      <c r="CH29" s="3">
        <v>0</v>
      </c>
      <c r="CI29" s="3">
        <v>158444000</v>
      </c>
      <c r="CJ29" s="3">
        <v>0</v>
      </c>
      <c r="CK29" s="3">
        <v>158444000</v>
      </c>
      <c r="CL29" s="3">
        <v>0</v>
      </c>
      <c r="CM29" s="3">
        <v>0</v>
      </c>
      <c r="CN29" s="3">
        <v>158444000</v>
      </c>
      <c r="CO29" s="3">
        <v>0</v>
      </c>
      <c r="CP29" s="3">
        <v>158444000</v>
      </c>
      <c r="CQ29" s="3">
        <v>0</v>
      </c>
      <c r="CR29" s="3">
        <v>0</v>
      </c>
      <c r="CS29" s="3">
        <v>158444000</v>
      </c>
      <c r="CT29" s="3">
        <v>0</v>
      </c>
      <c r="CU29" s="3">
        <v>158444000</v>
      </c>
      <c r="CV29" s="3">
        <v>0</v>
      </c>
      <c r="CW29" s="3">
        <v>0</v>
      </c>
      <c r="CX29" s="3">
        <v>158444000</v>
      </c>
      <c r="CY29" s="3">
        <v>0</v>
      </c>
      <c r="CZ29" s="3">
        <v>113094667.66</v>
      </c>
      <c r="DA29" s="3">
        <v>0</v>
      </c>
      <c r="DB29" s="3">
        <v>0</v>
      </c>
      <c r="DC29" s="3">
        <v>113094667.66</v>
      </c>
      <c r="DD29" s="3">
        <v>0</v>
      </c>
      <c r="DE29" s="3">
        <v>18088203.140000001</v>
      </c>
      <c r="DF29" s="3">
        <v>0</v>
      </c>
      <c r="DG29" s="3">
        <v>0</v>
      </c>
      <c r="DH29" s="3">
        <v>18088203.140000001</v>
      </c>
      <c r="DI29" s="3">
        <v>0</v>
      </c>
      <c r="DJ29" s="3">
        <v>161296000</v>
      </c>
      <c r="DK29" s="3">
        <v>0</v>
      </c>
      <c r="DL29" s="3">
        <v>0</v>
      </c>
      <c r="DM29" s="3">
        <v>161296000</v>
      </c>
      <c r="DN29" s="3">
        <v>0</v>
      </c>
      <c r="DO29" s="3">
        <v>161296000</v>
      </c>
      <c r="DP29" s="3">
        <v>0</v>
      </c>
      <c r="DQ29" s="3">
        <v>0</v>
      </c>
      <c r="DR29" s="3">
        <v>161296000</v>
      </c>
      <c r="DS29" s="3">
        <v>0</v>
      </c>
      <c r="DT29" s="3">
        <v>161296000</v>
      </c>
      <c r="DU29" s="3">
        <v>0</v>
      </c>
      <c r="DV29" s="3">
        <v>0</v>
      </c>
      <c r="DW29" s="3">
        <v>161296000</v>
      </c>
      <c r="DX29" s="3">
        <v>0</v>
      </c>
      <c r="DY29" s="3">
        <v>161296000</v>
      </c>
      <c r="DZ29" s="3">
        <v>0</v>
      </c>
      <c r="EA29" s="3">
        <v>0</v>
      </c>
      <c r="EB29" s="3">
        <v>161296000</v>
      </c>
      <c r="EC29" s="3">
        <v>0</v>
      </c>
      <c r="ED29" s="3">
        <v>161296000</v>
      </c>
      <c r="EE29" s="3">
        <v>0</v>
      </c>
      <c r="EF29" s="3">
        <v>0</v>
      </c>
      <c r="EG29" s="3">
        <v>161296000</v>
      </c>
      <c r="EH29" s="3">
        <v>0</v>
      </c>
      <c r="EI29" s="3">
        <v>149813704.52000001</v>
      </c>
      <c r="EJ29" s="3">
        <v>0</v>
      </c>
      <c r="EK29" s="3">
        <v>0</v>
      </c>
      <c r="EL29" s="3">
        <v>149813704.52000001</v>
      </c>
      <c r="EM29" s="3">
        <v>0</v>
      </c>
      <c r="EN29" s="3">
        <v>114176831.95999999</v>
      </c>
      <c r="EO29" s="3">
        <v>0</v>
      </c>
      <c r="EP29" s="3">
        <v>0</v>
      </c>
      <c r="EQ29" s="3">
        <v>114176831.95999999</v>
      </c>
      <c r="ER29" s="3">
        <v>0</v>
      </c>
      <c r="ES29" s="3">
        <v>161296000</v>
      </c>
      <c r="ET29" s="3">
        <v>0</v>
      </c>
      <c r="EU29" s="3">
        <v>0</v>
      </c>
      <c r="EV29" s="3">
        <v>161296000</v>
      </c>
      <c r="EW29" s="3">
        <v>0</v>
      </c>
      <c r="EX29" s="3">
        <v>161296000</v>
      </c>
      <c r="EY29" s="3">
        <v>0</v>
      </c>
      <c r="EZ29" s="3">
        <v>0</v>
      </c>
      <c r="FA29" s="3">
        <v>161296000</v>
      </c>
      <c r="FB29" s="3">
        <v>0</v>
      </c>
      <c r="FC29" s="3">
        <v>161296000</v>
      </c>
      <c r="FD29" s="3">
        <v>0</v>
      </c>
      <c r="FE29" s="3">
        <v>0</v>
      </c>
      <c r="FF29" s="3">
        <v>161296000</v>
      </c>
      <c r="FG29" s="3">
        <v>0</v>
      </c>
      <c r="FH29" s="3">
        <v>161296000</v>
      </c>
      <c r="FI29" s="3">
        <v>0</v>
      </c>
      <c r="FJ29" s="3">
        <v>0</v>
      </c>
      <c r="FK29" s="3">
        <v>161296000</v>
      </c>
      <c r="FL29" s="3">
        <v>0</v>
      </c>
      <c r="FM29" s="3">
        <v>161296000</v>
      </c>
      <c r="FN29" s="3">
        <v>0</v>
      </c>
      <c r="FO29" s="3">
        <v>0</v>
      </c>
      <c r="FP29" s="3">
        <v>161296000</v>
      </c>
      <c r="FQ29" s="3">
        <v>0</v>
      </c>
      <c r="FR29" s="3">
        <v>147519501.72999999</v>
      </c>
      <c r="FS29" s="3">
        <v>0</v>
      </c>
      <c r="FT29" s="3">
        <v>0</v>
      </c>
      <c r="FU29" s="3">
        <v>147519501.72999999</v>
      </c>
      <c r="FV29" s="3">
        <v>0</v>
      </c>
      <c r="FW29" s="3">
        <v>79911557.989999995</v>
      </c>
      <c r="FX29" s="3">
        <v>0</v>
      </c>
      <c r="FY29" s="3">
        <v>0</v>
      </c>
      <c r="FZ29" s="3">
        <v>79911557.989999995</v>
      </c>
      <c r="GA29" s="3">
        <v>0</v>
      </c>
      <c r="GB29" s="3">
        <v>167156000</v>
      </c>
      <c r="GC29" s="3">
        <v>0</v>
      </c>
      <c r="GD29" s="3">
        <v>0</v>
      </c>
      <c r="GE29" s="3">
        <v>167156000</v>
      </c>
      <c r="GF29" s="3">
        <v>0</v>
      </c>
      <c r="GG29" s="3">
        <v>167156000</v>
      </c>
      <c r="GH29" s="3">
        <v>0</v>
      </c>
      <c r="GI29" s="3">
        <v>0</v>
      </c>
      <c r="GJ29" s="3">
        <v>167156000</v>
      </c>
      <c r="GK29" s="3">
        <v>0</v>
      </c>
      <c r="GL29" s="3">
        <v>167156000</v>
      </c>
      <c r="GM29" s="3">
        <v>0</v>
      </c>
      <c r="GN29" s="3">
        <v>0</v>
      </c>
      <c r="GO29" s="3">
        <v>167156000</v>
      </c>
      <c r="GP29" s="3">
        <v>0</v>
      </c>
      <c r="GQ29" s="3">
        <v>167156000</v>
      </c>
      <c r="GR29" s="3">
        <v>0</v>
      </c>
      <c r="GS29" s="3">
        <v>0</v>
      </c>
      <c r="GT29" s="3">
        <v>167156000</v>
      </c>
      <c r="GU29" s="3">
        <v>0</v>
      </c>
      <c r="GV29" s="3">
        <v>167156000</v>
      </c>
      <c r="GW29" s="3">
        <v>0</v>
      </c>
      <c r="GX29" s="3">
        <v>0</v>
      </c>
      <c r="GY29" s="3">
        <v>167156000</v>
      </c>
      <c r="GZ29" s="3">
        <v>0</v>
      </c>
      <c r="HA29" s="3">
        <v>163761980.27000001</v>
      </c>
      <c r="HB29" s="3">
        <v>0</v>
      </c>
      <c r="HC29" s="3">
        <v>0</v>
      </c>
      <c r="HD29" s="3">
        <v>163761980.27000001</v>
      </c>
      <c r="HE29" s="3">
        <v>0</v>
      </c>
      <c r="HF29" s="3">
        <v>142302718.53999999</v>
      </c>
      <c r="HG29" s="3">
        <v>0</v>
      </c>
      <c r="HH29" s="3">
        <v>0</v>
      </c>
      <c r="HI29" s="3">
        <v>142302718.53999999</v>
      </c>
      <c r="HJ29" s="3">
        <v>0</v>
      </c>
      <c r="HK29" s="3">
        <v>154850000</v>
      </c>
      <c r="HL29" s="3">
        <v>0</v>
      </c>
      <c r="HM29" s="3">
        <v>0</v>
      </c>
      <c r="HN29" s="3">
        <v>154850000</v>
      </c>
      <c r="HO29" s="3">
        <v>0</v>
      </c>
      <c r="HP29" s="3">
        <v>154850000</v>
      </c>
      <c r="HQ29" s="3">
        <v>0</v>
      </c>
      <c r="HR29" s="3">
        <v>0</v>
      </c>
      <c r="HS29" s="3">
        <v>154850000</v>
      </c>
      <c r="HT29" s="3">
        <v>0</v>
      </c>
      <c r="HU29" s="3">
        <v>154850000</v>
      </c>
      <c r="HV29" s="3">
        <v>0</v>
      </c>
      <c r="HW29" s="3">
        <v>0</v>
      </c>
      <c r="HX29" s="3">
        <v>154850000</v>
      </c>
      <c r="HY29" s="3">
        <v>0</v>
      </c>
      <c r="HZ29" s="3">
        <v>154850000</v>
      </c>
      <c r="IA29" s="3">
        <v>0</v>
      </c>
      <c r="IB29" s="3">
        <v>0</v>
      </c>
      <c r="IC29" s="3">
        <v>154850000</v>
      </c>
      <c r="ID29" s="3">
        <v>0</v>
      </c>
      <c r="IE29" s="3">
        <v>154850000</v>
      </c>
      <c r="IF29" s="3">
        <v>0</v>
      </c>
      <c r="IG29" s="3">
        <v>0</v>
      </c>
      <c r="IH29" s="3">
        <v>154850000</v>
      </c>
      <c r="II29" s="3">
        <v>0</v>
      </c>
      <c r="IJ29" s="3">
        <v>154301851.11000001</v>
      </c>
      <c r="IK29" s="3">
        <v>0</v>
      </c>
      <c r="IL29" s="3">
        <v>0</v>
      </c>
      <c r="IM29" s="3">
        <v>154301851.11000001</v>
      </c>
      <c r="IN29" s="3">
        <v>0</v>
      </c>
      <c r="IO29" s="3">
        <v>143723113.13999999</v>
      </c>
      <c r="IP29" s="3">
        <v>0</v>
      </c>
      <c r="IQ29" s="3">
        <v>0</v>
      </c>
      <c r="IR29" s="3">
        <v>143723113.13999999</v>
      </c>
      <c r="IS29" s="3">
        <v>0</v>
      </c>
      <c r="IT29" s="3">
        <v>157637000</v>
      </c>
      <c r="IU29" s="3">
        <v>0</v>
      </c>
      <c r="IV29" s="3">
        <v>0</v>
      </c>
      <c r="IW29" s="3">
        <v>157637000</v>
      </c>
      <c r="IX29" s="3">
        <v>0</v>
      </c>
      <c r="IY29" s="3">
        <v>157637000</v>
      </c>
      <c r="IZ29" s="3">
        <v>0</v>
      </c>
      <c r="JA29" s="3">
        <v>0</v>
      </c>
      <c r="JB29" s="3">
        <v>157637000</v>
      </c>
      <c r="JC29" s="3">
        <v>0</v>
      </c>
      <c r="JD29" s="3">
        <v>157637000</v>
      </c>
      <c r="JE29" s="3">
        <v>0</v>
      </c>
      <c r="JF29" s="3">
        <v>0</v>
      </c>
      <c r="JG29" s="3">
        <v>157637000</v>
      </c>
      <c r="JH29" s="3">
        <v>0</v>
      </c>
      <c r="JI29" s="3">
        <v>157637000</v>
      </c>
      <c r="JJ29" s="3">
        <v>0</v>
      </c>
      <c r="JK29" s="3">
        <v>0</v>
      </c>
      <c r="JL29" s="3">
        <v>157637000</v>
      </c>
      <c r="JM29" s="3">
        <v>0</v>
      </c>
      <c r="JN29" s="3">
        <v>157637000</v>
      </c>
      <c r="JO29" s="3">
        <v>0</v>
      </c>
      <c r="JP29" s="3">
        <v>0</v>
      </c>
      <c r="JQ29" s="3">
        <v>157637000</v>
      </c>
      <c r="JR29" s="3">
        <v>0</v>
      </c>
      <c r="JS29" s="3">
        <v>157594116.41</v>
      </c>
      <c r="JT29" s="3">
        <v>0</v>
      </c>
      <c r="JU29" s="3">
        <v>0</v>
      </c>
      <c r="JV29" s="3">
        <v>157594116.41</v>
      </c>
      <c r="JW29" s="3">
        <v>0</v>
      </c>
      <c r="JX29" s="3">
        <v>137951008.5</v>
      </c>
      <c r="JY29" s="3">
        <v>0</v>
      </c>
      <c r="JZ29" s="3">
        <v>0</v>
      </c>
      <c r="KA29" s="3">
        <v>137951008.5</v>
      </c>
      <c r="KB29" s="3">
        <v>0</v>
      </c>
      <c r="KC29" s="3">
        <v>160474000</v>
      </c>
      <c r="KD29" s="3">
        <v>0</v>
      </c>
      <c r="KE29" s="3">
        <v>0</v>
      </c>
      <c r="KF29" s="3">
        <v>160474000</v>
      </c>
      <c r="KG29" s="3">
        <v>0</v>
      </c>
      <c r="KH29" s="3">
        <v>160474000</v>
      </c>
      <c r="KI29" s="3">
        <v>0</v>
      </c>
      <c r="KJ29" s="3">
        <v>0</v>
      </c>
      <c r="KK29" s="3">
        <v>160474000</v>
      </c>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v>0</v>
      </c>
      <c r="LL29" s="3">
        <v>163363000</v>
      </c>
      <c r="LM29" s="3">
        <v>0</v>
      </c>
      <c r="LN29" s="3">
        <v>0</v>
      </c>
      <c r="LO29" s="3">
        <v>163363000</v>
      </c>
      <c r="LP29" s="3"/>
      <c r="LQ29" s="3"/>
      <c r="LR29" s="3"/>
      <c r="LS29" s="3"/>
      <c r="LT29" s="3"/>
    </row>
    <row r="30" spans="1:332" x14ac:dyDescent="0.25">
      <c r="A30" t="s">
        <v>685</v>
      </c>
      <c r="B30" t="s">
        <v>686</v>
      </c>
      <c r="C30" t="s">
        <v>199</v>
      </c>
      <c r="D30" t="s">
        <v>200</v>
      </c>
      <c r="E30" t="s">
        <v>300</v>
      </c>
      <c r="F30" t="s">
        <v>700</v>
      </c>
      <c r="G30" t="s">
        <v>821</v>
      </c>
      <c r="H30" s="3">
        <v>0</v>
      </c>
      <c r="I30" s="3">
        <v>1184705000</v>
      </c>
      <c r="J30" s="3">
        <v>0</v>
      </c>
      <c r="K30" s="3">
        <v>0</v>
      </c>
      <c r="L30" s="3">
        <v>1184705000</v>
      </c>
      <c r="M30" s="3">
        <v>0</v>
      </c>
      <c r="N30" s="3">
        <v>1174105000</v>
      </c>
      <c r="O30" s="3">
        <v>0</v>
      </c>
      <c r="P30" s="3">
        <v>10600000</v>
      </c>
      <c r="Q30" s="3">
        <v>1184705000</v>
      </c>
      <c r="R30" s="3">
        <v>0</v>
      </c>
      <c r="S30" s="3">
        <v>1174105000</v>
      </c>
      <c r="T30" s="3">
        <v>0</v>
      </c>
      <c r="U30" s="3">
        <v>10600000</v>
      </c>
      <c r="V30" s="3">
        <v>1184705000</v>
      </c>
      <c r="W30" s="3">
        <v>0</v>
      </c>
      <c r="X30" s="3">
        <v>1174105000</v>
      </c>
      <c r="Y30" s="3">
        <v>0</v>
      </c>
      <c r="Z30" s="3">
        <v>10600000</v>
      </c>
      <c r="AA30" s="3">
        <v>1184705000</v>
      </c>
      <c r="AB30" s="3">
        <v>0</v>
      </c>
      <c r="AC30" s="3">
        <v>1174105000</v>
      </c>
      <c r="AD30" s="3">
        <v>0</v>
      </c>
      <c r="AE30" s="3">
        <v>0</v>
      </c>
      <c r="AF30" s="3">
        <v>1174105000</v>
      </c>
      <c r="AG30" s="3">
        <v>0</v>
      </c>
      <c r="AH30" s="3">
        <v>845295920.44000006</v>
      </c>
      <c r="AI30" s="3">
        <v>0</v>
      </c>
      <c r="AJ30" s="3">
        <v>0</v>
      </c>
      <c r="AK30" s="3">
        <v>845295920.44000006</v>
      </c>
      <c r="AL30" s="3">
        <v>0</v>
      </c>
      <c r="AM30" s="3">
        <v>373698768.37</v>
      </c>
      <c r="AN30" s="3">
        <v>0</v>
      </c>
      <c r="AO30" s="3">
        <v>0</v>
      </c>
      <c r="AP30" s="3">
        <v>373698768.37</v>
      </c>
      <c r="AQ30" s="3">
        <v>0</v>
      </c>
      <c r="AR30" s="3">
        <v>1080000000</v>
      </c>
      <c r="AS30" s="3">
        <v>0</v>
      </c>
      <c r="AT30" s="3">
        <v>0</v>
      </c>
      <c r="AU30" s="3">
        <v>1080000000</v>
      </c>
      <c r="AV30" s="3">
        <v>0</v>
      </c>
      <c r="AW30" s="3">
        <v>1080000000</v>
      </c>
      <c r="AX30" s="3">
        <v>0</v>
      </c>
      <c r="AY30" s="3">
        <v>0</v>
      </c>
      <c r="AZ30" s="3">
        <v>1080000000</v>
      </c>
      <c r="BA30" s="3">
        <v>0</v>
      </c>
      <c r="BB30" s="3">
        <v>1080000000</v>
      </c>
      <c r="BC30" s="3">
        <v>0</v>
      </c>
      <c r="BD30" s="3">
        <v>0</v>
      </c>
      <c r="BE30" s="3">
        <v>1080000000</v>
      </c>
      <c r="BF30" s="3">
        <v>0</v>
      </c>
      <c r="BG30" s="3">
        <v>1048039719</v>
      </c>
      <c r="BH30" s="3">
        <v>0</v>
      </c>
      <c r="BI30" s="3">
        <v>14914281</v>
      </c>
      <c r="BJ30" s="3">
        <v>1062954000</v>
      </c>
      <c r="BK30" s="3">
        <v>0</v>
      </c>
      <c r="BL30" s="3">
        <v>1048039719</v>
      </c>
      <c r="BM30" s="3">
        <v>0</v>
      </c>
      <c r="BN30" s="3">
        <v>14914281</v>
      </c>
      <c r="BO30" s="3">
        <v>1062954000</v>
      </c>
      <c r="BP30" s="3">
        <v>0</v>
      </c>
      <c r="BQ30" s="3">
        <v>123371071.15000001</v>
      </c>
      <c r="BR30" s="3">
        <v>0</v>
      </c>
      <c r="BS30" s="3">
        <v>825923</v>
      </c>
      <c r="BT30" s="3">
        <v>825923</v>
      </c>
      <c r="BU30" s="3">
        <v>0</v>
      </c>
      <c r="BV30" s="3">
        <v>88804657.400000006</v>
      </c>
      <c r="BW30" s="3">
        <v>0</v>
      </c>
      <c r="BX30" s="3">
        <v>0</v>
      </c>
      <c r="BY30" s="3">
        <v>88804657.400000006</v>
      </c>
      <c r="BZ30" s="3">
        <v>0</v>
      </c>
      <c r="CA30" s="3">
        <v>688359000</v>
      </c>
      <c r="CB30" s="3">
        <v>0</v>
      </c>
      <c r="CC30" s="3">
        <v>0</v>
      </c>
      <c r="CD30" s="3">
        <v>688359000</v>
      </c>
      <c r="CE30" s="3">
        <v>0</v>
      </c>
      <c r="CF30" s="3">
        <v>688359000</v>
      </c>
      <c r="CG30" s="3">
        <v>0</v>
      </c>
      <c r="CH30" s="3">
        <v>0</v>
      </c>
      <c r="CI30" s="3">
        <v>688359000</v>
      </c>
      <c r="CJ30" s="3">
        <v>0</v>
      </c>
      <c r="CK30" s="3">
        <v>688359000</v>
      </c>
      <c r="CL30" s="3">
        <v>0</v>
      </c>
      <c r="CM30" s="3">
        <v>0</v>
      </c>
      <c r="CN30" s="3">
        <v>688359000</v>
      </c>
      <c r="CO30" s="3">
        <v>0</v>
      </c>
      <c r="CP30" s="3">
        <v>688359000</v>
      </c>
      <c r="CQ30" s="3">
        <v>0</v>
      </c>
      <c r="CR30" s="3">
        <v>0</v>
      </c>
      <c r="CS30" s="3">
        <v>688359000</v>
      </c>
      <c r="CT30" s="3">
        <v>0</v>
      </c>
      <c r="CU30" s="3">
        <v>688359000</v>
      </c>
      <c r="CV30" s="3">
        <v>0</v>
      </c>
      <c r="CW30" s="3">
        <v>0</v>
      </c>
      <c r="CX30" s="3">
        <v>688359000</v>
      </c>
      <c r="CY30" s="3">
        <v>0</v>
      </c>
      <c r="CZ30" s="3">
        <v>174629845.03</v>
      </c>
      <c r="DA30" s="3">
        <v>0</v>
      </c>
      <c r="DB30" s="3">
        <v>0</v>
      </c>
      <c r="DC30" s="3">
        <v>174629845.03</v>
      </c>
      <c r="DD30" s="3">
        <v>0</v>
      </c>
      <c r="DE30" s="3">
        <v>120457619.91</v>
      </c>
      <c r="DF30" s="3">
        <v>0</v>
      </c>
      <c r="DG30" s="3">
        <v>0</v>
      </c>
      <c r="DH30" s="3">
        <v>120457619.91</v>
      </c>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v>0</v>
      </c>
      <c r="FG30" s="3"/>
      <c r="FH30" s="3"/>
      <c r="FI30" s="3"/>
      <c r="FJ30" s="3"/>
      <c r="FK30" s="3">
        <v>0</v>
      </c>
      <c r="FL30" s="3"/>
      <c r="FM30" s="3"/>
      <c r="FN30" s="3"/>
      <c r="FO30" s="3"/>
      <c r="FP30" s="3">
        <v>0</v>
      </c>
      <c r="FQ30" s="3"/>
      <c r="FR30" s="3"/>
      <c r="FS30" s="3"/>
      <c r="FT30" s="3"/>
      <c r="FU30" s="3">
        <v>0</v>
      </c>
      <c r="FV30" s="3"/>
      <c r="FW30" s="3"/>
      <c r="FX30" s="3"/>
      <c r="FY30" s="3"/>
      <c r="FZ30" s="3">
        <v>0</v>
      </c>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v>0</v>
      </c>
      <c r="JH30" s="3"/>
      <c r="JI30" s="3"/>
      <c r="JJ30" s="3"/>
      <c r="JK30" s="3"/>
      <c r="JL30" s="3">
        <v>0</v>
      </c>
      <c r="JM30" s="3"/>
      <c r="JN30" s="3"/>
      <c r="JO30" s="3"/>
      <c r="JP30" s="3"/>
      <c r="JQ30" s="3">
        <v>0</v>
      </c>
      <c r="JR30" s="3"/>
      <c r="JS30" s="3"/>
      <c r="JT30" s="3"/>
      <c r="JU30" s="3"/>
      <c r="JV30" s="3">
        <v>0</v>
      </c>
      <c r="JW30" s="3"/>
      <c r="JX30" s="3"/>
      <c r="JY30" s="3"/>
      <c r="JZ30" s="3"/>
      <c r="KA30" s="3">
        <v>0</v>
      </c>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row>
    <row r="31" spans="1:332" x14ac:dyDescent="0.25">
      <c r="A31" t="s">
        <v>685</v>
      </c>
      <c r="B31" t="s">
        <v>686</v>
      </c>
      <c r="C31" t="s">
        <v>199</v>
      </c>
      <c r="D31" t="s">
        <v>200</v>
      </c>
      <c r="E31" t="s">
        <v>300</v>
      </c>
      <c r="F31" t="s">
        <v>701</v>
      </c>
      <c r="G31" t="s">
        <v>805</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v>0</v>
      </c>
      <c r="ES31" s="3">
        <v>0</v>
      </c>
      <c r="ET31" s="3">
        <v>0</v>
      </c>
      <c r="EU31" s="3">
        <v>0</v>
      </c>
      <c r="EV31" s="3">
        <v>0</v>
      </c>
      <c r="EW31" s="3">
        <v>0</v>
      </c>
      <c r="EX31" s="3">
        <v>10000000</v>
      </c>
      <c r="EY31" s="3">
        <v>0</v>
      </c>
      <c r="EZ31" s="3">
        <v>0</v>
      </c>
      <c r="FA31" s="3">
        <v>10000000</v>
      </c>
      <c r="FB31" s="3">
        <v>0</v>
      </c>
      <c r="FC31" s="3">
        <v>10000000</v>
      </c>
      <c r="FD31" s="3">
        <v>0</v>
      </c>
      <c r="FE31" s="3">
        <v>0</v>
      </c>
      <c r="FF31" s="3">
        <v>10000000</v>
      </c>
      <c r="FG31" s="3">
        <v>0</v>
      </c>
      <c r="FH31" s="3">
        <v>10000000</v>
      </c>
      <c r="FI31" s="3">
        <v>0</v>
      </c>
      <c r="FJ31" s="3">
        <v>0</v>
      </c>
      <c r="FK31" s="3">
        <v>10000000</v>
      </c>
      <c r="FL31" s="3">
        <v>0</v>
      </c>
      <c r="FM31" s="3">
        <v>10000000</v>
      </c>
      <c r="FN31" s="3">
        <v>0</v>
      </c>
      <c r="FO31" s="3">
        <v>0</v>
      </c>
      <c r="FP31" s="3">
        <v>10000000</v>
      </c>
      <c r="FQ31" s="3">
        <v>0</v>
      </c>
      <c r="FR31" s="3">
        <v>4641000</v>
      </c>
      <c r="FS31" s="3">
        <v>0</v>
      </c>
      <c r="FT31" s="3">
        <v>0</v>
      </c>
      <c r="FU31" s="3">
        <v>4641000</v>
      </c>
      <c r="FV31" s="3">
        <v>0</v>
      </c>
      <c r="FW31" s="3">
        <v>368000</v>
      </c>
      <c r="FX31" s="3">
        <v>0</v>
      </c>
      <c r="FY31" s="3">
        <v>0</v>
      </c>
      <c r="FZ31" s="3">
        <v>368000</v>
      </c>
      <c r="GA31" s="3">
        <v>0</v>
      </c>
      <c r="GB31" s="3">
        <v>0</v>
      </c>
      <c r="GC31" s="3">
        <v>0</v>
      </c>
      <c r="GD31" s="3">
        <v>0</v>
      </c>
      <c r="GE31" s="3">
        <v>0</v>
      </c>
      <c r="GF31" s="3">
        <v>0</v>
      </c>
      <c r="GG31" s="3">
        <v>10000000</v>
      </c>
      <c r="GH31" s="3">
        <v>0</v>
      </c>
      <c r="GI31" s="3">
        <v>0</v>
      </c>
      <c r="GJ31" s="3">
        <v>10000000</v>
      </c>
      <c r="GK31" s="3">
        <v>0</v>
      </c>
      <c r="GL31" s="3">
        <v>10000000</v>
      </c>
      <c r="GM31" s="3">
        <v>0</v>
      </c>
      <c r="GN31" s="3">
        <v>0</v>
      </c>
      <c r="GO31" s="3">
        <v>10000000</v>
      </c>
      <c r="GP31" s="3">
        <v>0</v>
      </c>
      <c r="GQ31" s="3">
        <v>10000000</v>
      </c>
      <c r="GR31" s="3">
        <v>0</v>
      </c>
      <c r="GS31" s="3">
        <v>0</v>
      </c>
      <c r="GT31" s="3">
        <v>10000000</v>
      </c>
      <c r="GU31" s="3">
        <v>0</v>
      </c>
      <c r="GV31" s="3">
        <v>10000000</v>
      </c>
      <c r="GW31" s="3">
        <v>0</v>
      </c>
      <c r="GX31" s="3">
        <v>0</v>
      </c>
      <c r="GY31" s="3">
        <v>10000000</v>
      </c>
      <c r="GZ31" s="3">
        <v>0</v>
      </c>
      <c r="HA31" s="3">
        <v>5915888.2599999998</v>
      </c>
      <c r="HB31" s="3">
        <v>0</v>
      </c>
      <c r="HC31" s="3">
        <v>0</v>
      </c>
      <c r="HD31" s="3">
        <v>5915888.2599999998</v>
      </c>
      <c r="HE31" s="3">
        <v>0</v>
      </c>
      <c r="HF31" s="3">
        <v>4227361.92</v>
      </c>
      <c r="HG31" s="3">
        <v>0</v>
      </c>
      <c r="HH31" s="3">
        <v>0</v>
      </c>
      <c r="HI31" s="3">
        <v>4227361.92</v>
      </c>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row>
    <row r="32" spans="1:332" x14ac:dyDescent="0.25">
      <c r="A32" t="s">
        <v>685</v>
      </c>
      <c r="B32" t="s">
        <v>686</v>
      </c>
      <c r="C32" t="s">
        <v>199</v>
      </c>
      <c r="D32" t="s">
        <v>200</v>
      </c>
      <c r="E32" t="s">
        <v>300</v>
      </c>
      <c r="F32" t="s">
        <v>702</v>
      </c>
      <c r="G32" t="s">
        <v>761</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v>0</v>
      </c>
      <c r="HK32" s="3">
        <v>1890000000</v>
      </c>
      <c r="HL32" s="3">
        <v>0</v>
      </c>
      <c r="HM32" s="3">
        <v>0</v>
      </c>
      <c r="HN32" s="3">
        <v>1890000000</v>
      </c>
      <c r="HO32" s="3">
        <v>0</v>
      </c>
      <c r="HP32" s="3">
        <v>1890000000</v>
      </c>
      <c r="HQ32" s="3">
        <v>0</v>
      </c>
      <c r="HR32" s="3">
        <v>0</v>
      </c>
      <c r="HS32" s="3">
        <v>1890000000</v>
      </c>
      <c r="HT32" s="3">
        <v>0</v>
      </c>
      <c r="HU32" s="3">
        <v>1890000000</v>
      </c>
      <c r="HV32" s="3">
        <v>0</v>
      </c>
      <c r="HW32" s="3">
        <v>0</v>
      </c>
      <c r="HX32" s="3">
        <v>1890000000</v>
      </c>
      <c r="HY32" s="3">
        <v>0</v>
      </c>
      <c r="HZ32" s="3">
        <v>1890000000</v>
      </c>
      <c r="IA32" s="3">
        <v>0</v>
      </c>
      <c r="IB32" s="3">
        <v>0</v>
      </c>
      <c r="IC32" s="3">
        <v>1890000000</v>
      </c>
      <c r="ID32" s="3">
        <v>0</v>
      </c>
      <c r="IE32" s="3">
        <v>1890000000</v>
      </c>
      <c r="IF32" s="3">
        <v>0</v>
      </c>
      <c r="IG32" s="3">
        <v>0</v>
      </c>
      <c r="IH32" s="3">
        <v>1890000000</v>
      </c>
      <c r="II32" s="3">
        <v>0</v>
      </c>
      <c r="IJ32" s="3">
        <v>1887467085.99</v>
      </c>
      <c r="IK32" s="3">
        <v>0</v>
      </c>
      <c r="IL32" s="3">
        <v>0</v>
      </c>
      <c r="IM32" s="3">
        <v>1887467085.99</v>
      </c>
      <c r="IN32" s="3">
        <v>0</v>
      </c>
      <c r="IO32" s="3">
        <v>1583213677.6500001</v>
      </c>
      <c r="IP32" s="3">
        <v>0</v>
      </c>
      <c r="IQ32" s="3">
        <v>0</v>
      </c>
      <c r="IR32" s="3">
        <v>1583213677.6500001</v>
      </c>
      <c r="IS32" s="3">
        <v>0</v>
      </c>
      <c r="IT32" s="3">
        <v>1890000000</v>
      </c>
      <c r="IU32" s="3">
        <v>0</v>
      </c>
      <c r="IV32" s="3">
        <v>0</v>
      </c>
      <c r="IW32" s="3">
        <v>1890000000</v>
      </c>
      <c r="IX32" s="3">
        <v>0</v>
      </c>
      <c r="IY32" s="3">
        <v>1890000000</v>
      </c>
      <c r="IZ32" s="3">
        <v>0</v>
      </c>
      <c r="JA32" s="3">
        <v>0</v>
      </c>
      <c r="JB32" s="3">
        <v>1890000000</v>
      </c>
      <c r="JC32" s="3">
        <v>0</v>
      </c>
      <c r="JD32" s="3">
        <v>1890000000</v>
      </c>
      <c r="JE32" s="3">
        <v>0</v>
      </c>
      <c r="JF32" s="3">
        <v>0</v>
      </c>
      <c r="JG32" s="3">
        <v>1890000000</v>
      </c>
      <c r="JH32" s="3">
        <v>0</v>
      </c>
      <c r="JI32" s="3">
        <v>1890000000</v>
      </c>
      <c r="JJ32" s="3">
        <v>0</v>
      </c>
      <c r="JK32" s="3">
        <v>0</v>
      </c>
      <c r="JL32" s="3">
        <v>1890000000</v>
      </c>
      <c r="JM32" s="3">
        <v>0</v>
      </c>
      <c r="JN32" s="3">
        <v>1890000000</v>
      </c>
      <c r="JO32" s="3">
        <v>0</v>
      </c>
      <c r="JP32" s="3">
        <v>0</v>
      </c>
      <c r="JQ32" s="3">
        <v>1890000000</v>
      </c>
      <c r="JR32" s="3">
        <v>0</v>
      </c>
      <c r="JS32" s="3">
        <v>1886645386.8900001</v>
      </c>
      <c r="JT32" s="3">
        <v>0</v>
      </c>
      <c r="JU32" s="3">
        <v>0</v>
      </c>
      <c r="JV32" s="3">
        <v>1886645386.8900001</v>
      </c>
      <c r="JW32" s="3">
        <v>0</v>
      </c>
      <c r="JX32" s="3">
        <v>1879446951.3199999</v>
      </c>
      <c r="JY32" s="3">
        <v>0</v>
      </c>
      <c r="JZ32" s="3">
        <v>0</v>
      </c>
      <c r="KA32" s="3">
        <v>1879446951.3199999</v>
      </c>
      <c r="KB32" s="3">
        <v>0</v>
      </c>
      <c r="KC32" s="3">
        <v>1890000000</v>
      </c>
      <c r="KD32" s="3">
        <v>0</v>
      </c>
      <c r="KE32" s="3">
        <v>0</v>
      </c>
      <c r="KF32" s="3">
        <v>1890000000</v>
      </c>
      <c r="KG32" s="3">
        <v>0</v>
      </c>
      <c r="KH32" s="3">
        <v>1890000000</v>
      </c>
      <c r="KI32" s="3">
        <v>0</v>
      </c>
      <c r="KJ32" s="3">
        <v>0</v>
      </c>
      <c r="KK32" s="3">
        <v>1890000000</v>
      </c>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v>0</v>
      </c>
      <c r="LL32" s="3">
        <v>1890000000</v>
      </c>
      <c r="LM32" s="3">
        <v>0</v>
      </c>
      <c r="LN32" s="3">
        <v>0</v>
      </c>
      <c r="LO32" s="3">
        <v>1890000000</v>
      </c>
      <c r="LP32" s="3"/>
      <c r="LQ32" s="3"/>
      <c r="LR32" s="3"/>
      <c r="LS32" s="3"/>
      <c r="LT32" s="3"/>
    </row>
    <row r="33" spans="1:332" x14ac:dyDescent="0.25">
      <c r="A33" t="s">
        <v>685</v>
      </c>
      <c r="B33" t="s">
        <v>686</v>
      </c>
      <c r="C33" t="s">
        <v>199</v>
      </c>
      <c r="D33" t="s">
        <v>200</v>
      </c>
      <c r="E33" t="s">
        <v>300</v>
      </c>
      <c r="F33" t="s">
        <v>703</v>
      </c>
      <c r="G33" t="s">
        <v>789</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v>0</v>
      </c>
      <c r="HP33" s="3">
        <v>26700000000</v>
      </c>
      <c r="HQ33" s="3"/>
      <c r="HR33" s="3">
        <v>0</v>
      </c>
      <c r="HS33" s="3">
        <v>26700000000</v>
      </c>
      <c r="HT33" s="3">
        <v>0</v>
      </c>
      <c r="HU33" s="3">
        <v>26700000000</v>
      </c>
      <c r="HV33" s="3">
        <v>0</v>
      </c>
      <c r="HW33" s="3">
        <v>0</v>
      </c>
      <c r="HX33" s="3">
        <v>26700000000</v>
      </c>
      <c r="HY33" s="3">
        <v>0</v>
      </c>
      <c r="HZ33" s="3">
        <v>26700000000</v>
      </c>
      <c r="IA33" s="3">
        <v>0</v>
      </c>
      <c r="IB33" s="3">
        <v>0</v>
      </c>
      <c r="IC33" s="3">
        <v>26700000000</v>
      </c>
      <c r="ID33" s="3">
        <v>0</v>
      </c>
      <c r="IE33" s="3">
        <v>26700000000</v>
      </c>
      <c r="IF33" s="3">
        <v>0</v>
      </c>
      <c r="IG33" s="3">
        <v>0</v>
      </c>
      <c r="IH33" s="3">
        <v>26700000000</v>
      </c>
      <c r="II33" s="3">
        <v>0</v>
      </c>
      <c r="IJ33" s="3">
        <v>26695672344.330002</v>
      </c>
      <c r="IK33" s="3">
        <v>0</v>
      </c>
      <c r="IL33" s="3">
        <v>0</v>
      </c>
      <c r="IM33" s="3">
        <v>26695672344.330002</v>
      </c>
      <c r="IN33" s="3">
        <v>0</v>
      </c>
      <c r="IO33" s="3">
        <v>26171200690.360001</v>
      </c>
      <c r="IP33" s="3">
        <v>0</v>
      </c>
      <c r="IQ33" s="3">
        <v>0</v>
      </c>
      <c r="IR33" s="3">
        <v>26171200690.360001</v>
      </c>
      <c r="IS33" s="3">
        <v>0</v>
      </c>
      <c r="IT33" s="3">
        <v>0</v>
      </c>
      <c r="IU33" s="3">
        <v>0</v>
      </c>
      <c r="IV33" s="3">
        <v>0</v>
      </c>
      <c r="IW33" s="3">
        <v>0</v>
      </c>
      <c r="IX33" s="3">
        <v>0</v>
      </c>
      <c r="IY33" s="3">
        <v>26159000000</v>
      </c>
      <c r="IZ33" s="3">
        <v>0</v>
      </c>
      <c r="JA33" s="3">
        <v>0</v>
      </c>
      <c r="JB33" s="3">
        <v>26159000000</v>
      </c>
      <c r="JC33" s="3">
        <v>0</v>
      </c>
      <c r="JD33" s="3">
        <v>26159000000</v>
      </c>
      <c r="JE33" s="3">
        <v>0</v>
      </c>
      <c r="JF33" s="3">
        <v>0</v>
      </c>
      <c r="JG33" s="3">
        <v>26159000000</v>
      </c>
      <c r="JH33" s="3">
        <v>0</v>
      </c>
      <c r="JI33" s="3">
        <v>26159000000</v>
      </c>
      <c r="JJ33" s="3">
        <v>0</v>
      </c>
      <c r="JK33" s="3">
        <v>0</v>
      </c>
      <c r="JL33" s="3">
        <v>26159000000</v>
      </c>
      <c r="JM33" s="3">
        <v>0</v>
      </c>
      <c r="JN33" s="3">
        <v>26159000000</v>
      </c>
      <c r="JO33" s="3">
        <v>0</v>
      </c>
      <c r="JP33" s="3">
        <v>0</v>
      </c>
      <c r="JQ33" s="3">
        <v>26159000000</v>
      </c>
      <c r="JR33" s="3">
        <v>0</v>
      </c>
      <c r="JS33" s="3">
        <v>25906904081.490002</v>
      </c>
      <c r="JT33" s="3">
        <v>0</v>
      </c>
      <c r="JU33" s="3">
        <v>0</v>
      </c>
      <c r="JV33" s="3">
        <v>25906904081.490002</v>
      </c>
      <c r="JW33" s="3">
        <v>0</v>
      </c>
      <c r="JX33" s="3">
        <v>25129697300.310001</v>
      </c>
      <c r="JY33" s="3">
        <v>0</v>
      </c>
      <c r="JZ33" s="3">
        <v>0</v>
      </c>
      <c r="KA33" s="3">
        <v>25129697300.310001</v>
      </c>
      <c r="KB33" s="3"/>
      <c r="KC33" s="3"/>
      <c r="KD33" s="3"/>
      <c r="KE33" s="3"/>
      <c r="KF33" s="3"/>
      <c r="KG33" s="3"/>
      <c r="KH33" s="3"/>
      <c r="KI33" s="3">
        <v>0</v>
      </c>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row>
    <row r="34" spans="1:332" x14ac:dyDescent="0.25">
      <c r="A34" t="s">
        <v>685</v>
      </c>
      <c r="B34" t="s">
        <v>686</v>
      </c>
      <c r="C34" t="s">
        <v>199</v>
      </c>
      <c r="D34" t="s">
        <v>200</v>
      </c>
      <c r="E34" t="s">
        <v>300</v>
      </c>
      <c r="F34" t="s">
        <v>704</v>
      </c>
      <c r="G34" t="s">
        <v>762</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v>0</v>
      </c>
      <c r="IT34" s="3">
        <v>0</v>
      </c>
      <c r="IU34" s="3">
        <v>0</v>
      </c>
      <c r="IV34" s="3">
        <v>0</v>
      </c>
      <c r="IW34" s="3">
        <v>0</v>
      </c>
      <c r="IX34" s="3">
        <v>0</v>
      </c>
      <c r="IY34" s="3">
        <v>776024000</v>
      </c>
      <c r="IZ34" s="3">
        <v>0</v>
      </c>
      <c r="JA34" s="3">
        <v>31050000</v>
      </c>
      <c r="JB34" s="3">
        <v>807074000</v>
      </c>
      <c r="JC34" s="3">
        <v>0</v>
      </c>
      <c r="JD34" s="3">
        <v>776024000</v>
      </c>
      <c r="JE34" s="3">
        <v>0</v>
      </c>
      <c r="JF34" s="3">
        <v>31050000</v>
      </c>
      <c r="JG34" s="3">
        <v>807074000</v>
      </c>
      <c r="JH34" s="3">
        <v>0</v>
      </c>
      <c r="JI34" s="3">
        <v>776024000</v>
      </c>
      <c r="JJ34" s="3">
        <v>0</v>
      </c>
      <c r="JK34" s="3">
        <v>31050000</v>
      </c>
      <c r="JL34" s="3">
        <v>807074000</v>
      </c>
      <c r="JM34" s="3">
        <v>0</v>
      </c>
      <c r="JN34" s="3">
        <v>776024000</v>
      </c>
      <c r="JO34" s="3">
        <v>0</v>
      </c>
      <c r="JP34" s="3">
        <v>31050000</v>
      </c>
      <c r="JQ34" s="3">
        <v>807074000</v>
      </c>
      <c r="JR34" s="3">
        <v>0</v>
      </c>
      <c r="JS34" s="3">
        <v>589507416.63</v>
      </c>
      <c r="JT34" s="3">
        <v>26848800</v>
      </c>
      <c r="JU34" s="3">
        <v>0</v>
      </c>
      <c r="JV34" s="3">
        <v>616356216.63</v>
      </c>
      <c r="JW34" s="3">
        <v>0</v>
      </c>
      <c r="JX34" s="3">
        <v>526517842.67000002</v>
      </c>
      <c r="JY34" s="3">
        <v>26848800</v>
      </c>
      <c r="JZ34" s="3">
        <v>0</v>
      </c>
      <c r="KA34" s="3">
        <v>553366642.66999996</v>
      </c>
      <c r="KB34" s="3">
        <v>0</v>
      </c>
      <c r="KC34" s="3">
        <v>807074000</v>
      </c>
      <c r="KD34" s="3">
        <v>0</v>
      </c>
      <c r="KE34" s="3">
        <v>0</v>
      </c>
      <c r="KF34" s="3">
        <v>807074000</v>
      </c>
      <c r="KG34" s="3">
        <v>0</v>
      </c>
      <c r="KH34" s="3">
        <v>807074000</v>
      </c>
      <c r="KI34" s="3">
        <v>0</v>
      </c>
      <c r="KJ34" s="3">
        <v>0</v>
      </c>
      <c r="KK34" s="3">
        <v>807074000</v>
      </c>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v>0</v>
      </c>
      <c r="LL34" s="3">
        <v>807074000</v>
      </c>
      <c r="LM34" s="3">
        <v>0</v>
      </c>
      <c r="LN34" s="3">
        <v>0</v>
      </c>
      <c r="LO34" s="3">
        <v>807074000</v>
      </c>
      <c r="LP34" s="3"/>
      <c r="LQ34" s="3"/>
      <c r="LR34" s="3"/>
      <c r="LS34" s="3"/>
      <c r="LT34" s="3"/>
    </row>
    <row r="35" spans="1:332" x14ac:dyDescent="0.25">
      <c r="A35" t="s">
        <v>685</v>
      </c>
      <c r="B35" t="s">
        <v>686</v>
      </c>
      <c r="C35" t="s">
        <v>199</v>
      </c>
      <c r="D35" t="s">
        <v>200</v>
      </c>
      <c r="E35" t="s">
        <v>300</v>
      </c>
      <c r="F35" t="s">
        <v>705</v>
      </c>
      <c r="G35" t="s">
        <v>790</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v>0</v>
      </c>
      <c r="IT35" s="3">
        <v>807074000</v>
      </c>
      <c r="IU35" s="3">
        <v>0</v>
      </c>
      <c r="IV35" s="3">
        <v>0</v>
      </c>
      <c r="IW35" s="3">
        <v>807074000</v>
      </c>
      <c r="IX35" s="3">
        <v>0</v>
      </c>
      <c r="IY35" s="3">
        <v>100000000</v>
      </c>
      <c r="IZ35" s="3">
        <v>0</v>
      </c>
      <c r="JA35" s="3">
        <v>0</v>
      </c>
      <c r="JB35" s="3">
        <v>100000000</v>
      </c>
      <c r="JC35" s="3">
        <v>0</v>
      </c>
      <c r="JD35" s="3">
        <v>100000000</v>
      </c>
      <c r="JE35" s="3">
        <v>0</v>
      </c>
      <c r="JF35" s="3">
        <v>0</v>
      </c>
      <c r="JG35" s="3">
        <v>100000000</v>
      </c>
      <c r="JH35" s="3">
        <v>0</v>
      </c>
      <c r="JI35" s="3">
        <v>100000000</v>
      </c>
      <c r="JJ35" s="3">
        <v>0</v>
      </c>
      <c r="JK35" s="3">
        <v>0</v>
      </c>
      <c r="JL35" s="3">
        <v>100000000</v>
      </c>
      <c r="JM35" s="3">
        <v>0</v>
      </c>
      <c r="JN35" s="3">
        <v>100000000</v>
      </c>
      <c r="JO35" s="3">
        <v>0</v>
      </c>
      <c r="JP35" s="3">
        <v>0</v>
      </c>
      <c r="JQ35" s="3">
        <v>100000000</v>
      </c>
      <c r="JR35" s="3">
        <v>0</v>
      </c>
      <c r="JS35" s="3">
        <v>68654000</v>
      </c>
      <c r="JT35" s="3">
        <v>0</v>
      </c>
      <c r="JU35" s="3">
        <v>0</v>
      </c>
      <c r="JV35" s="3">
        <v>68654000</v>
      </c>
      <c r="JW35" s="3">
        <v>0</v>
      </c>
      <c r="JX35" s="3">
        <v>6002000</v>
      </c>
      <c r="JY35" s="3">
        <v>0</v>
      </c>
      <c r="JZ35" s="3">
        <v>0</v>
      </c>
      <c r="KA35" s="3">
        <v>6002000</v>
      </c>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row>
    <row r="36" spans="1:332" x14ac:dyDescent="0.25">
      <c r="A36" t="s">
        <v>685</v>
      </c>
      <c r="B36" t="s">
        <v>686</v>
      </c>
      <c r="C36" t="s">
        <v>199</v>
      </c>
      <c r="D36" t="s">
        <v>200</v>
      </c>
      <c r="E36" t="s">
        <v>300</v>
      </c>
      <c r="F36" s="20" t="s">
        <v>1371</v>
      </c>
      <c r="G36" t="s">
        <v>1372</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v>0</v>
      </c>
      <c r="LL36" s="3">
        <v>3877357000</v>
      </c>
      <c r="LM36" s="3">
        <v>0</v>
      </c>
      <c r="LN36" s="3">
        <v>0</v>
      </c>
      <c r="LO36" s="3">
        <v>3877357000</v>
      </c>
      <c r="LP36" s="3"/>
      <c r="LQ36" s="3"/>
      <c r="LR36" s="3"/>
      <c r="LS36" s="3"/>
      <c r="LT36" s="3"/>
    </row>
    <row r="37" spans="1:332" x14ac:dyDescent="0.25">
      <c r="A37" t="s">
        <v>685</v>
      </c>
      <c r="B37" t="s">
        <v>686</v>
      </c>
      <c r="C37" t="s">
        <v>199</v>
      </c>
      <c r="D37" t="s">
        <v>200</v>
      </c>
      <c r="E37" t="s">
        <v>300</v>
      </c>
      <c r="F37" t="s">
        <v>706</v>
      </c>
      <c r="G37" t="s">
        <v>809</v>
      </c>
      <c r="H37" s="3">
        <v>22000000</v>
      </c>
      <c r="I37" s="3">
        <v>68000000</v>
      </c>
      <c r="J37" s="3">
        <v>0</v>
      </c>
      <c r="K37" s="3">
        <v>0</v>
      </c>
      <c r="L37" s="3">
        <v>90000000</v>
      </c>
      <c r="M37" s="3">
        <v>22000000</v>
      </c>
      <c r="N37" s="3">
        <v>68000000</v>
      </c>
      <c r="O37" s="3">
        <v>0</v>
      </c>
      <c r="P37" s="3">
        <v>0</v>
      </c>
      <c r="Q37" s="3">
        <v>90000000</v>
      </c>
      <c r="R37" s="3">
        <v>22000000</v>
      </c>
      <c r="S37" s="3">
        <v>68000000</v>
      </c>
      <c r="T37" s="3">
        <v>0</v>
      </c>
      <c r="U37" s="3">
        <v>0</v>
      </c>
      <c r="V37" s="3">
        <v>90000000</v>
      </c>
      <c r="W37" s="3">
        <v>22000000</v>
      </c>
      <c r="X37" s="3">
        <v>68000000</v>
      </c>
      <c r="Y37" s="3">
        <v>0</v>
      </c>
      <c r="Z37" s="3">
        <v>0</v>
      </c>
      <c r="AA37" s="3">
        <v>90000000</v>
      </c>
      <c r="AB37" s="3">
        <v>22000000</v>
      </c>
      <c r="AC37" s="3">
        <v>68000000</v>
      </c>
      <c r="AD37" s="3">
        <v>0</v>
      </c>
      <c r="AE37" s="3">
        <v>0</v>
      </c>
      <c r="AF37" s="3">
        <v>90000000</v>
      </c>
      <c r="AG37" s="3">
        <v>20682802.600000001</v>
      </c>
      <c r="AH37" s="3">
        <v>47142093.909999996</v>
      </c>
      <c r="AI37" s="3">
        <v>0</v>
      </c>
      <c r="AJ37" s="3">
        <v>0</v>
      </c>
      <c r="AK37" s="3">
        <v>67824896.510000005</v>
      </c>
      <c r="AL37" s="3">
        <v>17469346.73</v>
      </c>
      <c r="AM37" s="3">
        <v>45868530.920000002</v>
      </c>
      <c r="AN37" s="3">
        <v>0</v>
      </c>
      <c r="AO37" s="3">
        <v>0</v>
      </c>
      <c r="AP37" s="3">
        <v>63337877.649999999</v>
      </c>
      <c r="AQ37" s="3">
        <v>22000000</v>
      </c>
      <c r="AR37" s="3">
        <v>68000000</v>
      </c>
      <c r="AS37" s="3">
        <v>0</v>
      </c>
      <c r="AT37" s="3">
        <v>0</v>
      </c>
      <c r="AU37" s="3">
        <v>90000000</v>
      </c>
      <c r="AV37" s="3">
        <v>22000000</v>
      </c>
      <c r="AW37" s="3">
        <v>68000000</v>
      </c>
      <c r="AX37" s="3">
        <v>0</v>
      </c>
      <c r="AY37" s="3">
        <v>0</v>
      </c>
      <c r="AZ37" s="3">
        <v>90000000</v>
      </c>
      <c r="BA37" s="3">
        <v>22000000</v>
      </c>
      <c r="BB37" s="3">
        <v>68000000</v>
      </c>
      <c r="BC37" s="3">
        <v>0</v>
      </c>
      <c r="BD37" s="3">
        <v>0</v>
      </c>
      <c r="BE37" s="3">
        <v>90000000</v>
      </c>
      <c r="BF37" s="3">
        <v>22000000</v>
      </c>
      <c r="BG37" s="3">
        <v>68000000</v>
      </c>
      <c r="BH37" s="3">
        <v>0</v>
      </c>
      <c r="BI37" s="3">
        <v>0</v>
      </c>
      <c r="BJ37" s="3">
        <v>90000000</v>
      </c>
      <c r="BK37" s="3">
        <v>22000000</v>
      </c>
      <c r="BL37" s="3">
        <v>68000000</v>
      </c>
      <c r="BM37" s="3">
        <v>0</v>
      </c>
      <c r="BN37" s="3">
        <v>0</v>
      </c>
      <c r="BO37" s="3">
        <v>90000000</v>
      </c>
      <c r="BP37" s="3">
        <v>21437406.73</v>
      </c>
      <c r="BQ37" s="3">
        <v>48901200.75</v>
      </c>
      <c r="BR37" s="3">
        <v>0</v>
      </c>
      <c r="BS37" s="3">
        <v>0</v>
      </c>
      <c r="BT37" s="3">
        <v>70338607.480000004</v>
      </c>
      <c r="BU37" s="3">
        <v>21131791.890000001</v>
      </c>
      <c r="BV37" s="3">
        <v>38278696.579999998</v>
      </c>
      <c r="BW37" s="3">
        <v>0</v>
      </c>
      <c r="BX37" s="3">
        <v>0</v>
      </c>
      <c r="BY37" s="3">
        <v>59410488.469999999</v>
      </c>
      <c r="BZ37" s="3">
        <v>22000000</v>
      </c>
      <c r="CA37" s="3">
        <v>67840000</v>
      </c>
      <c r="CB37" s="3">
        <v>0</v>
      </c>
      <c r="CC37" s="3">
        <v>0</v>
      </c>
      <c r="CD37" s="3">
        <v>89840000</v>
      </c>
      <c r="CE37" s="3">
        <v>22000000</v>
      </c>
      <c r="CF37" s="3">
        <v>67840000</v>
      </c>
      <c r="CG37" s="3">
        <v>0</v>
      </c>
      <c r="CH37" s="3">
        <v>0</v>
      </c>
      <c r="CI37" s="3">
        <v>89840000</v>
      </c>
      <c r="CJ37" s="3">
        <v>22000000</v>
      </c>
      <c r="CK37" s="3">
        <v>67840000</v>
      </c>
      <c r="CL37" s="3">
        <v>0</v>
      </c>
      <c r="CM37" s="3">
        <v>0</v>
      </c>
      <c r="CN37" s="3">
        <v>89840000</v>
      </c>
      <c r="CO37" s="3">
        <v>22000000</v>
      </c>
      <c r="CP37" s="3">
        <v>56838000</v>
      </c>
      <c r="CQ37" s="3">
        <v>0</v>
      </c>
      <c r="CR37" s="3">
        <v>0</v>
      </c>
      <c r="CS37" s="3">
        <v>78838000</v>
      </c>
      <c r="CT37" s="3">
        <v>22000000</v>
      </c>
      <c r="CU37" s="3">
        <v>56838000</v>
      </c>
      <c r="CV37" s="3">
        <v>0</v>
      </c>
      <c r="CW37" s="3">
        <v>0</v>
      </c>
      <c r="CX37" s="3">
        <v>78838000</v>
      </c>
      <c r="CY37" s="3">
        <v>21997448.170000002</v>
      </c>
      <c r="CZ37" s="3">
        <v>13777251.050000001</v>
      </c>
      <c r="DA37" s="3">
        <v>0</v>
      </c>
      <c r="DB37" s="3">
        <v>0</v>
      </c>
      <c r="DC37" s="3">
        <v>35774699.219999999</v>
      </c>
      <c r="DD37" s="3">
        <v>21985147.039999999</v>
      </c>
      <c r="DE37" s="3">
        <v>43250801.359999999</v>
      </c>
      <c r="DF37" s="3">
        <v>0</v>
      </c>
      <c r="DG37" s="3">
        <v>0</v>
      </c>
      <c r="DH37" s="3">
        <v>65235948.399999999</v>
      </c>
      <c r="DI37" s="3">
        <v>22000000</v>
      </c>
      <c r="DJ37" s="3">
        <v>69061000</v>
      </c>
      <c r="DK37" s="3">
        <v>0</v>
      </c>
      <c r="DL37" s="3">
        <v>0</v>
      </c>
      <c r="DM37" s="3">
        <v>91061000</v>
      </c>
      <c r="DN37" s="3">
        <v>22000000</v>
      </c>
      <c r="DO37" s="3">
        <v>69061000</v>
      </c>
      <c r="DP37" s="3">
        <v>0</v>
      </c>
      <c r="DQ37" s="3">
        <v>0</v>
      </c>
      <c r="DR37" s="3">
        <v>91061000</v>
      </c>
      <c r="DS37" s="3">
        <v>22000000</v>
      </c>
      <c r="DT37" s="3">
        <v>69061000</v>
      </c>
      <c r="DU37" s="3">
        <v>0</v>
      </c>
      <c r="DV37" s="3">
        <v>0</v>
      </c>
      <c r="DW37" s="3">
        <v>91061000</v>
      </c>
      <c r="DX37" s="3">
        <v>22000000</v>
      </c>
      <c r="DY37" s="3">
        <v>69061000</v>
      </c>
      <c r="DZ37" s="3">
        <v>0</v>
      </c>
      <c r="EA37" s="3">
        <v>0</v>
      </c>
      <c r="EB37" s="3">
        <v>91061000</v>
      </c>
      <c r="EC37" s="3">
        <v>22000000</v>
      </c>
      <c r="ED37" s="3">
        <v>69061000</v>
      </c>
      <c r="EE37" s="3">
        <v>0</v>
      </c>
      <c r="EF37" s="3">
        <v>0</v>
      </c>
      <c r="EG37" s="3">
        <v>91061000</v>
      </c>
      <c r="EH37" s="3">
        <v>21999838.210000001</v>
      </c>
      <c r="EI37" s="3">
        <v>50918473.520000003</v>
      </c>
      <c r="EJ37" s="3">
        <v>0</v>
      </c>
      <c r="EK37" s="3">
        <v>0</v>
      </c>
      <c r="EL37" s="3">
        <v>72918311.730000004</v>
      </c>
      <c r="EM37" s="3">
        <v>21992367.789999999</v>
      </c>
      <c r="EN37" s="3">
        <v>42625327.390000001</v>
      </c>
      <c r="EO37" s="3">
        <v>0</v>
      </c>
      <c r="EP37" s="3">
        <v>0</v>
      </c>
      <c r="EQ37" s="3">
        <v>64617695.18</v>
      </c>
      <c r="ER37" s="3">
        <v>24927000</v>
      </c>
      <c r="ES37" s="3">
        <v>69061000</v>
      </c>
      <c r="ET37" s="3">
        <v>0</v>
      </c>
      <c r="EU37" s="3">
        <v>0</v>
      </c>
      <c r="EV37" s="3">
        <v>93988000</v>
      </c>
      <c r="EW37" s="3">
        <v>24927000</v>
      </c>
      <c r="EX37" s="3">
        <v>69061000</v>
      </c>
      <c r="EY37" s="3">
        <v>0</v>
      </c>
      <c r="EZ37" s="3">
        <v>0</v>
      </c>
      <c r="FA37" s="3">
        <v>93988000</v>
      </c>
      <c r="FB37" s="3">
        <v>24927000</v>
      </c>
      <c r="FC37" s="3">
        <v>69061000</v>
      </c>
      <c r="FD37" s="3">
        <v>0</v>
      </c>
      <c r="FE37" s="3">
        <v>0</v>
      </c>
      <c r="FF37" s="3">
        <v>93988000</v>
      </c>
      <c r="FG37" s="3">
        <v>24927000</v>
      </c>
      <c r="FH37" s="3">
        <v>69061000</v>
      </c>
      <c r="FI37" s="3">
        <v>0</v>
      </c>
      <c r="FJ37" s="3">
        <v>0</v>
      </c>
      <c r="FK37" s="3">
        <v>93988000</v>
      </c>
      <c r="FL37" s="3">
        <v>24927000</v>
      </c>
      <c r="FM37" s="3">
        <v>69061000</v>
      </c>
      <c r="FN37" s="3">
        <v>0</v>
      </c>
      <c r="FO37" s="3">
        <v>0</v>
      </c>
      <c r="FP37" s="3">
        <v>93988000</v>
      </c>
      <c r="FQ37" s="3">
        <v>24923631.34</v>
      </c>
      <c r="FR37" s="3">
        <v>44915632.880000003</v>
      </c>
      <c r="FS37" s="3">
        <v>0</v>
      </c>
      <c r="FT37" s="3">
        <v>0</v>
      </c>
      <c r="FU37" s="3">
        <v>69839264.219999999</v>
      </c>
      <c r="FV37" s="3">
        <v>24831886.460000001</v>
      </c>
      <c r="FW37" s="3">
        <v>38056010.060000002</v>
      </c>
      <c r="FX37" s="3">
        <v>0</v>
      </c>
      <c r="FY37" s="3">
        <v>0</v>
      </c>
      <c r="FZ37" s="3">
        <v>62887896.520000003</v>
      </c>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v>0</v>
      </c>
      <c r="HM37" s="3"/>
      <c r="HN37" s="3"/>
      <c r="HO37" s="3"/>
      <c r="HP37" s="3"/>
      <c r="HQ37" s="3">
        <v>0</v>
      </c>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v>0</v>
      </c>
      <c r="JH37" s="3"/>
      <c r="JI37" s="3"/>
      <c r="JJ37" s="3"/>
      <c r="JK37" s="3"/>
      <c r="JL37" s="3">
        <v>0</v>
      </c>
      <c r="JM37" s="3"/>
      <c r="JN37" s="3"/>
      <c r="JO37" s="3"/>
      <c r="JP37" s="3"/>
      <c r="JQ37" s="3">
        <v>0</v>
      </c>
      <c r="JR37" s="3"/>
      <c r="JS37" s="3"/>
      <c r="JT37" s="3"/>
      <c r="JU37" s="3"/>
      <c r="JV37" s="3">
        <v>0</v>
      </c>
      <c r="JW37" s="3"/>
      <c r="JX37" s="3"/>
      <c r="JY37" s="3"/>
      <c r="JZ37" s="3"/>
      <c r="KA37" s="3">
        <v>0</v>
      </c>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row>
    <row r="38" spans="1:332" x14ac:dyDescent="0.25">
      <c r="A38" t="s">
        <v>685</v>
      </c>
      <c r="B38" t="s">
        <v>686</v>
      </c>
      <c r="C38" t="s">
        <v>199</v>
      </c>
      <c r="D38" t="s">
        <v>200</v>
      </c>
      <c r="E38" t="s">
        <v>300</v>
      </c>
      <c r="F38" t="s">
        <v>707</v>
      </c>
      <c r="G38" t="s">
        <v>751</v>
      </c>
      <c r="H38" s="3">
        <v>0</v>
      </c>
      <c r="I38" s="3">
        <v>52473000</v>
      </c>
      <c r="J38" s="3">
        <v>0</v>
      </c>
      <c r="K38" s="3">
        <v>0</v>
      </c>
      <c r="L38" s="3">
        <v>52473000</v>
      </c>
      <c r="M38" s="3">
        <v>0</v>
      </c>
      <c r="N38" s="3">
        <v>52473000</v>
      </c>
      <c r="O38" s="3">
        <v>0</v>
      </c>
      <c r="P38" s="3">
        <v>0</v>
      </c>
      <c r="Q38" s="3">
        <v>52473000</v>
      </c>
      <c r="R38" s="3">
        <v>0</v>
      </c>
      <c r="S38" s="3">
        <v>52473000</v>
      </c>
      <c r="T38" s="3">
        <v>0</v>
      </c>
      <c r="U38" s="3">
        <v>0</v>
      </c>
      <c r="V38" s="3">
        <v>52473000</v>
      </c>
      <c r="W38" s="3">
        <v>0</v>
      </c>
      <c r="X38" s="3">
        <v>52473000</v>
      </c>
      <c r="Y38" s="3">
        <v>0</v>
      </c>
      <c r="Z38" s="3">
        <v>0</v>
      </c>
      <c r="AA38" s="3">
        <v>52473000</v>
      </c>
      <c r="AB38" s="3">
        <v>0</v>
      </c>
      <c r="AC38" s="3">
        <v>52473000</v>
      </c>
      <c r="AD38" s="3">
        <v>0</v>
      </c>
      <c r="AE38" s="3">
        <v>0</v>
      </c>
      <c r="AF38" s="3">
        <v>52473000</v>
      </c>
      <c r="AG38" s="3">
        <v>0</v>
      </c>
      <c r="AH38" s="3">
        <v>52343212.700000003</v>
      </c>
      <c r="AI38" s="3">
        <v>0</v>
      </c>
      <c r="AJ38" s="3">
        <v>0</v>
      </c>
      <c r="AK38" s="3">
        <v>52343212.700000003</v>
      </c>
      <c r="AL38" s="3">
        <v>0</v>
      </c>
      <c r="AM38" s="3">
        <v>30319231.640000001</v>
      </c>
      <c r="AN38" s="3">
        <v>0</v>
      </c>
      <c r="AO38" s="3">
        <v>0</v>
      </c>
      <c r="AP38" s="3">
        <v>30319231.640000001</v>
      </c>
      <c r="AQ38" s="3">
        <v>0</v>
      </c>
      <c r="AR38" s="3">
        <v>52473000</v>
      </c>
      <c r="AS38" s="3">
        <v>0</v>
      </c>
      <c r="AT38" s="3">
        <v>0</v>
      </c>
      <c r="AU38" s="3">
        <v>52473000</v>
      </c>
      <c r="AV38" s="3">
        <v>0</v>
      </c>
      <c r="AW38" s="3">
        <v>52473000</v>
      </c>
      <c r="AX38" s="3">
        <v>0</v>
      </c>
      <c r="AY38" s="3">
        <v>0</v>
      </c>
      <c r="AZ38" s="3">
        <v>52473000</v>
      </c>
      <c r="BA38" s="3">
        <v>0</v>
      </c>
      <c r="BB38" s="3">
        <v>52473000</v>
      </c>
      <c r="BC38" s="3">
        <v>0</v>
      </c>
      <c r="BD38" s="3">
        <v>0</v>
      </c>
      <c r="BE38" s="3">
        <v>52473000</v>
      </c>
      <c r="BF38" s="3">
        <v>0</v>
      </c>
      <c r="BG38" s="3">
        <v>52473000</v>
      </c>
      <c r="BH38" s="3">
        <v>0</v>
      </c>
      <c r="BI38" s="3">
        <v>0</v>
      </c>
      <c r="BJ38" s="3">
        <v>52473000</v>
      </c>
      <c r="BK38" s="3">
        <v>0</v>
      </c>
      <c r="BL38" s="3">
        <v>52473000</v>
      </c>
      <c r="BM38" s="3">
        <v>0</v>
      </c>
      <c r="BN38" s="3">
        <v>0</v>
      </c>
      <c r="BO38" s="3">
        <v>52473000</v>
      </c>
      <c r="BP38" s="3">
        <v>0</v>
      </c>
      <c r="BQ38" s="3">
        <v>51592759.75</v>
      </c>
      <c r="BR38" s="3">
        <v>0</v>
      </c>
      <c r="BS38" s="3">
        <v>0</v>
      </c>
      <c r="BT38" s="3">
        <v>51592759.75</v>
      </c>
      <c r="BU38" s="3">
        <v>0</v>
      </c>
      <c r="BV38" s="3">
        <v>13530659.310000001</v>
      </c>
      <c r="BW38" s="3">
        <v>0</v>
      </c>
      <c r="BX38" s="3">
        <v>0</v>
      </c>
      <c r="BY38" s="3">
        <v>13530659.310000001</v>
      </c>
      <c r="BZ38" s="3">
        <v>0</v>
      </c>
      <c r="CA38" s="3">
        <v>52349000</v>
      </c>
      <c r="CB38" s="3">
        <v>0</v>
      </c>
      <c r="CC38" s="3">
        <v>0</v>
      </c>
      <c r="CD38" s="3">
        <v>52349000</v>
      </c>
      <c r="CE38" s="3">
        <v>0</v>
      </c>
      <c r="CF38" s="3">
        <v>52349000</v>
      </c>
      <c r="CG38" s="3">
        <v>0</v>
      </c>
      <c r="CH38" s="3">
        <v>0</v>
      </c>
      <c r="CI38" s="3">
        <v>52349000</v>
      </c>
      <c r="CJ38" s="3">
        <v>0</v>
      </c>
      <c r="CK38" s="3">
        <v>52349000</v>
      </c>
      <c r="CL38" s="3">
        <v>0</v>
      </c>
      <c r="CM38" s="3">
        <v>0</v>
      </c>
      <c r="CN38" s="3">
        <v>52349000</v>
      </c>
      <c r="CO38" s="3">
        <v>0</v>
      </c>
      <c r="CP38" s="3">
        <v>52349000</v>
      </c>
      <c r="CQ38" s="3">
        <v>0</v>
      </c>
      <c r="CR38" s="3">
        <v>0</v>
      </c>
      <c r="CS38" s="3">
        <v>52349000</v>
      </c>
      <c r="CT38" s="3">
        <v>0</v>
      </c>
      <c r="CU38" s="3">
        <v>52349000</v>
      </c>
      <c r="CV38" s="3">
        <v>0</v>
      </c>
      <c r="CW38" s="3">
        <v>0</v>
      </c>
      <c r="CX38" s="3">
        <v>52349000</v>
      </c>
      <c r="CY38" s="3">
        <v>0</v>
      </c>
      <c r="CZ38" s="3">
        <v>30757970.670000002</v>
      </c>
      <c r="DA38" s="3">
        <v>0</v>
      </c>
      <c r="DB38" s="3">
        <v>0</v>
      </c>
      <c r="DC38" s="3">
        <v>30757970.670000002</v>
      </c>
      <c r="DD38" s="3">
        <v>0</v>
      </c>
      <c r="DE38" s="3">
        <v>26829829.48</v>
      </c>
      <c r="DF38" s="3">
        <v>0</v>
      </c>
      <c r="DG38" s="3">
        <v>0</v>
      </c>
      <c r="DH38" s="3">
        <v>26829829.48</v>
      </c>
      <c r="DI38" s="3">
        <v>0</v>
      </c>
      <c r="DJ38" s="3">
        <v>53291000</v>
      </c>
      <c r="DK38" s="3">
        <v>0</v>
      </c>
      <c r="DL38" s="3">
        <v>0</v>
      </c>
      <c r="DM38" s="3">
        <v>53291000</v>
      </c>
      <c r="DN38" s="3">
        <v>0</v>
      </c>
      <c r="DO38" s="3">
        <v>53291000</v>
      </c>
      <c r="DP38" s="3">
        <v>0</v>
      </c>
      <c r="DQ38" s="3">
        <v>0</v>
      </c>
      <c r="DR38" s="3">
        <v>53291000</v>
      </c>
      <c r="DS38" s="3">
        <v>0</v>
      </c>
      <c r="DT38" s="3">
        <v>53291000</v>
      </c>
      <c r="DU38" s="3">
        <v>0</v>
      </c>
      <c r="DV38" s="3">
        <v>0</v>
      </c>
      <c r="DW38" s="3">
        <v>53291000</v>
      </c>
      <c r="DX38" s="3">
        <v>0</v>
      </c>
      <c r="DY38" s="3">
        <v>53291000</v>
      </c>
      <c r="DZ38" s="3">
        <v>0</v>
      </c>
      <c r="EA38" s="3">
        <v>0</v>
      </c>
      <c r="EB38" s="3">
        <v>53291000</v>
      </c>
      <c r="EC38" s="3">
        <v>0</v>
      </c>
      <c r="ED38" s="3">
        <v>53291000</v>
      </c>
      <c r="EE38" s="3">
        <v>0</v>
      </c>
      <c r="EF38" s="3">
        <v>0</v>
      </c>
      <c r="EG38" s="3">
        <v>53291000</v>
      </c>
      <c r="EH38" s="3">
        <v>0</v>
      </c>
      <c r="EI38" s="3">
        <v>7461072.96</v>
      </c>
      <c r="EJ38" s="3">
        <v>0</v>
      </c>
      <c r="EK38" s="3">
        <v>0</v>
      </c>
      <c r="EL38" s="3">
        <v>7461072.96</v>
      </c>
      <c r="EM38" s="3">
        <v>0</v>
      </c>
      <c r="EN38" s="3">
        <v>4343813.79</v>
      </c>
      <c r="EO38" s="3">
        <v>0</v>
      </c>
      <c r="EP38" s="3">
        <v>0</v>
      </c>
      <c r="EQ38" s="3">
        <v>4343813.79</v>
      </c>
      <c r="ER38" s="3">
        <v>0</v>
      </c>
      <c r="ES38" s="3">
        <v>53291000</v>
      </c>
      <c r="ET38" s="3">
        <v>0</v>
      </c>
      <c r="EU38" s="3">
        <v>0</v>
      </c>
      <c r="EV38" s="3">
        <v>53291000</v>
      </c>
      <c r="EW38" s="3">
        <v>0</v>
      </c>
      <c r="EX38" s="3">
        <v>53291000</v>
      </c>
      <c r="EY38" s="3">
        <v>0</v>
      </c>
      <c r="EZ38" s="3">
        <v>2000000</v>
      </c>
      <c r="FA38" s="3">
        <v>55291000</v>
      </c>
      <c r="FB38" s="3">
        <v>0</v>
      </c>
      <c r="FC38" s="3">
        <v>53291000</v>
      </c>
      <c r="FD38" s="3">
        <v>0</v>
      </c>
      <c r="FE38" s="3">
        <v>2000000</v>
      </c>
      <c r="FF38" s="3">
        <v>55291000</v>
      </c>
      <c r="FG38" s="3">
        <v>0</v>
      </c>
      <c r="FH38" s="3">
        <v>53291000</v>
      </c>
      <c r="FI38" s="3">
        <v>0</v>
      </c>
      <c r="FJ38" s="3">
        <v>2000000</v>
      </c>
      <c r="FK38" s="3">
        <v>55291000</v>
      </c>
      <c r="FL38" s="3">
        <v>0</v>
      </c>
      <c r="FM38" s="3">
        <v>53291000</v>
      </c>
      <c r="FN38" s="3">
        <v>0</v>
      </c>
      <c r="FO38" s="3">
        <v>2000000</v>
      </c>
      <c r="FP38" s="3">
        <v>55291000</v>
      </c>
      <c r="FQ38" s="3">
        <v>0</v>
      </c>
      <c r="FR38" s="3">
        <v>15989050.039999999</v>
      </c>
      <c r="FS38" s="3">
        <v>0</v>
      </c>
      <c r="FT38" s="3">
        <v>1953225</v>
      </c>
      <c r="FU38" s="3">
        <v>17942275.039999999</v>
      </c>
      <c r="FV38" s="3">
        <v>0</v>
      </c>
      <c r="FW38" s="3">
        <v>5739468.0800000001</v>
      </c>
      <c r="FX38" s="3">
        <v>0</v>
      </c>
      <c r="FY38" s="3">
        <v>0</v>
      </c>
      <c r="FZ38" s="3">
        <v>5739468.0800000001</v>
      </c>
      <c r="GA38" s="3">
        <v>0</v>
      </c>
      <c r="GB38" s="3">
        <v>55228000</v>
      </c>
      <c r="GC38" s="3">
        <v>0</v>
      </c>
      <c r="GD38" s="3">
        <v>0</v>
      </c>
      <c r="GE38" s="3">
        <v>55228000</v>
      </c>
      <c r="GF38" s="3">
        <v>0</v>
      </c>
      <c r="GG38" s="3">
        <v>55228000</v>
      </c>
      <c r="GH38" s="3">
        <v>0</v>
      </c>
      <c r="GI38" s="3">
        <v>0</v>
      </c>
      <c r="GJ38" s="3">
        <v>55228000</v>
      </c>
      <c r="GK38" s="3">
        <v>0</v>
      </c>
      <c r="GL38" s="3">
        <v>55228000</v>
      </c>
      <c r="GM38" s="3">
        <v>0</v>
      </c>
      <c r="GN38" s="3">
        <v>0</v>
      </c>
      <c r="GO38" s="3">
        <v>55228000</v>
      </c>
      <c r="GP38" s="3">
        <v>0</v>
      </c>
      <c r="GQ38" s="3">
        <v>55228000</v>
      </c>
      <c r="GR38" s="3">
        <v>0</v>
      </c>
      <c r="GS38" s="3">
        <v>0</v>
      </c>
      <c r="GT38" s="3">
        <v>55228000</v>
      </c>
      <c r="GU38" s="3">
        <v>0</v>
      </c>
      <c r="GV38" s="3">
        <v>55228000</v>
      </c>
      <c r="GW38" s="3">
        <v>0</v>
      </c>
      <c r="GX38" s="3">
        <v>0</v>
      </c>
      <c r="GY38" s="3">
        <v>55228000</v>
      </c>
      <c r="GZ38" s="3">
        <v>0</v>
      </c>
      <c r="HA38" s="3">
        <v>32066147.300000001</v>
      </c>
      <c r="HB38" s="3">
        <v>0</v>
      </c>
      <c r="HC38" s="3">
        <v>0</v>
      </c>
      <c r="HD38" s="3">
        <v>32066147.300000001</v>
      </c>
      <c r="HE38" s="3">
        <v>0</v>
      </c>
      <c r="HF38" s="3">
        <v>14697158.15</v>
      </c>
      <c r="HG38" s="3">
        <v>0</v>
      </c>
      <c r="HH38" s="3">
        <v>0</v>
      </c>
      <c r="HI38" s="3">
        <v>14697158.15</v>
      </c>
      <c r="HJ38" s="3">
        <v>0</v>
      </c>
      <c r="HK38" s="3">
        <v>51162000</v>
      </c>
      <c r="HL38" s="3">
        <v>0</v>
      </c>
      <c r="HM38" s="3">
        <v>0</v>
      </c>
      <c r="HN38" s="3">
        <v>51162000</v>
      </c>
      <c r="HO38" s="3">
        <v>0</v>
      </c>
      <c r="HP38" s="3">
        <v>51162000</v>
      </c>
      <c r="HQ38" s="3">
        <v>0</v>
      </c>
      <c r="HR38" s="3">
        <v>0</v>
      </c>
      <c r="HS38" s="3">
        <v>51162000</v>
      </c>
      <c r="HT38" s="3">
        <v>0</v>
      </c>
      <c r="HU38" s="3">
        <v>51162000</v>
      </c>
      <c r="HV38" s="3">
        <v>0</v>
      </c>
      <c r="HW38" s="3">
        <v>0</v>
      </c>
      <c r="HX38" s="3">
        <v>51162000</v>
      </c>
      <c r="HY38" s="3">
        <v>0</v>
      </c>
      <c r="HZ38" s="3">
        <v>51162000</v>
      </c>
      <c r="IA38" s="3">
        <v>0</v>
      </c>
      <c r="IB38" s="3">
        <v>0</v>
      </c>
      <c r="IC38" s="3">
        <v>51162000</v>
      </c>
      <c r="ID38" s="3">
        <v>0</v>
      </c>
      <c r="IE38" s="3">
        <v>51162000</v>
      </c>
      <c r="IF38" s="3">
        <v>0</v>
      </c>
      <c r="IG38" s="3">
        <v>0</v>
      </c>
      <c r="IH38" s="3">
        <v>51162000</v>
      </c>
      <c r="II38" s="3">
        <v>0</v>
      </c>
      <c r="IJ38" s="3">
        <v>47070651.090000004</v>
      </c>
      <c r="IK38" s="3">
        <v>0</v>
      </c>
      <c r="IL38" s="3">
        <v>0</v>
      </c>
      <c r="IM38" s="3">
        <v>47070651.090000004</v>
      </c>
      <c r="IN38" s="3">
        <v>0</v>
      </c>
      <c r="IO38" s="3">
        <v>22896137.809999999</v>
      </c>
      <c r="IP38" s="3">
        <v>0</v>
      </c>
      <c r="IQ38" s="3">
        <v>0</v>
      </c>
      <c r="IR38" s="3">
        <v>22896137.809999999</v>
      </c>
      <c r="IS38" s="3">
        <v>0</v>
      </c>
      <c r="IT38" s="3">
        <v>52083000</v>
      </c>
      <c r="IU38" s="3">
        <v>0</v>
      </c>
      <c r="IV38" s="3">
        <v>0</v>
      </c>
      <c r="IW38" s="3">
        <v>52083000</v>
      </c>
      <c r="IX38" s="3">
        <v>0</v>
      </c>
      <c r="IY38" s="3">
        <v>52083000</v>
      </c>
      <c r="IZ38" s="3">
        <v>0</v>
      </c>
      <c r="JA38" s="3">
        <v>0</v>
      </c>
      <c r="JB38" s="3">
        <v>52083000</v>
      </c>
      <c r="JC38" s="3">
        <v>0</v>
      </c>
      <c r="JD38" s="3">
        <v>52083000</v>
      </c>
      <c r="JE38" s="3">
        <v>0</v>
      </c>
      <c r="JF38" s="3">
        <v>0</v>
      </c>
      <c r="JG38" s="3">
        <v>52083000</v>
      </c>
      <c r="JH38" s="3">
        <v>0</v>
      </c>
      <c r="JI38" s="3">
        <v>52083000</v>
      </c>
      <c r="JJ38" s="3">
        <v>0</v>
      </c>
      <c r="JK38" s="3">
        <v>0</v>
      </c>
      <c r="JL38" s="3">
        <v>52083000</v>
      </c>
      <c r="JM38" s="3">
        <v>0</v>
      </c>
      <c r="JN38" s="3">
        <v>52083000</v>
      </c>
      <c r="JO38" s="3">
        <v>0</v>
      </c>
      <c r="JP38" s="3">
        <v>0</v>
      </c>
      <c r="JQ38" s="3">
        <v>52083000</v>
      </c>
      <c r="JR38" s="3">
        <v>0</v>
      </c>
      <c r="JS38" s="3">
        <v>52083000</v>
      </c>
      <c r="JT38" s="3">
        <v>0</v>
      </c>
      <c r="JU38" s="3">
        <v>0</v>
      </c>
      <c r="JV38" s="3">
        <v>52083000</v>
      </c>
      <c r="JW38" s="3">
        <v>0</v>
      </c>
      <c r="JX38" s="3">
        <v>38152949.609999999</v>
      </c>
      <c r="JY38" s="3">
        <v>0</v>
      </c>
      <c r="JZ38" s="3">
        <v>0</v>
      </c>
      <c r="KA38" s="3">
        <v>38152949.609999999</v>
      </c>
      <c r="KB38" s="3">
        <v>0</v>
      </c>
      <c r="KC38" s="3">
        <v>53021000</v>
      </c>
      <c r="KD38" s="3">
        <v>0</v>
      </c>
      <c r="KE38" s="3">
        <v>0</v>
      </c>
      <c r="KF38" s="3">
        <v>53021000</v>
      </c>
      <c r="KG38" s="3">
        <v>0</v>
      </c>
      <c r="KH38" s="3">
        <v>53021000</v>
      </c>
      <c r="KI38" s="3">
        <v>0</v>
      </c>
      <c r="KJ38" s="3">
        <v>0</v>
      </c>
      <c r="KK38" s="3">
        <v>53021000</v>
      </c>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v>0</v>
      </c>
      <c r="LL38" s="3">
        <v>53975000</v>
      </c>
      <c r="LM38" s="3">
        <v>0</v>
      </c>
      <c r="LN38" s="3">
        <v>0</v>
      </c>
      <c r="LO38" s="3">
        <v>53975000</v>
      </c>
      <c r="LP38" s="3"/>
      <c r="LQ38" s="3"/>
      <c r="LR38" s="3"/>
      <c r="LS38" s="3"/>
      <c r="LT38" s="3"/>
    </row>
    <row r="39" spans="1:332" x14ac:dyDescent="0.25">
      <c r="A39" t="s">
        <v>685</v>
      </c>
      <c r="B39" t="s">
        <v>686</v>
      </c>
      <c r="C39" t="s">
        <v>199</v>
      </c>
      <c r="D39" t="s">
        <v>200</v>
      </c>
      <c r="E39" t="s">
        <v>300</v>
      </c>
      <c r="F39" t="s">
        <v>708</v>
      </c>
      <c r="G39" t="s">
        <v>752</v>
      </c>
      <c r="H39" s="3">
        <v>0</v>
      </c>
      <c r="I39" s="3">
        <v>25128000</v>
      </c>
      <c r="J39" s="3">
        <v>0</v>
      </c>
      <c r="K39" s="3">
        <v>0</v>
      </c>
      <c r="L39" s="3">
        <v>25128000</v>
      </c>
      <c r="M39" s="3">
        <v>0</v>
      </c>
      <c r="N39" s="3">
        <v>25128000</v>
      </c>
      <c r="O39" s="3">
        <v>0</v>
      </c>
      <c r="P39" s="3">
        <v>0</v>
      </c>
      <c r="Q39" s="3">
        <v>25128000</v>
      </c>
      <c r="R39" s="3">
        <v>0</v>
      </c>
      <c r="S39" s="3">
        <v>25128000</v>
      </c>
      <c r="T39" s="3">
        <v>0</v>
      </c>
      <c r="U39" s="3">
        <v>0</v>
      </c>
      <c r="V39" s="3">
        <v>25128000</v>
      </c>
      <c r="W39" s="3">
        <v>0</v>
      </c>
      <c r="X39" s="3">
        <v>24399000</v>
      </c>
      <c r="Y39" s="3">
        <v>0</v>
      </c>
      <c r="Z39" s="3">
        <v>0</v>
      </c>
      <c r="AA39" s="3">
        <v>24399000</v>
      </c>
      <c r="AB39" s="3">
        <v>0</v>
      </c>
      <c r="AC39" s="3">
        <v>24399000</v>
      </c>
      <c r="AD39" s="3">
        <v>0</v>
      </c>
      <c r="AE39" s="3">
        <v>0</v>
      </c>
      <c r="AF39" s="3">
        <v>24399000</v>
      </c>
      <c r="AG39" s="3">
        <v>0</v>
      </c>
      <c r="AH39" s="3">
        <v>23479768.879999999</v>
      </c>
      <c r="AI39" s="3">
        <v>0</v>
      </c>
      <c r="AJ39" s="3">
        <v>0</v>
      </c>
      <c r="AK39" s="3">
        <v>23479768.879999999</v>
      </c>
      <c r="AL39" s="3">
        <v>0</v>
      </c>
      <c r="AM39" s="3">
        <v>20398985.149999999</v>
      </c>
      <c r="AN39" s="3">
        <v>0</v>
      </c>
      <c r="AO39" s="3">
        <v>0</v>
      </c>
      <c r="AP39" s="3">
        <v>20398985.149999999</v>
      </c>
      <c r="AQ39" s="3">
        <v>0</v>
      </c>
      <c r="AR39" s="3">
        <v>24399000</v>
      </c>
      <c r="AS39" s="3">
        <v>0</v>
      </c>
      <c r="AT39" s="3">
        <v>0</v>
      </c>
      <c r="AU39" s="3">
        <v>24399000</v>
      </c>
      <c r="AV39" s="3">
        <v>0</v>
      </c>
      <c r="AW39" s="3">
        <v>24399000</v>
      </c>
      <c r="AX39" s="3">
        <v>0</v>
      </c>
      <c r="AY39" s="3">
        <v>0</v>
      </c>
      <c r="AZ39" s="3">
        <v>24399000</v>
      </c>
      <c r="BA39" s="3">
        <v>0</v>
      </c>
      <c r="BB39" s="3">
        <v>24399000</v>
      </c>
      <c r="BC39" s="3">
        <v>0</v>
      </c>
      <c r="BD39" s="3">
        <v>0</v>
      </c>
      <c r="BE39" s="3">
        <v>24399000</v>
      </c>
      <c r="BF39" s="3">
        <v>0</v>
      </c>
      <c r="BG39" s="3">
        <v>23670000</v>
      </c>
      <c r="BH39" s="3">
        <v>0</v>
      </c>
      <c r="BI39" s="3">
        <v>0</v>
      </c>
      <c r="BJ39" s="3">
        <v>23670000</v>
      </c>
      <c r="BK39" s="3">
        <v>0</v>
      </c>
      <c r="BL39" s="3">
        <v>23670000</v>
      </c>
      <c r="BM39" s="3">
        <v>0</v>
      </c>
      <c r="BN39" s="3">
        <v>0</v>
      </c>
      <c r="BO39" s="3">
        <v>23670000</v>
      </c>
      <c r="BP39" s="3">
        <v>0</v>
      </c>
      <c r="BQ39" s="3">
        <v>22006175.82</v>
      </c>
      <c r="BR39" s="3">
        <v>0</v>
      </c>
      <c r="BS39" s="3">
        <v>0</v>
      </c>
      <c r="BT39" s="3">
        <v>22006175.82</v>
      </c>
      <c r="BU39" s="3">
        <v>0</v>
      </c>
      <c r="BV39" s="3">
        <v>18591494.600000001</v>
      </c>
      <c r="BW39" s="3">
        <v>0</v>
      </c>
      <c r="BX39" s="3">
        <v>0</v>
      </c>
      <c r="BY39" s="3">
        <v>18591494.600000001</v>
      </c>
      <c r="BZ39" s="3">
        <v>0</v>
      </c>
      <c r="CA39" s="3">
        <v>24341000</v>
      </c>
      <c r="CB39" s="3">
        <v>0</v>
      </c>
      <c r="CC39" s="3">
        <v>0</v>
      </c>
      <c r="CD39" s="3">
        <v>24341000</v>
      </c>
      <c r="CE39" s="3">
        <v>0</v>
      </c>
      <c r="CF39" s="3">
        <v>24341000</v>
      </c>
      <c r="CG39" s="3">
        <v>0</v>
      </c>
      <c r="CH39" s="3">
        <v>0</v>
      </c>
      <c r="CI39" s="3">
        <v>24341000</v>
      </c>
      <c r="CJ39" s="3">
        <v>0</v>
      </c>
      <c r="CK39" s="3">
        <v>24341000</v>
      </c>
      <c r="CL39" s="3">
        <v>0</v>
      </c>
      <c r="CM39" s="3">
        <v>0</v>
      </c>
      <c r="CN39" s="3">
        <v>24341000</v>
      </c>
      <c r="CO39" s="3">
        <v>0</v>
      </c>
      <c r="CP39" s="3">
        <v>24341000</v>
      </c>
      <c r="CQ39" s="3">
        <v>0</v>
      </c>
      <c r="CR39" s="3">
        <v>0</v>
      </c>
      <c r="CS39" s="3">
        <v>24341000</v>
      </c>
      <c r="CT39" s="3">
        <v>0</v>
      </c>
      <c r="CU39" s="3">
        <v>22933105</v>
      </c>
      <c r="CV39" s="3">
        <v>0</v>
      </c>
      <c r="CW39" s="3">
        <v>0</v>
      </c>
      <c r="CX39" s="3">
        <v>22933105</v>
      </c>
      <c r="CY39" s="3">
        <v>0</v>
      </c>
      <c r="CZ39" s="3">
        <v>18017148.109999999</v>
      </c>
      <c r="DA39" s="3">
        <v>0</v>
      </c>
      <c r="DB39" s="3">
        <v>0</v>
      </c>
      <c r="DC39" s="3">
        <v>18017148.109999999</v>
      </c>
      <c r="DD39" s="3">
        <v>0</v>
      </c>
      <c r="DE39" s="3">
        <v>16438510.470000001</v>
      </c>
      <c r="DF39" s="3">
        <v>0</v>
      </c>
      <c r="DG39" s="3">
        <v>0</v>
      </c>
      <c r="DH39" s="3">
        <v>16438510.470000001</v>
      </c>
      <c r="DI39" s="3">
        <v>0</v>
      </c>
      <c r="DJ39" s="3">
        <v>24780000</v>
      </c>
      <c r="DK39" s="3">
        <v>0</v>
      </c>
      <c r="DL39" s="3">
        <v>0</v>
      </c>
      <c r="DM39" s="3">
        <v>24780000</v>
      </c>
      <c r="DN39" s="3">
        <v>0</v>
      </c>
      <c r="DO39" s="3">
        <v>24780000</v>
      </c>
      <c r="DP39" s="3">
        <v>0</v>
      </c>
      <c r="DQ39" s="3">
        <v>0</v>
      </c>
      <c r="DR39" s="3">
        <v>24780000</v>
      </c>
      <c r="DS39" s="3">
        <v>0</v>
      </c>
      <c r="DT39" s="3">
        <v>24780000</v>
      </c>
      <c r="DU39" s="3">
        <v>0</v>
      </c>
      <c r="DV39" s="3">
        <v>0</v>
      </c>
      <c r="DW39" s="3">
        <v>24780000</v>
      </c>
      <c r="DX39" s="3">
        <v>0</v>
      </c>
      <c r="DY39" s="3">
        <v>24780000</v>
      </c>
      <c r="DZ39" s="3">
        <v>0</v>
      </c>
      <c r="EA39" s="3">
        <v>0</v>
      </c>
      <c r="EB39" s="3">
        <v>24780000</v>
      </c>
      <c r="EC39" s="3">
        <v>0</v>
      </c>
      <c r="ED39" s="3">
        <v>24780000</v>
      </c>
      <c r="EE39" s="3">
        <v>0</v>
      </c>
      <c r="EF39" s="3">
        <v>0</v>
      </c>
      <c r="EG39" s="3">
        <v>24780000</v>
      </c>
      <c r="EH39" s="3">
        <v>0</v>
      </c>
      <c r="EI39" s="3">
        <v>18768987.289999999</v>
      </c>
      <c r="EJ39" s="3">
        <v>0</v>
      </c>
      <c r="EK39" s="3">
        <v>0</v>
      </c>
      <c r="EL39" s="3">
        <v>18768987.289999999</v>
      </c>
      <c r="EM39" s="3">
        <v>0</v>
      </c>
      <c r="EN39" s="3">
        <v>15315318.279999999</v>
      </c>
      <c r="EO39" s="3">
        <v>0</v>
      </c>
      <c r="EP39" s="3">
        <v>0</v>
      </c>
      <c r="EQ39" s="3">
        <v>15315318.279999999</v>
      </c>
      <c r="ER39" s="3">
        <v>0</v>
      </c>
      <c r="ES39" s="3">
        <v>24780000</v>
      </c>
      <c r="ET39" s="3">
        <v>0</v>
      </c>
      <c r="EU39" s="3">
        <v>0</v>
      </c>
      <c r="EV39" s="3">
        <v>24780000</v>
      </c>
      <c r="EW39" s="3">
        <v>0</v>
      </c>
      <c r="EX39" s="3">
        <v>24780000</v>
      </c>
      <c r="EY39" s="3">
        <v>0</v>
      </c>
      <c r="EZ39" s="3">
        <v>0</v>
      </c>
      <c r="FA39" s="3">
        <v>24780000</v>
      </c>
      <c r="FB39" s="3">
        <v>0</v>
      </c>
      <c r="FC39" s="3">
        <v>24780000</v>
      </c>
      <c r="FD39" s="3">
        <v>0</v>
      </c>
      <c r="FE39" s="3">
        <v>0</v>
      </c>
      <c r="FF39" s="3">
        <v>24780000</v>
      </c>
      <c r="FG39" s="3">
        <v>0</v>
      </c>
      <c r="FH39" s="3">
        <v>24780000</v>
      </c>
      <c r="FI39" s="3">
        <v>0</v>
      </c>
      <c r="FJ39" s="3">
        <v>0</v>
      </c>
      <c r="FK39" s="3">
        <v>24780000</v>
      </c>
      <c r="FL39" s="3">
        <v>0</v>
      </c>
      <c r="FM39" s="3">
        <v>24780000</v>
      </c>
      <c r="FN39" s="3">
        <v>0</v>
      </c>
      <c r="FO39" s="3">
        <v>0</v>
      </c>
      <c r="FP39" s="3">
        <v>24780000</v>
      </c>
      <c r="FQ39" s="3">
        <v>0</v>
      </c>
      <c r="FR39" s="3">
        <v>22300594.350000001</v>
      </c>
      <c r="FS39" s="3">
        <v>0</v>
      </c>
      <c r="FT39" s="3">
        <v>0</v>
      </c>
      <c r="FU39" s="3">
        <v>22300594.350000001</v>
      </c>
      <c r="FV39" s="3">
        <v>0</v>
      </c>
      <c r="FW39" s="3">
        <v>18575304.27</v>
      </c>
      <c r="FX39" s="3">
        <v>0</v>
      </c>
      <c r="FY39" s="3">
        <v>0</v>
      </c>
      <c r="FZ39" s="3">
        <v>18575304.27</v>
      </c>
      <c r="GA39" s="3">
        <v>0</v>
      </c>
      <c r="GB39" s="3">
        <v>25680000</v>
      </c>
      <c r="GC39" s="3">
        <v>0</v>
      </c>
      <c r="GD39" s="3">
        <v>0</v>
      </c>
      <c r="GE39" s="3">
        <v>25680000</v>
      </c>
      <c r="GF39" s="3">
        <v>0</v>
      </c>
      <c r="GG39" s="3">
        <v>25680000</v>
      </c>
      <c r="GH39" s="3">
        <v>0</v>
      </c>
      <c r="GI39" s="3">
        <v>0</v>
      </c>
      <c r="GJ39" s="3">
        <v>25680000</v>
      </c>
      <c r="GK39" s="3">
        <v>0</v>
      </c>
      <c r="GL39" s="3">
        <v>25680000</v>
      </c>
      <c r="GM39" s="3">
        <v>0</v>
      </c>
      <c r="GN39" s="3">
        <v>0</v>
      </c>
      <c r="GO39" s="3">
        <v>25680000</v>
      </c>
      <c r="GP39" s="3">
        <v>0</v>
      </c>
      <c r="GQ39" s="3">
        <v>24892000</v>
      </c>
      <c r="GR39" s="3">
        <v>0</v>
      </c>
      <c r="GS39" s="3">
        <v>0</v>
      </c>
      <c r="GT39" s="3">
        <v>24892000</v>
      </c>
      <c r="GU39" s="3">
        <v>0</v>
      </c>
      <c r="GV39" s="3">
        <v>5695268.1299999999</v>
      </c>
      <c r="GW39" s="3">
        <v>0</v>
      </c>
      <c r="GX39" s="3">
        <v>0</v>
      </c>
      <c r="GY39" s="3">
        <v>5695268.1299999999</v>
      </c>
      <c r="GZ39" s="3">
        <v>0</v>
      </c>
      <c r="HA39" s="3">
        <v>22271337.91</v>
      </c>
      <c r="HB39" s="3">
        <v>0</v>
      </c>
      <c r="HC39" s="3">
        <v>0</v>
      </c>
      <c r="HD39" s="3">
        <v>22271337.91</v>
      </c>
      <c r="HE39" s="3">
        <v>0</v>
      </c>
      <c r="HF39" s="3">
        <v>18287540.969999999</v>
      </c>
      <c r="HG39" s="3">
        <v>0</v>
      </c>
      <c r="HH39" s="3">
        <v>0</v>
      </c>
      <c r="HI39" s="3">
        <v>18287540.969999999</v>
      </c>
      <c r="HJ39" s="3">
        <v>0</v>
      </c>
      <c r="HK39" s="3">
        <v>23790000</v>
      </c>
      <c r="HL39" s="3">
        <v>0</v>
      </c>
      <c r="HM39" s="3">
        <v>0</v>
      </c>
      <c r="HN39" s="3">
        <v>23790000</v>
      </c>
      <c r="HO39" s="3">
        <v>0</v>
      </c>
      <c r="HP39" s="3">
        <v>23790000</v>
      </c>
      <c r="HQ39" s="3">
        <v>0</v>
      </c>
      <c r="HR39" s="3">
        <v>0</v>
      </c>
      <c r="HS39" s="3">
        <v>23790000</v>
      </c>
      <c r="HT39" s="3">
        <v>0</v>
      </c>
      <c r="HU39" s="3">
        <v>23790000</v>
      </c>
      <c r="HV39" s="3">
        <v>0</v>
      </c>
      <c r="HW39" s="3">
        <v>0</v>
      </c>
      <c r="HX39" s="3">
        <v>23790000</v>
      </c>
      <c r="HY39" s="3">
        <v>0</v>
      </c>
      <c r="HZ39" s="3">
        <v>23790000</v>
      </c>
      <c r="IA39" s="3">
        <v>0</v>
      </c>
      <c r="IB39" s="3">
        <v>0</v>
      </c>
      <c r="IC39" s="3">
        <v>23790000</v>
      </c>
      <c r="ID39" s="3">
        <v>0</v>
      </c>
      <c r="IE39" s="3">
        <v>23790000</v>
      </c>
      <c r="IF39" s="3">
        <v>0</v>
      </c>
      <c r="IG39" s="3">
        <v>0</v>
      </c>
      <c r="IH39" s="3">
        <v>23790000</v>
      </c>
      <c r="II39" s="3">
        <v>0</v>
      </c>
      <c r="IJ39" s="3">
        <v>21189962.210000001</v>
      </c>
      <c r="IK39" s="3">
        <v>0</v>
      </c>
      <c r="IL39" s="3">
        <v>0</v>
      </c>
      <c r="IM39" s="3">
        <v>21189962.210000001</v>
      </c>
      <c r="IN39" s="3">
        <v>0</v>
      </c>
      <c r="IO39" s="3">
        <v>17647921.149999999</v>
      </c>
      <c r="IP39" s="3">
        <v>0</v>
      </c>
      <c r="IQ39" s="3">
        <v>0</v>
      </c>
      <c r="IR39" s="3">
        <v>17647921.149999999</v>
      </c>
      <c r="IS39" s="3">
        <v>0</v>
      </c>
      <c r="IT39" s="3">
        <v>24218000</v>
      </c>
      <c r="IU39" s="3">
        <v>0</v>
      </c>
      <c r="IV39" s="3">
        <v>0</v>
      </c>
      <c r="IW39" s="3">
        <v>24218000</v>
      </c>
      <c r="IX39" s="3">
        <v>0</v>
      </c>
      <c r="IY39" s="3">
        <v>24218000</v>
      </c>
      <c r="IZ39" s="3">
        <v>0</v>
      </c>
      <c r="JA39" s="3">
        <v>0</v>
      </c>
      <c r="JB39" s="3">
        <v>24218000</v>
      </c>
      <c r="JC39" s="3">
        <v>0</v>
      </c>
      <c r="JD39" s="3">
        <v>24218000</v>
      </c>
      <c r="JE39" s="3">
        <v>0</v>
      </c>
      <c r="JF39" s="3">
        <v>0</v>
      </c>
      <c r="JG39" s="3">
        <v>24218000</v>
      </c>
      <c r="JH39" s="3">
        <v>0</v>
      </c>
      <c r="JI39" s="3">
        <v>24218000</v>
      </c>
      <c r="JJ39" s="3">
        <v>0</v>
      </c>
      <c r="JK39" s="3">
        <v>0</v>
      </c>
      <c r="JL39" s="3">
        <v>24218000</v>
      </c>
      <c r="JM39" s="3">
        <v>0</v>
      </c>
      <c r="JN39" s="3">
        <v>24218000</v>
      </c>
      <c r="JO39" s="3">
        <v>0</v>
      </c>
      <c r="JP39" s="3">
        <v>0</v>
      </c>
      <c r="JQ39" s="3">
        <v>24218000</v>
      </c>
      <c r="JR39" s="3">
        <v>0</v>
      </c>
      <c r="JS39" s="3">
        <v>23048001.829999998</v>
      </c>
      <c r="JT39" s="3">
        <v>0</v>
      </c>
      <c r="JU39" s="3">
        <v>0</v>
      </c>
      <c r="JV39" s="3">
        <v>23048001.829999998</v>
      </c>
      <c r="JW39" s="3">
        <v>0</v>
      </c>
      <c r="JX39" s="3">
        <v>20490094.82</v>
      </c>
      <c r="JY39" s="3">
        <v>0</v>
      </c>
      <c r="JZ39" s="3">
        <v>0</v>
      </c>
      <c r="KA39" s="3">
        <v>20490094.82</v>
      </c>
      <c r="KB39" s="3">
        <v>0</v>
      </c>
      <c r="KC39" s="3">
        <v>24654000</v>
      </c>
      <c r="KD39" s="3">
        <v>0</v>
      </c>
      <c r="KE39" s="3">
        <v>0</v>
      </c>
      <c r="KF39" s="3">
        <v>24654000</v>
      </c>
      <c r="KG39" s="3">
        <v>0</v>
      </c>
      <c r="KH39" s="3">
        <v>24654000</v>
      </c>
      <c r="KI39" s="3">
        <v>0</v>
      </c>
      <c r="KJ39" s="3">
        <v>0</v>
      </c>
      <c r="KK39" s="3">
        <v>24654000</v>
      </c>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v>0</v>
      </c>
      <c r="LL39" s="3">
        <v>25098000</v>
      </c>
      <c r="LM39" s="3">
        <v>0</v>
      </c>
      <c r="LN39" s="3">
        <v>0</v>
      </c>
      <c r="LO39" s="3">
        <v>25098000</v>
      </c>
      <c r="LP39" s="3"/>
      <c r="LQ39" s="3"/>
      <c r="LR39" s="3"/>
      <c r="LS39" s="3"/>
      <c r="LT39" s="3"/>
    </row>
    <row r="40" spans="1:332" x14ac:dyDescent="0.25">
      <c r="A40" t="s">
        <v>685</v>
      </c>
      <c r="B40" t="s">
        <v>686</v>
      </c>
      <c r="C40" t="s">
        <v>199</v>
      </c>
      <c r="D40" t="s">
        <v>200</v>
      </c>
      <c r="E40" t="s">
        <v>313</v>
      </c>
      <c r="F40" t="s">
        <v>621</v>
      </c>
      <c r="G40" t="s">
        <v>753</v>
      </c>
      <c r="H40" s="3">
        <v>1582000</v>
      </c>
      <c r="I40" s="3">
        <v>2146516000</v>
      </c>
      <c r="J40" s="3">
        <v>0</v>
      </c>
      <c r="K40" s="3">
        <v>0</v>
      </c>
      <c r="L40" s="3">
        <v>2148098000</v>
      </c>
      <c r="M40" s="3">
        <v>1582000</v>
      </c>
      <c r="N40" s="3">
        <v>2146516000</v>
      </c>
      <c r="O40" s="3">
        <v>0</v>
      </c>
      <c r="P40" s="3">
        <v>0</v>
      </c>
      <c r="Q40" s="3">
        <v>2148098000</v>
      </c>
      <c r="R40" s="3">
        <v>1582000</v>
      </c>
      <c r="S40" s="3">
        <v>2146516000</v>
      </c>
      <c r="T40" s="3">
        <v>0</v>
      </c>
      <c r="U40" s="3">
        <v>0</v>
      </c>
      <c r="V40" s="3">
        <v>2148098000</v>
      </c>
      <c r="W40" s="3">
        <v>1582000</v>
      </c>
      <c r="X40" s="3">
        <v>2114112800</v>
      </c>
      <c r="Y40" s="3">
        <v>0</v>
      </c>
      <c r="Z40" s="3">
        <v>0</v>
      </c>
      <c r="AA40" s="3">
        <v>2115694800</v>
      </c>
      <c r="AB40" s="3">
        <v>1582000</v>
      </c>
      <c r="AC40" s="3">
        <v>2114112800</v>
      </c>
      <c r="AD40" s="3">
        <v>0</v>
      </c>
      <c r="AE40" s="3">
        <v>0</v>
      </c>
      <c r="AF40" s="3">
        <v>2115694800</v>
      </c>
      <c r="AG40" s="3">
        <v>968888.64</v>
      </c>
      <c r="AH40" s="3">
        <v>1808931602.96</v>
      </c>
      <c r="AI40" s="3">
        <v>0</v>
      </c>
      <c r="AJ40" s="3">
        <v>0</v>
      </c>
      <c r="AK40" s="3">
        <v>1809900491.5999999</v>
      </c>
      <c r="AL40" s="3">
        <v>807561.13</v>
      </c>
      <c r="AM40" s="3">
        <v>1495127805.5</v>
      </c>
      <c r="AN40" s="3">
        <v>0</v>
      </c>
      <c r="AO40" s="3">
        <v>0</v>
      </c>
      <c r="AP40" s="3">
        <v>1495935366.6300001</v>
      </c>
      <c r="AQ40" s="3">
        <v>0</v>
      </c>
      <c r="AR40" s="3">
        <v>1897150000</v>
      </c>
      <c r="AS40" s="3">
        <v>0</v>
      </c>
      <c r="AT40" s="3">
        <v>0</v>
      </c>
      <c r="AU40" s="3">
        <v>1897150000</v>
      </c>
      <c r="AV40" s="3">
        <v>0</v>
      </c>
      <c r="AW40" s="3">
        <v>1897150000</v>
      </c>
      <c r="AX40" s="3">
        <v>0</v>
      </c>
      <c r="AY40" s="3">
        <v>0</v>
      </c>
      <c r="AZ40" s="3">
        <v>1897150000</v>
      </c>
      <c r="BA40" s="3">
        <v>0</v>
      </c>
      <c r="BB40" s="3">
        <v>1897150000</v>
      </c>
      <c r="BC40" s="3">
        <v>0</v>
      </c>
      <c r="BD40" s="3">
        <v>0</v>
      </c>
      <c r="BE40" s="3">
        <v>0</v>
      </c>
      <c r="BF40" s="3">
        <v>0</v>
      </c>
      <c r="BG40" s="3">
        <v>1897150000</v>
      </c>
      <c r="BH40" s="3">
        <v>0</v>
      </c>
      <c r="BI40" s="3">
        <v>0</v>
      </c>
      <c r="BJ40" s="3">
        <v>1897150000</v>
      </c>
      <c r="BK40" s="3">
        <v>0</v>
      </c>
      <c r="BL40" s="3">
        <v>1897150000</v>
      </c>
      <c r="BM40" s="3">
        <v>0</v>
      </c>
      <c r="BN40" s="3">
        <v>0</v>
      </c>
      <c r="BO40" s="3">
        <v>1897150000</v>
      </c>
      <c r="BP40" s="3">
        <v>0</v>
      </c>
      <c r="BQ40" s="3">
        <v>1790048049.8499999</v>
      </c>
      <c r="BR40" s="3">
        <v>0</v>
      </c>
      <c r="BS40" s="3">
        <v>0</v>
      </c>
      <c r="BT40" s="3">
        <v>1790048049.8499999</v>
      </c>
      <c r="BU40" s="3">
        <v>0</v>
      </c>
      <c r="BV40" s="3">
        <v>1654474645.77</v>
      </c>
      <c r="BW40" s="3">
        <v>0</v>
      </c>
      <c r="BX40" s="3">
        <v>0</v>
      </c>
      <c r="BY40" s="3">
        <v>1654474645.77</v>
      </c>
      <c r="BZ40" s="3">
        <v>0</v>
      </c>
      <c r="CA40" s="3">
        <v>1892672000</v>
      </c>
      <c r="CB40" s="3">
        <v>0</v>
      </c>
      <c r="CC40" s="3">
        <v>0</v>
      </c>
      <c r="CD40" s="3">
        <v>1892672000</v>
      </c>
      <c r="CE40" s="3">
        <v>0</v>
      </c>
      <c r="CF40" s="3">
        <v>1902672000</v>
      </c>
      <c r="CG40" s="3">
        <v>0</v>
      </c>
      <c r="CH40" s="3">
        <v>0</v>
      </c>
      <c r="CI40" s="3">
        <v>1902672000</v>
      </c>
      <c r="CJ40" s="3">
        <v>0</v>
      </c>
      <c r="CK40" s="3">
        <v>1902672000</v>
      </c>
      <c r="CL40" s="3">
        <v>0</v>
      </c>
      <c r="CM40" s="3">
        <v>0</v>
      </c>
      <c r="CN40" s="3">
        <v>1902672000</v>
      </c>
      <c r="CO40" s="3">
        <v>0</v>
      </c>
      <c r="CP40" s="3">
        <v>1828172015</v>
      </c>
      <c r="CQ40" s="3">
        <v>0</v>
      </c>
      <c r="CR40" s="3">
        <v>0</v>
      </c>
      <c r="CS40" s="3">
        <v>1828172015</v>
      </c>
      <c r="CT40" s="3">
        <v>0</v>
      </c>
      <c r="CU40" s="3">
        <v>1828172015</v>
      </c>
      <c r="CV40" s="3">
        <v>0</v>
      </c>
      <c r="CW40" s="3">
        <v>0</v>
      </c>
      <c r="CX40" s="3">
        <v>1828172015</v>
      </c>
      <c r="CY40" s="3">
        <v>0</v>
      </c>
      <c r="CZ40" s="3">
        <v>1740164789.8499999</v>
      </c>
      <c r="DA40" s="3">
        <v>0</v>
      </c>
      <c r="DB40" s="3">
        <v>0</v>
      </c>
      <c r="DC40" s="3">
        <v>1740164789.8499999</v>
      </c>
      <c r="DD40" s="3">
        <v>0</v>
      </c>
      <c r="DE40" s="3">
        <v>1572650122.8499999</v>
      </c>
      <c r="DF40" s="3">
        <v>0</v>
      </c>
      <c r="DG40" s="3">
        <v>0</v>
      </c>
      <c r="DH40" s="3">
        <v>1572650122.8499999</v>
      </c>
      <c r="DI40" s="3">
        <v>0</v>
      </c>
      <c r="DJ40" s="3">
        <v>2016741000</v>
      </c>
      <c r="DK40" s="3">
        <v>0</v>
      </c>
      <c r="DL40" s="3">
        <v>0</v>
      </c>
      <c r="DM40" s="3">
        <v>2016741000</v>
      </c>
      <c r="DN40" s="3">
        <v>0</v>
      </c>
      <c r="DO40" s="3">
        <v>2056741000</v>
      </c>
      <c r="DP40" s="3">
        <v>0</v>
      </c>
      <c r="DQ40" s="3">
        <v>0</v>
      </c>
      <c r="DR40" s="3">
        <v>2056741000</v>
      </c>
      <c r="DS40" s="3">
        <v>0</v>
      </c>
      <c r="DT40" s="3">
        <v>2056741000</v>
      </c>
      <c r="DU40" s="3">
        <v>0</v>
      </c>
      <c r="DV40" s="3">
        <v>0</v>
      </c>
      <c r="DW40" s="3">
        <v>2056741000</v>
      </c>
      <c r="DX40" s="3">
        <v>0</v>
      </c>
      <c r="DY40" s="3">
        <v>2056741000</v>
      </c>
      <c r="DZ40" s="3">
        <v>0</v>
      </c>
      <c r="EA40" s="3">
        <v>0</v>
      </c>
      <c r="EB40" s="3">
        <v>2056741000</v>
      </c>
      <c r="EC40" s="3">
        <v>0</v>
      </c>
      <c r="ED40" s="3">
        <v>2056741000</v>
      </c>
      <c r="EE40" s="3">
        <v>0</v>
      </c>
      <c r="EF40" s="3">
        <v>0</v>
      </c>
      <c r="EG40" s="3">
        <v>2056741000</v>
      </c>
      <c r="EH40" s="3">
        <v>0</v>
      </c>
      <c r="EI40" s="3">
        <v>1950118068.47</v>
      </c>
      <c r="EJ40" s="3">
        <v>0</v>
      </c>
      <c r="EK40" s="3">
        <v>0</v>
      </c>
      <c r="EL40" s="3">
        <v>1950118068.47</v>
      </c>
      <c r="EM40" s="3">
        <v>0</v>
      </c>
      <c r="EN40" s="3">
        <v>1898434996.6099999</v>
      </c>
      <c r="EO40" s="3">
        <v>0</v>
      </c>
      <c r="EP40" s="3">
        <v>0</v>
      </c>
      <c r="EQ40" s="3">
        <v>1898434996.6099999</v>
      </c>
      <c r="ER40" s="3">
        <v>0</v>
      </c>
      <c r="ES40" s="3">
        <v>2016741000</v>
      </c>
      <c r="ET40" s="3">
        <v>0</v>
      </c>
      <c r="EU40" s="3">
        <v>0</v>
      </c>
      <c r="EV40" s="3">
        <v>2016741000</v>
      </c>
      <c r="EW40" s="3">
        <v>0</v>
      </c>
      <c r="EX40" s="3">
        <v>2116741000</v>
      </c>
      <c r="EY40" s="3">
        <v>0</v>
      </c>
      <c r="EZ40" s="3">
        <v>0</v>
      </c>
      <c r="FA40" s="3">
        <v>2116741000</v>
      </c>
      <c r="FB40" s="3">
        <v>0</v>
      </c>
      <c r="FC40" s="3">
        <v>2116741000</v>
      </c>
      <c r="FD40" s="3">
        <v>0</v>
      </c>
      <c r="FE40" s="3">
        <v>0</v>
      </c>
      <c r="FF40" s="3">
        <v>2116741000</v>
      </c>
      <c r="FG40" s="3">
        <v>0</v>
      </c>
      <c r="FH40" s="3">
        <v>2116741000</v>
      </c>
      <c r="FI40" s="3">
        <v>0</v>
      </c>
      <c r="FJ40" s="3">
        <v>0</v>
      </c>
      <c r="FK40" s="3">
        <v>2116741000</v>
      </c>
      <c r="FL40" s="3">
        <v>0</v>
      </c>
      <c r="FM40" s="3">
        <v>2116741000</v>
      </c>
      <c r="FN40" s="3">
        <v>0</v>
      </c>
      <c r="FO40" s="3">
        <v>0</v>
      </c>
      <c r="FP40" s="3">
        <v>2116741000</v>
      </c>
      <c r="FQ40" s="3">
        <v>0</v>
      </c>
      <c r="FR40" s="3">
        <v>1924097947.02</v>
      </c>
      <c r="FS40" s="3">
        <v>0</v>
      </c>
      <c r="FT40" s="3">
        <v>0</v>
      </c>
      <c r="FU40" s="3">
        <v>1924097947.02</v>
      </c>
      <c r="FV40" s="3">
        <v>0</v>
      </c>
      <c r="FW40" s="3">
        <v>1865669882.47</v>
      </c>
      <c r="FX40" s="3">
        <v>0</v>
      </c>
      <c r="FY40" s="3">
        <v>0</v>
      </c>
      <c r="FZ40" s="3">
        <v>1865669882.47</v>
      </c>
      <c r="GA40" s="3">
        <v>0</v>
      </c>
      <c r="GB40" s="3">
        <v>2016741000</v>
      </c>
      <c r="GC40" s="3">
        <v>0</v>
      </c>
      <c r="GD40" s="3">
        <v>0</v>
      </c>
      <c r="GE40" s="3">
        <v>2016741000</v>
      </c>
      <c r="GF40" s="3">
        <v>0</v>
      </c>
      <c r="GG40" s="3">
        <v>2316741000</v>
      </c>
      <c r="GH40" s="3">
        <v>0</v>
      </c>
      <c r="GI40" s="3">
        <v>0</v>
      </c>
      <c r="GJ40" s="3">
        <v>2316741000</v>
      </c>
      <c r="GK40" s="3">
        <v>0</v>
      </c>
      <c r="GL40" s="3">
        <v>2316741000</v>
      </c>
      <c r="GM40" s="3">
        <v>0</v>
      </c>
      <c r="GN40" s="3">
        <v>0</v>
      </c>
      <c r="GO40" s="3">
        <v>2316741000</v>
      </c>
      <c r="GP40" s="3">
        <v>0</v>
      </c>
      <c r="GQ40" s="3">
        <v>2316741000</v>
      </c>
      <c r="GR40" s="3">
        <v>0</v>
      </c>
      <c r="GS40" s="3">
        <v>0</v>
      </c>
      <c r="GT40" s="3">
        <v>2316741000</v>
      </c>
      <c r="GU40" s="3">
        <v>0</v>
      </c>
      <c r="GV40" s="3">
        <v>2316741000</v>
      </c>
      <c r="GW40" s="3">
        <v>0</v>
      </c>
      <c r="GX40" s="3">
        <v>0</v>
      </c>
      <c r="GY40" s="3">
        <v>2316741000</v>
      </c>
      <c r="GZ40" s="3">
        <v>0</v>
      </c>
      <c r="HA40" s="3">
        <v>2063020840.3499999</v>
      </c>
      <c r="HB40" s="3">
        <v>0</v>
      </c>
      <c r="HC40" s="3">
        <v>0</v>
      </c>
      <c r="HD40" s="3">
        <v>2063020840.3499999</v>
      </c>
      <c r="HE40" s="3">
        <v>0</v>
      </c>
      <c r="HF40" s="3">
        <v>1911846362.1300001</v>
      </c>
      <c r="HG40" s="3">
        <v>0</v>
      </c>
      <c r="HH40" s="3">
        <v>0</v>
      </c>
      <c r="HI40" s="3">
        <v>1911846362.1300001</v>
      </c>
      <c r="HJ40" s="3">
        <v>0</v>
      </c>
      <c r="HK40" s="3">
        <v>1868268000</v>
      </c>
      <c r="HL40" s="3">
        <v>0</v>
      </c>
      <c r="HM40" s="3">
        <v>0</v>
      </c>
      <c r="HN40" s="3">
        <v>1868268000</v>
      </c>
      <c r="HO40" s="3">
        <v>0</v>
      </c>
      <c r="HP40" s="3">
        <v>1948268000</v>
      </c>
      <c r="HQ40" s="3">
        <v>0</v>
      </c>
      <c r="HR40" s="3">
        <v>0</v>
      </c>
      <c r="HS40" s="3">
        <v>1948268000</v>
      </c>
      <c r="HT40" s="3">
        <v>0</v>
      </c>
      <c r="HU40" s="3">
        <v>1948268000</v>
      </c>
      <c r="HV40" s="3">
        <v>0</v>
      </c>
      <c r="HW40" s="3">
        <v>0</v>
      </c>
      <c r="HX40" s="3">
        <v>1948268000</v>
      </c>
      <c r="HY40" s="3">
        <v>0</v>
      </c>
      <c r="HZ40" s="3">
        <v>1948268000</v>
      </c>
      <c r="IA40" s="3">
        <v>0</v>
      </c>
      <c r="IB40" s="3">
        <v>0</v>
      </c>
      <c r="IC40" s="3">
        <v>1948268000</v>
      </c>
      <c r="ID40" s="3">
        <v>0</v>
      </c>
      <c r="IE40" s="3">
        <v>1948268000</v>
      </c>
      <c r="IF40" s="3">
        <v>0</v>
      </c>
      <c r="IG40" s="3">
        <v>0</v>
      </c>
      <c r="IH40" s="3">
        <v>1948268000</v>
      </c>
      <c r="II40" s="3">
        <v>0</v>
      </c>
      <c r="IJ40" s="3">
        <v>1928012132.6300001</v>
      </c>
      <c r="IK40" s="3">
        <v>0</v>
      </c>
      <c r="IL40" s="3">
        <v>0</v>
      </c>
      <c r="IM40" s="3">
        <v>1928012132.6300001</v>
      </c>
      <c r="IN40" s="3">
        <v>0</v>
      </c>
      <c r="IO40" s="3">
        <v>1801499526.52</v>
      </c>
      <c r="IP40" s="3">
        <v>0</v>
      </c>
      <c r="IQ40" s="3">
        <v>0</v>
      </c>
      <c r="IR40" s="3">
        <v>1801499526.52</v>
      </c>
      <c r="IS40" s="3">
        <v>0</v>
      </c>
      <c r="IT40" s="3">
        <v>1901897000</v>
      </c>
      <c r="IU40" s="3">
        <v>0</v>
      </c>
      <c r="IV40" s="3">
        <v>0</v>
      </c>
      <c r="IW40" s="3">
        <v>1901897000</v>
      </c>
      <c r="IX40" s="3">
        <v>0</v>
      </c>
      <c r="IY40" s="3">
        <v>2077390000</v>
      </c>
      <c r="IZ40" s="3">
        <v>0</v>
      </c>
      <c r="JA40" s="3">
        <v>0</v>
      </c>
      <c r="JB40" s="3">
        <v>2077390000</v>
      </c>
      <c r="JC40" s="3">
        <v>0</v>
      </c>
      <c r="JD40" s="3">
        <v>2077390000</v>
      </c>
      <c r="JE40" s="3">
        <v>0</v>
      </c>
      <c r="JF40" s="3">
        <v>0</v>
      </c>
      <c r="JG40" s="3">
        <v>2077390000</v>
      </c>
      <c r="JH40" s="3">
        <v>0</v>
      </c>
      <c r="JI40" s="3">
        <v>2077390000</v>
      </c>
      <c r="JJ40" s="3">
        <v>0</v>
      </c>
      <c r="JK40" s="3">
        <v>0</v>
      </c>
      <c r="JL40" s="3">
        <v>2077390000</v>
      </c>
      <c r="JM40" s="3">
        <v>0</v>
      </c>
      <c r="JN40" s="3">
        <v>2077390000</v>
      </c>
      <c r="JO40" s="3">
        <v>0</v>
      </c>
      <c r="JP40" s="3">
        <v>0</v>
      </c>
      <c r="JQ40" s="3">
        <v>2077390000</v>
      </c>
      <c r="JR40" s="3">
        <v>0</v>
      </c>
      <c r="JS40" s="3">
        <v>2006933408.9400001</v>
      </c>
      <c r="JT40" s="3">
        <v>0</v>
      </c>
      <c r="JU40" s="3">
        <v>0</v>
      </c>
      <c r="JV40" s="3">
        <v>2006933408.9400001</v>
      </c>
      <c r="JW40" s="3">
        <v>0</v>
      </c>
      <c r="JX40" s="3">
        <v>1910075269.9000001</v>
      </c>
      <c r="JY40" s="3">
        <v>0</v>
      </c>
      <c r="JZ40" s="3">
        <v>0</v>
      </c>
      <c r="KA40" s="3">
        <v>1910075269.9000001</v>
      </c>
      <c r="KB40" s="3">
        <v>0</v>
      </c>
      <c r="KC40" s="3">
        <v>1936131000</v>
      </c>
      <c r="KD40" s="3">
        <v>0</v>
      </c>
      <c r="KE40" s="3">
        <v>0</v>
      </c>
      <c r="KF40" s="3">
        <v>1936131000</v>
      </c>
      <c r="KG40" s="3">
        <v>0</v>
      </c>
      <c r="KH40" s="3">
        <v>2186131000</v>
      </c>
      <c r="KI40" s="3">
        <v>0</v>
      </c>
      <c r="KJ40" s="3">
        <v>0</v>
      </c>
      <c r="KK40" s="3">
        <v>2186131000</v>
      </c>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v>2759000</v>
      </c>
      <c r="LL40" s="3">
        <v>1970981000</v>
      </c>
      <c r="LM40" s="3">
        <v>0</v>
      </c>
      <c r="LN40" s="3">
        <v>0</v>
      </c>
      <c r="LO40" s="3">
        <v>1973740000</v>
      </c>
      <c r="LP40" s="3"/>
      <c r="LQ40" s="3"/>
      <c r="LR40" s="3"/>
      <c r="LS40" s="3"/>
      <c r="LT40" s="3"/>
    </row>
    <row r="41" spans="1:332" x14ac:dyDescent="0.25">
      <c r="A41" t="s">
        <v>685</v>
      </c>
      <c r="B41" t="s">
        <v>686</v>
      </c>
      <c r="C41" t="s">
        <v>199</v>
      </c>
      <c r="D41" t="s">
        <v>200</v>
      </c>
      <c r="E41" t="s">
        <v>313</v>
      </c>
      <c r="F41" t="s">
        <v>709</v>
      </c>
      <c r="G41" t="s">
        <v>754</v>
      </c>
      <c r="H41" s="3">
        <v>0</v>
      </c>
      <c r="I41" s="3">
        <v>45820000</v>
      </c>
      <c r="J41" s="3">
        <v>0</v>
      </c>
      <c r="K41" s="3">
        <v>0</v>
      </c>
      <c r="L41" s="3">
        <v>45820000</v>
      </c>
      <c r="M41" s="3">
        <v>0</v>
      </c>
      <c r="N41" s="3">
        <v>45820000</v>
      </c>
      <c r="O41" s="3">
        <v>0</v>
      </c>
      <c r="P41" s="3">
        <v>0</v>
      </c>
      <c r="Q41" s="3">
        <v>45820000</v>
      </c>
      <c r="R41" s="3">
        <v>0</v>
      </c>
      <c r="S41" s="3">
        <v>45820000</v>
      </c>
      <c r="T41" s="3">
        <v>0</v>
      </c>
      <c r="U41" s="3">
        <v>0</v>
      </c>
      <c r="V41" s="3">
        <v>45820000</v>
      </c>
      <c r="W41" s="3">
        <v>0</v>
      </c>
      <c r="X41" s="3">
        <v>45820000</v>
      </c>
      <c r="Y41" s="3">
        <v>0</v>
      </c>
      <c r="Z41" s="3">
        <v>0</v>
      </c>
      <c r="AA41" s="3">
        <v>45820000</v>
      </c>
      <c r="AB41" s="3">
        <v>0</v>
      </c>
      <c r="AC41" s="3">
        <v>45820000</v>
      </c>
      <c r="AD41" s="3">
        <v>0</v>
      </c>
      <c r="AE41" s="3">
        <v>0</v>
      </c>
      <c r="AF41" s="3">
        <v>45820000</v>
      </c>
      <c r="AG41" s="3">
        <v>0</v>
      </c>
      <c r="AH41" s="3">
        <v>44416999.719999999</v>
      </c>
      <c r="AI41" s="3">
        <v>0</v>
      </c>
      <c r="AJ41" s="3">
        <v>0</v>
      </c>
      <c r="AK41" s="3">
        <v>44416999.719999999</v>
      </c>
      <c r="AL41" s="3">
        <v>0</v>
      </c>
      <c r="AM41" s="3">
        <v>37561971.189999998</v>
      </c>
      <c r="AN41" s="3">
        <v>0</v>
      </c>
      <c r="AO41" s="3">
        <v>0</v>
      </c>
      <c r="AP41" s="3">
        <v>37561971.189999998</v>
      </c>
      <c r="AQ41" s="3">
        <v>0</v>
      </c>
      <c r="AR41" s="3">
        <v>46645000</v>
      </c>
      <c r="AS41" s="3">
        <v>0</v>
      </c>
      <c r="AT41" s="3">
        <v>0</v>
      </c>
      <c r="AU41" s="3">
        <v>46645000</v>
      </c>
      <c r="AV41" s="3">
        <v>0</v>
      </c>
      <c r="AW41" s="3">
        <v>46645000</v>
      </c>
      <c r="AX41" s="3">
        <v>0</v>
      </c>
      <c r="AY41" s="3">
        <v>0</v>
      </c>
      <c r="AZ41" s="3">
        <v>46645000</v>
      </c>
      <c r="BA41" s="3">
        <v>0</v>
      </c>
      <c r="BB41" s="3">
        <v>46645000</v>
      </c>
      <c r="BC41" s="3">
        <v>0</v>
      </c>
      <c r="BD41" s="3">
        <v>0</v>
      </c>
      <c r="BE41" s="3">
        <v>46645000</v>
      </c>
      <c r="BF41" s="3">
        <v>0</v>
      </c>
      <c r="BG41" s="3">
        <v>46645000</v>
      </c>
      <c r="BH41" s="3">
        <v>0</v>
      </c>
      <c r="BI41" s="3">
        <v>0</v>
      </c>
      <c r="BJ41" s="3">
        <v>46645000</v>
      </c>
      <c r="BK41" s="3">
        <v>0</v>
      </c>
      <c r="BL41" s="3">
        <v>46645000</v>
      </c>
      <c r="BM41" s="3">
        <v>0</v>
      </c>
      <c r="BN41" s="3">
        <v>0</v>
      </c>
      <c r="BO41" s="3">
        <v>46645000</v>
      </c>
      <c r="BP41" s="3">
        <v>0</v>
      </c>
      <c r="BQ41" s="3">
        <v>39428583.030000001</v>
      </c>
      <c r="BR41" s="3">
        <v>0</v>
      </c>
      <c r="BS41" s="3">
        <v>0</v>
      </c>
      <c r="BT41" s="3">
        <v>39428583.030000001</v>
      </c>
      <c r="BU41" s="3">
        <v>0</v>
      </c>
      <c r="BV41" s="3">
        <v>36839972.740000002</v>
      </c>
      <c r="BW41" s="3">
        <v>0</v>
      </c>
      <c r="BX41" s="3">
        <v>0</v>
      </c>
      <c r="BY41" s="3">
        <v>36839972.740000002</v>
      </c>
      <c r="BZ41" s="3">
        <v>0</v>
      </c>
      <c r="CA41" s="3">
        <v>46535000</v>
      </c>
      <c r="CB41" s="3">
        <v>0</v>
      </c>
      <c r="CC41" s="3">
        <v>0</v>
      </c>
      <c r="CD41" s="3">
        <v>46535000</v>
      </c>
      <c r="CE41" s="3">
        <v>0</v>
      </c>
      <c r="CF41" s="3">
        <v>46535000</v>
      </c>
      <c r="CG41" s="3">
        <v>0</v>
      </c>
      <c r="CH41" s="3">
        <v>0</v>
      </c>
      <c r="CI41" s="3">
        <v>46535000</v>
      </c>
      <c r="CJ41" s="3">
        <v>0</v>
      </c>
      <c r="CK41" s="3">
        <v>46535000</v>
      </c>
      <c r="CL41" s="3">
        <v>0</v>
      </c>
      <c r="CM41" s="3">
        <v>0</v>
      </c>
      <c r="CN41" s="3">
        <v>46535000</v>
      </c>
      <c r="CO41" s="3">
        <v>0</v>
      </c>
      <c r="CP41" s="3">
        <v>46535000</v>
      </c>
      <c r="CQ41" s="3">
        <v>0</v>
      </c>
      <c r="CR41" s="3">
        <v>0</v>
      </c>
      <c r="CS41" s="3">
        <v>46535000</v>
      </c>
      <c r="CT41" s="3">
        <v>0</v>
      </c>
      <c r="CU41" s="3">
        <v>46535000</v>
      </c>
      <c r="CV41" s="3">
        <v>0</v>
      </c>
      <c r="CW41" s="3">
        <v>0</v>
      </c>
      <c r="CX41" s="3">
        <v>46535000</v>
      </c>
      <c r="CY41" s="3">
        <v>0</v>
      </c>
      <c r="CZ41" s="3">
        <v>39860917.210000001</v>
      </c>
      <c r="DA41" s="3">
        <v>0</v>
      </c>
      <c r="DB41" s="3">
        <v>0</v>
      </c>
      <c r="DC41" s="3">
        <v>39860917.210000001</v>
      </c>
      <c r="DD41" s="3">
        <v>0</v>
      </c>
      <c r="DE41" s="3">
        <v>30525592.469999999</v>
      </c>
      <c r="DF41" s="3">
        <v>0</v>
      </c>
      <c r="DG41" s="3">
        <v>0</v>
      </c>
      <c r="DH41" s="3">
        <v>30525592.469999999</v>
      </c>
      <c r="DI41" s="3">
        <v>0</v>
      </c>
      <c r="DJ41" s="3">
        <v>47372000</v>
      </c>
      <c r="DK41" s="3">
        <v>0</v>
      </c>
      <c r="DL41" s="3">
        <v>0</v>
      </c>
      <c r="DM41" s="3">
        <v>47372000</v>
      </c>
      <c r="DN41" s="3">
        <v>0</v>
      </c>
      <c r="DO41" s="3">
        <v>47372000</v>
      </c>
      <c r="DP41" s="3">
        <v>0</v>
      </c>
      <c r="DQ41" s="3">
        <v>0</v>
      </c>
      <c r="DR41" s="3">
        <v>47372000</v>
      </c>
      <c r="DS41" s="3">
        <v>0</v>
      </c>
      <c r="DT41" s="3">
        <v>47372000</v>
      </c>
      <c r="DU41" s="3">
        <v>0</v>
      </c>
      <c r="DV41" s="3">
        <v>0</v>
      </c>
      <c r="DW41" s="3">
        <v>47372000</v>
      </c>
      <c r="DX41" s="3">
        <v>0</v>
      </c>
      <c r="DY41" s="3">
        <v>47372000</v>
      </c>
      <c r="DZ41" s="3">
        <v>0</v>
      </c>
      <c r="EA41" s="3">
        <v>0</v>
      </c>
      <c r="EB41" s="3">
        <v>47372000</v>
      </c>
      <c r="EC41" s="3">
        <v>0</v>
      </c>
      <c r="ED41" s="3">
        <v>47372000</v>
      </c>
      <c r="EE41" s="3">
        <v>0</v>
      </c>
      <c r="EF41" s="3">
        <v>0</v>
      </c>
      <c r="EG41" s="3">
        <v>47372000</v>
      </c>
      <c r="EH41" s="3">
        <v>0</v>
      </c>
      <c r="EI41" s="3">
        <v>44809075.619999997</v>
      </c>
      <c r="EJ41" s="3">
        <v>0</v>
      </c>
      <c r="EK41" s="3">
        <v>0</v>
      </c>
      <c r="EL41" s="3">
        <v>44809075.619999997</v>
      </c>
      <c r="EM41" s="3">
        <v>0</v>
      </c>
      <c r="EN41" s="3">
        <v>38958077.780000001</v>
      </c>
      <c r="EO41" s="3">
        <v>0</v>
      </c>
      <c r="EP41" s="3">
        <v>0</v>
      </c>
      <c r="EQ41" s="3">
        <v>38958077.780000001</v>
      </c>
      <c r="ER41" s="3">
        <v>0</v>
      </c>
      <c r="ES41" s="3">
        <v>47372000</v>
      </c>
      <c r="ET41" s="3">
        <v>0</v>
      </c>
      <c r="EU41" s="3">
        <v>0</v>
      </c>
      <c r="EV41" s="3">
        <v>47372000</v>
      </c>
      <c r="EW41" s="3">
        <v>0</v>
      </c>
      <c r="EX41" s="3">
        <v>47372000</v>
      </c>
      <c r="EY41" s="3">
        <v>0</v>
      </c>
      <c r="EZ41" s="3">
        <v>0</v>
      </c>
      <c r="FA41" s="3">
        <v>47372000</v>
      </c>
      <c r="FB41" s="3">
        <v>0</v>
      </c>
      <c r="FC41" s="3">
        <v>47372000</v>
      </c>
      <c r="FD41" s="3">
        <v>0</v>
      </c>
      <c r="FE41" s="3">
        <v>0</v>
      </c>
      <c r="FF41" s="3">
        <v>47372000</v>
      </c>
      <c r="FG41" s="3">
        <v>0</v>
      </c>
      <c r="FH41" s="3">
        <v>47372000</v>
      </c>
      <c r="FI41" s="3">
        <v>0</v>
      </c>
      <c r="FJ41" s="3">
        <v>0</v>
      </c>
      <c r="FK41" s="3">
        <v>47372000</v>
      </c>
      <c r="FL41" s="3">
        <v>0</v>
      </c>
      <c r="FM41" s="3">
        <v>47372000</v>
      </c>
      <c r="FN41" s="3">
        <v>0</v>
      </c>
      <c r="FO41" s="3">
        <v>0</v>
      </c>
      <c r="FP41" s="3">
        <v>47372000</v>
      </c>
      <c r="FQ41" s="3">
        <v>0</v>
      </c>
      <c r="FR41" s="3">
        <v>46412605.420000002</v>
      </c>
      <c r="FS41" s="3">
        <v>0</v>
      </c>
      <c r="FT41" s="3">
        <v>0</v>
      </c>
      <c r="FU41" s="3">
        <v>46412605.420000002</v>
      </c>
      <c r="FV41" s="3">
        <v>0</v>
      </c>
      <c r="FW41" s="3">
        <v>39310940.100000001</v>
      </c>
      <c r="FX41" s="3">
        <v>0</v>
      </c>
      <c r="FY41" s="3">
        <v>0</v>
      </c>
      <c r="FZ41" s="3">
        <v>39310940.100000001</v>
      </c>
      <c r="GA41" s="3">
        <v>0</v>
      </c>
      <c r="GB41" s="3">
        <v>49093000</v>
      </c>
      <c r="GC41" s="3">
        <v>0</v>
      </c>
      <c r="GD41" s="3">
        <v>0</v>
      </c>
      <c r="GE41" s="3">
        <v>49093000</v>
      </c>
      <c r="GF41" s="3">
        <v>0</v>
      </c>
      <c r="GG41" s="3">
        <v>49093000</v>
      </c>
      <c r="GH41" s="3">
        <v>0</v>
      </c>
      <c r="GI41" s="3">
        <v>0</v>
      </c>
      <c r="GJ41" s="3">
        <v>49093000</v>
      </c>
      <c r="GK41" s="3">
        <v>0</v>
      </c>
      <c r="GL41" s="3">
        <v>49093000</v>
      </c>
      <c r="GM41" s="3">
        <v>0</v>
      </c>
      <c r="GN41" s="3">
        <v>0</v>
      </c>
      <c r="GO41" s="3">
        <v>49093000</v>
      </c>
      <c r="GP41" s="3">
        <v>0</v>
      </c>
      <c r="GQ41" s="3">
        <v>49093000</v>
      </c>
      <c r="GR41" s="3">
        <v>0</v>
      </c>
      <c r="GS41" s="3">
        <v>0</v>
      </c>
      <c r="GT41" s="3">
        <v>49093000</v>
      </c>
      <c r="GU41" s="3">
        <v>0</v>
      </c>
      <c r="GV41" s="3">
        <v>49093000</v>
      </c>
      <c r="GW41" s="3">
        <v>0</v>
      </c>
      <c r="GX41" s="3">
        <v>0</v>
      </c>
      <c r="GY41" s="3">
        <v>49093000</v>
      </c>
      <c r="GZ41" s="3">
        <v>0</v>
      </c>
      <c r="HA41" s="3">
        <v>48865123.969999999</v>
      </c>
      <c r="HB41" s="3">
        <v>0</v>
      </c>
      <c r="HC41" s="3">
        <v>0</v>
      </c>
      <c r="HD41" s="3">
        <v>48865123.969999999</v>
      </c>
      <c r="HE41" s="3">
        <v>0</v>
      </c>
      <c r="HF41" s="3">
        <v>41935339.969999999</v>
      </c>
      <c r="HG41" s="3">
        <v>0</v>
      </c>
      <c r="HH41" s="3">
        <v>0</v>
      </c>
      <c r="HI41" s="3">
        <v>41935339.969999999</v>
      </c>
      <c r="HJ41" s="3">
        <v>0</v>
      </c>
      <c r="HK41" s="3">
        <v>49977000</v>
      </c>
      <c r="HL41" s="3">
        <v>0</v>
      </c>
      <c r="HM41" s="3">
        <v>0</v>
      </c>
      <c r="HN41" s="3">
        <v>49977000</v>
      </c>
      <c r="HO41" s="3">
        <v>0</v>
      </c>
      <c r="HP41" s="3">
        <v>49977000</v>
      </c>
      <c r="HQ41" s="3">
        <v>0</v>
      </c>
      <c r="HR41" s="3">
        <v>0</v>
      </c>
      <c r="HS41" s="3">
        <v>49977000</v>
      </c>
      <c r="HT41" s="3">
        <v>0</v>
      </c>
      <c r="HU41" s="3">
        <v>49977000</v>
      </c>
      <c r="HV41" s="3">
        <v>0</v>
      </c>
      <c r="HW41" s="3">
        <v>0</v>
      </c>
      <c r="HX41" s="3">
        <v>49977000</v>
      </c>
      <c r="HY41" s="3">
        <v>0</v>
      </c>
      <c r="HZ41" s="3">
        <v>49977000</v>
      </c>
      <c r="IA41" s="3">
        <v>0</v>
      </c>
      <c r="IB41" s="3">
        <v>0</v>
      </c>
      <c r="IC41" s="3">
        <v>49977000</v>
      </c>
      <c r="ID41" s="3">
        <v>0</v>
      </c>
      <c r="IE41" s="3">
        <v>49977000</v>
      </c>
      <c r="IF41" s="3">
        <v>0</v>
      </c>
      <c r="IG41" s="3">
        <v>0</v>
      </c>
      <c r="IH41" s="3">
        <v>49977000</v>
      </c>
      <c r="II41" s="3">
        <v>0</v>
      </c>
      <c r="IJ41" s="3">
        <v>49789021.859999999</v>
      </c>
      <c r="IK41" s="3">
        <v>0</v>
      </c>
      <c r="IL41" s="3">
        <v>0</v>
      </c>
      <c r="IM41" s="3">
        <v>49789021.859999999</v>
      </c>
      <c r="IN41" s="3">
        <v>0</v>
      </c>
      <c r="IO41" s="3">
        <v>46969160.590000004</v>
      </c>
      <c r="IP41" s="3">
        <v>0</v>
      </c>
      <c r="IQ41" s="3">
        <v>0</v>
      </c>
      <c r="IR41" s="3">
        <v>46969160.590000004</v>
      </c>
      <c r="IS41" s="3">
        <v>0</v>
      </c>
      <c r="IT41" s="3">
        <v>50877000</v>
      </c>
      <c r="IU41" s="3">
        <v>0</v>
      </c>
      <c r="IV41" s="3">
        <v>50000000</v>
      </c>
      <c r="IW41" s="3">
        <v>100877000</v>
      </c>
      <c r="IX41" s="3">
        <v>0</v>
      </c>
      <c r="IY41" s="3">
        <v>50877000</v>
      </c>
      <c r="IZ41" s="3">
        <v>0</v>
      </c>
      <c r="JA41" s="3">
        <v>50000000</v>
      </c>
      <c r="JB41" s="3">
        <v>100877000</v>
      </c>
      <c r="JC41" s="3">
        <v>0</v>
      </c>
      <c r="JD41" s="3">
        <v>50877000</v>
      </c>
      <c r="JE41" s="3">
        <v>0</v>
      </c>
      <c r="JF41" s="3">
        <v>50000000</v>
      </c>
      <c r="JG41" s="3">
        <v>100877000</v>
      </c>
      <c r="JH41" s="3">
        <v>0</v>
      </c>
      <c r="JI41" s="3">
        <v>50877000</v>
      </c>
      <c r="JJ41" s="3">
        <v>0</v>
      </c>
      <c r="JK41" s="3">
        <v>50000000</v>
      </c>
      <c r="JL41" s="3">
        <v>100877000</v>
      </c>
      <c r="JM41" s="3">
        <v>0</v>
      </c>
      <c r="JN41" s="3">
        <v>50877000</v>
      </c>
      <c r="JO41" s="3">
        <v>0</v>
      </c>
      <c r="JP41" s="3">
        <v>50000000</v>
      </c>
      <c r="JQ41" s="3">
        <v>100877000</v>
      </c>
      <c r="JR41" s="3">
        <v>0</v>
      </c>
      <c r="JS41" s="3">
        <v>50697610.119999997</v>
      </c>
      <c r="JT41" s="3">
        <v>0</v>
      </c>
      <c r="JU41" s="3">
        <v>49975620</v>
      </c>
      <c r="JV41" s="3">
        <v>100673230.12</v>
      </c>
      <c r="JW41" s="3">
        <v>0</v>
      </c>
      <c r="JX41" s="3">
        <v>47538561.07</v>
      </c>
      <c r="JY41" s="3">
        <v>0</v>
      </c>
      <c r="JZ41" s="3">
        <v>22700102.789999999</v>
      </c>
      <c r="KA41" s="3">
        <v>70238663.859999999</v>
      </c>
      <c r="KB41" s="3">
        <v>0</v>
      </c>
      <c r="KC41" s="3">
        <v>51793000</v>
      </c>
      <c r="KD41" s="3">
        <v>0</v>
      </c>
      <c r="KE41" s="3">
        <v>30000000</v>
      </c>
      <c r="KF41" s="3">
        <v>81793000</v>
      </c>
      <c r="KG41" s="3">
        <v>0</v>
      </c>
      <c r="KH41" s="3">
        <v>51793000</v>
      </c>
      <c r="KI41" s="3">
        <v>0</v>
      </c>
      <c r="KJ41" s="3">
        <v>30000000</v>
      </c>
      <c r="KK41" s="3">
        <v>81793000</v>
      </c>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v>10330000</v>
      </c>
      <c r="LL41" s="3">
        <v>52725000</v>
      </c>
      <c r="LM41" s="3">
        <v>0</v>
      </c>
      <c r="LN41" s="3">
        <v>30000000</v>
      </c>
      <c r="LO41" s="3">
        <v>93055000</v>
      </c>
      <c r="LP41" s="3"/>
      <c r="LQ41" s="3"/>
      <c r="LR41" s="3"/>
      <c r="LS41" s="3"/>
      <c r="LT41" s="3"/>
    </row>
    <row r="42" spans="1:332" x14ac:dyDescent="0.25">
      <c r="A42" t="s">
        <v>685</v>
      </c>
      <c r="B42" t="s">
        <v>686</v>
      </c>
      <c r="C42" t="s">
        <v>199</v>
      </c>
      <c r="D42" t="s">
        <v>200</v>
      </c>
      <c r="E42" t="s">
        <v>313</v>
      </c>
      <c r="F42" t="s">
        <v>710</v>
      </c>
      <c r="G42" t="s">
        <v>299</v>
      </c>
      <c r="H42" s="3">
        <v>0</v>
      </c>
      <c r="I42" s="3">
        <v>0</v>
      </c>
      <c r="J42" s="3">
        <v>0</v>
      </c>
      <c r="K42" s="3">
        <v>0</v>
      </c>
      <c r="L42" s="3">
        <v>0</v>
      </c>
      <c r="M42" s="3">
        <v>0</v>
      </c>
      <c r="N42" s="3">
        <v>1250000000</v>
      </c>
      <c r="O42" s="3">
        <v>0</v>
      </c>
      <c r="P42" s="3">
        <v>0</v>
      </c>
      <c r="Q42" s="3">
        <v>1250000000</v>
      </c>
      <c r="R42" s="3">
        <v>0</v>
      </c>
      <c r="S42" s="3">
        <v>1250000000</v>
      </c>
      <c r="T42" s="3">
        <v>0</v>
      </c>
      <c r="U42" s="3">
        <v>0</v>
      </c>
      <c r="V42" s="3">
        <v>1250000000</v>
      </c>
      <c r="W42" s="3">
        <v>0</v>
      </c>
      <c r="X42" s="3">
        <v>1250000000</v>
      </c>
      <c r="Y42" s="3">
        <v>0</v>
      </c>
      <c r="Z42" s="3">
        <v>0</v>
      </c>
      <c r="AA42" s="3">
        <v>1250000000</v>
      </c>
      <c r="AB42" s="3">
        <v>0</v>
      </c>
      <c r="AC42" s="3">
        <v>1250000000</v>
      </c>
      <c r="AD42" s="3">
        <v>0</v>
      </c>
      <c r="AE42" s="3">
        <v>0</v>
      </c>
      <c r="AF42" s="3">
        <v>1250000000</v>
      </c>
      <c r="AG42" s="3">
        <v>0</v>
      </c>
      <c r="AH42" s="3">
        <v>1186108131.02</v>
      </c>
      <c r="AI42" s="3">
        <v>0</v>
      </c>
      <c r="AJ42" s="3">
        <v>0</v>
      </c>
      <c r="AK42" s="3">
        <v>1186108131.02</v>
      </c>
      <c r="AL42" s="3">
        <v>0</v>
      </c>
      <c r="AM42" s="3">
        <v>802724290.80999994</v>
      </c>
      <c r="AN42" s="3">
        <v>0</v>
      </c>
      <c r="AO42" s="3">
        <v>0</v>
      </c>
      <c r="AP42" s="3">
        <v>802724290.80999994</v>
      </c>
      <c r="AQ42" s="3">
        <v>0</v>
      </c>
      <c r="AR42" s="3">
        <v>1250000000</v>
      </c>
      <c r="AS42" s="3">
        <v>0</v>
      </c>
      <c r="AT42" s="3">
        <v>0</v>
      </c>
      <c r="AU42" s="3">
        <v>1250000000</v>
      </c>
      <c r="AV42" s="3">
        <v>0</v>
      </c>
      <c r="AW42" s="3">
        <v>1250000000</v>
      </c>
      <c r="AX42" s="3">
        <v>0</v>
      </c>
      <c r="AY42" s="3">
        <v>0</v>
      </c>
      <c r="AZ42" s="3">
        <v>1250000000</v>
      </c>
      <c r="BA42" s="3">
        <v>0</v>
      </c>
      <c r="BB42" s="3">
        <v>1250000000</v>
      </c>
      <c r="BC42" s="3">
        <v>0</v>
      </c>
      <c r="BD42" s="3">
        <v>0</v>
      </c>
      <c r="BE42" s="3">
        <v>0</v>
      </c>
      <c r="BF42" s="3">
        <v>0</v>
      </c>
      <c r="BG42" s="3">
        <v>1250000000</v>
      </c>
      <c r="BH42" s="3">
        <v>0</v>
      </c>
      <c r="BI42" s="3">
        <v>0</v>
      </c>
      <c r="BJ42" s="3">
        <v>1250000000</v>
      </c>
      <c r="BK42" s="3">
        <v>0</v>
      </c>
      <c r="BL42" s="3">
        <v>1250000000</v>
      </c>
      <c r="BM42" s="3">
        <v>0</v>
      </c>
      <c r="BN42" s="3">
        <v>0</v>
      </c>
      <c r="BO42" s="3">
        <v>1250000000</v>
      </c>
      <c r="BP42" s="3">
        <v>0</v>
      </c>
      <c r="BQ42" s="3">
        <v>748510826.97000003</v>
      </c>
      <c r="BR42" s="3">
        <v>0</v>
      </c>
      <c r="BS42" s="3">
        <v>0</v>
      </c>
      <c r="BT42" s="3">
        <v>748510826.97000003</v>
      </c>
      <c r="BU42" s="3">
        <v>0</v>
      </c>
      <c r="BV42" s="3">
        <v>394774566.08999997</v>
      </c>
      <c r="BW42" s="3">
        <v>0</v>
      </c>
      <c r="BX42" s="3">
        <v>0</v>
      </c>
      <c r="BY42" s="3">
        <v>394774566.08999997</v>
      </c>
      <c r="BZ42" s="3">
        <v>0</v>
      </c>
      <c r="CA42" s="3">
        <v>1250000000</v>
      </c>
      <c r="CB42" s="3">
        <v>0</v>
      </c>
      <c r="CC42" s="3">
        <v>0</v>
      </c>
      <c r="CD42" s="3">
        <v>1250000000</v>
      </c>
      <c r="CE42" s="3">
        <v>0</v>
      </c>
      <c r="CF42" s="3">
        <v>1250000000</v>
      </c>
      <c r="CG42" s="3">
        <v>0</v>
      </c>
      <c r="CH42" s="3">
        <v>0</v>
      </c>
      <c r="CI42" s="3">
        <v>1250000000</v>
      </c>
      <c r="CJ42" s="3">
        <v>0</v>
      </c>
      <c r="CK42" s="3">
        <v>1250000000</v>
      </c>
      <c r="CL42" s="3">
        <v>0</v>
      </c>
      <c r="CM42" s="3">
        <v>0</v>
      </c>
      <c r="CN42" s="3">
        <v>1250000000</v>
      </c>
      <c r="CO42" s="3">
        <v>0</v>
      </c>
      <c r="CP42" s="3">
        <v>1250000000</v>
      </c>
      <c r="CQ42" s="3">
        <v>0</v>
      </c>
      <c r="CR42" s="3">
        <v>0</v>
      </c>
      <c r="CS42" s="3">
        <v>1250000000</v>
      </c>
      <c r="CT42" s="3">
        <v>0</v>
      </c>
      <c r="CU42" s="3">
        <v>1250000000</v>
      </c>
      <c r="CV42" s="3">
        <v>0</v>
      </c>
      <c r="CW42" s="3">
        <v>0</v>
      </c>
      <c r="CX42" s="3">
        <v>1250000000</v>
      </c>
      <c r="CY42" s="3">
        <v>0</v>
      </c>
      <c r="CZ42" s="3">
        <v>1176347657.74</v>
      </c>
      <c r="DA42" s="3">
        <v>0</v>
      </c>
      <c r="DB42" s="3">
        <v>0</v>
      </c>
      <c r="DC42" s="3">
        <v>1176347657.74</v>
      </c>
      <c r="DD42" s="3">
        <v>0</v>
      </c>
      <c r="DE42" s="3">
        <v>1003031645.4</v>
      </c>
      <c r="DF42" s="3">
        <v>0</v>
      </c>
      <c r="DG42" s="3">
        <v>0</v>
      </c>
      <c r="DH42" s="3">
        <v>1003031645.4</v>
      </c>
      <c r="DI42" s="3">
        <v>0</v>
      </c>
      <c r="DJ42" s="3">
        <v>1250000000</v>
      </c>
      <c r="DK42" s="3">
        <v>0</v>
      </c>
      <c r="DL42" s="3">
        <v>0</v>
      </c>
      <c r="DM42" s="3">
        <v>1250000000</v>
      </c>
      <c r="DN42" s="3">
        <v>0</v>
      </c>
      <c r="DO42" s="3">
        <v>1250000000</v>
      </c>
      <c r="DP42" s="3">
        <v>0</v>
      </c>
      <c r="DQ42" s="3">
        <v>0</v>
      </c>
      <c r="DR42" s="3">
        <v>1250000000</v>
      </c>
      <c r="DS42" s="3">
        <v>0</v>
      </c>
      <c r="DT42" s="3">
        <v>1250000000</v>
      </c>
      <c r="DU42" s="3">
        <v>0</v>
      </c>
      <c r="DV42" s="3">
        <v>0</v>
      </c>
      <c r="DW42" s="3">
        <v>1250000000</v>
      </c>
      <c r="DX42" s="3">
        <v>0</v>
      </c>
      <c r="DY42" s="3">
        <v>1250000000</v>
      </c>
      <c r="DZ42" s="3">
        <v>0</v>
      </c>
      <c r="EA42" s="3">
        <v>0</v>
      </c>
      <c r="EB42" s="3">
        <v>1250000000</v>
      </c>
      <c r="EC42" s="3">
        <v>0</v>
      </c>
      <c r="ED42" s="3">
        <v>1250000000</v>
      </c>
      <c r="EE42" s="3">
        <v>0</v>
      </c>
      <c r="EF42" s="3">
        <v>0</v>
      </c>
      <c r="EG42" s="3">
        <v>1250000000</v>
      </c>
      <c r="EH42" s="3">
        <v>0</v>
      </c>
      <c r="EI42" s="3">
        <v>1230697697.3399999</v>
      </c>
      <c r="EJ42" s="3">
        <v>0</v>
      </c>
      <c r="EK42" s="3">
        <v>0</v>
      </c>
      <c r="EL42" s="3">
        <v>1230697697.3399999</v>
      </c>
      <c r="EM42" s="3">
        <v>0</v>
      </c>
      <c r="EN42" s="3">
        <v>1101705579.6199999</v>
      </c>
      <c r="EO42" s="3">
        <v>0</v>
      </c>
      <c r="EP42" s="3">
        <v>0</v>
      </c>
      <c r="EQ42" s="3">
        <v>1101705579.6199999</v>
      </c>
      <c r="ER42" s="3">
        <v>0</v>
      </c>
      <c r="ES42" s="3">
        <v>1250000000</v>
      </c>
      <c r="ET42" s="3">
        <v>0</v>
      </c>
      <c r="EU42" s="3">
        <v>0</v>
      </c>
      <c r="EV42" s="3">
        <v>1250000000</v>
      </c>
      <c r="EW42" s="3">
        <v>0</v>
      </c>
      <c r="EX42" s="3">
        <v>1250000000</v>
      </c>
      <c r="EY42" s="3">
        <v>0</v>
      </c>
      <c r="EZ42" s="3">
        <v>0</v>
      </c>
      <c r="FA42" s="3">
        <v>1250000000</v>
      </c>
      <c r="FB42" s="3">
        <v>0</v>
      </c>
      <c r="FC42" s="3">
        <v>1250000000</v>
      </c>
      <c r="FD42" s="3">
        <v>0</v>
      </c>
      <c r="FE42" s="3">
        <v>0</v>
      </c>
      <c r="FF42" s="3">
        <v>1250000000</v>
      </c>
      <c r="FG42" s="3">
        <v>0</v>
      </c>
      <c r="FH42" s="3">
        <v>1250000000</v>
      </c>
      <c r="FI42" s="3">
        <v>0</v>
      </c>
      <c r="FJ42" s="3">
        <v>0</v>
      </c>
      <c r="FK42" s="3">
        <v>1250000000</v>
      </c>
      <c r="FL42" s="3">
        <v>0</v>
      </c>
      <c r="FM42" s="3">
        <v>1250000000</v>
      </c>
      <c r="FN42" s="3">
        <v>0</v>
      </c>
      <c r="FO42" s="3">
        <v>0</v>
      </c>
      <c r="FP42" s="3">
        <v>1250000000</v>
      </c>
      <c r="FQ42" s="3">
        <v>0</v>
      </c>
      <c r="FR42" s="3">
        <v>1236684773.49</v>
      </c>
      <c r="FS42" s="3">
        <v>0</v>
      </c>
      <c r="FT42" s="3">
        <v>0</v>
      </c>
      <c r="FU42" s="3">
        <v>1236684773.49</v>
      </c>
      <c r="FV42" s="3">
        <v>0</v>
      </c>
      <c r="FW42" s="3">
        <v>1063285595.58</v>
      </c>
      <c r="FX42" s="3">
        <v>0</v>
      </c>
      <c r="FY42" s="3">
        <v>0</v>
      </c>
      <c r="FZ42" s="3">
        <v>1063285595.58</v>
      </c>
      <c r="GA42" s="3">
        <v>0</v>
      </c>
      <c r="GB42" s="3">
        <v>1250000000</v>
      </c>
      <c r="GC42" s="3">
        <v>0</v>
      </c>
      <c r="GD42" s="3">
        <v>0</v>
      </c>
      <c r="GE42" s="3">
        <v>1250000000</v>
      </c>
      <c r="GF42" s="3">
        <v>0</v>
      </c>
      <c r="GG42" s="3">
        <v>1750000000</v>
      </c>
      <c r="GH42" s="3">
        <v>0</v>
      </c>
      <c r="GI42" s="3">
        <v>0</v>
      </c>
      <c r="GJ42" s="3">
        <v>1750000000</v>
      </c>
      <c r="GK42" s="3">
        <v>0</v>
      </c>
      <c r="GL42" s="3">
        <v>1750000000</v>
      </c>
      <c r="GM42" s="3">
        <v>0</v>
      </c>
      <c r="GN42" s="3">
        <v>0</v>
      </c>
      <c r="GO42" s="3">
        <v>1750000000</v>
      </c>
      <c r="GP42" s="3">
        <v>0</v>
      </c>
      <c r="GQ42" s="3">
        <v>1750000000</v>
      </c>
      <c r="GR42" s="3">
        <v>0</v>
      </c>
      <c r="GS42" s="3">
        <v>0</v>
      </c>
      <c r="GT42" s="3">
        <v>1750000000</v>
      </c>
      <c r="GU42" s="3">
        <v>0</v>
      </c>
      <c r="GV42" s="3">
        <v>1750000000</v>
      </c>
      <c r="GW42" s="3">
        <v>0</v>
      </c>
      <c r="GX42" s="3">
        <v>0</v>
      </c>
      <c r="GY42" s="3">
        <v>1750000000</v>
      </c>
      <c r="GZ42" s="3">
        <v>0</v>
      </c>
      <c r="HA42" s="3">
        <v>1726619552.8599999</v>
      </c>
      <c r="HB42" s="3">
        <v>0</v>
      </c>
      <c r="HC42" s="3">
        <v>0</v>
      </c>
      <c r="HD42" s="3">
        <v>1726619552.8599999</v>
      </c>
      <c r="HE42" s="3">
        <v>0</v>
      </c>
      <c r="HF42" s="3">
        <v>1591611610.4100001</v>
      </c>
      <c r="HG42" s="3">
        <v>0</v>
      </c>
      <c r="HH42" s="3">
        <v>0</v>
      </c>
      <c r="HI42" s="3">
        <v>1591611610.4100001</v>
      </c>
      <c r="HJ42" s="3">
        <v>0</v>
      </c>
      <c r="HK42" s="3">
        <v>1250000000</v>
      </c>
      <c r="HL42" s="3">
        <v>0</v>
      </c>
      <c r="HM42" s="3">
        <v>0</v>
      </c>
      <c r="HN42" s="3">
        <v>1250000000</v>
      </c>
      <c r="HO42" s="3">
        <v>0</v>
      </c>
      <c r="HP42" s="3">
        <v>1750000000</v>
      </c>
      <c r="HQ42" s="3">
        <v>0</v>
      </c>
      <c r="HR42" s="3">
        <v>0</v>
      </c>
      <c r="HS42" s="3">
        <v>1750000000</v>
      </c>
      <c r="HT42" s="3">
        <v>0</v>
      </c>
      <c r="HU42" s="3">
        <v>1750000000</v>
      </c>
      <c r="HV42" s="3">
        <v>0</v>
      </c>
      <c r="HW42" s="3">
        <v>0</v>
      </c>
      <c r="HX42" s="3">
        <v>1750000000</v>
      </c>
      <c r="HY42" s="3">
        <v>0</v>
      </c>
      <c r="HZ42" s="3">
        <v>1750000000</v>
      </c>
      <c r="IA42" s="3">
        <v>0</v>
      </c>
      <c r="IB42" s="3">
        <v>0</v>
      </c>
      <c r="IC42" s="3">
        <v>1750000000</v>
      </c>
      <c r="ID42" s="3">
        <v>0</v>
      </c>
      <c r="IE42" s="3">
        <v>1750000000</v>
      </c>
      <c r="IF42" s="3">
        <v>0</v>
      </c>
      <c r="IG42" s="3">
        <v>0</v>
      </c>
      <c r="IH42" s="3">
        <v>1750000000</v>
      </c>
      <c r="II42" s="3">
        <v>0</v>
      </c>
      <c r="IJ42" s="3">
        <v>1721181356.9300001</v>
      </c>
      <c r="IK42" s="3">
        <v>0</v>
      </c>
      <c r="IL42" s="3">
        <v>0</v>
      </c>
      <c r="IM42" s="3">
        <v>1721181356.9300001</v>
      </c>
      <c r="IN42" s="3">
        <v>0</v>
      </c>
      <c r="IO42" s="3">
        <v>1596794473.25</v>
      </c>
      <c r="IP42" s="3">
        <v>0</v>
      </c>
      <c r="IQ42" s="3">
        <v>0</v>
      </c>
      <c r="IR42" s="3">
        <v>1596794473.25</v>
      </c>
      <c r="IS42" s="3">
        <v>0</v>
      </c>
      <c r="IT42" s="3">
        <v>1250000000</v>
      </c>
      <c r="IU42" s="3">
        <v>0</v>
      </c>
      <c r="IV42" s="3">
        <v>0</v>
      </c>
      <c r="IW42" s="3">
        <v>1250000000</v>
      </c>
      <c r="IX42" s="3">
        <v>0</v>
      </c>
      <c r="IY42" s="3">
        <v>1250000000</v>
      </c>
      <c r="IZ42" s="3">
        <v>0</v>
      </c>
      <c r="JA42" s="3">
        <v>0</v>
      </c>
      <c r="JB42" s="3">
        <v>1250000000</v>
      </c>
      <c r="JC42" s="3">
        <v>0</v>
      </c>
      <c r="JD42" s="3">
        <v>1250000000</v>
      </c>
      <c r="JE42" s="3">
        <v>0</v>
      </c>
      <c r="JF42" s="3">
        <v>0</v>
      </c>
      <c r="JG42" s="3">
        <v>1250000000</v>
      </c>
      <c r="JH42" s="3">
        <v>0</v>
      </c>
      <c r="JI42" s="3">
        <v>1250000000</v>
      </c>
      <c r="JJ42" s="3">
        <v>0</v>
      </c>
      <c r="JK42" s="3">
        <v>0</v>
      </c>
      <c r="JL42" s="3">
        <v>1250000000</v>
      </c>
      <c r="JM42" s="3">
        <v>0</v>
      </c>
      <c r="JN42" s="3">
        <v>1250000000</v>
      </c>
      <c r="JO42" s="3">
        <v>0</v>
      </c>
      <c r="JP42" s="3">
        <v>0</v>
      </c>
      <c r="JQ42" s="3">
        <v>1250000000</v>
      </c>
      <c r="JR42" s="3">
        <v>0</v>
      </c>
      <c r="JS42" s="3">
        <v>1211120629.5599999</v>
      </c>
      <c r="JT42" s="3">
        <v>0</v>
      </c>
      <c r="JU42" s="3">
        <v>0</v>
      </c>
      <c r="JV42" s="3">
        <v>1211120629.5599999</v>
      </c>
      <c r="JW42" s="3">
        <v>0</v>
      </c>
      <c r="JX42" s="3">
        <v>1107036975.24</v>
      </c>
      <c r="JY42" s="3">
        <v>0</v>
      </c>
      <c r="JZ42" s="3">
        <v>0</v>
      </c>
      <c r="KA42" s="3">
        <v>1107036975.24</v>
      </c>
      <c r="KB42" s="3">
        <v>0</v>
      </c>
      <c r="KC42" s="3">
        <v>1250000000</v>
      </c>
      <c r="KD42" s="3">
        <v>0</v>
      </c>
      <c r="KE42" s="3">
        <v>0</v>
      </c>
      <c r="KF42" s="3">
        <v>1250000000</v>
      </c>
      <c r="KG42" s="3">
        <v>0</v>
      </c>
      <c r="KH42" s="3">
        <v>3000000000</v>
      </c>
      <c r="KI42" s="3">
        <v>0</v>
      </c>
      <c r="KJ42" s="3">
        <v>0</v>
      </c>
      <c r="KK42" s="3">
        <v>3000000000</v>
      </c>
      <c r="KL42" s="3"/>
      <c r="KM42" s="3"/>
      <c r="KN42" s="3"/>
      <c r="KO42" s="3"/>
      <c r="KP42" s="3"/>
      <c r="KQ42" s="3"/>
      <c r="KR42" s="3"/>
      <c r="KS42" s="3"/>
      <c r="KT42" s="3"/>
      <c r="KU42" s="3"/>
      <c r="KV42" s="3"/>
      <c r="KW42" s="3"/>
      <c r="KX42" s="3"/>
      <c r="KY42" s="3"/>
      <c r="KZ42" s="3"/>
      <c r="LA42" s="3"/>
      <c r="LB42" s="3"/>
      <c r="LC42" s="3"/>
      <c r="LD42" s="3"/>
      <c r="LE42" s="3"/>
      <c r="LF42" s="3"/>
      <c r="LG42" s="3"/>
      <c r="LH42" s="3"/>
      <c r="LI42" s="3"/>
      <c r="LJ42" s="3"/>
      <c r="LK42" s="3">
        <v>0</v>
      </c>
      <c r="LL42" s="3">
        <v>1250000000</v>
      </c>
      <c r="LM42" s="3">
        <v>0</v>
      </c>
      <c r="LN42" s="3">
        <v>0</v>
      </c>
      <c r="LO42" s="3">
        <v>1250000000</v>
      </c>
      <c r="LP42" s="3"/>
      <c r="LQ42" s="3"/>
      <c r="LR42" s="3"/>
      <c r="LS42" s="3"/>
      <c r="LT42" s="3"/>
    </row>
    <row r="43" spans="1:332" x14ac:dyDescent="0.25">
      <c r="A43" t="s">
        <v>685</v>
      </c>
      <c r="B43" t="s">
        <v>686</v>
      </c>
      <c r="C43" t="s">
        <v>199</v>
      </c>
      <c r="D43" t="s">
        <v>200</v>
      </c>
      <c r="E43" t="s">
        <v>313</v>
      </c>
      <c r="F43" s="4" t="s">
        <v>852</v>
      </c>
      <c r="G43" t="s">
        <v>933</v>
      </c>
      <c r="H43" s="3">
        <v>0</v>
      </c>
      <c r="I43" s="3">
        <v>0</v>
      </c>
      <c r="J43" s="3">
        <v>0</v>
      </c>
      <c r="K43" s="3">
        <v>0</v>
      </c>
      <c r="L43" s="3">
        <v>0</v>
      </c>
      <c r="M43" s="3">
        <v>0</v>
      </c>
      <c r="N43" s="3">
        <v>0</v>
      </c>
      <c r="O43" s="3">
        <v>0</v>
      </c>
      <c r="P43" s="3">
        <v>2000000</v>
      </c>
      <c r="Q43" s="3">
        <v>2000000</v>
      </c>
      <c r="R43" s="3">
        <v>0</v>
      </c>
      <c r="S43" s="3">
        <v>0</v>
      </c>
      <c r="T43" s="3">
        <v>0</v>
      </c>
      <c r="U43" s="3">
        <v>2000000</v>
      </c>
      <c r="V43" s="3">
        <v>2000000</v>
      </c>
      <c r="W43" s="3">
        <v>0</v>
      </c>
      <c r="X43" s="3">
        <v>0</v>
      </c>
      <c r="Y43" s="3">
        <v>0</v>
      </c>
      <c r="Z43" s="3">
        <v>2000000</v>
      </c>
      <c r="AA43" s="3">
        <v>2000000</v>
      </c>
      <c r="AB43" s="3">
        <v>0</v>
      </c>
      <c r="AC43" s="3">
        <v>0</v>
      </c>
      <c r="AD43" s="3">
        <v>0</v>
      </c>
      <c r="AE43" s="3">
        <v>2000000</v>
      </c>
      <c r="AF43" s="3">
        <v>2000000</v>
      </c>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s="3"/>
      <c r="LL43" s="3"/>
      <c r="LM43" s="3"/>
      <c r="LN43" s="3"/>
      <c r="LO43" s="3"/>
      <c r="LP43" s="3"/>
      <c r="LQ43" s="3"/>
      <c r="LR43" s="3"/>
      <c r="LS43" s="3"/>
      <c r="LT43" s="3"/>
    </row>
    <row r="44" spans="1:332" x14ac:dyDescent="0.25">
      <c r="A44" t="s">
        <v>685</v>
      </c>
      <c r="B44" t="s">
        <v>686</v>
      </c>
      <c r="C44" t="s">
        <v>199</v>
      </c>
      <c r="D44" t="s">
        <v>200</v>
      </c>
      <c r="E44" t="s">
        <v>313</v>
      </c>
      <c r="F44" t="s">
        <v>711</v>
      </c>
      <c r="G44" t="s">
        <v>763</v>
      </c>
      <c r="H44" s="3">
        <v>0</v>
      </c>
      <c r="I44" s="3">
        <v>798396000</v>
      </c>
      <c r="J44" s="3">
        <v>0</v>
      </c>
      <c r="K44" s="3">
        <v>0</v>
      </c>
      <c r="L44" s="3">
        <v>798396000</v>
      </c>
      <c r="M44" s="3">
        <v>0</v>
      </c>
      <c r="N44" s="3">
        <v>798396000</v>
      </c>
      <c r="O44" s="3">
        <v>0</v>
      </c>
      <c r="P44" s="3">
        <v>0</v>
      </c>
      <c r="Q44" s="3">
        <v>798396000</v>
      </c>
      <c r="R44" s="3">
        <v>0</v>
      </c>
      <c r="S44" s="3">
        <v>798396000</v>
      </c>
      <c r="T44" s="3">
        <v>0</v>
      </c>
      <c r="U44" s="3">
        <v>0</v>
      </c>
      <c r="V44" s="3">
        <v>798396000</v>
      </c>
      <c r="W44" s="3">
        <v>0</v>
      </c>
      <c r="X44" s="3">
        <v>798396000</v>
      </c>
      <c r="Y44" s="3">
        <v>0</v>
      </c>
      <c r="Z44" s="3">
        <v>0</v>
      </c>
      <c r="AA44" s="3">
        <v>798396000</v>
      </c>
      <c r="AB44" s="3">
        <v>0</v>
      </c>
      <c r="AC44" s="3">
        <v>798396000</v>
      </c>
      <c r="AD44" s="3">
        <v>0</v>
      </c>
      <c r="AE44" s="3">
        <v>0</v>
      </c>
      <c r="AF44" s="3">
        <v>798396000</v>
      </c>
      <c r="AG44" s="3">
        <v>0</v>
      </c>
      <c r="AH44" s="3">
        <v>684595433.03999996</v>
      </c>
      <c r="AI44" s="3">
        <v>0</v>
      </c>
      <c r="AJ44" s="3">
        <v>0</v>
      </c>
      <c r="AK44" s="3">
        <v>684595433.03999996</v>
      </c>
      <c r="AL44" s="3">
        <v>0</v>
      </c>
      <c r="AM44" s="3">
        <v>81153693.909999996</v>
      </c>
      <c r="AN44" s="3">
        <v>0</v>
      </c>
      <c r="AO44" s="3">
        <v>0</v>
      </c>
      <c r="AP44" s="3">
        <v>81153693.909999996</v>
      </c>
      <c r="AQ44" s="3">
        <v>0</v>
      </c>
      <c r="AR44" s="3">
        <v>302193000</v>
      </c>
      <c r="AS44" s="3">
        <v>0</v>
      </c>
      <c r="AT44" s="3">
        <v>0</v>
      </c>
      <c r="AU44" s="3">
        <v>302193000</v>
      </c>
      <c r="AV44" s="3">
        <v>0</v>
      </c>
      <c r="AW44" s="3">
        <v>302193000</v>
      </c>
      <c r="AX44" s="3">
        <v>0</v>
      </c>
      <c r="AY44" s="3">
        <v>0</v>
      </c>
      <c r="AZ44" s="3">
        <v>302193000</v>
      </c>
      <c r="BA44" s="3">
        <v>0</v>
      </c>
      <c r="BB44" s="3">
        <v>302193000</v>
      </c>
      <c r="BC44" s="3">
        <v>0</v>
      </c>
      <c r="BD44" s="3">
        <v>0</v>
      </c>
      <c r="BE44" s="3">
        <v>302193000</v>
      </c>
      <c r="BF44" s="3">
        <v>0</v>
      </c>
      <c r="BG44" s="3">
        <v>302193000</v>
      </c>
      <c r="BH44" s="3">
        <v>0</v>
      </c>
      <c r="BI44" s="3">
        <v>0</v>
      </c>
      <c r="BJ44" s="3">
        <v>302193000</v>
      </c>
      <c r="BK44" s="3">
        <v>0</v>
      </c>
      <c r="BL44" s="3">
        <v>302193000</v>
      </c>
      <c r="BM44" s="3">
        <v>0</v>
      </c>
      <c r="BN44" s="3">
        <v>0</v>
      </c>
      <c r="BO44" s="3">
        <v>302193000</v>
      </c>
      <c r="BP44" s="3">
        <v>0</v>
      </c>
      <c r="BQ44" s="3">
        <v>206089270.5</v>
      </c>
      <c r="BR44" s="3">
        <v>0</v>
      </c>
      <c r="BS44" s="3">
        <v>0</v>
      </c>
      <c r="BT44" s="3">
        <v>206089270.5</v>
      </c>
      <c r="BU44" s="3">
        <v>0</v>
      </c>
      <c r="BV44" s="3">
        <v>154210642.84999999</v>
      </c>
      <c r="BW44" s="3">
        <v>0</v>
      </c>
      <c r="BX44" s="3">
        <v>0</v>
      </c>
      <c r="BY44" s="3">
        <v>154210642.84999999</v>
      </c>
      <c r="BZ44" s="3">
        <v>0</v>
      </c>
      <c r="CA44" s="3">
        <v>960917000</v>
      </c>
      <c r="CB44" s="3">
        <v>0</v>
      </c>
      <c r="CC44" s="3">
        <v>0</v>
      </c>
      <c r="CD44" s="3">
        <v>960917000</v>
      </c>
      <c r="CE44" s="3">
        <v>0</v>
      </c>
      <c r="CF44" s="3">
        <v>960917000</v>
      </c>
      <c r="CG44" s="3">
        <v>0</v>
      </c>
      <c r="CH44" s="3">
        <v>0</v>
      </c>
      <c r="CI44" s="3">
        <v>960917000</v>
      </c>
      <c r="CJ44" s="3">
        <v>0</v>
      </c>
      <c r="CK44" s="3">
        <v>960917000</v>
      </c>
      <c r="CL44" s="3">
        <v>0</v>
      </c>
      <c r="CM44" s="3">
        <v>0</v>
      </c>
      <c r="CN44" s="3">
        <v>960917000</v>
      </c>
      <c r="CO44" s="3">
        <v>0</v>
      </c>
      <c r="CP44" s="3">
        <v>960917000</v>
      </c>
      <c r="CQ44" s="3">
        <v>0</v>
      </c>
      <c r="CR44" s="3">
        <v>0</v>
      </c>
      <c r="CS44" s="3">
        <v>960917000</v>
      </c>
      <c r="CT44" s="3">
        <v>0</v>
      </c>
      <c r="CU44" s="3">
        <v>960917000</v>
      </c>
      <c r="CV44" s="3">
        <v>0</v>
      </c>
      <c r="CW44" s="3">
        <v>0</v>
      </c>
      <c r="CX44" s="3">
        <v>960917000</v>
      </c>
      <c r="CY44" s="3">
        <v>0</v>
      </c>
      <c r="CZ44" s="3">
        <v>850852211.12</v>
      </c>
      <c r="DA44" s="3">
        <v>0</v>
      </c>
      <c r="DB44" s="3">
        <v>0</v>
      </c>
      <c r="DC44" s="3">
        <v>850852211.12</v>
      </c>
      <c r="DD44" s="3">
        <v>0</v>
      </c>
      <c r="DE44" s="3">
        <v>458000889.14999998</v>
      </c>
      <c r="DF44" s="3">
        <v>0</v>
      </c>
      <c r="DG44" s="3">
        <v>0</v>
      </c>
      <c r="DH44" s="3">
        <v>458000889.14999998</v>
      </c>
      <c r="DI44" s="3">
        <v>0</v>
      </c>
      <c r="DJ44" s="3">
        <v>960917000</v>
      </c>
      <c r="DK44" s="3">
        <v>0</v>
      </c>
      <c r="DL44" s="3">
        <v>0</v>
      </c>
      <c r="DM44" s="3">
        <v>960917000</v>
      </c>
      <c r="DN44" s="3">
        <v>0</v>
      </c>
      <c r="DO44" s="3">
        <v>960917000</v>
      </c>
      <c r="DP44" s="3">
        <v>0</v>
      </c>
      <c r="DQ44" s="3">
        <v>0</v>
      </c>
      <c r="DR44" s="3">
        <v>960917000</v>
      </c>
      <c r="DS44" s="3">
        <v>0</v>
      </c>
      <c r="DT44" s="3">
        <v>960917000</v>
      </c>
      <c r="DU44" s="3">
        <v>0</v>
      </c>
      <c r="DV44" s="3">
        <v>0</v>
      </c>
      <c r="DW44" s="3">
        <v>960917000</v>
      </c>
      <c r="DX44" s="3">
        <v>0</v>
      </c>
      <c r="DY44" s="3">
        <v>960917000</v>
      </c>
      <c r="DZ44" s="3">
        <v>0</v>
      </c>
      <c r="EA44" s="3">
        <v>0</v>
      </c>
      <c r="EB44" s="3">
        <v>960917000</v>
      </c>
      <c r="EC44" s="3">
        <v>0</v>
      </c>
      <c r="ED44" s="3">
        <v>960917000</v>
      </c>
      <c r="EE44" s="3">
        <v>0</v>
      </c>
      <c r="EF44" s="3">
        <v>0</v>
      </c>
      <c r="EG44" s="3">
        <v>960917000</v>
      </c>
      <c r="EH44" s="3">
        <v>0</v>
      </c>
      <c r="EI44" s="3">
        <v>817871377.75999999</v>
      </c>
      <c r="EJ44" s="3">
        <v>0</v>
      </c>
      <c r="EK44" s="3">
        <v>0</v>
      </c>
      <c r="EL44" s="3">
        <v>817871377.75999999</v>
      </c>
      <c r="EM44" s="3">
        <v>0</v>
      </c>
      <c r="EN44" s="3">
        <v>725884576.60000002</v>
      </c>
      <c r="EO44" s="3">
        <v>0</v>
      </c>
      <c r="EP44" s="3">
        <v>0</v>
      </c>
      <c r="EQ44" s="3">
        <v>725884576.60000002</v>
      </c>
      <c r="ER44" s="3">
        <v>0</v>
      </c>
      <c r="ES44" s="3">
        <v>960917000</v>
      </c>
      <c r="ET44" s="3">
        <v>0</v>
      </c>
      <c r="EU44" s="3">
        <v>0</v>
      </c>
      <c r="EV44" s="3">
        <v>960917000</v>
      </c>
      <c r="EW44" s="3">
        <v>0</v>
      </c>
      <c r="EX44" s="3">
        <v>460917000</v>
      </c>
      <c r="EY44" s="3">
        <v>0</v>
      </c>
      <c r="EZ44" s="3">
        <v>0</v>
      </c>
      <c r="FA44" s="3">
        <v>460917000</v>
      </c>
      <c r="FB44" s="3">
        <v>0</v>
      </c>
      <c r="FC44" s="3">
        <v>460917000</v>
      </c>
      <c r="FD44" s="3">
        <v>0</v>
      </c>
      <c r="FE44" s="3">
        <v>0</v>
      </c>
      <c r="FF44" s="3">
        <v>460917000</v>
      </c>
      <c r="FG44" s="3">
        <v>0</v>
      </c>
      <c r="FH44" s="3">
        <v>460917000</v>
      </c>
      <c r="FI44" s="3">
        <v>0</v>
      </c>
      <c r="FJ44" s="3">
        <v>0</v>
      </c>
      <c r="FK44" s="3">
        <v>460917000</v>
      </c>
      <c r="FL44" s="3">
        <v>0</v>
      </c>
      <c r="FM44" s="3">
        <v>460917000</v>
      </c>
      <c r="FN44" s="3">
        <v>0</v>
      </c>
      <c r="FO44" s="3">
        <v>0</v>
      </c>
      <c r="FP44" s="3">
        <v>460917000</v>
      </c>
      <c r="FQ44" s="3">
        <v>0</v>
      </c>
      <c r="FR44" s="3">
        <v>407471642.70999998</v>
      </c>
      <c r="FS44" s="3">
        <v>0</v>
      </c>
      <c r="FT44" s="3">
        <v>0</v>
      </c>
      <c r="FU44" s="3">
        <v>407471642.70999998</v>
      </c>
      <c r="FV44" s="3">
        <v>0</v>
      </c>
      <c r="FW44" s="3">
        <v>343048492.68000001</v>
      </c>
      <c r="FX44" s="3">
        <v>0</v>
      </c>
      <c r="FY44" s="3">
        <v>0</v>
      </c>
      <c r="FZ44" s="3">
        <v>343048492.68000001</v>
      </c>
      <c r="GA44" s="3">
        <v>0</v>
      </c>
      <c r="GB44" s="3">
        <v>351071000</v>
      </c>
      <c r="GC44" s="3">
        <v>0</v>
      </c>
      <c r="GD44" s="3">
        <v>0</v>
      </c>
      <c r="GE44" s="3">
        <v>351071000</v>
      </c>
      <c r="GF44" s="3">
        <v>0</v>
      </c>
      <c r="GG44" s="3">
        <v>351071000</v>
      </c>
      <c r="GH44" s="3">
        <v>0</v>
      </c>
      <c r="GI44" s="3">
        <v>0</v>
      </c>
      <c r="GJ44" s="3">
        <v>351071000</v>
      </c>
      <c r="GK44" s="3">
        <v>0</v>
      </c>
      <c r="GL44" s="3">
        <v>351071000</v>
      </c>
      <c r="GM44" s="3">
        <v>0</v>
      </c>
      <c r="GN44" s="3">
        <v>0</v>
      </c>
      <c r="GO44" s="3">
        <v>351071000</v>
      </c>
      <c r="GP44" s="3">
        <v>0</v>
      </c>
      <c r="GQ44" s="3">
        <v>351071000</v>
      </c>
      <c r="GR44" s="3">
        <v>0</v>
      </c>
      <c r="GS44" s="3">
        <v>0</v>
      </c>
      <c r="GT44" s="3">
        <v>351071000</v>
      </c>
      <c r="GU44" s="3">
        <v>0</v>
      </c>
      <c r="GV44" s="3">
        <v>351071000</v>
      </c>
      <c r="GW44" s="3">
        <v>0</v>
      </c>
      <c r="GX44" s="3">
        <v>0</v>
      </c>
      <c r="GY44" s="3">
        <v>351071000</v>
      </c>
      <c r="GZ44" s="3">
        <v>0</v>
      </c>
      <c r="HA44" s="3">
        <v>303944707.82999998</v>
      </c>
      <c r="HB44" s="3">
        <v>0</v>
      </c>
      <c r="HC44" s="3">
        <v>0</v>
      </c>
      <c r="HD44" s="3">
        <v>303944707.82999998</v>
      </c>
      <c r="HE44" s="3">
        <v>0</v>
      </c>
      <c r="HF44" s="3">
        <v>262343349.19999999</v>
      </c>
      <c r="HG44" s="3">
        <v>0</v>
      </c>
      <c r="HH44" s="3">
        <v>0</v>
      </c>
      <c r="HI44" s="3">
        <v>262343349.19999999</v>
      </c>
      <c r="HJ44" s="3">
        <v>0</v>
      </c>
      <c r="HK44" s="3">
        <v>351071000</v>
      </c>
      <c r="HL44" s="3">
        <v>0</v>
      </c>
      <c r="HM44" s="3">
        <v>0</v>
      </c>
      <c r="HN44" s="3">
        <v>351071000</v>
      </c>
      <c r="HO44" s="3">
        <v>0</v>
      </c>
      <c r="HP44" s="3">
        <v>351071000</v>
      </c>
      <c r="HQ44" s="3">
        <v>0</v>
      </c>
      <c r="HR44" s="3">
        <v>0</v>
      </c>
      <c r="HS44" s="3">
        <v>351071000</v>
      </c>
      <c r="HT44" s="3">
        <v>0</v>
      </c>
      <c r="HU44" s="3">
        <v>351071000</v>
      </c>
      <c r="HV44" s="3">
        <v>0</v>
      </c>
      <c r="HW44" s="3">
        <v>0</v>
      </c>
      <c r="HX44" s="3">
        <v>351071000</v>
      </c>
      <c r="HY44" s="3">
        <v>0</v>
      </c>
      <c r="HZ44" s="3">
        <v>351071000</v>
      </c>
      <c r="IA44" s="3">
        <v>0</v>
      </c>
      <c r="IB44" s="3">
        <v>0</v>
      </c>
      <c r="IC44" s="3">
        <v>351071000</v>
      </c>
      <c r="ID44" s="3">
        <v>0</v>
      </c>
      <c r="IE44" s="3">
        <v>351071000</v>
      </c>
      <c r="IF44" s="3">
        <v>0</v>
      </c>
      <c r="IG44" s="3">
        <v>0</v>
      </c>
      <c r="IH44" s="3">
        <v>351071000</v>
      </c>
      <c r="II44" s="3">
        <v>0</v>
      </c>
      <c r="IJ44" s="3">
        <v>312646699.38</v>
      </c>
      <c r="IK44" s="3">
        <v>0</v>
      </c>
      <c r="IL44" s="3">
        <v>0</v>
      </c>
      <c r="IM44" s="3">
        <v>312646699.38</v>
      </c>
      <c r="IN44" s="3">
        <v>0</v>
      </c>
      <c r="IO44" s="3">
        <v>298465163.89999998</v>
      </c>
      <c r="IP44" s="3">
        <v>0</v>
      </c>
      <c r="IQ44" s="3">
        <v>0</v>
      </c>
      <c r="IR44" s="3">
        <v>298465163.89999998</v>
      </c>
      <c r="IS44" s="3">
        <v>0</v>
      </c>
      <c r="IT44" s="3">
        <v>351071000</v>
      </c>
      <c r="IU44" s="3">
        <v>0</v>
      </c>
      <c r="IV44" s="3">
        <v>0</v>
      </c>
      <c r="IW44" s="3">
        <v>351071000</v>
      </c>
      <c r="IX44" s="3">
        <v>0</v>
      </c>
      <c r="IY44" s="3">
        <v>351071000</v>
      </c>
      <c r="IZ44" s="3">
        <v>0</v>
      </c>
      <c r="JA44" s="3">
        <v>0</v>
      </c>
      <c r="JB44" s="3">
        <v>351071000</v>
      </c>
      <c r="JC44" s="3">
        <v>0</v>
      </c>
      <c r="JD44" s="3">
        <v>351071000</v>
      </c>
      <c r="JE44" s="3">
        <v>0</v>
      </c>
      <c r="JF44" s="3">
        <v>0</v>
      </c>
      <c r="JG44" s="3">
        <v>351071000</v>
      </c>
      <c r="JH44" s="3">
        <v>0</v>
      </c>
      <c r="JI44" s="3">
        <v>351071000</v>
      </c>
      <c r="JJ44" s="3">
        <v>0</v>
      </c>
      <c r="JK44" s="3">
        <v>0</v>
      </c>
      <c r="JL44" s="3">
        <v>351071000</v>
      </c>
      <c r="JM44" s="3">
        <v>0</v>
      </c>
      <c r="JN44" s="3">
        <v>351071000</v>
      </c>
      <c r="JO44" s="3">
        <v>0</v>
      </c>
      <c r="JP44" s="3">
        <v>0</v>
      </c>
      <c r="JQ44" s="3">
        <v>351071000</v>
      </c>
      <c r="JR44" s="3">
        <v>0</v>
      </c>
      <c r="JS44" s="3">
        <v>329501947.57999998</v>
      </c>
      <c r="JT44" s="3">
        <v>0</v>
      </c>
      <c r="JU44" s="3">
        <v>0</v>
      </c>
      <c r="JV44" s="3">
        <v>329501947.57999998</v>
      </c>
      <c r="JW44" s="3">
        <v>0</v>
      </c>
      <c r="JX44" s="3">
        <v>321625760.29000002</v>
      </c>
      <c r="JY44" s="3">
        <v>0</v>
      </c>
      <c r="JZ44" s="3">
        <v>0</v>
      </c>
      <c r="KA44" s="3">
        <v>321625760.29000002</v>
      </c>
      <c r="KB44" s="3">
        <v>0</v>
      </c>
      <c r="KC44" s="3">
        <v>351071000</v>
      </c>
      <c r="KD44" s="3">
        <v>0</v>
      </c>
      <c r="KE44" s="3">
        <v>0</v>
      </c>
      <c r="KF44" s="3">
        <v>351071000</v>
      </c>
      <c r="KG44" s="3">
        <v>0</v>
      </c>
      <c r="KH44" s="3">
        <v>351071000</v>
      </c>
      <c r="KI44" s="3">
        <v>0</v>
      </c>
      <c r="KJ44" s="3">
        <v>0</v>
      </c>
      <c r="KK44" s="3">
        <v>351071000</v>
      </c>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K44" s="3">
        <v>0</v>
      </c>
      <c r="LL44" s="3">
        <v>351071000</v>
      </c>
      <c r="LM44" s="3">
        <v>0</v>
      </c>
      <c r="LN44" s="3">
        <v>0</v>
      </c>
      <c r="LO44" s="3">
        <v>351071000</v>
      </c>
      <c r="LP44" s="3"/>
      <c r="LQ44" s="3"/>
      <c r="LR44" s="3"/>
      <c r="LS44" s="3"/>
      <c r="LT44" s="3"/>
    </row>
    <row r="45" spans="1:332" x14ac:dyDescent="0.25">
      <c r="A45" t="s">
        <v>685</v>
      </c>
      <c r="B45" t="s">
        <v>686</v>
      </c>
      <c r="C45" t="s">
        <v>199</v>
      </c>
      <c r="D45" t="s">
        <v>200</v>
      </c>
      <c r="E45" t="s">
        <v>313</v>
      </c>
      <c r="F45" t="s">
        <v>712</v>
      </c>
      <c r="G45" t="s">
        <v>764</v>
      </c>
      <c r="H45" s="3">
        <v>0</v>
      </c>
      <c r="I45" s="3">
        <v>655552000</v>
      </c>
      <c r="J45" s="3">
        <v>0</v>
      </c>
      <c r="K45" s="3">
        <v>0</v>
      </c>
      <c r="L45" s="3">
        <v>655552000</v>
      </c>
      <c r="M45" s="3">
        <v>0</v>
      </c>
      <c r="N45" s="3">
        <v>655552000</v>
      </c>
      <c r="O45" s="3">
        <v>0</v>
      </c>
      <c r="P45" s="3">
        <v>0</v>
      </c>
      <c r="Q45" s="3">
        <v>655552000</v>
      </c>
      <c r="R45" s="3">
        <v>0</v>
      </c>
      <c r="S45" s="3">
        <v>655552000</v>
      </c>
      <c r="T45" s="3">
        <v>0</v>
      </c>
      <c r="U45" s="3">
        <v>0</v>
      </c>
      <c r="V45" s="3">
        <v>655552000</v>
      </c>
      <c r="W45" s="3">
        <v>0</v>
      </c>
      <c r="X45" s="3">
        <v>651173360.01999998</v>
      </c>
      <c r="Y45" s="3">
        <v>0</v>
      </c>
      <c r="Z45" s="3">
        <v>4378639.9800000004</v>
      </c>
      <c r="AA45" s="3">
        <v>655552000</v>
      </c>
      <c r="AB45" s="3">
        <v>0</v>
      </c>
      <c r="AC45" s="3">
        <v>626841087.01999998</v>
      </c>
      <c r="AD45" s="3">
        <v>0</v>
      </c>
      <c r="AE45" s="3">
        <v>4378639.9800000004</v>
      </c>
      <c r="AF45" s="3">
        <v>631219727</v>
      </c>
      <c r="AG45" s="3">
        <v>0</v>
      </c>
      <c r="AH45" s="3">
        <v>507830668.13</v>
      </c>
      <c r="AI45" s="3">
        <v>0</v>
      </c>
      <c r="AJ45" s="3">
        <v>3763057.31</v>
      </c>
      <c r="AK45" s="3">
        <v>511593725.44</v>
      </c>
      <c r="AL45" s="3">
        <v>0</v>
      </c>
      <c r="AM45" s="3">
        <v>126801459.08</v>
      </c>
      <c r="AN45" s="3">
        <v>0</v>
      </c>
      <c r="AO45" s="3">
        <v>102208</v>
      </c>
      <c r="AP45" s="3">
        <v>126903667.08</v>
      </c>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v>0</v>
      </c>
      <c r="ES45" s="3">
        <v>418640000</v>
      </c>
      <c r="ET45" s="3">
        <v>0</v>
      </c>
      <c r="EU45" s="3">
        <v>0</v>
      </c>
      <c r="EV45" s="3">
        <v>418640000</v>
      </c>
      <c r="EW45" s="3">
        <v>0</v>
      </c>
      <c r="EX45" s="3">
        <v>418640000</v>
      </c>
      <c r="EY45" s="3">
        <v>0</v>
      </c>
      <c r="EZ45" s="3">
        <v>0</v>
      </c>
      <c r="FA45" s="3">
        <v>418640000</v>
      </c>
      <c r="FB45" s="3">
        <v>0</v>
      </c>
      <c r="FC45" s="3">
        <v>418640000</v>
      </c>
      <c r="FD45" s="3">
        <v>0</v>
      </c>
      <c r="FE45" s="3">
        <v>0</v>
      </c>
      <c r="FF45" s="3">
        <v>418640000</v>
      </c>
      <c r="FG45" s="3">
        <v>0</v>
      </c>
      <c r="FH45" s="3">
        <v>418640000</v>
      </c>
      <c r="FI45" s="3">
        <v>0</v>
      </c>
      <c r="FJ45" s="3">
        <v>0</v>
      </c>
      <c r="FK45" s="3">
        <v>418640000</v>
      </c>
      <c r="FL45" s="3">
        <v>0</v>
      </c>
      <c r="FM45" s="3">
        <v>418640000</v>
      </c>
      <c r="FN45" s="3">
        <v>0</v>
      </c>
      <c r="FO45" s="3">
        <v>0</v>
      </c>
      <c r="FP45" s="3">
        <v>418640000</v>
      </c>
      <c r="FQ45" s="3">
        <v>0</v>
      </c>
      <c r="FR45" s="3">
        <v>390132883.47000003</v>
      </c>
      <c r="FS45" s="3">
        <v>0</v>
      </c>
      <c r="FT45" s="3">
        <v>0</v>
      </c>
      <c r="FU45" s="3">
        <v>390132883.47000003</v>
      </c>
      <c r="FV45" s="3">
        <v>0</v>
      </c>
      <c r="FW45" s="3">
        <v>240240706.34999999</v>
      </c>
      <c r="FX45" s="3">
        <v>0</v>
      </c>
      <c r="FY45" s="3">
        <v>0</v>
      </c>
      <c r="FZ45" s="3">
        <v>240240706.34999999</v>
      </c>
      <c r="GA45" s="3">
        <v>0</v>
      </c>
      <c r="GB45" s="3">
        <v>549041000</v>
      </c>
      <c r="GC45" s="3">
        <v>0</v>
      </c>
      <c r="GD45" s="3">
        <v>0</v>
      </c>
      <c r="GE45" s="3">
        <v>549041000</v>
      </c>
      <c r="GF45" s="3">
        <v>0</v>
      </c>
      <c r="GG45" s="3">
        <v>549041000</v>
      </c>
      <c r="GH45" s="3">
        <v>0</v>
      </c>
      <c r="GI45" s="3">
        <v>0</v>
      </c>
      <c r="GJ45" s="3">
        <v>549041000</v>
      </c>
      <c r="GK45" s="3">
        <v>0</v>
      </c>
      <c r="GL45" s="3">
        <v>549041000</v>
      </c>
      <c r="GM45" s="3">
        <v>0</v>
      </c>
      <c r="GN45" s="3">
        <v>0</v>
      </c>
      <c r="GO45" s="3">
        <v>549041000</v>
      </c>
      <c r="GP45" s="3">
        <v>0</v>
      </c>
      <c r="GQ45" s="3">
        <v>549041000</v>
      </c>
      <c r="GR45" s="3">
        <v>0</v>
      </c>
      <c r="GS45" s="3">
        <v>0</v>
      </c>
      <c r="GT45" s="3">
        <v>549041000</v>
      </c>
      <c r="GU45" s="3">
        <v>0</v>
      </c>
      <c r="GV45" s="3">
        <v>549041000</v>
      </c>
      <c r="GW45" s="3">
        <v>0</v>
      </c>
      <c r="GX45" s="3">
        <v>0</v>
      </c>
      <c r="GY45" s="3">
        <v>549041000</v>
      </c>
      <c r="GZ45" s="3">
        <v>0</v>
      </c>
      <c r="HA45" s="3">
        <v>532479162.38999999</v>
      </c>
      <c r="HB45" s="3">
        <v>0</v>
      </c>
      <c r="HC45" s="3">
        <v>0</v>
      </c>
      <c r="HD45" s="3">
        <v>532479162.38999999</v>
      </c>
      <c r="HE45" s="3">
        <v>0</v>
      </c>
      <c r="HF45" s="3">
        <v>403130475.81999999</v>
      </c>
      <c r="HG45" s="3">
        <v>0</v>
      </c>
      <c r="HH45" s="3">
        <v>0</v>
      </c>
      <c r="HI45" s="3">
        <v>403130475.81999999</v>
      </c>
      <c r="HJ45" s="3">
        <v>0</v>
      </c>
      <c r="HK45" s="3">
        <v>549041000</v>
      </c>
      <c r="HL45" s="3">
        <v>0</v>
      </c>
      <c r="HM45" s="3">
        <v>0</v>
      </c>
      <c r="HN45" s="3">
        <v>549041000</v>
      </c>
      <c r="HO45" s="3">
        <v>0</v>
      </c>
      <c r="HP45" s="3">
        <v>549041000</v>
      </c>
      <c r="HQ45" s="3">
        <v>0</v>
      </c>
      <c r="HR45" s="3">
        <v>0</v>
      </c>
      <c r="HS45" s="3">
        <v>549041000</v>
      </c>
      <c r="HT45" s="3">
        <v>0</v>
      </c>
      <c r="HU45" s="3">
        <v>549041000</v>
      </c>
      <c r="HV45" s="3">
        <v>0</v>
      </c>
      <c r="HW45" s="3">
        <v>0</v>
      </c>
      <c r="HX45" s="3">
        <v>549041000</v>
      </c>
      <c r="HY45" s="3">
        <v>3000000</v>
      </c>
      <c r="HZ45" s="3">
        <v>546041000</v>
      </c>
      <c r="IA45" s="3">
        <v>0</v>
      </c>
      <c r="IB45" s="3">
        <v>0</v>
      </c>
      <c r="IC45" s="3">
        <v>549041000</v>
      </c>
      <c r="ID45" s="3">
        <v>3000000</v>
      </c>
      <c r="IE45" s="3">
        <v>546041000</v>
      </c>
      <c r="IF45" s="3">
        <v>0</v>
      </c>
      <c r="IG45" s="3">
        <v>0</v>
      </c>
      <c r="IH45" s="3">
        <v>549041000</v>
      </c>
      <c r="II45" s="3">
        <v>3000000</v>
      </c>
      <c r="IJ45" s="3">
        <v>284036539.56</v>
      </c>
      <c r="IK45" s="3">
        <v>0</v>
      </c>
      <c r="IL45" s="3">
        <v>0</v>
      </c>
      <c r="IM45" s="3">
        <v>287036539.56</v>
      </c>
      <c r="IN45" s="3">
        <v>0</v>
      </c>
      <c r="IO45" s="3">
        <v>249295923.12</v>
      </c>
      <c r="IP45" s="3">
        <v>0</v>
      </c>
      <c r="IQ45" s="3">
        <v>0</v>
      </c>
      <c r="IR45" s="3">
        <v>249295923.12</v>
      </c>
      <c r="IS45" s="3">
        <v>0</v>
      </c>
      <c r="IT45" s="3">
        <v>1049041000</v>
      </c>
      <c r="IU45" s="3">
        <v>0</v>
      </c>
      <c r="IV45" s="3">
        <v>0</v>
      </c>
      <c r="IW45" s="3">
        <v>1049041000</v>
      </c>
      <c r="IX45" s="3">
        <v>0</v>
      </c>
      <c r="IY45" s="3">
        <v>1049041000</v>
      </c>
      <c r="IZ45" s="3">
        <v>0</v>
      </c>
      <c r="JA45" s="3">
        <v>0</v>
      </c>
      <c r="JB45" s="3">
        <v>1049041000</v>
      </c>
      <c r="JC45" s="3">
        <v>0</v>
      </c>
      <c r="JD45" s="3">
        <v>1049041000</v>
      </c>
      <c r="JE45" s="3">
        <v>0</v>
      </c>
      <c r="JF45" s="3">
        <v>0</v>
      </c>
      <c r="JG45" s="3">
        <v>1049041000</v>
      </c>
      <c r="JH45" s="3">
        <v>0</v>
      </c>
      <c r="JI45" s="3">
        <v>1049041000</v>
      </c>
      <c r="JJ45" s="3">
        <v>0</v>
      </c>
      <c r="JK45" s="3">
        <v>0</v>
      </c>
      <c r="JL45" s="3">
        <v>1049041000</v>
      </c>
      <c r="JM45" s="3">
        <v>0</v>
      </c>
      <c r="JN45" s="3">
        <v>1049041000</v>
      </c>
      <c r="JO45" s="3">
        <v>0</v>
      </c>
      <c r="JP45" s="3">
        <v>0</v>
      </c>
      <c r="JQ45" s="3">
        <v>1049041000</v>
      </c>
      <c r="JR45" s="3">
        <v>0</v>
      </c>
      <c r="JS45" s="3">
        <v>548315710.97000003</v>
      </c>
      <c r="JT45" s="3">
        <v>0</v>
      </c>
      <c r="JU45" s="3">
        <v>0</v>
      </c>
      <c r="JV45" s="3">
        <v>548315710.97000003</v>
      </c>
      <c r="JW45" s="3">
        <v>0</v>
      </c>
      <c r="JX45" s="3">
        <v>415304095.68000001</v>
      </c>
      <c r="JY45" s="3">
        <v>0</v>
      </c>
      <c r="JZ45" s="3">
        <v>0</v>
      </c>
      <c r="KA45" s="3">
        <v>415304095.68000001</v>
      </c>
      <c r="KB45" s="3">
        <v>0</v>
      </c>
      <c r="KC45" s="3">
        <v>549041000</v>
      </c>
      <c r="KD45" s="3">
        <v>0</v>
      </c>
      <c r="KE45" s="3">
        <v>0</v>
      </c>
      <c r="KF45" s="3">
        <v>549041000</v>
      </c>
      <c r="KG45" s="3">
        <v>0</v>
      </c>
      <c r="KH45" s="3">
        <v>1049041000</v>
      </c>
      <c r="KI45" s="3">
        <v>0</v>
      </c>
      <c r="KJ45" s="3">
        <v>0</v>
      </c>
      <c r="KK45" s="3">
        <v>1049041000</v>
      </c>
      <c r="KL45" s="3"/>
      <c r="KM45" s="3"/>
      <c r="KN45" s="3"/>
      <c r="KO45" s="3"/>
      <c r="KP45" s="3"/>
      <c r="KQ45" s="3"/>
      <c r="KR45" s="3"/>
      <c r="KS45" s="3"/>
      <c r="KT45" s="3"/>
      <c r="KU45" s="3"/>
      <c r="KV45" s="3"/>
      <c r="KW45" s="3"/>
      <c r="KX45" s="3"/>
      <c r="KY45" s="3"/>
      <c r="KZ45" s="3"/>
      <c r="LA45" s="3"/>
      <c r="LB45" s="3"/>
      <c r="LC45" s="3"/>
      <c r="LD45" s="3"/>
      <c r="LE45" s="3"/>
      <c r="LF45" s="3"/>
      <c r="LG45" s="3"/>
      <c r="LH45" s="3"/>
      <c r="LI45" s="3"/>
      <c r="LJ45" s="3"/>
      <c r="LK45" s="3">
        <v>0</v>
      </c>
      <c r="LL45" s="3">
        <v>1049041000</v>
      </c>
      <c r="LM45" s="3">
        <v>0</v>
      </c>
      <c r="LN45" s="3">
        <v>0</v>
      </c>
      <c r="LO45" s="3">
        <v>1049041000</v>
      </c>
      <c r="LP45" s="3"/>
      <c r="LQ45" s="3"/>
      <c r="LR45" s="3"/>
      <c r="LS45" s="3"/>
      <c r="LT45" s="3"/>
    </row>
    <row r="46" spans="1:332" x14ac:dyDescent="0.25">
      <c r="A46" t="s">
        <v>685</v>
      </c>
      <c r="B46" t="s">
        <v>686</v>
      </c>
      <c r="C46" t="s">
        <v>199</v>
      </c>
      <c r="D46" t="s">
        <v>200</v>
      </c>
      <c r="E46" t="s">
        <v>313</v>
      </c>
      <c r="F46" t="s">
        <v>713</v>
      </c>
      <c r="G46" t="s">
        <v>765</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v>0</v>
      </c>
      <c r="JH46" s="3"/>
      <c r="JI46" s="3"/>
      <c r="JJ46" s="3"/>
      <c r="JK46" s="3"/>
      <c r="JL46" s="3">
        <v>0</v>
      </c>
      <c r="JM46" s="3"/>
      <c r="JN46" s="3"/>
      <c r="JO46" s="3"/>
      <c r="JP46" s="3"/>
      <c r="JQ46" s="3">
        <v>0</v>
      </c>
      <c r="JR46" s="3"/>
      <c r="JS46" s="3"/>
      <c r="JT46" s="3"/>
      <c r="JU46" s="3"/>
      <c r="JV46" s="3">
        <v>0</v>
      </c>
      <c r="JW46" s="3"/>
      <c r="JX46" s="3"/>
      <c r="JY46" s="3"/>
      <c r="JZ46" s="3"/>
      <c r="KA46" s="3">
        <v>0</v>
      </c>
      <c r="KB46" s="3">
        <v>0</v>
      </c>
      <c r="KC46" s="3">
        <v>0</v>
      </c>
      <c r="KD46" s="3">
        <v>0</v>
      </c>
      <c r="KE46" s="3">
        <v>0</v>
      </c>
      <c r="KF46" s="3">
        <v>0</v>
      </c>
      <c r="KG46" s="3">
        <v>0</v>
      </c>
      <c r="KH46" s="3">
        <v>0</v>
      </c>
      <c r="KI46" s="3">
        <v>0</v>
      </c>
      <c r="KJ46" s="3">
        <v>500000000</v>
      </c>
      <c r="KK46" s="3">
        <v>500000000</v>
      </c>
      <c r="KL46" s="3"/>
      <c r="KM46" s="3"/>
      <c r="KN46" s="3"/>
      <c r="KO46" s="3"/>
      <c r="KP46" s="3"/>
      <c r="KQ46" s="3"/>
      <c r="KR46" s="3"/>
      <c r="KS46" s="3"/>
      <c r="KT46" s="3"/>
      <c r="KU46" s="3"/>
      <c r="KV46" s="3"/>
      <c r="KW46" s="3"/>
      <c r="KX46" s="3"/>
      <c r="KY46" s="3"/>
      <c r="KZ46" s="3"/>
      <c r="LA46" s="3"/>
      <c r="LB46" s="3"/>
      <c r="LC46" s="3"/>
      <c r="LD46" s="3"/>
      <c r="LE46" s="3"/>
      <c r="LF46" s="3"/>
      <c r="LG46" s="3"/>
      <c r="LH46" s="3"/>
      <c r="LI46" s="3"/>
      <c r="LJ46" s="3"/>
      <c r="LK46" s="3">
        <v>0</v>
      </c>
      <c r="LL46" s="3">
        <v>0</v>
      </c>
      <c r="LM46" s="3">
        <v>0</v>
      </c>
      <c r="LN46" s="3">
        <v>0</v>
      </c>
      <c r="LO46" s="3">
        <v>0</v>
      </c>
      <c r="LP46" s="3"/>
      <c r="LQ46" s="3"/>
      <c r="LR46" s="3"/>
      <c r="LS46" s="3"/>
      <c r="LT46" s="3"/>
    </row>
    <row r="47" spans="1:332" x14ac:dyDescent="0.25">
      <c r="A47" t="s">
        <v>685</v>
      </c>
      <c r="B47" t="s">
        <v>686</v>
      </c>
      <c r="C47" t="s">
        <v>199</v>
      </c>
      <c r="D47" t="s">
        <v>200</v>
      </c>
      <c r="E47" t="s">
        <v>324</v>
      </c>
      <c r="F47" t="s">
        <v>325</v>
      </c>
      <c r="G47" t="s">
        <v>755</v>
      </c>
      <c r="H47" s="3">
        <v>22113000</v>
      </c>
      <c r="I47" s="3">
        <v>45805000</v>
      </c>
      <c r="J47" s="3">
        <v>0</v>
      </c>
      <c r="K47" s="3">
        <v>0</v>
      </c>
      <c r="L47" s="3">
        <v>67918000</v>
      </c>
      <c r="M47" s="3">
        <v>22113000</v>
      </c>
      <c r="N47" s="3">
        <v>45805000</v>
      </c>
      <c r="O47" s="3">
        <v>0</v>
      </c>
      <c r="P47" s="3">
        <v>0</v>
      </c>
      <c r="Q47" s="3">
        <v>67918000</v>
      </c>
      <c r="R47" s="3">
        <v>22113000</v>
      </c>
      <c r="S47" s="3">
        <v>45805000</v>
      </c>
      <c r="T47" s="3">
        <v>0</v>
      </c>
      <c r="U47" s="3">
        <v>0</v>
      </c>
      <c r="V47" s="3">
        <v>67918000</v>
      </c>
      <c r="W47" s="3">
        <v>22113000</v>
      </c>
      <c r="X47" s="3">
        <v>45205000</v>
      </c>
      <c r="Y47" s="3">
        <v>0</v>
      </c>
      <c r="Z47" s="3">
        <v>0</v>
      </c>
      <c r="AA47" s="3">
        <v>67318000</v>
      </c>
      <c r="AB47" s="3">
        <v>22113000</v>
      </c>
      <c r="AC47" s="3">
        <v>45205000</v>
      </c>
      <c r="AD47" s="3">
        <v>0</v>
      </c>
      <c r="AE47" s="3">
        <v>0</v>
      </c>
      <c r="AF47" s="3">
        <v>67318000</v>
      </c>
      <c r="AG47" s="3">
        <v>18406370.719999999</v>
      </c>
      <c r="AH47" s="3">
        <v>42792315.439999998</v>
      </c>
      <c r="AI47" s="3">
        <v>0</v>
      </c>
      <c r="AJ47" s="3">
        <v>0</v>
      </c>
      <c r="AK47" s="3">
        <v>61198686.159999996</v>
      </c>
      <c r="AL47" s="3">
        <v>16435337.720000001</v>
      </c>
      <c r="AM47" s="3">
        <v>35746382.619999997</v>
      </c>
      <c r="AN47" s="3">
        <v>0</v>
      </c>
      <c r="AO47" s="3">
        <v>0</v>
      </c>
      <c r="AP47" s="3">
        <v>52181720.340000004</v>
      </c>
      <c r="AQ47" s="3">
        <v>20746000</v>
      </c>
      <c r="AR47" s="3">
        <v>40484000</v>
      </c>
      <c r="AS47" s="3">
        <v>0</v>
      </c>
      <c r="AT47" s="3">
        <v>0</v>
      </c>
      <c r="AU47" s="3">
        <v>61230000</v>
      </c>
      <c r="AV47" s="3">
        <v>20746000</v>
      </c>
      <c r="AW47" s="3">
        <v>40484000</v>
      </c>
      <c r="AX47" s="3">
        <v>0</v>
      </c>
      <c r="AY47" s="3">
        <v>0</v>
      </c>
      <c r="AZ47" s="3">
        <v>61230000</v>
      </c>
      <c r="BA47" s="3">
        <v>20746000</v>
      </c>
      <c r="BB47" s="3">
        <v>40484000</v>
      </c>
      <c r="BC47" s="3">
        <v>0</v>
      </c>
      <c r="BD47" s="3">
        <v>0</v>
      </c>
      <c r="BE47" s="3">
        <v>61230000</v>
      </c>
      <c r="BF47" s="3">
        <v>21746000</v>
      </c>
      <c r="BG47" s="3">
        <v>39484000</v>
      </c>
      <c r="BH47" s="3">
        <v>0</v>
      </c>
      <c r="BI47" s="3">
        <v>0</v>
      </c>
      <c r="BJ47" s="3">
        <v>61230000</v>
      </c>
      <c r="BK47" s="3">
        <v>21746000</v>
      </c>
      <c r="BL47" s="3">
        <v>39484000</v>
      </c>
      <c r="BM47" s="3">
        <v>0</v>
      </c>
      <c r="BN47" s="3">
        <v>0</v>
      </c>
      <c r="BO47" s="3">
        <v>61230000</v>
      </c>
      <c r="BP47" s="3">
        <v>21654254.07</v>
      </c>
      <c r="BQ47" s="3">
        <v>36471032.810000002</v>
      </c>
      <c r="BR47" s="3">
        <v>0</v>
      </c>
      <c r="BS47" s="3">
        <v>0</v>
      </c>
      <c r="BT47" s="3">
        <v>58125286.880000003</v>
      </c>
      <c r="BU47" s="3">
        <v>13944124.359999999</v>
      </c>
      <c r="BV47" s="3">
        <v>28347933.93</v>
      </c>
      <c r="BW47" s="3">
        <v>0</v>
      </c>
      <c r="BX47" s="3">
        <v>0</v>
      </c>
      <c r="BY47" s="3">
        <v>42292058.289999999</v>
      </c>
      <c r="BZ47" s="3">
        <v>20558000</v>
      </c>
      <c r="CA47" s="3">
        <v>40388000</v>
      </c>
      <c r="CB47" s="3">
        <v>0</v>
      </c>
      <c r="CC47" s="3">
        <v>0</v>
      </c>
      <c r="CD47" s="3">
        <v>60946000</v>
      </c>
      <c r="CE47" s="3">
        <v>20558000</v>
      </c>
      <c r="CF47" s="3">
        <v>40388000</v>
      </c>
      <c r="CG47" s="3">
        <v>0</v>
      </c>
      <c r="CH47" s="3">
        <v>0</v>
      </c>
      <c r="CI47" s="3">
        <v>60946000</v>
      </c>
      <c r="CJ47" s="3">
        <v>20558000</v>
      </c>
      <c r="CK47" s="3">
        <v>40388000</v>
      </c>
      <c r="CL47" s="3">
        <v>0</v>
      </c>
      <c r="CM47" s="3">
        <v>0</v>
      </c>
      <c r="CN47" s="3">
        <v>60946000</v>
      </c>
      <c r="CO47" s="3">
        <v>20558000</v>
      </c>
      <c r="CP47" s="3">
        <v>30802392</v>
      </c>
      <c r="CQ47" s="3">
        <v>0</v>
      </c>
      <c r="CR47" s="3">
        <v>5630000</v>
      </c>
      <c r="CS47" s="3">
        <v>56990392</v>
      </c>
      <c r="CT47" s="3">
        <v>20558000</v>
      </c>
      <c r="CU47" s="3">
        <v>30802392</v>
      </c>
      <c r="CV47" s="3">
        <v>0</v>
      </c>
      <c r="CW47" s="3">
        <v>5630000</v>
      </c>
      <c r="CX47" s="3">
        <v>56990392</v>
      </c>
      <c r="CY47" s="3">
        <v>20556311.739999998</v>
      </c>
      <c r="CZ47" s="3">
        <v>20823142.98</v>
      </c>
      <c r="DA47" s="3">
        <v>0</v>
      </c>
      <c r="DB47" s="3">
        <v>0</v>
      </c>
      <c r="DC47" s="3">
        <v>41379454.719999999</v>
      </c>
      <c r="DD47" s="3">
        <v>20420729.129999999</v>
      </c>
      <c r="DE47" s="3">
        <v>15881044.01</v>
      </c>
      <c r="DF47" s="3">
        <v>0</v>
      </c>
      <c r="DG47" s="3">
        <v>0</v>
      </c>
      <c r="DH47" s="3">
        <v>36301773.140000001</v>
      </c>
      <c r="DI47" s="3">
        <v>22328000</v>
      </c>
      <c r="DJ47" s="3">
        <v>41115000</v>
      </c>
      <c r="DK47" s="3">
        <v>0</v>
      </c>
      <c r="DL47" s="3">
        <v>0</v>
      </c>
      <c r="DM47" s="3">
        <v>63443000</v>
      </c>
      <c r="DN47" s="3">
        <v>22328000</v>
      </c>
      <c r="DO47" s="3">
        <v>41115000</v>
      </c>
      <c r="DP47" s="3">
        <v>0</v>
      </c>
      <c r="DQ47" s="3">
        <v>0</v>
      </c>
      <c r="DR47" s="3">
        <v>63443000</v>
      </c>
      <c r="DS47" s="3">
        <v>22328000</v>
      </c>
      <c r="DT47" s="3">
        <v>41115000</v>
      </c>
      <c r="DU47" s="3">
        <v>0</v>
      </c>
      <c r="DV47" s="3">
        <v>0</v>
      </c>
      <c r="DW47" s="3">
        <v>63443000</v>
      </c>
      <c r="DX47" s="3">
        <v>22328000</v>
      </c>
      <c r="DY47" s="3">
        <v>41115000</v>
      </c>
      <c r="DZ47" s="3">
        <v>0</v>
      </c>
      <c r="EA47" s="3">
        <v>0</v>
      </c>
      <c r="EB47" s="3">
        <v>63443000</v>
      </c>
      <c r="EC47" s="3">
        <v>22328000</v>
      </c>
      <c r="ED47" s="3">
        <v>41115000</v>
      </c>
      <c r="EE47" s="3">
        <v>0</v>
      </c>
      <c r="EF47" s="3">
        <v>0</v>
      </c>
      <c r="EG47" s="3">
        <v>63443000</v>
      </c>
      <c r="EH47" s="3">
        <v>22327429.550000001</v>
      </c>
      <c r="EI47" s="3">
        <v>32858742.5</v>
      </c>
      <c r="EJ47" s="3">
        <v>0</v>
      </c>
      <c r="EK47" s="3">
        <v>0</v>
      </c>
      <c r="EL47" s="3">
        <v>55186172.049999997</v>
      </c>
      <c r="EM47" s="3">
        <v>21593312.120000001</v>
      </c>
      <c r="EN47" s="3">
        <v>23829185.440000001</v>
      </c>
      <c r="EO47" s="3">
        <v>0</v>
      </c>
      <c r="EP47" s="3">
        <v>0</v>
      </c>
      <c r="EQ47" s="3">
        <v>45422497.560000002</v>
      </c>
      <c r="ER47" s="3">
        <v>24787000</v>
      </c>
      <c r="ES47" s="3">
        <v>41115000</v>
      </c>
      <c r="ET47" s="3">
        <v>0</v>
      </c>
      <c r="EU47" s="3">
        <v>0</v>
      </c>
      <c r="EV47" s="3">
        <v>65902000</v>
      </c>
      <c r="EW47" s="3">
        <v>24787000</v>
      </c>
      <c r="EX47" s="3">
        <v>41115000</v>
      </c>
      <c r="EY47" s="3">
        <v>0</v>
      </c>
      <c r="EZ47" s="3">
        <v>0</v>
      </c>
      <c r="FA47" s="3">
        <v>65902000</v>
      </c>
      <c r="FB47" s="3">
        <v>24787000</v>
      </c>
      <c r="FC47" s="3">
        <v>41115000</v>
      </c>
      <c r="FD47" s="3">
        <v>0</v>
      </c>
      <c r="FE47" s="3">
        <v>0</v>
      </c>
      <c r="FF47" s="3">
        <v>65902000</v>
      </c>
      <c r="FG47" s="3">
        <v>24787000</v>
      </c>
      <c r="FH47" s="3">
        <v>41115000</v>
      </c>
      <c r="FI47" s="3">
        <v>0</v>
      </c>
      <c r="FJ47" s="3">
        <v>0</v>
      </c>
      <c r="FK47" s="3">
        <v>65902000</v>
      </c>
      <c r="FL47" s="3">
        <v>24787000</v>
      </c>
      <c r="FM47" s="3">
        <v>41115000</v>
      </c>
      <c r="FN47" s="3">
        <v>0</v>
      </c>
      <c r="FO47" s="3">
        <v>0</v>
      </c>
      <c r="FP47" s="3">
        <v>65902000</v>
      </c>
      <c r="FQ47" s="3">
        <v>24786567.190000001</v>
      </c>
      <c r="FR47" s="3">
        <v>39597454</v>
      </c>
      <c r="FS47" s="3">
        <v>0</v>
      </c>
      <c r="FT47" s="3">
        <v>0</v>
      </c>
      <c r="FU47" s="3">
        <v>64384021.189999998</v>
      </c>
      <c r="FV47" s="3">
        <v>23973898.859999999</v>
      </c>
      <c r="FW47" s="3">
        <v>32226927.84</v>
      </c>
      <c r="FX47" s="3">
        <v>0</v>
      </c>
      <c r="FY47" s="3">
        <v>0</v>
      </c>
      <c r="FZ47" s="3">
        <v>56200826.700000003</v>
      </c>
      <c r="GA47" s="3">
        <v>27599000</v>
      </c>
      <c r="GB47" s="3">
        <v>42608000</v>
      </c>
      <c r="GC47" s="3">
        <v>0</v>
      </c>
      <c r="GD47" s="3">
        <v>0</v>
      </c>
      <c r="GE47" s="3">
        <v>70207000</v>
      </c>
      <c r="GF47" s="3">
        <v>27599000</v>
      </c>
      <c r="GG47" s="3">
        <v>42608000</v>
      </c>
      <c r="GH47" s="3">
        <v>0</v>
      </c>
      <c r="GI47" s="3">
        <v>0</v>
      </c>
      <c r="GJ47" s="3">
        <v>70207000</v>
      </c>
      <c r="GK47" s="3">
        <v>27599000</v>
      </c>
      <c r="GL47" s="3">
        <v>42608000</v>
      </c>
      <c r="GM47" s="3">
        <v>0</v>
      </c>
      <c r="GN47" s="3">
        <v>0</v>
      </c>
      <c r="GO47" s="3">
        <v>70207000</v>
      </c>
      <c r="GP47" s="3">
        <v>27599000</v>
      </c>
      <c r="GQ47" s="3">
        <v>42608000</v>
      </c>
      <c r="GR47" s="3">
        <v>0</v>
      </c>
      <c r="GS47" s="3">
        <v>0</v>
      </c>
      <c r="GT47" s="3">
        <v>70207000</v>
      </c>
      <c r="GU47" s="3">
        <v>27599000</v>
      </c>
      <c r="GV47" s="3">
        <v>42608000</v>
      </c>
      <c r="GW47" s="3">
        <v>0</v>
      </c>
      <c r="GX47" s="3">
        <v>0</v>
      </c>
      <c r="GY47" s="3">
        <v>70207000</v>
      </c>
      <c r="GZ47" s="3">
        <v>27598982.129999999</v>
      </c>
      <c r="HA47" s="3">
        <v>41366215.350000001</v>
      </c>
      <c r="HB47" s="3">
        <v>0</v>
      </c>
      <c r="HC47" s="3">
        <v>0</v>
      </c>
      <c r="HD47" s="3">
        <v>68965197.480000004</v>
      </c>
      <c r="HE47" s="3">
        <v>27474181.960000001</v>
      </c>
      <c r="HF47" s="3">
        <v>33484479.670000002</v>
      </c>
      <c r="HG47" s="3">
        <v>0</v>
      </c>
      <c r="HH47" s="3">
        <v>0</v>
      </c>
      <c r="HI47" s="3">
        <v>60958661.630000003</v>
      </c>
      <c r="HJ47" s="3">
        <v>28430000</v>
      </c>
      <c r="HK47" s="3">
        <v>43375000</v>
      </c>
      <c r="HL47" s="3">
        <v>0</v>
      </c>
      <c r="HM47" s="3">
        <v>0</v>
      </c>
      <c r="HN47" s="3">
        <v>71805000</v>
      </c>
      <c r="HO47" s="3">
        <v>28430000</v>
      </c>
      <c r="HP47" s="3">
        <v>43375000</v>
      </c>
      <c r="HQ47" s="3">
        <v>0</v>
      </c>
      <c r="HR47" s="3">
        <v>0</v>
      </c>
      <c r="HS47" s="3">
        <v>71805000</v>
      </c>
      <c r="HT47" s="3">
        <v>28430000</v>
      </c>
      <c r="HU47" s="3">
        <v>43375000</v>
      </c>
      <c r="HV47" s="3">
        <v>0</v>
      </c>
      <c r="HW47" s="3">
        <v>0</v>
      </c>
      <c r="HX47" s="3">
        <v>71805000</v>
      </c>
      <c r="HY47" s="3">
        <v>29170000</v>
      </c>
      <c r="HZ47" s="3">
        <v>42635000</v>
      </c>
      <c r="IA47" s="3">
        <v>0</v>
      </c>
      <c r="IB47" s="3">
        <v>0</v>
      </c>
      <c r="IC47" s="3">
        <v>71805000</v>
      </c>
      <c r="ID47" s="3">
        <v>29170000</v>
      </c>
      <c r="IE47" s="3">
        <v>42635000</v>
      </c>
      <c r="IF47" s="3">
        <v>0</v>
      </c>
      <c r="IG47" s="3">
        <v>0</v>
      </c>
      <c r="IH47" s="3">
        <v>71805000</v>
      </c>
      <c r="II47" s="3">
        <v>29169862.949999999</v>
      </c>
      <c r="IJ47" s="3">
        <v>38905145.039999999</v>
      </c>
      <c r="IK47" s="3">
        <v>0</v>
      </c>
      <c r="IL47" s="3">
        <v>0</v>
      </c>
      <c r="IM47" s="3">
        <v>68075007.989999995</v>
      </c>
      <c r="IN47" s="3">
        <v>28428974.18</v>
      </c>
      <c r="IO47" s="3">
        <v>29649242.039999999</v>
      </c>
      <c r="IP47" s="3">
        <v>0</v>
      </c>
      <c r="IQ47" s="3">
        <v>0</v>
      </c>
      <c r="IR47" s="3">
        <v>58078216.219999999</v>
      </c>
      <c r="IS47" s="3">
        <v>30054000</v>
      </c>
      <c r="IT47" s="3">
        <v>44156000</v>
      </c>
      <c r="IU47" s="3">
        <v>0</v>
      </c>
      <c r="IV47" s="3">
        <v>0</v>
      </c>
      <c r="IW47" s="3">
        <v>74210000</v>
      </c>
      <c r="IX47" s="3">
        <v>30054000</v>
      </c>
      <c r="IY47" s="3">
        <v>44156000</v>
      </c>
      <c r="IZ47" s="3">
        <v>0</v>
      </c>
      <c r="JA47" s="3">
        <v>0</v>
      </c>
      <c r="JB47" s="3">
        <v>74210000</v>
      </c>
      <c r="JC47" s="3">
        <v>30054000</v>
      </c>
      <c r="JD47" s="3">
        <v>44156000</v>
      </c>
      <c r="JE47" s="3">
        <v>0</v>
      </c>
      <c r="JF47" s="3">
        <v>0</v>
      </c>
      <c r="JG47" s="3">
        <v>74210000</v>
      </c>
      <c r="JH47" s="3">
        <v>31254000</v>
      </c>
      <c r="JI47" s="3">
        <v>42956000</v>
      </c>
      <c r="JJ47" s="3">
        <v>0</v>
      </c>
      <c r="JK47" s="3">
        <v>0</v>
      </c>
      <c r="JL47" s="3">
        <v>74210000</v>
      </c>
      <c r="JM47" s="3">
        <v>31254000</v>
      </c>
      <c r="JN47" s="3">
        <v>42956000</v>
      </c>
      <c r="JO47" s="3">
        <v>0</v>
      </c>
      <c r="JP47" s="3">
        <v>0</v>
      </c>
      <c r="JQ47" s="3">
        <v>74210000</v>
      </c>
      <c r="JR47" s="3">
        <v>31254000</v>
      </c>
      <c r="JS47" s="3">
        <v>42258511.590000004</v>
      </c>
      <c r="JT47" s="3">
        <v>0</v>
      </c>
      <c r="JU47" s="3">
        <v>0</v>
      </c>
      <c r="JV47" s="3">
        <v>73512511.590000004</v>
      </c>
      <c r="JW47" s="3">
        <v>31229976.399999999</v>
      </c>
      <c r="JX47" s="3">
        <v>36238039.93</v>
      </c>
      <c r="JY47" s="3">
        <v>0</v>
      </c>
      <c r="JZ47" s="3">
        <v>0</v>
      </c>
      <c r="KA47" s="3">
        <v>67468016.329999998</v>
      </c>
      <c r="KB47" s="3">
        <v>40902000</v>
      </c>
      <c r="KC47" s="3">
        <v>44951000</v>
      </c>
      <c r="KD47" s="3">
        <v>0</v>
      </c>
      <c r="KE47" s="3">
        <v>0</v>
      </c>
      <c r="KF47" s="3">
        <v>85853000</v>
      </c>
      <c r="KG47" s="3">
        <v>40902000</v>
      </c>
      <c r="KH47" s="3">
        <v>249930000</v>
      </c>
      <c r="KI47" s="3">
        <v>0</v>
      </c>
      <c r="KJ47" s="3">
        <v>0</v>
      </c>
      <c r="KK47" s="3">
        <v>290832000</v>
      </c>
      <c r="KL47" s="3"/>
      <c r="KM47" s="3"/>
      <c r="KN47" s="3"/>
      <c r="KO47" s="3"/>
      <c r="KP47" s="3"/>
      <c r="KQ47" s="3"/>
      <c r="KR47" s="3"/>
      <c r="KS47" s="3"/>
      <c r="KT47" s="3"/>
      <c r="KU47" s="3"/>
      <c r="KV47" s="3"/>
      <c r="KW47" s="3"/>
      <c r="KX47" s="3"/>
      <c r="KY47" s="3"/>
      <c r="KZ47" s="3"/>
      <c r="LA47" s="3"/>
      <c r="LB47" s="3"/>
      <c r="LC47" s="3"/>
      <c r="LD47" s="3"/>
      <c r="LE47" s="3"/>
      <c r="LF47" s="3"/>
      <c r="LG47" s="3"/>
      <c r="LH47" s="3"/>
      <c r="LI47" s="3"/>
      <c r="LJ47" s="3"/>
      <c r="LK47" s="3">
        <v>43012000</v>
      </c>
      <c r="LL47" s="3">
        <v>45760000</v>
      </c>
      <c r="LM47" s="3">
        <v>0</v>
      </c>
      <c r="LN47" s="3">
        <v>0</v>
      </c>
      <c r="LO47" s="3">
        <v>88772000</v>
      </c>
      <c r="LP47" s="3"/>
      <c r="LQ47" s="3"/>
      <c r="LR47" s="3"/>
      <c r="LS47" s="3"/>
      <c r="LT47" s="3"/>
    </row>
    <row r="48" spans="1:332" x14ac:dyDescent="0.25">
      <c r="A48" t="s">
        <v>685</v>
      </c>
      <c r="B48" t="s">
        <v>686</v>
      </c>
      <c r="C48" t="s">
        <v>199</v>
      </c>
      <c r="D48" t="s">
        <v>200</v>
      </c>
      <c r="E48" t="s">
        <v>335</v>
      </c>
      <c r="F48" t="s">
        <v>714</v>
      </c>
      <c r="G48" t="s">
        <v>756</v>
      </c>
      <c r="H48" s="3">
        <v>752939000</v>
      </c>
      <c r="I48" s="3">
        <v>138579000</v>
      </c>
      <c r="J48" s="3">
        <v>0</v>
      </c>
      <c r="K48" s="3">
        <v>0</v>
      </c>
      <c r="L48" s="3">
        <v>891518000</v>
      </c>
      <c r="M48" s="3">
        <v>752939000</v>
      </c>
      <c r="N48" s="3">
        <v>138579000</v>
      </c>
      <c r="O48" s="3">
        <v>0</v>
      </c>
      <c r="P48" s="3">
        <v>0</v>
      </c>
      <c r="Q48" s="3">
        <v>891518000</v>
      </c>
      <c r="R48" s="3">
        <v>752939000</v>
      </c>
      <c r="S48" s="3">
        <v>138579000</v>
      </c>
      <c r="T48" s="3">
        <v>0</v>
      </c>
      <c r="U48" s="3">
        <v>0</v>
      </c>
      <c r="V48" s="3">
        <v>891518000</v>
      </c>
      <c r="W48" s="3">
        <v>754540000</v>
      </c>
      <c r="X48" s="3">
        <v>130133846</v>
      </c>
      <c r="Y48" s="3">
        <v>0</v>
      </c>
      <c r="Z48" s="3">
        <v>0</v>
      </c>
      <c r="AA48" s="3">
        <v>884673846</v>
      </c>
      <c r="AB48" s="3">
        <v>754540000</v>
      </c>
      <c r="AC48" s="3">
        <v>130133846</v>
      </c>
      <c r="AD48" s="3">
        <v>0</v>
      </c>
      <c r="AE48" s="3">
        <v>0</v>
      </c>
      <c r="AF48" s="3">
        <v>884673846</v>
      </c>
      <c r="AG48" s="3">
        <v>744753406.69000006</v>
      </c>
      <c r="AH48" s="3">
        <v>117763912.97</v>
      </c>
      <c r="AI48" s="3">
        <v>0</v>
      </c>
      <c r="AJ48" s="3">
        <v>0</v>
      </c>
      <c r="AK48" s="3">
        <v>862517319.65999997</v>
      </c>
      <c r="AL48" s="3">
        <v>724537238.02999997</v>
      </c>
      <c r="AM48" s="3">
        <v>97918725.670000002</v>
      </c>
      <c r="AN48" s="3">
        <v>0</v>
      </c>
      <c r="AO48" s="3">
        <v>0</v>
      </c>
      <c r="AP48" s="3">
        <v>822455963.70000005</v>
      </c>
      <c r="AQ48" s="3">
        <v>829453000</v>
      </c>
      <c r="AR48" s="3">
        <v>141073000</v>
      </c>
      <c r="AS48" s="3">
        <v>0</v>
      </c>
      <c r="AT48" s="3">
        <v>0</v>
      </c>
      <c r="AU48" s="3">
        <v>970526000</v>
      </c>
      <c r="AV48" s="3">
        <v>829453000</v>
      </c>
      <c r="AW48" s="3">
        <v>141073000</v>
      </c>
      <c r="AX48" s="3">
        <v>0</v>
      </c>
      <c r="AY48" s="3">
        <v>0</v>
      </c>
      <c r="AZ48" s="3">
        <v>970526000</v>
      </c>
      <c r="BA48" s="3">
        <v>829453000</v>
      </c>
      <c r="BB48" s="3">
        <v>141073000</v>
      </c>
      <c r="BC48" s="3">
        <v>0</v>
      </c>
      <c r="BD48" s="3">
        <v>0</v>
      </c>
      <c r="BE48" s="3">
        <v>970526000</v>
      </c>
      <c r="BF48" s="3">
        <v>838252600</v>
      </c>
      <c r="BG48" s="3">
        <v>132273400</v>
      </c>
      <c r="BH48" s="3">
        <v>0</v>
      </c>
      <c r="BI48" s="3">
        <v>0</v>
      </c>
      <c r="BJ48" s="3">
        <v>970526000</v>
      </c>
      <c r="BK48" s="3">
        <v>838252600</v>
      </c>
      <c r="BL48" s="3">
        <v>132273400</v>
      </c>
      <c r="BM48" s="3">
        <v>0</v>
      </c>
      <c r="BN48" s="3">
        <v>0</v>
      </c>
      <c r="BO48" s="3">
        <v>970526000</v>
      </c>
      <c r="BP48" s="3">
        <v>833531556.79999995</v>
      </c>
      <c r="BQ48" s="3">
        <v>116641267.2</v>
      </c>
      <c r="BR48" s="3">
        <v>0</v>
      </c>
      <c r="BS48" s="3">
        <v>0</v>
      </c>
      <c r="BT48" s="3">
        <v>950172824</v>
      </c>
      <c r="BU48" s="3">
        <v>815533038.5</v>
      </c>
      <c r="BV48" s="3">
        <v>96135597.290000007</v>
      </c>
      <c r="BW48" s="3">
        <v>0</v>
      </c>
      <c r="BX48" s="3">
        <v>0</v>
      </c>
      <c r="BY48" s="3">
        <v>911668635.78999996</v>
      </c>
      <c r="BZ48" s="3">
        <v>839032000</v>
      </c>
      <c r="CA48" s="3">
        <v>140740000</v>
      </c>
      <c r="CB48" s="3">
        <v>0</v>
      </c>
      <c r="CC48" s="3">
        <v>0</v>
      </c>
      <c r="CD48" s="3">
        <v>979772000</v>
      </c>
      <c r="CE48" s="3">
        <v>839032000</v>
      </c>
      <c r="CF48" s="3">
        <v>140740000</v>
      </c>
      <c r="CG48" s="3">
        <v>0</v>
      </c>
      <c r="CH48" s="3">
        <v>0</v>
      </c>
      <c r="CI48" s="3">
        <v>979772000</v>
      </c>
      <c r="CJ48" s="3">
        <v>839032000</v>
      </c>
      <c r="CK48" s="3">
        <v>140740000</v>
      </c>
      <c r="CL48" s="3">
        <v>0</v>
      </c>
      <c r="CM48" s="3">
        <v>0</v>
      </c>
      <c r="CN48" s="3">
        <v>979772000</v>
      </c>
      <c r="CO48" s="3">
        <v>856682792</v>
      </c>
      <c r="CP48" s="3">
        <v>108774883</v>
      </c>
      <c r="CQ48" s="3">
        <v>0</v>
      </c>
      <c r="CR48" s="3">
        <v>0</v>
      </c>
      <c r="CS48" s="3">
        <v>965457675</v>
      </c>
      <c r="CT48" s="3">
        <v>856682792</v>
      </c>
      <c r="CU48" s="3">
        <v>108774883</v>
      </c>
      <c r="CV48" s="3">
        <v>0</v>
      </c>
      <c r="CW48" s="3">
        <v>0</v>
      </c>
      <c r="CX48" s="3">
        <v>965457675</v>
      </c>
      <c r="CY48" s="3">
        <v>848779510.29999995</v>
      </c>
      <c r="CZ48" s="3">
        <v>83395533.760000005</v>
      </c>
      <c r="DA48" s="3">
        <v>0</v>
      </c>
      <c r="DB48" s="3">
        <v>0</v>
      </c>
      <c r="DC48" s="3">
        <v>932175044.05999994</v>
      </c>
      <c r="DD48" s="3">
        <v>834378908.88</v>
      </c>
      <c r="DE48" s="3">
        <v>58459310.560000002</v>
      </c>
      <c r="DF48" s="3">
        <v>0</v>
      </c>
      <c r="DG48" s="3">
        <v>0</v>
      </c>
      <c r="DH48" s="3">
        <v>892838219.44000006</v>
      </c>
      <c r="DI48" s="3">
        <v>900584000</v>
      </c>
      <c r="DJ48" s="3">
        <v>143274000</v>
      </c>
      <c r="DK48" s="3">
        <v>0</v>
      </c>
      <c r="DL48" s="3">
        <v>0</v>
      </c>
      <c r="DM48" s="3">
        <v>1043858000</v>
      </c>
      <c r="DN48" s="3">
        <v>900584000</v>
      </c>
      <c r="DO48" s="3">
        <v>143274000</v>
      </c>
      <c r="DP48" s="3">
        <v>0</v>
      </c>
      <c r="DQ48" s="3">
        <v>0</v>
      </c>
      <c r="DR48" s="3">
        <v>1043858000</v>
      </c>
      <c r="DS48" s="3">
        <v>900584000</v>
      </c>
      <c r="DT48" s="3">
        <v>143274000</v>
      </c>
      <c r="DU48" s="3">
        <v>0</v>
      </c>
      <c r="DV48" s="3">
        <v>0</v>
      </c>
      <c r="DW48" s="3">
        <v>1043858000</v>
      </c>
      <c r="DX48" s="3">
        <v>916109243</v>
      </c>
      <c r="DY48" s="3">
        <v>127748757</v>
      </c>
      <c r="DZ48" s="3">
        <v>0</v>
      </c>
      <c r="EA48" s="3">
        <v>0</v>
      </c>
      <c r="EB48" s="3">
        <v>1043858000</v>
      </c>
      <c r="EC48" s="3">
        <v>916109243</v>
      </c>
      <c r="ED48" s="3">
        <v>127748757</v>
      </c>
      <c r="EE48" s="3">
        <v>0</v>
      </c>
      <c r="EF48" s="3">
        <v>0</v>
      </c>
      <c r="EG48" s="3">
        <v>1043858000</v>
      </c>
      <c r="EH48" s="3">
        <v>915648284.20000005</v>
      </c>
      <c r="EI48" s="3">
        <v>99432425.939999998</v>
      </c>
      <c r="EJ48" s="3">
        <v>0</v>
      </c>
      <c r="EK48" s="3">
        <v>0</v>
      </c>
      <c r="EL48" s="3">
        <v>1015080710.14</v>
      </c>
      <c r="EM48" s="3">
        <v>893930326.41999996</v>
      </c>
      <c r="EN48" s="3">
        <v>74284083.420000002</v>
      </c>
      <c r="EO48" s="3">
        <v>0</v>
      </c>
      <c r="EP48" s="3">
        <v>0</v>
      </c>
      <c r="EQ48" s="3">
        <v>968214409.84000003</v>
      </c>
      <c r="ER48" s="3">
        <v>977452000</v>
      </c>
      <c r="ES48" s="3">
        <v>143274000</v>
      </c>
      <c r="ET48" s="3">
        <v>0</v>
      </c>
      <c r="EU48" s="3">
        <v>0</v>
      </c>
      <c r="EV48" s="3">
        <v>1120726000</v>
      </c>
      <c r="EW48" s="3">
        <v>977452000</v>
      </c>
      <c r="EX48" s="3">
        <v>143274000</v>
      </c>
      <c r="EY48" s="3">
        <v>0</v>
      </c>
      <c r="EZ48" s="3">
        <v>0</v>
      </c>
      <c r="FA48" s="3">
        <v>1120726000</v>
      </c>
      <c r="FB48" s="3">
        <v>977452000</v>
      </c>
      <c r="FC48" s="3">
        <v>143274000</v>
      </c>
      <c r="FD48" s="3">
        <v>0</v>
      </c>
      <c r="FE48" s="3">
        <v>0</v>
      </c>
      <c r="FF48" s="3">
        <v>1120726000</v>
      </c>
      <c r="FG48" s="3">
        <v>989478085</v>
      </c>
      <c r="FH48" s="3">
        <v>131247915</v>
      </c>
      <c r="FI48" s="3">
        <v>0</v>
      </c>
      <c r="FJ48" s="3">
        <v>0</v>
      </c>
      <c r="FK48" s="3">
        <v>1120726000</v>
      </c>
      <c r="FL48" s="3">
        <v>989478085</v>
      </c>
      <c r="FM48" s="3">
        <v>131247915</v>
      </c>
      <c r="FN48" s="3">
        <v>0</v>
      </c>
      <c r="FO48" s="3">
        <v>0</v>
      </c>
      <c r="FP48" s="3">
        <v>1120726000</v>
      </c>
      <c r="FQ48" s="3">
        <v>989159458.58000004</v>
      </c>
      <c r="FR48" s="3">
        <v>124689434.11</v>
      </c>
      <c r="FS48" s="3">
        <v>0</v>
      </c>
      <c r="FT48" s="3">
        <v>0</v>
      </c>
      <c r="FU48" s="3">
        <v>1113848892.6900001</v>
      </c>
      <c r="FV48" s="3">
        <v>970414342.47000003</v>
      </c>
      <c r="FW48" s="3">
        <v>97335080.269999996</v>
      </c>
      <c r="FX48" s="3">
        <v>0</v>
      </c>
      <c r="FY48" s="3">
        <v>0</v>
      </c>
      <c r="FZ48" s="3">
        <v>1067749422.74</v>
      </c>
      <c r="GA48" s="3">
        <v>1025147000</v>
      </c>
      <c r="GB48" s="3">
        <v>148478000</v>
      </c>
      <c r="GC48" s="3">
        <v>0</v>
      </c>
      <c r="GD48" s="3">
        <v>0</v>
      </c>
      <c r="GE48" s="3">
        <v>1173625000</v>
      </c>
      <c r="GF48" s="3">
        <v>1025147000</v>
      </c>
      <c r="GG48" s="3">
        <v>148478000</v>
      </c>
      <c r="GH48" s="3">
        <v>0</v>
      </c>
      <c r="GI48" s="3">
        <v>0</v>
      </c>
      <c r="GJ48" s="3">
        <v>1173625000</v>
      </c>
      <c r="GK48" s="3">
        <v>1025147000</v>
      </c>
      <c r="GL48" s="3">
        <v>148478000</v>
      </c>
      <c r="GM48" s="3">
        <v>0</v>
      </c>
      <c r="GN48" s="3">
        <v>0</v>
      </c>
      <c r="GO48" s="3">
        <v>1173625000</v>
      </c>
      <c r="GP48" s="3">
        <v>1038451689</v>
      </c>
      <c r="GQ48" s="3">
        <v>135173311</v>
      </c>
      <c r="GR48" s="3">
        <v>0</v>
      </c>
      <c r="GS48" s="3">
        <v>0</v>
      </c>
      <c r="GT48" s="3">
        <v>1173625000</v>
      </c>
      <c r="GU48" s="3">
        <v>1038451689</v>
      </c>
      <c r="GV48" s="3">
        <v>135173311</v>
      </c>
      <c r="GW48" s="3">
        <v>0</v>
      </c>
      <c r="GX48" s="3">
        <v>0</v>
      </c>
      <c r="GY48" s="3">
        <v>1173625000</v>
      </c>
      <c r="GZ48" s="3">
        <v>1032090298.66</v>
      </c>
      <c r="HA48" s="3">
        <v>125902780.43000001</v>
      </c>
      <c r="HB48" s="3">
        <v>0</v>
      </c>
      <c r="HC48" s="3">
        <v>0</v>
      </c>
      <c r="HD48" s="3">
        <v>1157993079.0899999</v>
      </c>
      <c r="HE48" s="3">
        <v>1005727599.74</v>
      </c>
      <c r="HF48" s="3">
        <v>97106512.390000001</v>
      </c>
      <c r="HG48" s="3">
        <v>0</v>
      </c>
      <c r="HH48" s="3">
        <v>0</v>
      </c>
      <c r="HI48" s="3">
        <v>1102834112.1300001</v>
      </c>
      <c r="HJ48" s="3">
        <v>1049550000</v>
      </c>
      <c r="HK48" s="3">
        <v>151151000</v>
      </c>
      <c r="HL48" s="3">
        <v>0</v>
      </c>
      <c r="HM48" s="3">
        <v>0</v>
      </c>
      <c r="HN48" s="3">
        <v>1200701000</v>
      </c>
      <c r="HO48" s="3">
        <v>1049550000</v>
      </c>
      <c r="HP48" s="3">
        <v>178151000</v>
      </c>
      <c r="HQ48" s="3">
        <v>0</v>
      </c>
      <c r="HR48" s="3">
        <v>0</v>
      </c>
      <c r="HS48" s="3">
        <v>1227701000</v>
      </c>
      <c r="HT48" s="3">
        <v>1049550000</v>
      </c>
      <c r="HU48" s="3">
        <v>178151000</v>
      </c>
      <c r="HV48" s="3">
        <v>0</v>
      </c>
      <c r="HW48" s="3">
        <v>0</v>
      </c>
      <c r="HX48" s="3">
        <v>1227701000</v>
      </c>
      <c r="HY48" s="3">
        <v>1076751414</v>
      </c>
      <c r="HZ48" s="3">
        <v>150938886</v>
      </c>
      <c r="IA48" s="3">
        <v>0</v>
      </c>
      <c r="IB48" s="3">
        <v>0</v>
      </c>
      <c r="IC48" s="3">
        <v>1227690300</v>
      </c>
      <c r="ID48" s="3">
        <v>1076751414</v>
      </c>
      <c r="IE48" s="3">
        <v>150938886</v>
      </c>
      <c r="IF48" s="3">
        <v>0</v>
      </c>
      <c r="IG48" s="3">
        <v>0</v>
      </c>
      <c r="IH48" s="3">
        <v>1227690300</v>
      </c>
      <c r="II48" s="3">
        <v>1076751414</v>
      </c>
      <c r="IJ48" s="3">
        <v>129162070.40000001</v>
      </c>
      <c r="IK48" s="3">
        <v>0</v>
      </c>
      <c r="IL48" s="3">
        <v>0</v>
      </c>
      <c r="IM48" s="3">
        <v>1205913484.4000001</v>
      </c>
      <c r="IN48" s="3">
        <v>1010190803.89</v>
      </c>
      <c r="IO48" s="3">
        <v>94530558.390000001</v>
      </c>
      <c r="IP48" s="3">
        <v>0</v>
      </c>
      <c r="IQ48" s="3">
        <v>0</v>
      </c>
      <c r="IR48" s="3">
        <v>1104721362.28</v>
      </c>
      <c r="IS48" s="3">
        <v>1011433000</v>
      </c>
      <c r="IT48" s="3">
        <v>153872000</v>
      </c>
      <c r="IU48" s="3">
        <v>0</v>
      </c>
      <c r="IV48" s="3">
        <v>0</v>
      </c>
      <c r="IW48" s="3">
        <v>1165305000</v>
      </c>
      <c r="IX48" s="3">
        <v>1011433000</v>
      </c>
      <c r="IY48" s="3">
        <v>153872000</v>
      </c>
      <c r="IZ48" s="3">
        <v>0</v>
      </c>
      <c r="JA48" s="3">
        <v>0</v>
      </c>
      <c r="JB48" s="3">
        <v>1165305000</v>
      </c>
      <c r="JC48" s="3">
        <v>1011433000</v>
      </c>
      <c r="JD48" s="3">
        <v>153872000</v>
      </c>
      <c r="JE48" s="3">
        <v>0</v>
      </c>
      <c r="JF48" s="3">
        <v>0</v>
      </c>
      <c r="JG48" s="3">
        <v>1165305000</v>
      </c>
      <c r="JH48" s="3">
        <v>1013374322</v>
      </c>
      <c r="JI48" s="3">
        <v>151930678</v>
      </c>
      <c r="JJ48" s="3">
        <v>0</v>
      </c>
      <c r="JK48" s="3">
        <v>0</v>
      </c>
      <c r="JL48" s="3">
        <v>1165305000</v>
      </c>
      <c r="JM48" s="3">
        <v>1013374322</v>
      </c>
      <c r="JN48" s="3">
        <v>151930678</v>
      </c>
      <c r="JO48" s="3">
        <v>0</v>
      </c>
      <c r="JP48" s="3">
        <v>0</v>
      </c>
      <c r="JQ48" s="3">
        <v>1165305000</v>
      </c>
      <c r="JR48" s="3">
        <v>1013374322</v>
      </c>
      <c r="JS48" s="3">
        <v>132625214.88</v>
      </c>
      <c r="JT48" s="3">
        <v>0</v>
      </c>
      <c r="JU48" s="3">
        <v>0</v>
      </c>
      <c r="JV48" s="3">
        <v>1145999536.8800001</v>
      </c>
      <c r="JW48" s="3">
        <v>988543718.47000003</v>
      </c>
      <c r="JX48" s="3">
        <v>92990599.569999993</v>
      </c>
      <c r="JY48" s="3">
        <v>0</v>
      </c>
      <c r="JZ48" s="3">
        <v>0</v>
      </c>
      <c r="KA48" s="3">
        <v>1081534318.04</v>
      </c>
      <c r="KB48" s="3">
        <v>1173466000</v>
      </c>
      <c r="KC48" s="3">
        <v>156642000</v>
      </c>
      <c r="KD48" s="3">
        <v>0</v>
      </c>
      <c r="KE48" s="3">
        <v>0</v>
      </c>
      <c r="KF48" s="3">
        <v>1330108000</v>
      </c>
      <c r="KG48" s="3">
        <v>1173466000</v>
      </c>
      <c r="KH48" s="3">
        <v>156642000</v>
      </c>
      <c r="KI48" s="3">
        <v>0</v>
      </c>
      <c r="KJ48" s="3">
        <v>160000000</v>
      </c>
      <c r="KK48" s="3">
        <v>1490108000</v>
      </c>
      <c r="KL48" s="3"/>
      <c r="KM48" s="3"/>
      <c r="KN48" s="3"/>
      <c r="KO48" s="3"/>
      <c r="KP48" s="3"/>
      <c r="KQ48" s="3"/>
      <c r="KR48" s="3"/>
      <c r="KS48" s="3"/>
      <c r="KT48" s="3"/>
      <c r="KU48" s="3"/>
      <c r="KV48" s="3"/>
      <c r="KW48" s="3"/>
      <c r="KX48" s="3"/>
      <c r="KY48" s="3"/>
      <c r="KZ48" s="3"/>
      <c r="LA48" s="3"/>
      <c r="LB48" s="3"/>
      <c r="LC48" s="3"/>
      <c r="LD48" s="3"/>
      <c r="LE48" s="3"/>
      <c r="LF48" s="3"/>
      <c r="LG48" s="3"/>
      <c r="LH48" s="3"/>
      <c r="LI48" s="3"/>
      <c r="LJ48" s="3"/>
      <c r="LK48" s="3">
        <v>1223833000</v>
      </c>
      <c r="LL48" s="3">
        <v>159462000</v>
      </c>
      <c r="LM48" s="3">
        <v>0</v>
      </c>
      <c r="LN48" s="3">
        <v>0</v>
      </c>
      <c r="LO48" s="3">
        <v>1383295000</v>
      </c>
      <c r="LP48" s="3"/>
      <c r="LQ48" s="3"/>
      <c r="LR48" s="3"/>
      <c r="LS48" s="3"/>
      <c r="LT48" s="3"/>
    </row>
    <row r="49" spans="1:332" x14ac:dyDescent="0.25">
      <c r="A49" t="s">
        <v>685</v>
      </c>
      <c r="B49" t="s">
        <v>686</v>
      </c>
      <c r="C49" t="s">
        <v>199</v>
      </c>
      <c r="D49" t="s">
        <v>200</v>
      </c>
      <c r="E49" t="s">
        <v>335</v>
      </c>
      <c r="F49" t="s">
        <v>715</v>
      </c>
      <c r="G49" t="s">
        <v>757</v>
      </c>
      <c r="H49" s="3">
        <v>14455000</v>
      </c>
      <c r="I49" s="3">
        <v>23889000</v>
      </c>
      <c r="J49" s="3">
        <v>0</v>
      </c>
      <c r="K49" s="3">
        <v>0</v>
      </c>
      <c r="L49" s="3">
        <v>38344000</v>
      </c>
      <c r="M49" s="3">
        <v>14455000</v>
      </c>
      <c r="N49" s="3">
        <v>23889000</v>
      </c>
      <c r="O49" s="3">
        <v>0</v>
      </c>
      <c r="P49" s="3">
        <v>0</v>
      </c>
      <c r="Q49" s="3">
        <v>38344000</v>
      </c>
      <c r="R49" s="3">
        <v>14455000</v>
      </c>
      <c r="S49" s="3">
        <v>23889000</v>
      </c>
      <c r="T49" s="3">
        <v>0</v>
      </c>
      <c r="U49" s="3">
        <v>0</v>
      </c>
      <c r="V49" s="3">
        <v>38344000</v>
      </c>
      <c r="W49" s="3">
        <v>14455000</v>
      </c>
      <c r="X49" s="3">
        <v>23589000</v>
      </c>
      <c r="Y49" s="3">
        <v>0</v>
      </c>
      <c r="Z49" s="3">
        <v>0</v>
      </c>
      <c r="AA49" s="3">
        <v>38044000</v>
      </c>
      <c r="AB49" s="3">
        <v>14455000</v>
      </c>
      <c r="AC49" s="3">
        <v>23589000</v>
      </c>
      <c r="AD49" s="3">
        <v>0</v>
      </c>
      <c r="AE49" s="3">
        <v>0</v>
      </c>
      <c r="AF49" s="3">
        <v>38044000</v>
      </c>
      <c r="AG49" s="3">
        <v>13466578.41</v>
      </c>
      <c r="AH49" s="3">
        <v>22447518.940000001</v>
      </c>
      <c r="AI49" s="3">
        <v>0</v>
      </c>
      <c r="AJ49" s="3">
        <v>0</v>
      </c>
      <c r="AK49" s="3">
        <v>35914097.350000001</v>
      </c>
      <c r="AL49" s="3">
        <v>13077992.130000001</v>
      </c>
      <c r="AM49" s="3">
        <v>18995746.140000001</v>
      </c>
      <c r="AN49" s="3">
        <v>0</v>
      </c>
      <c r="AO49" s="3">
        <v>0</v>
      </c>
      <c r="AP49" s="3">
        <v>32073738.27</v>
      </c>
      <c r="AQ49" s="3">
        <v>16318000</v>
      </c>
      <c r="AR49" s="3">
        <v>24318000</v>
      </c>
      <c r="AS49" s="3">
        <v>0</v>
      </c>
      <c r="AT49" s="3">
        <v>0</v>
      </c>
      <c r="AU49" s="3">
        <v>40636000</v>
      </c>
      <c r="AV49" s="3">
        <v>16318000</v>
      </c>
      <c r="AW49" s="3">
        <v>24318000</v>
      </c>
      <c r="AX49" s="3">
        <v>0</v>
      </c>
      <c r="AY49" s="3">
        <v>0</v>
      </c>
      <c r="AZ49" s="3">
        <v>40636000</v>
      </c>
      <c r="BA49" s="3">
        <v>16318000</v>
      </c>
      <c r="BB49" s="3">
        <v>24318000</v>
      </c>
      <c r="BC49" s="3">
        <v>0</v>
      </c>
      <c r="BD49" s="3">
        <v>0</v>
      </c>
      <c r="BE49" s="3">
        <v>40636000</v>
      </c>
      <c r="BF49" s="3">
        <v>16318000000</v>
      </c>
      <c r="BG49" s="3">
        <v>24318000</v>
      </c>
      <c r="BH49" s="3">
        <v>0</v>
      </c>
      <c r="BI49" s="3">
        <v>0</v>
      </c>
      <c r="BJ49" s="3">
        <v>16342318000</v>
      </c>
      <c r="BK49" s="3">
        <v>16318000</v>
      </c>
      <c r="BL49" s="3">
        <v>24318000</v>
      </c>
      <c r="BM49" s="3">
        <v>0</v>
      </c>
      <c r="BN49" s="3">
        <v>0</v>
      </c>
      <c r="BO49" s="3">
        <v>40636000</v>
      </c>
      <c r="BP49" s="3">
        <v>16313967.49</v>
      </c>
      <c r="BQ49" s="3">
        <v>23316386.300000001</v>
      </c>
      <c r="BR49" s="3">
        <v>0</v>
      </c>
      <c r="BS49" s="3">
        <v>0</v>
      </c>
      <c r="BT49" s="3">
        <v>39630353.789999999</v>
      </c>
      <c r="BU49" s="3">
        <v>15135650.460000001</v>
      </c>
      <c r="BV49" s="3">
        <v>17531053.399999999</v>
      </c>
      <c r="BW49" s="3">
        <v>0</v>
      </c>
      <c r="BX49" s="3">
        <v>0</v>
      </c>
      <c r="BY49" s="3">
        <v>32666703.859999999</v>
      </c>
      <c r="BZ49" s="3">
        <v>15292000</v>
      </c>
      <c r="CA49" s="3">
        <v>24262000</v>
      </c>
      <c r="CB49" s="3">
        <v>0</v>
      </c>
      <c r="CC49" s="3">
        <v>0</v>
      </c>
      <c r="CD49" s="3">
        <v>39554000</v>
      </c>
      <c r="CE49" s="3">
        <v>15292000</v>
      </c>
      <c r="CF49" s="3">
        <v>24262000</v>
      </c>
      <c r="CG49" s="3">
        <v>0</v>
      </c>
      <c r="CH49" s="3">
        <v>0</v>
      </c>
      <c r="CI49" s="3">
        <v>39554000</v>
      </c>
      <c r="CJ49" s="3">
        <v>15292000</v>
      </c>
      <c r="CK49" s="3">
        <v>24262000</v>
      </c>
      <c r="CL49" s="3">
        <v>0</v>
      </c>
      <c r="CM49" s="3">
        <v>0</v>
      </c>
      <c r="CN49" s="3">
        <v>39554000</v>
      </c>
      <c r="CO49" s="3">
        <v>15292000</v>
      </c>
      <c r="CP49" s="3">
        <v>20211964</v>
      </c>
      <c r="CQ49" s="3">
        <v>0</v>
      </c>
      <c r="CR49" s="3">
        <v>0</v>
      </c>
      <c r="CS49" s="3">
        <v>35503964</v>
      </c>
      <c r="CT49" s="3">
        <v>15292000</v>
      </c>
      <c r="CU49" s="3">
        <v>20211964</v>
      </c>
      <c r="CV49" s="3">
        <v>0</v>
      </c>
      <c r="CW49" s="3">
        <v>0</v>
      </c>
      <c r="CX49" s="3">
        <v>35503964</v>
      </c>
      <c r="CY49" s="3">
        <v>14878457.98</v>
      </c>
      <c r="CZ49" s="3">
        <v>11533516.07</v>
      </c>
      <c r="DA49" s="3">
        <v>0</v>
      </c>
      <c r="DB49" s="3">
        <v>0</v>
      </c>
      <c r="DC49" s="3">
        <v>26411974.050000001</v>
      </c>
      <c r="DD49" s="3">
        <v>14643202.91</v>
      </c>
      <c r="DE49" s="3">
        <v>8701287.4600000009</v>
      </c>
      <c r="DF49" s="3">
        <v>0</v>
      </c>
      <c r="DG49" s="3">
        <v>0</v>
      </c>
      <c r="DH49" s="3">
        <v>23344490.370000001</v>
      </c>
      <c r="DI49" s="3">
        <v>12971000</v>
      </c>
      <c r="DJ49" s="3">
        <v>24698000</v>
      </c>
      <c r="DK49" s="3">
        <v>0</v>
      </c>
      <c r="DL49" s="3">
        <v>0</v>
      </c>
      <c r="DM49" s="3">
        <v>37669000</v>
      </c>
      <c r="DN49" s="3">
        <v>12971000</v>
      </c>
      <c r="DO49" s="3">
        <v>24698000</v>
      </c>
      <c r="DP49" s="3">
        <v>0</v>
      </c>
      <c r="DQ49" s="3">
        <v>0</v>
      </c>
      <c r="DR49" s="3">
        <v>37669000</v>
      </c>
      <c r="DS49" s="3">
        <v>12971000</v>
      </c>
      <c r="DT49" s="3">
        <v>24698000</v>
      </c>
      <c r="DU49" s="3">
        <v>0</v>
      </c>
      <c r="DV49" s="3">
        <v>0</v>
      </c>
      <c r="DW49" s="3">
        <v>37669000</v>
      </c>
      <c r="DX49" s="3">
        <v>13971000</v>
      </c>
      <c r="DY49" s="3">
        <v>23698000</v>
      </c>
      <c r="DZ49" s="3">
        <v>0</v>
      </c>
      <c r="EA49" s="3">
        <v>0</v>
      </c>
      <c r="EB49" s="3">
        <v>37669000</v>
      </c>
      <c r="EC49" s="3">
        <v>13971000</v>
      </c>
      <c r="ED49" s="3">
        <v>23698000</v>
      </c>
      <c r="EE49" s="3">
        <v>0</v>
      </c>
      <c r="EF49" s="3">
        <v>0</v>
      </c>
      <c r="EG49" s="3">
        <v>37669000</v>
      </c>
      <c r="EH49" s="3">
        <v>13970914.789999999</v>
      </c>
      <c r="EI49" s="3">
        <v>19213081.329999998</v>
      </c>
      <c r="EJ49" s="3">
        <v>0</v>
      </c>
      <c r="EK49" s="3">
        <v>0</v>
      </c>
      <c r="EL49" s="3">
        <v>33183996.120000001</v>
      </c>
      <c r="EM49" s="3">
        <v>13411183.83</v>
      </c>
      <c r="EN49" s="3">
        <v>14143904.92</v>
      </c>
      <c r="EO49" s="3">
        <v>0</v>
      </c>
      <c r="EP49" s="3">
        <v>0</v>
      </c>
      <c r="EQ49" s="3">
        <v>27555088.75</v>
      </c>
      <c r="ER49" s="3">
        <v>12813000</v>
      </c>
      <c r="ES49" s="3">
        <v>24698000</v>
      </c>
      <c r="ET49" s="3">
        <v>0</v>
      </c>
      <c r="EU49" s="3">
        <v>0</v>
      </c>
      <c r="EV49" s="3">
        <v>37511000</v>
      </c>
      <c r="EW49" s="3">
        <v>12813000</v>
      </c>
      <c r="EX49" s="3">
        <v>24698000</v>
      </c>
      <c r="EY49" s="3">
        <v>0</v>
      </c>
      <c r="EZ49" s="3">
        <v>0</v>
      </c>
      <c r="FA49" s="3">
        <v>37511000</v>
      </c>
      <c r="FB49" s="3">
        <v>12813000</v>
      </c>
      <c r="FC49" s="3">
        <v>24698000</v>
      </c>
      <c r="FD49" s="3">
        <v>0</v>
      </c>
      <c r="FE49" s="3">
        <v>0</v>
      </c>
      <c r="FF49" s="3">
        <v>37511000</v>
      </c>
      <c r="FG49" s="3">
        <v>12813000</v>
      </c>
      <c r="FH49" s="3">
        <v>24698000</v>
      </c>
      <c r="FI49" s="3">
        <v>0</v>
      </c>
      <c r="FJ49" s="3">
        <v>0</v>
      </c>
      <c r="FK49" s="3">
        <v>37511000</v>
      </c>
      <c r="FL49" s="3">
        <v>12813000</v>
      </c>
      <c r="FM49" s="3">
        <v>24698000</v>
      </c>
      <c r="FN49" s="3">
        <v>0</v>
      </c>
      <c r="FO49" s="3">
        <v>0</v>
      </c>
      <c r="FP49" s="3">
        <v>37511000</v>
      </c>
      <c r="FQ49" s="3">
        <v>12812756.4</v>
      </c>
      <c r="FR49" s="3">
        <v>23218798.210000001</v>
      </c>
      <c r="FS49" s="3">
        <v>0</v>
      </c>
      <c r="FT49" s="3">
        <v>0</v>
      </c>
      <c r="FU49" s="3">
        <v>36031554.609999999</v>
      </c>
      <c r="FV49" s="3">
        <v>12048942.890000001</v>
      </c>
      <c r="FW49" s="3">
        <v>18558531.890000001</v>
      </c>
      <c r="FX49" s="3">
        <v>0</v>
      </c>
      <c r="FY49" s="3">
        <v>0</v>
      </c>
      <c r="FZ49" s="3">
        <v>30607474.780000001</v>
      </c>
      <c r="GA49" s="3">
        <v>16618000</v>
      </c>
      <c r="GB49" s="3">
        <v>25596000</v>
      </c>
      <c r="GC49" s="3">
        <v>0</v>
      </c>
      <c r="GD49" s="3">
        <v>0</v>
      </c>
      <c r="GE49" s="3">
        <v>42214000</v>
      </c>
      <c r="GF49" s="3">
        <v>16618000</v>
      </c>
      <c r="GG49" s="3">
        <v>25596000</v>
      </c>
      <c r="GH49" s="3">
        <v>0</v>
      </c>
      <c r="GI49" s="3">
        <v>0</v>
      </c>
      <c r="GJ49" s="3">
        <v>42214000</v>
      </c>
      <c r="GK49" s="3">
        <v>16618000</v>
      </c>
      <c r="GL49" s="3">
        <v>25596000</v>
      </c>
      <c r="GM49" s="3">
        <v>0</v>
      </c>
      <c r="GN49" s="3">
        <v>0</v>
      </c>
      <c r="GO49" s="3">
        <v>42214000</v>
      </c>
      <c r="GP49" s="3">
        <v>16618000</v>
      </c>
      <c r="GQ49" s="3">
        <v>25596000</v>
      </c>
      <c r="GR49" s="3">
        <v>0</v>
      </c>
      <c r="GS49" s="3">
        <v>0</v>
      </c>
      <c r="GT49" s="3">
        <v>42214000</v>
      </c>
      <c r="GU49" s="3">
        <v>16618000</v>
      </c>
      <c r="GV49" s="3">
        <v>25596000</v>
      </c>
      <c r="GW49" s="3">
        <v>0</v>
      </c>
      <c r="GX49" s="3">
        <v>0</v>
      </c>
      <c r="GY49" s="3">
        <v>42214000</v>
      </c>
      <c r="GZ49" s="3">
        <v>16616915.029999999</v>
      </c>
      <c r="HA49" s="3">
        <v>23551171.199999999</v>
      </c>
      <c r="HB49" s="3">
        <v>0</v>
      </c>
      <c r="HC49" s="3">
        <v>0</v>
      </c>
      <c r="HD49" s="3">
        <v>40168086.229999997</v>
      </c>
      <c r="HE49" s="3">
        <v>16603172.58</v>
      </c>
      <c r="HF49" s="3">
        <v>23335403.68</v>
      </c>
      <c r="HG49" s="3">
        <v>0</v>
      </c>
      <c r="HH49" s="3">
        <v>0</v>
      </c>
      <c r="HI49" s="3">
        <v>39938576.259999998</v>
      </c>
      <c r="HJ49" s="3">
        <v>16780000</v>
      </c>
      <c r="HK49" s="3">
        <v>26057000</v>
      </c>
      <c r="HL49" s="3">
        <v>0</v>
      </c>
      <c r="HM49" s="3">
        <v>0</v>
      </c>
      <c r="HN49" s="3">
        <v>42837000</v>
      </c>
      <c r="HO49" s="3">
        <v>16780000</v>
      </c>
      <c r="HP49" s="3">
        <v>26057000</v>
      </c>
      <c r="HQ49" s="3">
        <v>0</v>
      </c>
      <c r="HR49" s="3">
        <v>0</v>
      </c>
      <c r="HS49" s="3">
        <v>42837000</v>
      </c>
      <c r="HT49" s="3">
        <v>16780000</v>
      </c>
      <c r="HU49" s="3">
        <v>26057000</v>
      </c>
      <c r="HV49" s="3">
        <v>0</v>
      </c>
      <c r="HW49" s="3">
        <v>0</v>
      </c>
      <c r="HX49" s="3">
        <v>42837000</v>
      </c>
      <c r="HY49" s="3">
        <v>18280000</v>
      </c>
      <c r="HZ49" s="3">
        <v>24557000</v>
      </c>
      <c r="IA49" s="3">
        <v>0</v>
      </c>
      <c r="IB49" s="3">
        <v>0</v>
      </c>
      <c r="IC49" s="3">
        <v>42837000</v>
      </c>
      <c r="ID49" s="3">
        <v>18280000</v>
      </c>
      <c r="IE49" s="3">
        <v>24557000</v>
      </c>
      <c r="IF49" s="3">
        <v>0</v>
      </c>
      <c r="IG49" s="3">
        <v>0</v>
      </c>
      <c r="IH49" s="3">
        <v>42837000</v>
      </c>
      <c r="II49" s="3">
        <v>18279781.780000001</v>
      </c>
      <c r="IJ49" s="3">
        <v>23714789.550000001</v>
      </c>
      <c r="IK49" s="3">
        <v>0</v>
      </c>
      <c r="IL49" s="3">
        <v>0</v>
      </c>
      <c r="IM49" s="3">
        <v>41994571.329999998</v>
      </c>
      <c r="IN49" s="3">
        <v>16773970.539999999</v>
      </c>
      <c r="IO49" s="3">
        <v>19112262.920000002</v>
      </c>
      <c r="IP49" s="3">
        <v>0</v>
      </c>
      <c r="IQ49" s="3">
        <v>0</v>
      </c>
      <c r="IR49" s="3">
        <v>35886233.460000001</v>
      </c>
      <c r="IS49" s="3">
        <v>16993000</v>
      </c>
      <c r="IT49" s="3">
        <v>26526000</v>
      </c>
      <c r="IU49" s="3">
        <v>0</v>
      </c>
      <c r="IV49" s="3">
        <v>0</v>
      </c>
      <c r="IW49" s="3">
        <v>43519000</v>
      </c>
      <c r="IX49" s="3">
        <v>16993000</v>
      </c>
      <c r="IY49" s="3">
        <v>26526000</v>
      </c>
      <c r="IZ49" s="3">
        <v>0</v>
      </c>
      <c r="JA49" s="3">
        <v>0</v>
      </c>
      <c r="JB49" s="3">
        <v>43519000</v>
      </c>
      <c r="JC49" s="3">
        <v>16993000</v>
      </c>
      <c r="JD49" s="3">
        <v>26526000</v>
      </c>
      <c r="JE49" s="3">
        <v>0</v>
      </c>
      <c r="JF49" s="3">
        <v>0</v>
      </c>
      <c r="JG49" s="3">
        <v>43519000</v>
      </c>
      <c r="JH49" s="3">
        <v>16993000</v>
      </c>
      <c r="JI49" s="3">
        <v>26526000</v>
      </c>
      <c r="JJ49" s="3">
        <v>0</v>
      </c>
      <c r="JK49" s="3">
        <v>0</v>
      </c>
      <c r="JL49" s="3">
        <v>43519000</v>
      </c>
      <c r="JM49" s="3">
        <v>16993000</v>
      </c>
      <c r="JN49" s="3">
        <v>26526000</v>
      </c>
      <c r="JO49" s="3">
        <v>0</v>
      </c>
      <c r="JP49" s="3">
        <v>0</v>
      </c>
      <c r="JQ49" s="3">
        <v>43519000</v>
      </c>
      <c r="JR49" s="3">
        <v>16993000</v>
      </c>
      <c r="JS49" s="3">
        <v>23477485.379999999</v>
      </c>
      <c r="JT49" s="3">
        <v>0</v>
      </c>
      <c r="JU49" s="3">
        <v>0</v>
      </c>
      <c r="JV49" s="3">
        <v>40470485.380000003</v>
      </c>
      <c r="JW49" s="3">
        <v>16351335.73</v>
      </c>
      <c r="JX49" s="3">
        <v>19291582.559999999</v>
      </c>
      <c r="JY49" s="3">
        <v>0</v>
      </c>
      <c r="JZ49" s="3">
        <v>0</v>
      </c>
      <c r="KA49" s="3">
        <v>35642918.289999999</v>
      </c>
      <c r="KB49" s="3">
        <v>18785000</v>
      </c>
      <c r="KC49" s="3">
        <v>27003000</v>
      </c>
      <c r="KD49" s="3">
        <v>0</v>
      </c>
      <c r="KE49" s="3">
        <v>0</v>
      </c>
      <c r="KF49" s="3">
        <v>45788000</v>
      </c>
      <c r="KG49" s="3">
        <v>18785000</v>
      </c>
      <c r="KH49" s="3">
        <v>27003000</v>
      </c>
      <c r="KI49" s="3">
        <v>0</v>
      </c>
      <c r="KJ49" s="3">
        <v>0</v>
      </c>
      <c r="KK49" s="3">
        <v>45788000</v>
      </c>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v>21948000</v>
      </c>
      <c r="LL49" s="3">
        <v>27489000</v>
      </c>
      <c r="LM49" s="3">
        <v>0</v>
      </c>
      <c r="LN49" s="3">
        <v>0</v>
      </c>
      <c r="LO49" s="3">
        <v>49437000</v>
      </c>
      <c r="LP49" s="3"/>
      <c r="LQ49" s="3"/>
      <c r="LR49" s="3"/>
      <c r="LS49" s="3"/>
      <c r="LT49" s="3"/>
    </row>
    <row r="50" spans="1:332" x14ac:dyDescent="0.25">
      <c r="A50" t="s">
        <v>685</v>
      </c>
      <c r="B50" t="s">
        <v>686</v>
      </c>
      <c r="C50" t="s">
        <v>555</v>
      </c>
      <c r="D50" t="s">
        <v>716</v>
      </c>
      <c r="E50" t="s">
        <v>201</v>
      </c>
      <c r="F50" t="s">
        <v>202</v>
      </c>
      <c r="G50" t="s">
        <v>203</v>
      </c>
      <c r="H50" s="3">
        <v>9475000</v>
      </c>
      <c r="I50" s="3">
        <v>11085000</v>
      </c>
      <c r="J50" s="3">
        <v>0</v>
      </c>
      <c r="K50" s="3">
        <v>5345000</v>
      </c>
      <c r="L50" s="3">
        <v>25905000</v>
      </c>
      <c r="M50" s="3">
        <v>9475000</v>
      </c>
      <c r="N50" s="3">
        <v>11085000</v>
      </c>
      <c r="O50" s="3">
        <v>0</v>
      </c>
      <c r="P50" s="3">
        <v>5345000</v>
      </c>
      <c r="Q50" s="3">
        <v>25905000</v>
      </c>
      <c r="R50" s="3"/>
      <c r="S50" s="3"/>
      <c r="T50" s="3"/>
      <c r="U50" s="3"/>
      <c r="V50" s="3"/>
      <c r="W50" s="3"/>
      <c r="X50" s="3"/>
      <c r="Y50" s="3"/>
      <c r="Z50" s="3"/>
      <c r="AA50" s="3"/>
      <c r="AB50" s="3"/>
      <c r="AC50" s="3"/>
      <c r="AD50" s="3"/>
      <c r="AE50" s="3"/>
      <c r="AF50" s="3"/>
      <c r="AG50" s="3"/>
      <c r="AH50" s="3"/>
      <c r="AI50" s="3"/>
      <c r="AJ50" s="3"/>
      <c r="AK50" s="3"/>
      <c r="AL50" s="3"/>
      <c r="AM50" s="3"/>
      <c r="AN50" s="3"/>
      <c r="AO50" s="3"/>
      <c r="AP50" s="3"/>
      <c r="AQ50" s="3">
        <v>11642000</v>
      </c>
      <c r="AR50" s="3">
        <v>11928000</v>
      </c>
      <c r="AS50" s="3">
        <v>0</v>
      </c>
      <c r="AT50" s="3">
        <v>8600000</v>
      </c>
      <c r="AU50" s="3">
        <v>32170000</v>
      </c>
      <c r="AV50" s="3">
        <v>11642000</v>
      </c>
      <c r="AW50" s="3">
        <v>11928000</v>
      </c>
      <c r="AX50" s="3">
        <v>0</v>
      </c>
      <c r="AY50" s="3">
        <v>8600000</v>
      </c>
      <c r="AZ50" s="3">
        <v>32170000</v>
      </c>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v>11375000</v>
      </c>
      <c r="CA50" s="3">
        <v>11506000</v>
      </c>
      <c r="CB50" s="3">
        <v>0</v>
      </c>
      <c r="CC50" s="3">
        <v>4399000</v>
      </c>
      <c r="CD50" s="3">
        <v>27280000</v>
      </c>
      <c r="CE50" s="3">
        <v>11375000</v>
      </c>
      <c r="CF50" s="3">
        <v>11506000</v>
      </c>
      <c r="CG50" s="3">
        <v>0</v>
      </c>
      <c r="CH50" s="3">
        <v>4399000</v>
      </c>
      <c r="CI50" s="3">
        <v>27280000</v>
      </c>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v>10299000</v>
      </c>
      <c r="DJ50" s="3">
        <v>13292000</v>
      </c>
      <c r="DK50" s="3">
        <v>0</v>
      </c>
      <c r="DL50" s="3">
        <v>615000</v>
      </c>
      <c r="DM50" s="3">
        <v>24206000</v>
      </c>
      <c r="DN50" s="3">
        <v>10299000</v>
      </c>
      <c r="DO50" s="3">
        <v>23292000</v>
      </c>
      <c r="DP50" s="3">
        <v>0</v>
      </c>
      <c r="DQ50" s="3">
        <v>615000</v>
      </c>
      <c r="DR50" s="3">
        <v>34206000</v>
      </c>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v>15351000</v>
      </c>
      <c r="ES50" s="3">
        <v>14070000</v>
      </c>
      <c r="ET50" s="3">
        <v>0</v>
      </c>
      <c r="EU50" s="3">
        <v>0</v>
      </c>
      <c r="EV50" s="3">
        <v>29421000</v>
      </c>
      <c r="EW50" s="3">
        <v>15351000</v>
      </c>
      <c r="EX50" s="3">
        <v>14070000</v>
      </c>
      <c r="EY50" s="3">
        <v>0</v>
      </c>
      <c r="EZ50" s="3">
        <v>0</v>
      </c>
      <c r="FA50" s="3">
        <v>29421000</v>
      </c>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v>18697000</v>
      </c>
      <c r="GB50" s="3">
        <v>13909000</v>
      </c>
      <c r="GC50" s="3">
        <v>0</v>
      </c>
      <c r="GD50" s="3">
        <v>0</v>
      </c>
      <c r="GE50" s="3">
        <v>32606000</v>
      </c>
      <c r="GF50" s="3">
        <v>18697000</v>
      </c>
      <c r="GG50" s="3">
        <v>16149000</v>
      </c>
      <c r="GH50" s="3">
        <v>0</v>
      </c>
      <c r="GI50" s="3">
        <v>4386000</v>
      </c>
      <c r="GJ50" s="3">
        <v>39232000</v>
      </c>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v>24675000</v>
      </c>
      <c r="HK50" s="3">
        <v>12922000</v>
      </c>
      <c r="HL50" s="3">
        <v>0</v>
      </c>
      <c r="HM50" s="3">
        <v>1600000</v>
      </c>
      <c r="HN50" s="3">
        <v>39197000</v>
      </c>
      <c r="HO50" s="3">
        <v>24675000</v>
      </c>
      <c r="HP50" s="3">
        <v>17247000</v>
      </c>
      <c r="HQ50" s="3">
        <v>0</v>
      </c>
      <c r="HR50" s="3">
        <v>2275000</v>
      </c>
      <c r="HS50" s="3">
        <v>44197000</v>
      </c>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v>28197000</v>
      </c>
      <c r="IT50" s="3">
        <v>13328000</v>
      </c>
      <c r="IU50" s="3">
        <v>0</v>
      </c>
      <c r="IV50" s="3">
        <v>1800000</v>
      </c>
      <c r="IW50" s="3">
        <v>43325000</v>
      </c>
      <c r="IX50" s="3">
        <v>28197000</v>
      </c>
      <c r="IY50" s="3">
        <v>13328000</v>
      </c>
      <c r="IZ50" s="3">
        <v>0</v>
      </c>
      <c r="JA50" s="3">
        <v>1800000</v>
      </c>
      <c r="JB50" s="3">
        <v>43325000</v>
      </c>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v>33405000</v>
      </c>
      <c r="KC50" s="3">
        <v>13610000</v>
      </c>
      <c r="KD50" s="3">
        <v>0</v>
      </c>
      <c r="KE50" s="3">
        <v>5978000</v>
      </c>
      <c r="KF50" s="3">
        <v>52993000</v>
      </c>
      <c r="KG50" s="3">
        <v>33405000</v>
      </c>
      <c r="KH50" s="3">
        <v>13610000</v>
      </c>
      <c r="KI50" s="3">
        <v>0</v>
      </c>
      <c r="KJ50" s="3">
        <v>5978000</v>
      </c>
      <c r="KK50" s="3">
        <v>52993000</v>
      </c>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v>36604000</v>
      </c>
      <c r="LL50" s="3">
        <v>13641000</v>
      </c>
      <c r="LM50" s="3">
        <v>0</v>
      </c>
      <c r="LN50" s="3">
        <v>0</v>
      </c>
      <c r="LO50" s="3">
        <v>50245000</v>
      </c>
      <c r="LP50" s="3"/>
      <c r="LQ50" s="3"/>
      <c r="LR50" s="3"/>
      <c r="LS50" s="3"/>
      <c r="LT50" s="3"/>
    </row>
    <row r="51" spans="1:332" x14ac:dyDescent="0.25">
      <c r="A51" t="s">
        <v>685</v>
      </c>
      <c r="B51" t="s">
        <v>686</v>
      </c>
      <c r="C51" t="s">
        <v>555</v>
      </c>
      <c r="D51" t="s">
        <v>716</v>
      </c>
      <c r="E51" t="s">
        <v>217</v>
      </c>
      <c r="F51" t="s">
        <v>218</v>
      </c>
      <c r="G51" t="s">
        <v>767</v>
      </c>
      <c r="H51" s="3">
        <v>9360000</v>
      </c>
      <c r="I51" s="3">
        <v>30450000</v>
      </c>
      <c r="J51" s="3">
        <v>0</v>
      </c>
      <c r="K51" s="3">
        <v>50000</v>
      </c>
      <c r="L51" s="3">
        <v>39860000</v>
      </c>
      <c r="M51" s="3">
        <v>9360000</v>
      </c>
      <c r="N51" s="3">
        <v>59569000</v>
      </c>
      <c r="O51" s="3">
        <v>0</v>
      </c>
      <c r="P51" s="3">
        <v>50000</v>
      </c>
      <c r="Q51" s="3">
        <v>68979000</v>
      </c>
      <c r="R51" s="3"/>
      <c r="S51" s="3"/>
      <c r="T51" s="3"/>
      <c r="U51" s="3"/>
      <c r="V51" s="3"/>
      <c r="W51" s="3"/>
      <c r="X51" s="3"/>
      <c r="Y51" s="3"/>
      <c r="Z51" s="3"/>
      <c r="AA51" s="3"/>
      <c r="AB51" s="3"/>
      <c r="AC51" s="3"/>
      <c r="AD51" s="3"/>
      <c r="AE51" s="3"/>
      <c r="AF51" s="3"/>
      <c r="AG51" s="3"/>
      <c r="AH51" s="3"/>
      <c r="AI51" s="3"/>
      <c r="AJ51" s="3"/>
      <c r="AK51" s="3"/>
      <c r="AL51" s="3"/>
      <c r="AM51" s="3"/>
      <c r="AN51" s="3"/>
      <c r="AO51" s="3"/>
      <c r="AP51" s="3"/>
      <c r="AQ51" s="3">
        <v>6023000</v>
      </c>
      <c r="AR51" s="3">
        <v>30253000</v>
      </c>
      <c r="AS51" s="3">
        <v>0</v>
      </c>
      <c r="AT51" s="3">
        <v>0</v>
      </c>
      <c r="AU51" s="3">
        <v>36276000</v>
      </c>
      <c r="AV51" s="3">
        <v>6023000</v>
      </c>
      <c r="AW51" s="3">
        <v>30253000</v>
      </c>
      <c r="AX51" s="3">
        <v>0</v>
      </c>
      <c r="AY51" s="3">
        <v>0</v>
      </c>
      <c r="AZ51" s="3">
        <v>36276000</v>
      </c>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v>6042000</v>
      </c>
      <c r="CA51" s="3">
        <v>29893000</v>
      </c>
      <c r="CB51" s="3">
        <v>0</v>
      </c>
      <c r="CC51" s="3">
        <v>0</v>
      </c>
      <c r="CD51" s="3">
        <v>35935000</v>
      </c>
      <c r="CE51" s="3">
        <v>6042000</v>
      </c>
      <c r="CF51" s="3">
        <v>76073000</v>
      </c>
      <c r="CG51" s="3">
        <v>0</v>
      </c>
      <c r="CH51" s="3">
        <v>8776000</v>
      </c>
      <c r="CI51" s="3">
        <v>90891000</v>
      </c>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v>6960000</v>
      </c>
      <c r="DJ51" s="3">
        <v>30432000</v>
      </c>
      <c r="DK51" s="3">
        <v>0</v>
      </c>
      <c r="DL51" s="3">
        <v>0</v>
      </c>
      <c r="DM51" s="3">
        <v>37392000</v>
      </c>
      <c r="DN51" s="3">
        <v>6960000</v>
      </c>
      <c r="DO51" s="3">
        <v>30432000</v>
      </c>
      <c r="DP51" s="3">
        <v>0</v>
      </c>
      <c r="DQ51" s="3">
        <v>0</v>
      </c>
      <c r="DR51" s="3">
        <v>37392000</v>
      </c>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v>6209000</v>
      </c>
      <c r="ES51" s="3">
        <v>34169000</v>
      </c>
      <c r="ET51" s="3">
        <v>0</v>
      </c>
      <c r="EU51" s="3">
        <v>1195000</v>
      </c>
      <c r="EV51" s="3">
        <v>41573000</v>
      </c>
      <c r="EW51" s="3">
        <v>6209000</v>
      </c>
      <c r="EX51" s="3">
        <v>39469000</v>
      </c>
      <c r="EY51" s="3">
        <v>0</v>
      </c>
      <c r="EZ51" s="3">
        <v>1195000</v>
      </c>
      <c r="FA51" s="3">
        <v>46873000</v>
      </c>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v>10189000</v>
      </c>
      <c r="GB51" s="3">
        <v>33130000</v>
      </c>
      <c r="GC51" s="3">
        <v>0</v>
      </c>
      <c r="GD51" s="3">
        <v>953000</v>
      </c>
      <c r="GE51" s="3">
        <v>44272000</v>
      </c>
      <c r="GF51" s="3">
        <v>10189000</v>
      </c>
      <c r="GG51" s="3">
        <v>72523000</v>
      </c>
      <c r="GH51" s="3">
        <v>0</v>
      </c>
      <c r="GI51" s="3">
        <v>2483000</v>
      </c>
      <c r="GJ51" s="3">
        <v>85195000</v>
      </c>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v>11783000</v>
      </c>
      <c r="HK51" s="3">
        <v>31263000</v>
      </c>
      <c r="HL51" s="3">
        <v>0</v>
      </c>
      <c r="HM51" s="3">
        <v>11842000</v>
      </c>
      <c r="HN51" s="3">
        <v>54888000</v>
      </c>
      <c r="HO51" s="3">
        <v>11783000</v>
      </c>
      <c r="HP51" s="3">
        <v>51263000</v>
      </c>
      <c r="HQ51" s="3">
        <v>0</v>
      </c>
      <c r="HR51" s="3">
        <v>16842000</v>
      </c>
      <c r="HS51" s="3">
        <v>79888000</v>
      </c>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v>11435000</v>
      </c>
      <c r="IT51" s="3">
        <v>62843000</v>
      </c>
      <c r="IU51" s="3">
        <v>0</v>
      </c>
      <c r="IV51" s="3">
        <v>12410000</v>
      </c>
      <c r="IW51" s="3">
        <v>86688000</v>
      </c>
      <c r="IX51" s="3">
        <v>11435000</v>
      </c>
      <c r="IY51" s="3">
        <v>62843000</v>
      </c>
      <c r="IZ51" s="3">
        <v>0</v>
      </c>
      <c r="JA51" s="3">
        <v>12410000</v>
      </c>
      <c r="JB51" s="3">
        <v>86688000</v>
      </c>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v>13512000</v>
      </c>
      <c r="KC51" s="3">
        <v>95638000</v>
      </c>
      <c r="KD51" s="3">
        <v>0</v>
      </c>
      <c r="KE51" s="3">
        <v>14620000</v>
      </c>
      <c r="KF51" s="3">
        <v>123770000</v>
      </c>
      <c r="KG51" s="3">
        <v>13512000</v>
      </c>
      <c r="KH51" s="3">
        <v>95638000</v>
      </c>
      <c r="KI51" s="3">
        <v>0</v>
      </c>
      <c r="KJ51" s="3">
        <v>14620000</v>
      </c>
      <c r="KK51" s="3">
        <v>123770000</v>
      </c>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v>13890000</v>
      </c>
      <c r="LL51" s="3">
        <v>45807000</v>
      </c>
      <c r="LM51" s="3">
        <v>0</v>
      </c>
      <c r="LN51" s="3">
        <v>0</v>
      </c>
      <c r="LO51" s="3">
        <v>59697000</v>
      </c>
      <c r="LP51" s="3"/>
      <c r="LQ51" s="3"/>
      <c r="LR51" s="3"/>
      <c r="LS51" s="3"/>
      <c r="LT51" s="3"/>
    </row>
    <row r="52" spans="1:332" x14ac:dyDescent="0.25">
      <c r="A52" t="s">
        <v>685</v>
      </c>
      <c r="B52" t="s">
        <v>686</v>
      </c>
      <c r="C52" t="s">
        <v>555</v>
      </c>
      <c r="D52" t="s">
        <v>716</v>
      </c>
      <c r="E52" t="s">
        <v>217</v>
      </c>
      <c r="F52" t="s">
        <v>618</v>
      </c>
      <c r="G52" t="s">
        <v>806</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v>0</v>
      </c>
      <c r="ES52" s="3">
        <v>0</v>
      </c>
      <c r="ET52" s="3">
        <v>0</v>
      </c>
      <c r="EU52" s="3">
        <v>0</v>
      </c>
      <c r="EV52" s="3">
        <v>0</v>
      </c>
      <c r="EW52" s="3">
        <v>0</v>
      </c>
      <c r="EX52" s="3">
        <v>4000000</v>
      </c>
      <c r="EY52" s="3">
        <v>0</v>
      </c>
      <c r="EZ52" s="3">
        <v>1200000</v>
      </c>
      <c r="FA52" s="3">
        <v>5200000</v>
      </c>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v>0</v>
      </c>
      <c r="GB52" s="3">
        <v>0</v>
      </c>
      <c r="GC52" s="3">
        <v>0</v>
      </c>
      <c r="GD52" s="3">
        <v>0</v>
      </c>
      <c r="GE52" s="3">
        <v>0</v>
      </c>
      <c r="GF52" s="3">
        <v>0</v>
      </c>
      <c r="GG52" s="3">
        <v>11933000</v>
      </c>
      <c r="GH52" s="3">
        <v>0</v>
      </c>
      <c r="GI52" s="3">
        <v>650000</v>
      </c>
      <c r="GJ52" s="3">
        <v>12583000</v>
      </c>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row>
    <row r="53" spans="1:332" x14ac:dyDescent="0.25">
      <c r="A53" t="s">
        <v>685</v>
      </c>
      <c r="B53" t="s">
        <v>686</v>
      </c>
      <c r="C53" t="s">
        <v>555</v>
      </c>
      <c r="D53" t="s">
        <v>716</v>
      </c>
      <c r="E53" t="s">
        <v>217</v>
      </c>
      <c r="F53" t="s">
        <v>642</v>
      </c>
      <c r="G53" t="s">
        <v>768</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v>0</v>
      </c>
      <c r="HK53" s="3">
        <v>0</v>
      </c>
      <c r="HL53" s="3">
        <v>0</v>
      </c>
      <c r="HM53" s="3">
        <v>0</v>
      </c>
      <c r="HN53" s="3">
        <v>0</v>
      </c>
      <c r="HO53" s="3">
        <v>0</v>
      </c>
      <c r="HP53" s="3">
        <v>15000000</v>
      </c>
      <c r="HQ53" s="3">
        <v>0</v>
      </c>
      <c r="HR53" s="3">
        <v>5000000</v>
      </c>
      <c r="HS53" s="3">
        <v>20000000</v>
      </c>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v>0</v>
      </c>
      <c r="IT53" s="3">
        <v>16602000</v>
      </c>
      <c r="IU53" s="3">
        <v>0</v>
      </c>
      <c r="IV53" s="3">
        <v>0</v>
      </c>
      <c r="IW53" s="3">
        <v>16602000</v>
      </c>
      <c r="IX53" s="3">
        <v>0</v>
      </c>
      <c r="IY53" s="3">
        <v>16602000</v>
      </c>
      <c r="IZ53" s="3">
        <v>0</v>
      </c>
      <c r="JA53" s="3">
        <v>0</v>
      </c>
      <c r="JB53" s="3">
        <v>16602000</v>
      </c>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v>0</v>
      </c>
      <c r="KC53" s="3">
        <v>25862000</v>
      </c>
      <c r="KD53" s="3">
        <v>0</v>
      </c>
      <c r="KE53" s="3">
        <v>0</v>
      </c>
      <c r="KF53" s="3">
        <v>25862000</v>
      </c>
      <c r="KG53" s="3">
        <v>0</v>
      </c>
      <c r="KH53" s="3">
        <v>25862000</v>
      </c>
      <c r="KI53" s="3">
        <v>0</v>
      </c>
      <c r="KJ53" s="3">
        <v>0</v>
      </c>
      <c r="KK53" s="3">
        <v>25862000</v>
      </c>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v>0</v>
      </c>
      <c r="LL53" s="3">
        <v>26328000</v>
      </c>
      <c r="LM53" s="3">
        <v>0</v>
      </c>
      <c r="LN53" s="3">
        <v>0</v>
      </c>
      <c r="LO53" s="3">
        <v>26328000</v>
      </c>
      <c r="LP53" s="3"/>
      <c r="LQ53" s="3"/>
      <c r="LR53" s="3"/>
      <c r="LS53" s="3"/>
      <c r="LT53" s="3"/>
    </row>
    <row r="54" spans="1:332" x14ac:dyDescent="0.25">
      <c r="A54" t="s">
        <v>685</v>
      </c>
      <c r="B54" t="s">
        <v>686</v>
      </c>
      <c r="C54" t="s">
        <v>556</v>
      </c>
      <c r="D54" t="s">
        <v>717</v>
      </c>
      <c r="E54" t="s">
        <v>201</v>
      </c>
      <c r="F54" t="s">
        <v>202</v>
      </c>
      <c r="G54" t="s">
        <v>203</v>
      </c>
      <c r="H54" s="3">
        <v>5339000</v>
      </c>
      <c r="I54" s="3">
        <v>6936000</v>
      </c>
      <c r="J54" s="3">
        <v>0</v>
      </c>
      <c r="K54" s="3">
        <v>0</v>
      </c>
      <c r="L54" s="3">
        <v>12275000</v>
      </c>
      <c r="M54" s="3">
        <v>5339000</v>
      </c>
      <c r="N54" s="3">
        <v>6936000</v>
      </c>
      <c r="O54" s="3">
        <v>0</v>
      </c>
      <c r="P54" s="3">
        <v>0</v>
      </c>
      <c r="Q54" s="3">
        <v>12275000</v>
      </c>
      <c r="R54" s="3"/>
      <c r="S54" s="3"/>
      <c r="T54" s="3"/>
      <c r="U54" s="3"/>
      <c r="V54" s="3"/>
      <c r="W54" s="3"/>
      <c r="X54" s="3"/>
      <c r="Y54" s="3"/>
      <c r="Z54" s="3"/>
      <c r="AA54" s="3"/>
      <c r="AB54" s="3"/>
      <c r="AC54" s="3"/>
      <c r="AD54" s="3"/>
      <c r="AE54" s="3"/>
      <c r="AF54" s="3"/>
      <c r="AG54" s="3"/>
      <c r="AH54" s="3"/>
      <c r="AI54" s="3"/>
      <c r="AJ54" s="3"/>
      <c r="AK54" s="3"/>
      <c r="AL54" s="3"/>
      <c r="AM54" s="3"/>
      <c r="AN54" s="3"/>
      <c r="AO54" s="3"/>
      <c r="AP54" s="3"/>
      <c r="AQ54" s="3">
        <v>4759000</v>
      </c>
      <c r="AR54" s="3">
        <v>8578000</v>
      </c>
      <c r="AS54" s="3">
        <v>0</v>
      </c>
      <c r="AT54" s="3">
        <v>0</v>
      </c>
      <c r="AU54" s="3">
        <v>13337000</v>
      </c>
      <c r="AV54" s="3">
        <v>4759000</v>
      </c>
      <c r="AW54" s="3">
        <v>8578000</v>
      </c>
      <c r="AX54" s="3">
        <v>0</v>
      </c>
      <c r="AY54" s="3">
        <v>0</v>
      </c>
      <c r="AZ54" s="3">
        <v>13337000</v>
      </c>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v>5476000</v>
      </c>
      <c r="CA54" s="3">
        <v>7703000</v>
      </c>
      <c r="CB54" s="3">
        <v>0</v>
      </c>
      <c r="CC54" s="3">
        <v>0</v>
      </c>
      <c r="CD54" s="3">
        <v>13179000</v>
      </c>
      <c r="CE54" s="3">
        <v>5476000</v>
      </c>
      <c r="CF54" s="3">
        <v>7703000</v>
      </c>
      <c r="CG54" s="3">
        <v>0</v>
      </c>
      <c r="CH54" s="3">
        <v>0</v>
      </c>
      <c r="CI54" s="3">
        <v>13179000</v>
      </c>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v>5834000</v>
      </c>
      <c r="DJ54" s="3">
        <v>8130000</v>
      </c>
      <c r="DK54" s="3">
        <v>0</v>
      </c>
      <c r="DL54" s="3">
        <v>0</v>
      </c>
      <c r="DM54" s="3">
        <v>13964000</v>
      </c>
      <c r="DN54" s="3">
        <v>5834000</v>
      </c>
      <c r="DO54" s="3">
        <v>8130000</v>
      </c>
      <c r="DP54" s="3">
        <v>0</v>
      </c>
      <c r="DQ54" s="3">
        <v>0</v>
      </c>
      <c r="DR54" s="3">
        <v>13964000</v>
      </c>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v>6316000</v>
      </c>
      <c r="ES54" s="3">
        <v>9830000</v>
      </c>
      <c r="ET54" s="3">
        <v>0</v>
      </c>
      <c r="EU54" s="3">
        <v>0</v>
      </c>
      <c r="EV54" s="3">
        <v>16146000</v>
      </c>
      <c r="EW54" s="3">
        <v>6316000</v>
      </c>
      <c r="EX54" s="3">
        <v>9830000</v>
      </c>
      <c r="EY54" s="3">
        <v>0</v>
      </c>
      <c r="EZ54" s="3">
        <v>0</v>
      </c>
      <c r="FA54" s="3">
        <v>16146000</v>
      </c>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v>11070000</v>
      </c>
      <c r="GB54" s="3">
        <v>9574000</v>
      </c>
      <c r="GC54" s="3">
        <v>0</v>
      </c>
      <c r="GD54" s="3">
        <v>0</v>
      </c>
      <c r="GE54" s="3">
        <v>20644000</v>
      </c>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row>
    <row r="55" spans="1:332" x14ac:dyDescent="0.25">
      <c r="A55" t="s">
        <v>685</v>
      </c>
      <c r="B55" t="s">
        <v>686</v>
      </c>
      <c r="C55" t="s">
        <v>556</v>
      </c>
      <c r="D55" t="s">
        <v>717</v>
      </c>
      <c r="E55" t="s">
        <v>201</v>
      </c>
      <c r="F55" t="s">
        <v>204</v>
      </c>
      <c r="G55" t="s">
        <v>205</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v>91000</v>
      </c>
      <c r="DJ55" s="3">
        <v>0</v>
      </c>
      <c r="DK55" s="3">
        <v>0</v>
      </c>
      <c r="DL55" s="3">
        <v>0</v>
      </c>
      <c r="DM55" s="3">
        <v>91000</v>
      </c>
      <c r="DN55" s="3">
        <v>91000</v>
      </c>
      <c r="DO55" s="3">
        <v>0</v>
      </c>
      <c r="DP55" s="3">
        <v>0</v>
      </c>
      <c r="DQ55" s="3">
        <v>0</v>
      </c>
      <c r="DR55" s="3">
        <v>91000</v>
      </c>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v>139000</v>
      </c>
      <c r="ES55" s="3">
        <v>0</v>
      </c>
      <c r="ET55" s="3">
        <v>0</v>
      </c>
      <c r="EU55" s="3">
        <v>0</v>
      </c>
      <c r="EV55" s="3">
        <v>139000</v>
      </c>
      <c r="EW55" s="3">
        <v>139000</v>
      </c>
      <c r="EX55" s="3">
        <v>0</v>
      </c>
      <c r="EY55" s="3">
        <v>0</v>
      </c>
      <c r="EZ55" s="3">
        <v>0</v>
      </c>
      <c r="FA55" s="3">
        <v>139000</v>
      </c>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c r="IM55" s="3"/>
      <c r="IN55" s="3"/>
      <c r="IO55" s="3"/>
      <c r="IP55" s="3"/>
      <c r="IQ55" s="3"/>
      <c r="IR55" s="3"/>
      <c r="IS55" s="3"/>
      <c r="IT55" s="3"/>
      <c r="IU55" s="3"/>
      <c r="IV55" s="3"/>
      <c r="IW55" s="3"/>
      <c r="IX55" s="3"/>
      <c r="IY55" s="3"/>
      <c r="IZ55" s="3"/>
      <c r="JA55" s="3"/>
      <c r="JB55" s="3"/>
      <c r="JC55" s="3"/>
      <c r="JD55" s="3"/>
      <c r="JE55" s="3"/>
      <c r="JF55" s="3"/>
      <c r="JG55" s="3"/>
      <c r="JH55" s="3"/>
      <c r="JI55" s="3"/>
      <c r="JJ55" s="3"/>
      <c r="JK55" s="3"/>
      <c r="JL55" s="3"/>
      <c r="JM55" s="3"/>
      <c r="JN55" s="3"/>
      <c r="JO55" s="3"/>
      <c r="JP55" s="3"/>
      <c r="JQ55" s="3"/>
      <c r="JR55" s="3"/>
      <c r="JS55" s="3"/>
      <c r="JT55" s="3"/>
      <c r="JU55" s="3"/>
      <c r="JV55" s="3"/>
      <c r="JW55" s="3"/>
      <c r="JX55" s="3"/>
      <c r="JY55" s="3"/>
      <c r="JZ55" s="3"/>
      <c r="KA55" s="3"/>
      <c r="KB55" s="3"/>
      <c r="KC55" s="3"/>
      <c r="KD55" s="3"/>
      <c r="KE55" s="3"/>
      <c r="KF55" s="3"/>
      <c r="KG55" s="3"/>
      <c r="KH55" s="3"/>
      <c r="KI55" s="3"/>
      <c r="KJ55" s="3"/>
      <c r="KK55" s="3"/>
      <c r="KL55" s="3"/>
      <c r="KM55" s="3"/>
      <c r="KN55" s="3"/>
      <c r="KO55" s="3"/>
      <c r="KP55" s="3"/>
      <c r="KQ55" s="3"/>
      <c r="KR55" s="3"/>
      <c r="KS55" s="3"/>
      <c r="KT55" s="3"/>
      <c r="KU55" s="3"/>
      <c r="KV55" s="3"/>
      <c r="KW55" s="3"/>
      <c r="KX55" s="3"/>
      <c r="KY55" s="3"/>
      <c r="KZ55" s="3"/>
      <c r="LA55" s="3"/>
      <c r="LB55" s="3"/>
      <c r="LC55" s="3"/>
      <c r="LD55" s="3"/>
      <c r="LE55" s="3"/>
      <c r="LF55" s="3"/>
      <c r="LG55" s="3"/>
      <c r="LH55" s="3"/>
      <c r="LI55" s="3"/>
      <c r="LJ55" s="3"/>
      <c r="LK55" s="3"/>
      <c r="LL55" s="3"/>
      <c r="LM55" s="3"/>
      <c r="LN55" s="3"/>
      <c r="LO55" s="3"/>
      <c r="LP55" s="3"/>
      <c r="LQ55" s="3"/>
      <c r="LR55" s="3"/>
      <c r="LS55" s="3"/>
      <c r="LT55" s="3"/>
    </row>
    <row r="56" spans="1:332" x14ac:dyDescent="0.25">
      <c r="A56" t="s">
        <v>685</v>
      </c>
      <c r="B56" t="s">
        <v>686</v>
      </c>
      <c r="C56" t="s">
        <v>556</v>
      </c>
      <c r="D56" t="s">
        <v>717</v>
      </c>
      <c r="E56" t="s">
        <v>217</v>
      </c>
      <c r="F56" t="s">
        <v>218</v>
      </c>
      <c r="G56" t="s">
        <v>774</v>
      </c>
      <c r="H56" s="3">
        <v>3822000</v>
      </c>
      <c r="I56" s="3">
        <v>4882000</v>
      </c>
      <c r="J56" s="3">
        <v>0</v>
      </c>
      <c r="K56" s="3">
        <v>0</v>
      </c>
      <c r="L56" s="3">
        <v>8704000</v>
      </c>
      <c r="M56" s="3">
        <v>3822000</v>
      </c>
      <c r="N56" s="3">
        <v>4882000</v>
      </c>
      <c r="O56" s="3">
        <v>0</v>
      </c>
      <c r="P56" s="3">
        <v>0</v>
      </c>
      <c r="Q56" s="3">
        <v>8704000</v>
      </c>
      <c r="R56" s="3"/>
      <c r="S56" s="3"/>
      <c r="T56" s="3"/>
      <c r="U56" s="3"/>
      <c r="V56" s="3"/>
      <c r="W56" s="3"/>
      <c r="X56" s="3"/>
      <c r="Y56" s="3"/>
      <c r="Z56" s="3"/>
      <c r="AA56" s="3"/>
      <c r="AB56" s="3"/>
      <c r="AC56" s="3"/>
      <c r="AD56" s="3"/>
      <c r="AE56" s="3"/>
      <c r="AF56" s="3"/>
      <c r="AG56" s="3"/>
      <c r="AH56" s="3"/>
      <c r="AI56" s="3"/>
      <c r="AJ56" s="3"/>
      <c r="AK56" s="3"/>
      <c r="AL56" s="3"/>
      <c r="AM56" s="3"/>
      <c r="AN56" s="3"/>
      <c r="AO56" s="3"/>
      <c r="AP56" s="3"/>
      <c r="AQ56" s="3">
        <v>4353000</v>
      </c>
      <c r="AR56" s="3">
        <v>4771000</v>
      </c>
      <c r="AS56" s="3">
        <v>0</v>
      </c>
      <c r="AT56" s="3">
        <v>0</v>
      </c>
      <c r="AU56" s="3">
        <v>9124000</v>
      </c>
      <c r="AV56" s="3">
        <v>4353000</v>
      </c>
      <c r="AW56" s="3">
        <v>4771000</v>
      </c>
      <c r="AX56" s="3">
        <v>0</v>
      </c>
      <c r="AY56" s="3">
        <v>0</v>
      </c>
      <c r="AZ56" s="3">
        <v>9124000</v>
      </c>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v>4353000</v>
      </c>
      <c r="CA56" s="3">
        <v>5419000</v>
      </c>
      <c r="CB56" s="3">
        <v>0</v>
      </c>
      <c r="CC56" s="3">
        <v>6770000</v>
      </c>
      <c r="CD56" s="3">
        <v>16542000</v>
      </c>
      <c r="CE56" s="3">
        <v>4353000</v>
      </c>
      <c r="CF56" s="3">
        <v>5419000</v>
      </c>
      <c r="CG56" s="3">
        <v>0</v>
      </c>
      <c r="CH56" s="3">
        <v>6770000</v>
      </c>
      <c r="CI56" s="3">
        <v>16542000</v>
      </c>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v>3871000</v>
      </c>
      <c r="DJ56" s="3">
        <v>5516000</v>
      </c>
      <c r="DK56" s="3">
        <v>0</v>
      </c>
      <c r="DL56" s="3">
        <v>0</v>
      </c>
      <c r="DM56" s="3">
        <v>9387000</v>
      </c>
      <c r="DN56" s="3">
        <v>3871000</v>
      </c>
      <c r="DO56" s="3">
        <v>5516000</v>
      </c>
      <c r="DP56" s="3">
        <v>0</v>
      </c>
      <c r="DQ56" s="3">
        <v>0</v>
      </c>
      <c r="DR56" s="3">
        <v>9387000</v>
      </c>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v>4656000</v>
      </c>
      <c r="ES56" s="3">
        <v>5516000</v>
      </c>
      <c r="ET56" s="3">
        <v>0</v>
      </c>
      <c r="EU56" s="3">
        <v>0</v>
      </c>
      <c r="EV56" s="3">
        <v>10172000</v>
      </c>
      <c r="EW56" s="3">
        <v>4656000</v>
      </c>
      <c r="EX56" s="3">
        <v>5516000</v>
      </c>
      <c r="EY56" s="3">
        <v>0</v>
      </c>
      <c r="EZ56" s="3">
        <v>0</v>
      </c>
      <c r="FA56" s="3">
        <v>10172000</v>
      </c>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v>4797000</v>
      </c>
      <c r="GB56" s="3">
        <v>5515000</v>
      </c>
      <c r="GC56" s="3">
        <v>0</v>
      </c>
      <c r="GD56" s="3">
        <v>0</v>
      </c>
      <c r="GE56" s="3">
        <v>10312000</v>
      </c>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c r="IM56" s="3"/>
      <c r="IN56" s="3"/>
      <c r="IO56" s="3"/>
      <c r="IP56" s="3"/>
      <c r="IQ56" s="3"/>
      <c r="IR56" s="3"/>
      <c r="IS56" s="3"/>
      <c r="IT56" s="3"/>
      <c r="IU56" s="3"/>
      <c r="IV56" s="3"/>
      <c r="IW56" s="3"/>
      <c r="IX56" s="3"/>
      <c r="IY56" s="3"/>
      <c r="IZ56" s="3"/>
      <c r="JA56" s="3"/>
      <c r="JB56" s="3"/>
      <c r="JC56" s="3"/>
      <c r="JD56" s="3"/>
      <c r="JE56" s="3"/>
      <c r="JF56" s="3"/>
      <c r="JG56" s="3"/>
      <c r="JH56" s="3"/>
      <c r="JI56" s="3"/>
      <c r="JJ56" s="3"/>
      <c r="JK56" s="3"/>
      <c r="JL56" s="3"/>
      <c r="JM56" s="3"/>
      <c r="JN56" s="3"/>
      <c r="JO56" s="3"/>
      <c r="JP56" s="3"/>
      <c r="JQ56" s="3"/>
      <c r="JR56" s="3"/>
      <c r="JS56" s="3"/>
      <c r="JT56" s="3"/>
      <c r="JU56" s="3"/>
      <c r="JV56" s="3"/>
      <c r="JW56" s="3"/>
      <c r="JX56" s="3"/>
      <c r="JY56" s="3"/>
      <c r="JZ56" s="3"/>
      <c r="KA56" s="3"/>
      <c r="KB56" s="3"/>
      <c r="KC56" s="3"/>
      <c r="KD56" s="3"/>
      <c r="KE56" s="3"/>
      <c r="KF56" s="3"/>
      <c r="KG56" s="3"/>
      <c r="KH56" s="3"/>
      <c r="KI56" s="3"/>
      <c r="KJ56" s="3"/>
      <c r="KK56" s="3"/>
      <c r="KL56" s="3"/>
      <c r="KM56" s="3"/>
      <c r="KN56" s="3"/>
      <c r="KO56" s="3"/>
      <c r="KP56" s="3"/>
      <c r="KQ56" s="3"/>
      <c r="KR56" s="3"/>
      <c r="KS56" s="3"/>
      <c r="KT56" s="3"/>
      <c r="KU56" s="3"/>
      <c r="KV56" s="3"/>
      <c r="KW56" s="3"/>
      <c r="KX56" s="3"/>
      <c r="KY56" s="3"/>
      <c r="KZ56" s="3"/>
      <c r="LA56" s="3"/>
      <c r="LB56" s="3"/>
      <c r="LC56" s="3"/>
      <c r="LD56" s="3"/>
      <c r="LE56" s="3"/>
      <c r="LF56" s="3"/>
      <c r="LG56" s="3"/>
      <c r="LH56" s="3"/>
      <c r="LI56" s="3"/>
      <c r="LJ56" s="3"/>
      <c r="LK56" s="3"/>
      <c r="LL56" s="3"/>
      <c r="LM56" s="3"/>
      <c r="LN56" s="3"/>
      <c r="LO56" s="3"/>
      <c r="LP56" s="3"/>
      <c r="LQ56" s="3"/>
      <c r="LR56" s="3"/>
      <c r="LS56" s="3"/>
      <c r="LT56" s="3"/>
    </row>
    <row r="57" spans="1:332" x14ac:dyDescent="0.25">
      <c r="A57" t="s">
        <v>685</v>
      </c>
      <c r="B57" t="s">
        <v>686</v>
      </c>
      <c r="C57" t="s">
        <v>556</v>
      </c>
      <c r="D57" t="s">
        <v>717</v>
      </c>
      <c r="E57" t="s">
        <v>224</v>
      </c>
      <c r="F57" t="s">
        <v>520</v>
      </c>
      <c r="G57" t="s">
        <v>775</v>
      </c>
      <c r="H57" s="3">
        <v>8636000</v>
      </c>
      <c r="I57" s="3">
        <v>19399000</v>
      </c>
      <c r="J57" s="3">
        <v>0</v>
      </c>
      <c r="K57" s="3">
        <v>5927000</v>
      </c>
      <c r="L57" s="3">
        <v>33962000</v>
      </c>
      <c r="M57" s="3">
        <v>8636000</v>
      </c>
      <c r="N57" s="3">
        <v>19399000</v>
      </c>
      <c r="O57" s="3">
        <v>0</v>
      </c>
      <c r="P57" s="3">
        <v>5927000</v>
      </c>
      <c r="Q57" s="3">
        <v>33962000</v>
      </c>
      <c r="R57" s="3"/>
      <c r="S57" s="3"/>
      <c r="T57" s="3"/>
      <c r="U57" s="3"/>
      <c r="V57" s="3"/>
      <c r="W57" s="3"/>
      <c r="X57" s="3"/>
      <c r="Y57" s="3"/>
      <c r="Z57" s="3"/>
      <c r="AA57" s="3"/>
      <c r="AB57" s="3"/>
      <c r="AC57" s="3"/>
      <c r="AD57" s="3"/>
      <c r="AE57" s="3"/>
      <c r="AF57" s="3"/>
      <c r="AG57" s="3"/>
      <c r="AH57" s="3"/>
      <c r="AI57" s="3"/>
      <c r="AJ57" s="3"/>
      <c r="AK57" s="3"/>
      <c r="AL57" s="3"/>
      <c r="AM57" s="3"/>
      <c r="AN57" s="3"/>
      <c r="AO57" s="3"/>
      <c r="AP57" s="3"/>
      <c r="AQ57" s="3">
        <v>9173000</v>
      </c>
      <c r="AR57" s="3">
        <v>21641000</v>
      </c>
      <c r="AS57" s="3">
        <v>0</v>
      </c>
      <c r="AT57" s="3">
        <v>70000</v>
      </c>
      <c r="AU57" s="3">
        <v>30884000</v>
      </c>
      <c r="AV57" s="3">
        <v>9173000</v>
      </c>
      <c r="AW57" s="3">
        <v>21641000</v>
      </c>
      <c r="AX57" s="3">
        <v>0</v>
      </c>
      <c r="AY57" s="3">
        <v>70000</v>
      </c>
      <c r="AZ57" s="3">
        <v>30884000</v>
      </c>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v>9173000</v>
      </c>
      <c r="CA57" s="3">
        <v>20488000</v>
      </c>
      <c r="CB57" s="3">
        <v>0</v>
      </c>
      <c r="CC57" s="3">
        <v>0</v>
      </c>
      <c r="CD57" s="3">
        <v>29661000</v>
      </c>
      <c r="CE57" s="3">
        <v>9173000</v>
      </c>
      <c r="CF57" s="3">
        <v>20488000</v>
      </c>
      <c r="CG57" s="3">
        <v>0</v>
      </c>
      <c r="CH57" s="3">
        <v>0</v>
      </c>
      <c r="CI57" s="3">
        <v>29661000</v>
      </c>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v>8538000</v>
      </c>
      <c r="DJ57" s="3">
        <v>20857000</v>
      </c>
      <c r="DK57" s="3">
        <v>0</v>
      </c>
      <c r="DL57" s="3">
        <v>14940000</v>
      </c>
      <c r="DM57" s="3">
        <v>44335000</v>
      </c>
      <c r="DN57" s="3">
        <v>8538000</v>
      </c>
      <c r="DO57" s="3">
        <v>20857000</v>
      </c>
      <c r="DP57" s="3">
        <v>0</v>
      </c>
      <c r="DQ57" s="3">
        <v>14940000</v>
      </c>
      <c r="DR57" s="3">
        <v>44335000</v>
      </c>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v>8783000</v>
      </c>
      <c r="ES57" s="3">
        <v>20857000</v>
      </c>
      <c r="ET57" s="3">
        <v>0</v>
      </c>
      <c r="EU57" s="3">
        <v>0</v>
      </c>
      <c r="EV57" s="3">
        <v>29640000</v>
      </c>
      <c r="EW57" s="3">
        <v>8783000</v>
      </c>
      <c r="EX57" s="3">
        <v>20857000</v>
      </c>
      <c r="EY57" s="3">
        <v>0</v>
      </c>
      <c r="EZ57" s="3">
        <v>0</v>
      </c>
      <c r="FA57" s="3">
        <v>29640000</v>
      </c>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v>10719000</v>
      </c>
      <c r="GB57" s="3">
        <v>21378000</v>
      </c>
      <c r="GC57" s="3">
        <v>0</v>
      </c>
      <c r="GD57" s="3">
        <v>0</v>
      </c>
      <c r="GE57" s="3">
        <v>32097000</v>
      </c>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c r="IW57" s="3"/>
      <c r="IX57" s="3"/>
      <c r="IY57" s="3"/>
      <c r="IZ57" s="3"/>
      <c r="JA57" s="3"/>
      <c r="JB57" s="3"/>
      <c r="JC57" s="3"/>
      <c r="JD57" s="3"/>
      <c r="JE57" s="3"/>
      <c r="JF57" s="3"/>
      <c r="JG57" s="3"/>
      <c r="JH57" s="3"/>
      <c r="JI57" s="3"/>
      <c r="JJ57" s="3"/>
      <c r="JK57" s="3"/>
      <c r="JL57" s="3"/>
      <c r="JM57" s="3"/>
      <c r="JN57" s="3"/>
      <c r="JO57" s="3"/>
      <c r="JP57" s="3"/>
      <c r="JQ57" s="3"/>
      <c r="JR57" s="3"/>
      <c r="JS57" s="3"/>
      <c r="JT57" s="3"/>
      <c r="JU57" s="3"/>
      <c r="JV57" s="3"/>
      <c r="JW57" s="3"/>
      <c r="JX57" s="3"/>
      <c r="JY57" s="3"/>
      <c r="JZ57" s="3"/>
      <c r="KA57" s="3"/>
      <c r="KB57" s="3"/>
      <c r="KC57" s="3"/>
      <c r="KD57" s="3"/>
      <c r="KE57" s="3"/>
      <c r="KF57" s="3"/>
      <c r="KG57" s="3"/>
      <c r="KH57" s="3"/>
      <c r="KI57" s="3"/>
      <c r="KJ57" s="3"/>
      <c r="KK57" s="3"/>
      <c r="KL57" s="3"/>
      <c r="KM57" s="3"/>
      <c r="KN57" s="3"/>
      <c r="KO57" s="3"/>
      <c r="KP57" s="3"/>
      <c r="KQ57" s="3"/>
      <c r="KR57" s="3"/>
      <c r="KS57" s="3"/>
      <c r="KT57" s="3"/>
      <c r="KU57" s="3"/>
      <c r="KV57" s="3"/>
      <c r="KW57" s="3"/>
      <c r="KX57" s="3"/>
      <c r="KY57" s="3"/>
      <c r="KZ57" s="3"/>
      <c r="LA57" s="3"/>
      <c r="LB57" s="3"/>
      <c r="LC57" s="3"/>
      <c r="LD57" s="3"/>
      <c r="LE57" s="3"/>
      <c r="LF57" s="3"/>
      <c r="LG57" s="3"/>
      <c r="LH57" s="3"/>
      <c r="LI57" s="3"/>
      <c r="LJ57" s="3"/>
      <c r="LK57" s="3"/>
      <c r="LL57" s="3"/>
      <c r="LM57" s="3"/>
      <c r="LN57" s="3"/>
      <c r="LO57" s="3"/>
      <c r="LP57" s="3"/>
      <c r="LQ57" s="3"/>
      <c r="LR57" s="3"/>
      <c r="LS57" s="3"/>
      <c r="LT57" s="3"/>
    </row>
    <row r="58" spans="1:332" x14ac:dyDescent="0.25">
      <c r="A58" t="s">
        <v>685</v>
      </c>
      <c r="B58" t="s">
        <v>686</v>
      </c>
      <c r="C58" t="s">
        <v>557</v>
      </c>
      <c r="D58" t="s">
        <v>718</v>
      </c>
      <c r="E58" t="s">
        <v>201</v>
      </c>
      <c r="F58" t="s">
        <v>202</v>
      </c>
      <c r="G58" t="s">
        <v>203</v>
      </c>
      <c r="H58" s="3">
        <v>7704000</v>
      </c>
      <c r="I58" s="3">
        <v>7817000</v>
      </c>
      <c r="J58" s="3">
        <v>0</v>
      </c>
      <c r="K58" s="3">
        <v>2059000</v>
      </c>
      <c r="L58" s="3">
        <v>17580000</v>
      </c>
      <c r="M58" s="3">
        <v>7704000</v>
      </c>
      <c r="N58" s="3">
        <v>7817000</v>
      </c>
      <c r="O58" s="3">
        <v>0</v>
      </c>
      <c r="P58" s="3">
        <v>2059000</v>
      </c>
      <c r="Q58" s="3">
        <v>17580000</v>
      </c>
      <c r="R58" s="3"/>
      <c r="S58" s="3"/>
      <c r="T58" s="3"/>
      <c r="U58" s="3"/>
      <c r="V58" s="3"/>
      <c r="W58" s="3"/>
      <c r="X58" s="3"/>
      <c r="Y58" s="3"/>
      <c r="Z58" s="3"/>
      <c r="AA58" s="3"/>
      <c r="AB58" s="3"/>
      <c r="AC58" s="3"/>
      <c r="AD58" s="3"/>
      <c r="AE58" s="3"/>
      <c r="AF58" s="3"/>
      <c r="AG58" s="3"/>
      <c r="AH58" s="3"/>
      <c r="AI58" s="3"/>
      <c r="AJ58" s="3"/>
      <c r="AK58" s="3"/>
      <c r="AL58" s="3"/>
      <c r="AM58" s="3"/>
      <c r="AN58" s="3"/>
      <c r="AO58" s="3"/>
      <c r="AP58" s="3"/>
      <c r="AQ58" s="3">
        <v>5844000</v>
      </c>
      <c r="AR58" s="3">
        <v>7559000</v>
      </c>
      <c r="AS58" s="3">
        <v>0</v>
      </c>
      <c r="AT58" s="3">
        <v>80000</v>
      </c>
      <c r="AU58" s="3">
        <v>13483000</v>
      </c>
      <c r="AV58" s="3">
        <v>6626000</v>
      </c>
      <c r="AW58" s="3">
        <v>7559000</v>
      </c>
      <c r="AX58" s="3">
        <v>0</v>
      </c>
      <c r="AY58" s="3">
        <v>80000</v>
      </c>
      <c r="AZ58" s="3">
        <v>14265000</v>
      </c>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v>5133000</v>
      </c>
      <c r="CA58" s="3">
        <v>7374000</v>
      </c>
      <c r="CB58" s="3">
        <v>0</v>
      </c>
      <c r="CC58" s="3">
        <v>2500000</v>
      </c>
      <c r="CD58" s="3">
        <v>15007000</v>
      </c>
      <c r="CE58" s="3">
        <v>5133000</v>
      </c>
      <c r="CF58" s="3">
        <v>7374000</v>
      </c>
      <c r="CG58" s="3">
        <v>0</v>
      </c>
      <c r="CH58" s="3">
        <v>2500000</v>
      </c>
      <c r="CI58" s="3">
        <v>15007000</v>
      </c>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v>4350000</v>
      </c>
      <c r="DJ58" s="3">
        <v>6839000</v>
      </c>
      <c r="DK58" s="3">
        <v>0</v>
      </c>
      <c r="DL58" s="3">
        <v>0</v>
      </c>
      <c r="DM58" s="3">
        <v>11189000</v>
      </c>
      <c r="DN58" s="3">
        <v>4350000</v>
      </c>
      <c r="DO58" s="3">
        <v>6839000</v>
      </c>
      <c r="DP58" s="3">
        <v>0</v>
      </c>
      <c r="DQ58" s="3">
        <v>0</v>
      </c>
      <c r="DR58" s="3">
        <v>11189000</v>
      </c>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v>4514000</v>
      </c>
      <c r="ES58" s="3">
        <v>6839000</v>
      </c>
      <c r="ET58" s="3">
        <v>0</v>
      </c>
      <c r="EU58" s="3">
        <v>0</v>
      </c>
      <c r="EV58" s="3">
        <v>11353000</v>
      </c>
      <c r="EW58" s="3">
        <v>4514000</v>
      </c>
      <c r="EX58" s="3">
        <v>6839000</v>
      </c>
      <c r="EY58" s="3">
        <v>0</v>
      </c>
      <c r="EZ58" s="3">
        <v>0</v>
      </c>
      <c r="FA58" s="3">
        <v>11353000</v>
      </c>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v>4849000</v>
      </c>
      <c r="GB58" s="3">
        <v>7667000</v>
      </c>
      <c r="GC58" s="3">
        <v>0</v>
      </c>
      <c r="GD58" s="3">
        <v>0</v>
      </c>
      <c r="GE58" s="3">
        <v>12516000</v>
      </c>
      <c r="GF58" s="3">
        <v>4849000</v>
      </c>
      <c r="GG58" s="3">
        <v>7667000</v>
      </c>
      <c r="GH58" s="3">
        <v>0</v>
      </c>
      <c r="GI58" s="3">
        <v>0</v>
      </c>
      <c r="GJ58" s="3">
        <v>12516000</v>
      </c>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v>5974000</v>
      </c>
      <c r="HK58" s="3">
        <v>7805000</v>
      </c>
      <c r="HL58" s="3">
        <v>0</v>
      </c>
      <c r="HM58" s="3">
        <v>1400000</v>
      </c>
      <c r="HN58" s="3">
        <v>15179000</v>
      </c>
      <c r="HO58" s="3">
        <v>5974000</v>
      </c>
      <c r="HP58" s="3">
        <v>7805000</v>
      </c>
      <c r="HQ58" s="3">
        <v>0</v>
      </c>
      <c r="HR58" s="3">
        <v>1400000</v>
      </c>
      <c r="HS58" s="3">
        <v>15179000</v>
      </c>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v>7957000</v>
      </c>
      <c r="IT58" s="3">
        <v>9246000</v>
      </c>
      <c r="IU58" s="3">
        <v>0</v>
      </c>
      <c r="IV58" s="3">
        <v>0</v>
      </c>
      <c r="IW58" s="3">
        <v>17203000</v>
      </c>
      <c r="IX58" s="3">
        <v>7957000</v>
      </c>
      <c r="IY58" s="3">
        <v>9246000</v>
      </c>
      <c r="IZ58" s="3">
        <v>0</v>
      </c>
      <c r="JA58" s="3">
        <v>0</v>
      </c>
      <c r="JB58" s="3">
        <v>17203000</v>
      </c>
      <c r="JC58" s="3"/>
      <c r="JD58" s="3"/>
      <c r="JE58" s="3"/>
      <c r="JF58" s="3"/>
      <c r="JG58" s="3"/>
      <c r="JH58" s="3"/>
      <c r="JI58" s="3"/>
      <c r="JJ58" s="3"/>
      <c r="JK58" s="3"/>
      <c r="JL58" s="3"/>
      <c r="JM58" s="3"/>
      <c r="JN58" s="3"/>
      <c r="JO58" s="3"/>
      <c r="JP58" s="3"/>
      <c r="JQ58" s="3"/>
      <c r="JR58" s="3"/>
      <c r="JS58" s="3"/>
      <c r="JT58" s="3"/>
      <c r="JU58" s="3"/>
      <c r="JV58" s="3"/>
      <c r="JW58" s="3"/>
      <c r="JX58" s="3"/>
      <c r="JY58" s="3"/>
      <c r="JZ58" s="3"/>
      <c r="KA58" s="3"/>
      <c r="KB58" s="3">
        <v>9769000</v>
      </c>
      <c r="KC58" s="3">
        <v>9389000</v>
      </c>
      <c r="KD58" s="3">
        <v>0</v>
      </c>
      <c r="KE58" s="3">
        <v>0</v>
      </c>
      <c r="KF58" s="3">
        <v>19158000</v>
      </c>
      <c r="KG58" s="3">
        <v>9769000</v>
      </c>
      <c r="KH58" s="3">
        <v>9389000</v>
      </c>
      <c r="KI58" s="3">
        <v>0</v>
      </c>
      <c r="KJ58" s="3">
        <v>0</v>
      </c>
      <c r="KK58" s="3">
        <v>19158000</v>
      </c>
      <c r="KL58" s="3"/>
      <c r="KM58" s="3"/>
      <c r="KN58" s="3"/>
      <c r="KO58" s="3"/>
      <c r="KP58" s="3"/>
      <c r="KQ58" s="3"/>
      <c r="KR58" s="3"/>
      <c r="KS58" s="3"/>
      <c r="KT58" s="3"/>
      <c r="KU58" s="3"/>
      <c r="KV58" s="3"/>
      <c r="KW58" s="3"/>
      <c r="KX58" s="3"/>
      <c r="KY58" s="3"/>
      <c r="KZ58" s="3"/>
      <c r="LA58" s="3"/>
      <c r="LB58" s="3"/>
      <c r="LC58" s="3"/>
      <c r="LD58" s="3"/>
      <c r="LE58" s="3"/>
      <c r="LF58" s="3"/>
      <c r="LG58" s="3"/>
      <c r="LH58" s="3"/>
      <c r="LI58" s="3"/>
      <c r="LJ58" s="3"/>
      <c r="LK58" s="3">
        <v>9606000</v>
      </c>
      <c r="LL58" s="3">
        <v>9558000</v>
      </c>
      <c r="LM58" s="3">
        <v>0</v>
      </c>
      <c r="LN58" s="3">
        <v>0</v>
      </c>
      <c r="LO58" s="3">
        <v>19164000</v>
      </c>
      <c r="LP58" s="3"/>
      <c r="LQ58" s="3"/>
      <c r="LR58" s="3"/>
      <c r="LS58" s="3"/>
      <c r="LT58" s="3"/>
    </row>
    <row r="59" spans="1:332" x14ac:dyDescent="0.25">
      <c r="A59" t="s">
        <v>685</v>
      </c>
      <c r="B59" t="s">
        <v>686</v>
      </c>
      <c r="C59" t="s">
        <v>557</v>
      </c>
      <c r="D59" t="s">
        <v>718</v>
      </c>
      <c r="E59" t="s">
        <v>201</v>
      </c>
      <c r="F59" t="s">
        <v>204</v>
      </c>
      <c r="G59" t="s">
        <v>205</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v>782000</v>
      </c>
      <c r="AR59" s="3">
        <v>0</v>
      </c>
      <c r="AS59" s="3">
        <v>0</v>
      </c>
      <c r="AT59" s="3">
        <v>0</v>
      </c>
      <c r="AU59" s="3">
        <v>782000</v>
      </c>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v>1865000</v>
      </c>
      <c r="CA59" s="3">
        <v>0</v>
      </c>
      <c r="CB59" s="3">
        <v>0</v>
      </c>
      <c r="CC59" s="3">
        <v>0</v>
      </c>
      <c r="CD59" s="3">
        <v>1865000</v>
      </c>
      <c r="CE59" s="3">
        <v>1865000</v>
      </c>
      <c r="CF59" s="3">
        <v>0</v>
      </c>
      <c r="CG59" s="3">
        <v>0</v>
      </c>
      <c r="CH59" s="3">
        <v>0</v>
      </c>
      <c r="CI59" s="3">
        <v>1865000</v>
      </c>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v>1184000</v>
      </c>
      <c r="DJ59" s="3">
        <v>0</v>
      </c>
      <c r="DK59" s="3">
        <v>0</v>
      </c>
      <c r="DL59" s="3">
        <v>0</v>
      </c>
      <c r="DM59" s="3">
        <v>1184000</v>
      </c>
      <c r="DN59" s="3">
        <v>1184000</v>
      </c>
      <c r="DO59" s="3">
        <v>0</v>
      </c>
      <c r="DP59" s="3">
        <v>0</v>
      </c>
      <c r="DQ59" s="3">
        <v>0</v>
      </c>
      <c r="DR59" s="3">
        <v>1184000</v>
      </c>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v>1084000</v>
      </c>
      <c r="ES59" s="3">
        <v>0</v>
      </c>
      <c r="ET59" s="3">
        <v>0</v>
      </c>
      <c r="EU59" s="3">
        <v>0</v>
      </c>
      <c r="EV59" s="3">
        <v>1084000</v>
      </c>
      <c r="EW59" s="3">
        <v>1084000</v>
      </c>
      <c r="EX59" s="3">
        <v>0</v>
      </c>
      <c r="EY59" s="3">
        <v>0</v>
      </c>
      <c r="EZ59" s="3">
        <v>0</v>
      </c>
      <c r="FA59" s="3">
        <v>1084000</v>
      </c>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v>1049000</v>
      </c>
      <c r="GB59" s="3">
        <v>0</v>
      </c>
      <c r="GC59" s="3">
        <v>0</v>
      </c>
      <c r="GD59" s="3">
        <v>0</v>
      </c>
      <c r="GE59" s="3">
        <v>1049000</v>
      </c>
      <c r="GF59" s="3">
        <v>1049000</v>
      </c>
      <c r="GG59" s="3">
        <v>0</v>
      </c>
      <c r="GH59" s="3">
        <v>0</v>
      </c>
      <c r="GI59" s="3">
        <v>0</v>
      </c>
      <c r="GJ59" s="3">
        <v>1049000</v>
      </c>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v>1691000</v>
      </c>
      <c r="HK59" s="3">
        <v>0</v>
      </c>
      <c r="HL59" s="3">
        <v>0</v>
      </c>
      <c r="HM59" s="3">
        <v>0</v>
      </c>
      <c r="HN59" s="3">
        <v>1691000</v>
      </c>
      <c r="HO59" s="3">
        <v>1691000</v>
      </c>
      <c r="HP59" s="3">
        <v>0</v>
      </c>
      <c r="HQ59" s="3">
        <v>0</v>
      </c>
      <c r="HR59" s="3">
        <v>0</v>
      </c>
      <c r="HS59" s="3">
        <v>1691000</v>
      </c>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c r="IW59" s="3"/>
      <c r="IX59" s="3"/>
      <c r="IY59" s="3"/>
      <c r="IZ59" s="3"/>
      <c r="JA59" s="3"/>
      <c r="JB59" s="3"/>
      <c r="JC59" s="3"/>
      <c r="JD59" s="3"/>
      <c r="JE59" s="3"/>
      <c r="JF59" s="3"/>
      <c r="JG59" s="3"/>
      <c r="JH59" s="3"/>
      <c r="JI59" s="3"/>
      <c r="JJ59" s="3"/>
      <c r="JK59" s="3"/>
      <c r="JL59" s="3"/>
      <c r="JM59" s="3"/>
      <c r="JN59" s="3"/>
      <c r="JO59" s="3"/>
      <c r="JP59" s="3"/>
      <c r="JQ59" s="3"/>
      <c r="JR59" s="3"/>
      <c r="JS59" s="3"/>
      <c r="JT59" s="3"/>
      <c r="JU59" s="3"/>
      <c r="JV59" s="3"/>
      <c r="JW59" s="3"/>
      <c r="JX59" s="3"/>
      <c r="JY59" s="3"/>
      <c r="JZ59" s="3"/>
      <c r="KA59" s="3"/>
      <c r="KB59" s="3">
        <v>936000</v>
      </c>
      <c r="KC59" s="3">
        <v>0</v>
      </c>
      <c r="KD59" s="3">
        <v>0</v>
      </c>
      <c r="KE59" s="3">
        <v>0</v>
      </c>
      <c r="KF59" s="3">
        <v>936000</v>
      </c>
      <c r="KG59" s="3">
        <v>936000</v>
      </c>
      <c r="KH59" s="3">
        <v>0</v>
      </c>
      <c r="KI59" s="3">
        <v>0</v>
      </c>
      <c r="KJ59" s="3">
        <v>0</v>
      </c>
      <c r="KK59" s="3">
        <v>936000</v>
      </c>
      <c r="KL59" s="3"/>
      <c r="KM59" s="3"/>
      <c r="KN59" s="3"/>
      <c r="KO59" s="3"/>
      <c r="KP59" s="3"/>
      <c r="KQ59" s="3"/>
      <c r="KR59" s="3"/>
      <c r="KS59" s="3"/>
      <c r="KT59" s="3"/>
      <c r="KU59" s="3"/>
      <c r="KV59" s="3"/>
      <c r="KW59" s="3"/>
      <c r="KX59" s="3"/>
      <c r="KY59" s="3"/>
      <c r="KZ59" s="3"/>
      <c r="LA59" s="3"/>
      <c r="LB59" s="3"/>
      <c r="LC59" s="3"/>
      <c r="LD59" s="3"/>
      <c r="LE59" s="3"/>
      <c r="LF59" s="3"/>
      <c r="LG59" s="3"/>
      <c r="LH59" s="3"/>
      <c r="LI59" s="3"/>
      <c r="LJ59" s="3"/>
      <c r="LK59" s="3"/>
      <c r="LL59" s="3"/>
      <c r="LM59" s="3"/>
      <c r="LN59" s="3"/>
      <c r="LO59" s="3"/>
      <c r="LP59" s="3"/>
      <c r="LQ59" s="3"/>
      <c r="LR59" s="3"/>
      <c r="LS59" s="3"/>
      <c r="LT59" s="3"/>
    </row>
    <row r="60" spans="1:332" x14ac:dyDescent="0.25">
      <c r="A60" t="s">
        <v>685</v>
      </c>
      <c r="B60" t="s">
        <v>686</v>
      </c>
      <c r="C60" t="s">
        <v>557</v>
      </c>
      <c r="D60" t="s">
        <v>718</v>
      </c>
      <c r="E60" t="s">
        <v>217</v>
      </c>
      <c r="F60" t="s">
        <v>218</v>
      </c>
      <c r="G60" t="s">
        <v>784</v>
      </c>
      <c r="H60" s="3">
        <v>21193000</v>
      </c>
      <c r="I60" s="3">
        <v>10360000</v>
      </c>
      <c r="J60" s="3">
        <v>0</v>
      </c>
      <c r="K60" s="3">
        <v>5364000</v>
      </c>
      <c r="L60" s="3">
        <v>36917000</v>
      </c>
      <c r="M60" s="3">
        <v>21193000</v>
      </c>
      <c r="N60" s="3">
        <v>10360000</v>
      </c>
      <c r="O60" s="3">
        <v>0</v>
      </c>
      <c r="P60" s="3">
        <v>5364000</v>
      </c>
      <c r="Q60" s="3">
        <v>36917000</v>
      </c>
      <c r="R60" s="3"/>
      <c r="S60" s="3"/>
      <c r="T60" s="3"/>
      <c r="U60" s="3"/>
      <c r="V60" s="3"/>
      <c r="W60" s="3"/>
      <c r="X60" s="3"/>
      <c r="Y60" s="3"/>
      <c r="Z60" s="3"/>
      <c r="AA60" s="3"/>
      <c r="AB60" s="3"/>
      <c r="AC60" s="3"/>
      <c r="AD60" s="3"/>
      <c r="AE60" s="3"/>
      <c r="AF60" s="3"/>
      <c r="AG60" s="3"/>
      <c r="AH60" s="3"/>
      <c r="AI60" s="3"/>
      <c r="AJ60" s="3"/>
      <c r="AK60" s="3"/>
      <c r="AL60" s="3"/>
      <c r="AM60" s="3"/>
      <c r="AN60" s="3"/>
      <c r="AO60" s="3"/>
      <c r="AP60" s="3"/>
      <c r="AQ60" s="3">
        <v>23109000</v>
      </c>
      <c r="AR60" s="3">
        <v>11613000</v>
      </c>
      <c r="AS60" s="3">
        <v>0</v>
      </c>
      <c r="AT60" s="3">
        <v>5501000</v>
      </c>
      <c r="AU60" s="3">
        <v>40223000</v>
      </c>
      <c r="AV60" s="3">
        <v>23109000</v>
      </c>
      <c r="AW60" s="3">
        <v>11613000</v>
      </c>
      <c r="AX60" s="3">
        <v>0</v>
      </c>
      <c r="AY60" s="3">
        <v>5501000</v>
      </c>
      <c r="AZ60" s="3">
        <v>40223000</v>
      </c>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v>22215000</v>
      </c>
      <c r="CA60" s="3">
        <v>11657000</v>
      </c>
      <c r="CB60" s="3">
        <v>0</v>
      </c>
      <c r="CC60" s="3">
        <v>1693000</v>
      </c>
      <c r="CD60" s="3">
        <v>35565000</v>
      </c>
      <c r="CE60" s="3">
        <v>22215000</v>
      </c>
      <c r="CF60" s="3">
        <v>11657000</v>
      </c>
      <c r="CG60" s="3">
        <v>0</v>
      </c>
      <c r="CH60" s="3">
        <v>1693000</v>
      </c>
      <c r="CI60" s="3">
        <v>35565000</v>
      </c>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v>19172000</v>
      </c>
      <c r="DJ60" s="3">
        <v>14083000</v>
      </c>
      <c r="DK60" s="3">
        <v>0</v>
      </c>
      <c r="DL60" s="3">
        <v>5002000</v>
      </c>
      <c r="DM60" s="3">
        <v>38257000</v>
      </c>
      <c r="DN60" s="3">
        <v>19172000</v>
      </c>
      <c r="DO60" s="3">
        <v>14083000</v>
      </c>
      <c r="DP60" s="3">
        <v>0</v>
      </c>
      <c r="DQ60" s="3">
        <v>59002000</v>
      </c>
      <c r="DR60" s="3">
        <v>92257000</v>
      </c>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v>22161000</v>
      </c>
      <c r="ES60" s="3">
        <v>18683000</v>
      </c>
      <c r="ET60" s="3">
        <v>0</v>
      </c>
      <c r="EU60" s="3">
        <v>19152000</v>
      </c>
      <c r="EV60" s="3">
        <v>59996000</v>
      </c>
      <c r="EW60" s="3">
        <v>22161000</v>
      </c>
      <c r="EX60" s="3">
        <v>18683000</v>
      </c>
      <c r="EY60" s="3">
        <v>0</v>
      </c>
      <c r="EZ60" s="3">
        <v>19152000</v>
      </c>
      <c r="FA60" s="3">
        <v>59996000</v>
      </c>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v>20439000</v>
      </c>
      <c r="GB60" s="3">
        <v>19872000</v>
      </c>
      <c r="GC60" s="3">
        <v>0</v>
      </c>
      <c r="GD60" s="3">
        <v>26431000</v>
      </c>
      <c r="GE60" s="3">
        <v>66742000</v>
      </c>
      <c r="GF60" s="3">
        <v>20439000</v>
      </c>
      <c r="GG60" s="3">
        <v>19872000</v>
      </c>
      <c r="GH60" s="3">
        <v>0</v>
      </c>
      <c r="GI60" s="3">
        <v>26431000</v>
      </c>
      <c r="GJ60" s="3">
        <v>66742000</v>
      </c>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v>18920000</v>
      </c>
      <c r="HK60" s="3">
        <v>18410000</v>
      </c>
      <c r="HL60" s="3">
        <v>0</v>
      </c>
      <c r="HM60" s="3">
        <v>2287000</v>
      </c>
      <c r="HN60" s="3">
        <v>39617000</v>
      </c>
      <c r="HO60" s="3">
        <v>18920000</v>
      </c>
      <c r="HP60" s="3">
        <v>18410000</v>
      </c>
      <c r="HQ60" s="3">
        <v>0</v>
      </c>
      <c r="HR60" s="3">
        <v>2287000</v>
      </c>
      <c r="HS60" s="3">
        <v>39617000</v>
      </c>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v>24295000</v>
      </c>
      <c r="IT60" s="3">
        <v>27500000</v>
      </c>
      <c r="IU60" s="3">
        <v>0</v>
      </c>
      <c r="IV60" s="3">
        <v>53393000</v>
      </c>
      <c r="IW60" s="3">
        <v>105188000</v>
      </c>
      <c r="IX60" s="3">
        <v>24295000</v>
      </c>
      <c r="IY60" s="3">
        <v>27500000</v>
      </c>
      <c r="IZ60" s="3">
        <v>0</v>
      </c>
      <c r="JA60" s="3">
        <v>53393000</v>
      </c>
      <c r="JB60" s="3">
        <v>105188000</v>
      </c>
      <c r="JC60" s="3"/>
      <c r="JD60" s="3"/>
      <c r="JE60" s="3"/>
      <c r="JF60" s="3"/>
      <c r="JG60" s="3"/>
      <c r="JH60" s="3"/>
      <c r="JI60" s="3"/>
      <c r="JJ60" s="3"/>
      <c r="JK60" s="3"/>
      <c r="JL60" s="3"/>
      <c r="JM60" s="3"/>
      <c r="JN60" s="3"/>
      <c r="JO60" s="3"/>
      <c r="JP60" s="3"/>
      <c r="JQ60" s="3"/>
      <c r="JR60" s="3"/>
      <c r="JS60" s="3"/>
      <c r="JT60" s="3"/>
      <c r="JU60" s="3"/>
      <c r="JV60" s="3"/>
      <c r="JW60" s="3"/>
      <c r="JX60" s="3"/>
      <c r="JY60" s="3"/>
      <c r="JZ60" s="3"/>
      <c r="KA60" s="3"/>
      <c r="KB60" s="3">
        <v>27668000</v>
      </c>
      <c r="KC60" s="3">
        <v>41009000</v>
      </c>
      <c r="KD60" s="3">
        <v>0</v>
      </c>
      <c r="KE60" s="3">
        <v>82145000</v>
      </c>
      <c r="KF60" s="3">
        <v>150822000</v>
      </c>
      <c r="KG60" s="3">
        <v>27668000</v>
      </c>
      <c r="KH60" s="3">
        <v>57309000</v>
      </c>
      <c r="KI60" s="3">
        <v>0</v>
      </c>
      <c r="KJ60" s="3">
        <v>82145000</v>
      </c>
      <c r="KK60" s="3">
        <v>167122000</v>
      </c>
      <c r="KL60" s="3"/>
      <c r="KM60" s="3"/>
      <c r="KN60" s="3"/>
      <c r="KO60" s="3"/>
      <c r="KP60" s="3"/>
      <c r="KQ60" s="3"/>
      <c r="KR60" s="3"/>
      <c r="KS60" s="3"/>
      <c r="KT60" s="3"/>
      <c r="KU60" s="3"/>
      <c r="KV60" s="3"/>
      <c r="KW60" s="3"/>
      <c r="KX60" s="3"/>
      <c r="KY60" s="3"/>
      <c r="KZ60" s="3"/>
      <c r="LA60" s="3"/>
      <c r="LB60" s="3"/>
      <c r="LC60" s="3"/>
      <c r="LD60" s="3"/>
      <c r="LE60" s="3"/>
      <c r="LF60" s="3"/>
      <c r="LG60" s="3"/>
      <c r="LH60" s="3"/>
      <c r="LI60" s="3"/>
      <c r="LJ60" s="3"/>
      <c r="LK60" s="3">
        <v>31117000</v>
      </c>
      <c r="LL60" s="3">
        <v>41359000</v>
      </c>
      <c r="LM60" s="3">
        <v>0</v>
      </c>
      <c r="LN60" s="3">
        <v>0</v>
      </c>
      <c r="LO60" s="3">
        <v>72476000</v>
      </c>
      <c r="LP60" s="3"/>
      <c r="LQ60" s="3"/>
      <c r="LR60" s="3"/>
      <c r="LS60" s="3"/>
      <c r="LT60" s="3"/>
    </row>
    <row r="61" spans="1:332" x14ac:dyDescent="0.25">
      <c r="A61" t="s">
        <v>685</v>
      </c>
      <c r="B61" t="s">
        <v>686</v>
      </c>
      <c r="C61" t="s">
        <v>557</v>
      </c>
      <c r="D61" t="s">
        <v>718</v>
      </c>
      <c r="E61" t="s">
        <v>217</v>
      </c>
      <c r="F61" t="s">
        <v>618</v>
      </c>
      <c r="G61" t="s">
        <v>811</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v>0</v>
      </c>
      <c r="HK61" s="3">
        <v>0</v>
      </c>
      <c r="HL61" s="3">
        <v>0</v>
      </c>
      <c r="HM61" s="3">
        <v>0</v>
      </c>
      <c r="HN61" s="3">
        <v>0</v>
      </c>
      <c r="HO61" s="3">
        <v>0</v>
      </c>
      <c r="HP61" s="3">
        <v>16210000</v>
      </c>
      <c r="HQ61" s="3">
        <v>0</v>
      </c>
      <c r="HR61" s="3">
        <v>0</v>
      </c>
      <c r="HS61" s="3">
        <v>16210000</v>
      </c>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c r="IW61" s="3"/>
      <c r="IX61" s="3"/>
      <c r="IY61" s="3"/>
      <c r="IZ61" s="3"/>
      <c r="JA61" s="3"/>
      <c r="JB61" s="3"/>
      <c r="JC61" s="3"/>
      <c r="JD61" s="3"/>
      <c r="JE61" s="3"/>
      <c r="JF61" s="3"/>
      <c r="JG61" s="3"/>
      <c r="JH61" s="3"/>
      <c r="JI61" s="3"/>
      <c r="JJ61" s="3"/>
      <c r="JK61" s="3"/>
      <c r="JL61" s="3"/>
      <c r="JM61" s="3"/>
      <c r="JN61" s="3"/>
      <c r="JO61" s="3"/>
      <c r="JP61" s="3"/>
      <c r="JQ61" s="3"/>
      <c r="JR61" s="3"/>
      <c r="JS61" s="3"/>
      <c r="JT61" s="3"/>
      <c r="JU61" s="3"/>
      <c r="JV61" s="3"/>
      <c r="JW61" s="3"/>
      <c r="JX61" s="3"/>
      <c r="JY61" s="3"/>
      <c r="JZ61" s="3"/>
      <c r="KA61" s="3"/>
      <c r="KB61" s="3"/>
      <c r="KC61" s="3"/>
      <c r="KD61" s="3"/>
      <c r="KE61" s="3"/>
      <c r="KF61" s="3"/>
      <c r="KG61" s="3"/>
      <c r="KH61" s="3"/>
      <c r="KI61" s="3"/>
      <c r="KJ61" s="3"/>
      <c r="KK61" s="3"/>
      <c r="KL61" s="3"/>
      <c r="KM61" s="3"/>
      <c r="KN61" s="3"/>
      <c r="KO61" s="3"/>
      <c r="KP61" s="3"/>
      <c r="KQ61" s="3"/>
      <c r="KR61" s="3"/>
      <c r="KS61" s="3"/>
      <c r="KT61" s="3"/>
      <c r="KU61" s="3"/>
      <c r="KV61" s="3"/>
      <c r="KW61" s="3"/>
      <c r="KX61" s="3"/>
      <c r="KY61" s="3"/>
      <c r="KZ61" s="3"/>
      <c r="LA61" s="3"/>
      <c r="LB61" s="3"/>
      <c r="LC61" s="3"/>
      <c r="LD61" s="3"/>
      <c r="LE61" s="3"/>
      <c r="LF61" s="3"/>
      <c r="LG61" s="3"/>
      <c r="LH61" s="3"/>
      <c r="LI61" s="3"/>
      <c r="LJ61" s="3"/>
      <c r="LK61" s="3"/>
      <c r="LL61" s="3"/>
      <c r="LM61" s="3"/>
      <c r="LN61" s="3"/>
      <c r="LO61" s="3"/>
      <c r="LP61" s="3"/>
      <c r="LQ61" s="3"/>
      <c r="LR61" s="3"/>
      <c r="LS61" s="3"/>
      <c r="LT61" s="3"/>
    </row>
    <row r="62" spans="1:332" x14ac:dyDescent="0.25">
      <c r="A62" t="s">
        <v>685</v>
      </c>
      <c r="B62" t="s">
        <v>686</v>
      </c>
      <c r="C62" t="s">
        <v>557</v>
      </c>
      <c r="D62" t="s">
        <v>718</v>
      </c>
      <c r="E62" t="s">
        <v>217</v>
      </c>
      <c r="F62" t="s">
        <v>642</v>
      </c>
      <c r="G62" t="s">
        <v>812</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v>0</v>
      </c>
      <c r="HK62" s="3">
        <v>0</v>
      </c>
      <c r="HL62" s="3">
        <v>0</v>
      </c>
      <c r="HM62" s="3">
        <v>0</v>
      </c>
      <c r="HN62" s="3">
        <v>0</v>
      </c>
      <c r="HO62" s="3">
        <v>0</v>
      </c>
      <c r="HP62" s="3">
        <v>1300000</v>
      </c>
      <c r="HQ62" s="3">
        <v>0</v>
      </c>
      <c r="HR62" s="3">
        <v>0</v>
      </c>
      <c r="HS62" s="3">
        <v>1300000</v>
      </c>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c r="IW62" s="3"/>
      <c r="IX62" s="3"/>
      <c r="IY62" s="3"/>
      <c r="IZ62" s="3"/>
      <c r="JA62" s="3"/>
      <c r="JB62" s="3"/>
      <c r="JC62" s="3"/>
      <c r="JD62" s="3"/>
      <c r="JE62" s="3"/>
      <c r="JF62" s="3"/>
      <c r="JG62" s="3"/>
      <c r="JH62" s="3"/>
      <c r="JI62" s="3"/>
      <c r="JJ62" s="3"/>
      <c r="JK62" s="3"/>
      <c r="JL62" s="3"/>
      <c r="JM62" s="3"/>
      <c r="JN62" s="3"/>
      <c r="JO62" s="3"/>
      <c r="JP62" s="3"/>
      <c r="JQ62" s="3"/>
      <c r="JR62" s="3"/>
      <c r="JS62" s="3"/>
      <c r="JT62" s="3"/>
      <c r="JU62" s="3"/>
      <c r="JV62" s="3"/>
      <c r="JW62" s="3"/>
      <c r="JX62" s="3"/>
      <c r="JY62" s="3"/>
      <c r="JZ62" s="3"/>
      <c r="KA62" s="3"/>
      <c r="KB62" s="3"/>
      <c r="KC62" s="3"/>
      <c r="KD62" s="3"/>
      <c r="KE62" s="3"/>
      <c r="KF62" s="3"/>
      <c r="KG62" s="3"/>
      <c r="KH62" s="3"/>
      <c r="KI62" s="3"/>
      <c r="KJ62" s="3"/>
      <c r="KK62" s="3"/>
      <c r="KL62" s="3"/>
      <c r="KM62" s="3"/>
      <c r="KN62" s="3"/>
      <c r="KO62" s="3"/>
      <c r="KP62" s="3"/>
      <c r="KQ62" s="3"/>
      <c r="KR62" s="3"/>
      <c r="KS62" s="3"/>
      <c r="KT62" s="3"/>
      <c r="KU62" s="3"/>
      <c r="KV62" s="3"/>
      <c r="KW62" s="3"/>
      <c r="KX62" s="3"/>
      <c r="KY62" s="3"/>
      <c r="KZ62" s="3"/>
      <c r="LA62" s="3"/>
      <c r="LB62" s="3"/>
      <c r="LC62" s="3"/>
      <c r="LD62" s="3"/>
      <c r="LE62" s="3"/>
      <c r="LF62" s="3"/>
      <c r="LG62" s="3"/>
      <c r="LH62" s="3"/>
      <c r="LI62" s="3"/>
      <c r="LJ62" s="3"/>
      <c r="LK62" s="3"/>
      <c r="LL62" s="3"/>
      <c r="LM62" s="3"/>
      <c r="LN62" s="3"/>
      <c r="LO62" s="3"/>
      <c r="LP62" s="3"/>
      <c r="LQ62" s="3"/>
      <c r="LR62" s="3"/>
      <c r="LS62" s="3"/>
      <c r="LT62" s="3"/>
    </row>
    <row r="63" spans="1:332" x14ac:dyDescent="0.25">
      <c r="A63" t="s">
        <v>685</v>
      </c>
      <c r="B63" t="s">
        <v>686</v>
      </c>
      <c r="C63" t="s">
        <v>600</v>
      </c>
      <c r="D63" t="s">
        <v>719</v>
      </c>
      <c r="E63" t="s">
        <v>201</v>
      </c>
      <c r="F63" t="s">
        <v>202</v>
      </c>
      <c r="G63" t="s">
        <v>203</v>
      </c>
      <c r="H63" s="3">
        <v>17162000</v>
      </c>
      <c r="I63" s="3">
        <v>6161000</v>
      </c>
      <c r="J63" s="3">
        <v>0</v>
      </c>
      <c r="K63" s="3">
        <v>0</v>
      </c>
      <c r="L63" s="3">
        <v>23323000</v>
      </c>
      <c r="M63" s="3">
        <v>17162000</v>
      </c>
      <c r="N63" s="3">
        <v>6161000</v>
      </c>
      <c r="O63" s="3">
        <v>0</v>
      </c>
      <c r="P63" s="3">
        <v>0</v>
      </c>
      <c r="Q63" s="3">
        <v>23323000</v>
      </c>
      <c r="R63" s="3"/>
      <c r="S63" s="3"/>
      <c r="T63" s="3"/>
      <c r="U63" s="3"/>
      <c r="V63" s="3"/>
      <c r="W63" s="3"/>
      <c r="X63" s="3"/>
      <c r="Y63" s="3"/>
      <c r="Z63" s="3"/>
      <c r="AA63" s="3"/>
      <c r="AB63" s="3"/>
      <c r="AC63" s="3"/>
      <c r="AD63" s="3"/>
      <c r="AE63" s="3"/>
      <c r="AF63" s="3"/>
      <c r="AG63" s="3"/>
      <c r="AH63" s="3"/>
      <c r="AI63" s="3"/>
      <c r="AJ63" s="3"/>
      <c r="AK63" s="3"/>
      <c r="AL63" s="3"/>
      <c r="AM63" s="3"/>
      <c r="AN63" s="3"/>
      <c r="AO63" s="3"/>
      <c r="AP63" s="3"/>
      <c r="AQ63" s="3">
        <v>16292000</v>
      </c>
      <c r="AR63" s="3">
        <v>6455000</v>
      </c>
      <c r="AS63" s="3">
        <v>0</v>
      </c>
      <c r="AT63" s="3">
        <v>0</v>
      </c>
      <c r="AU63" s="3">
        <v>22747000</v>
      </c>
      <c r="AV63" s="3">
        <v>16292000</v>
      </c>
      <c r="AW63" s="3">
        <v>6455000</v>
      </c>
      <c r="AX63" s="3">
        <v>0</v>
      </c>
      <c r="AY63" s="3">
        <v>0</v>
      </c>
      <c r="AZ63" s="3">
        <v>22747000</v>
      </c>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v>17667000</v>
      </c>
      <c r="CA63" s="3">
        <v>5637000</v>
      </c>
      <c r="CB63" s="3">
        <v>0</v>
      </c>
      <c r="CC63" s="3">
        <v>0</v>
      </c>
      <c r="CD63" s="3">
        <v>23304000</v>
      </c>
      <c r="CE63" s="3">
        <v>17667000</v>
      </c>
      <c r="CF63" s="3">
        <v>5637000</v>
      </c>
      <c r="CG63" s="3">
        <v>0</v>
      </c>
      <c r="CH63" s="3">
        <v>0</v>
      </c>
      <c r="CI63" s="3">
        <v>23304000</v>
      </c>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v>20469000</v>
      </c>
      <c r="DJ63" s="3">
        <v>5084000</v>
      </c>
      <c r="DK63" s="3">
        <v>0</v>
      </c>
      <c r="DL63" s="3">
        <v>0</v>
      </c>
      <c r="DM63" s="3">
        <v>25553000</v>
      </c>
      <c r="DN63" s="3">
        <v>20469000</v>
      </c>
      <c r="DO63" s="3">
        <v>5084000</v>
      </c>
      <c r="DP63" s="3">
        <v>0</v>
      </c>
      <c r="DQ63" s="3">
        <v>0</v>
      </c>
      <c r="DR63" s="3">
        <v>25553000</v>
      </c>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v>21512000</v>
      </c>
      <c r="ES63" s="3">
        <v>5535000</v>
      </c>
      <c r="ET63" s="3">
        <v>0</v>
      </c>
      <c r="EU63" s="3">
        <v>0</v>
      </c>
      <c r="EV63" s="3">
        <v>27047000</v>
      </c>
      <c r="EW63" s="3">
        <v>21512000</v>
      </c>
      <c r="EX63" s="3">
        <v>5535000</v>
      </c>
      <c r="EY63" s="3">
        <v>0</v>
      </c>
      <c r="EZ63" s="3">
        <v>0</v>
      </c>
      <c r="FA63" s="3">
        <v>27047000</v>
      </c>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v>24416000</v>
      </c>
      <c r="GB63" s="3">
        <v>5238000</v>
      </c>
      <c r="GC63" s="3">
        <v>0</v>
      </c>
      <c r="GD63" s="3">
        <v>0</v>
      </c>
      <c r="GE63" s="3">
        <v>29654000</v>
      </c>
      <c r="GF63" s="3">
        <v>24416000</v>
      </c>
      <c r="GG63" s="3">
        <v>5238000</v>
      </c>
      <c r="GH63" s="3">
        <v>0</v>
      </c>
      <c r="GI63" s="3">
        <v>0</v>
      </c>
      <c r="GJ63" s="3">
        <v>29654000</v>
      </c>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v>22680000</v>
      </c>
      <c r="HK63" s="3">
        <v>5332000</v>
      </c>
      <c r="HL63" s="3">
        <v>0</v>
      </c>
      <c r="HM63" s="3">
        <v>0</v>
      </c>
      <c r="HN63" s="3">
        <v>28012000</v>
      </c>
      <c r="HO63" s="3">
        <v>22680000</v>
      </c>
      <c r="HP63" s="3">
        <v>5332000</v>
      </c>
      <c r="HQ63" s="3">
        <v>0</v>
      </c>
      <c r="HR63" s="3">
        <v>0</v>
      </c>
      <c r="HS63" s="3">
        <v>28012000</v>
      </c>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v>21133000</v>
      </c>
      <c r="IT63" s="3">
        <v>5428000</v>
      </c>
      <c r="IU63" s="3">
        <v>0</v>
      </c>
      <c r="IV63" s="3">
        <v>0</v>
      </c>
      <c r="IW63" s="3">
        <v>26561000</v>
      </c>
      <c r="IX63" s="3">
        <v>21133000</v>
      </c>
      <c r="IY63" s="3">
        <v>5428000</v>
      </c>
      <c r="IZ63" s="3">
        <v>0</v>
      </c>
      <c r="JA63" s="3">
        <v>0</v>
      </c>
      <c r="JB63" s="3">
        <v>26561000</v>
      </c>
      <c r="JC63" s="3"/>
      <c r="JD63" s="3"/>
      <c r="JE63" s="3"/>
      <c r="JF63" s="3"/>
      <c r="JG63" s="3"/>
      <c r="JH63" s="3"/>
      <c r="JI63" s="3"/>
      <c r="JJ63" s="3"/>
      <c r="JK63" s="3"/>
      <c r="JL63" s="3"/>
      <c r="JM63" s="3"/>
      <c r="JN63" s="3"/>
      <c r="JO63" s="3"/>
      <c r="JP63" s="3"/>
      <c r="JQ63" s="3"/>
      <c r="JR63" s="3"/>
      <c r="JS63" s="3"/>
      <c r="JT63" s="3"/>
      <c r="JU63" s="3"/>
      <c r="JV63" s="3"/>
      <c r="JW63" s="3"/>
      <c r="JX63" s="3"/>
      <c r="JY63" s="3"/>
      <c r="JZ63" s="3"/>
      <c r="KA63" s="3"/>
      <c r="KB63" s="3">
        <v>24231000</v>
      </c>
      <c r="KC63" s="3">
        <v>5526000</v>
      </c>
      <c r="KD63" s="3">
        <v>0</v>
      </c>
      <c r="KE63" s="3">
        <v>3700000</v>
      </c>
      <c r="KF63" s="3">
        <v>33457000</v>
      </c>
      <c r="KG63" s="3">
        <v>24231000</v>
      </c>
      <c r="KH63" s="3">
        <v>5526000</v>
      </c>
      <c r="KI63" s="3">
        <v>0</v>
      </c>
      <c r="KJ63" s="3">
        <v>3700000</v>
      </c>
      <c r="KK63" s="3">
        <v>33457000</v>
      </c>
      <c r="KL63" s="3"/>
      <c r="KM63" s="3"/>
      <c r="KN63" s="3"/>
      <c r="KO63" s="3"/>
      <c r="KP63" s="3"/>
      <c r="KQ63" s="3"/>
      <c r="KR63" s="3"/>
      <c r="KS63" s="3"/>
      <c r="KT63" s="3"/>
      <c r="KU63" s="3"/>
      <c r="KV63" s="3"/>
      <c r="KW63" s="3"/>
      <c r="KX63" s="3"/>
      <c r="KY63" s="3"/>
      <c r="KZ63" s="3"/>
      <c r="LA63" s="3"/>
      <c r="LB63" s="3"/>
      <c r="LC63" s="3"/>
      <c r="LD63" s="3"/>
      <c r="LE63" s="3"/>
      <c r="LF63" s="3"/>
      <c r="LG63" s="3"/>
      <c r="LH63" s="3"/>
      <c r="LI63" s="3"/>
      <c r="LJ63" s="3"/>
      <c r="LK63" s="3">
        <v>24664000</v>
      </c>
      <c r="LL63" s="3">
        <v>5625000</v>
      </c>
      <c r="LM63" s="3">
        <v>0</v>
      </c>
      <c r="LN63" s="3">
        <v>0</v>
      </c>
      <c r="LO63" s="3">
        <v>30289000</v>
      </c>
      <c r="LP63" s="3"/>
      <c r="LQ63" s="3"/>
      <c r="LR63" s="3"/>
      <c r="LS63" s="3"/>
      <c r="LT63" s="3"/>
    </row>
    <row r="64" spans="1:332" x14ac:dyDescent="0.25">
      <c r="A64" t="s">
        <v>685</v>
      </c>
      <c r="B64" t="s">
        <v>686</v>
      </c>
      <c r="C64" t="s">
        <v>600</v>
      </c>
      <c r="D64" t="s">
        <v>719</v>
      </c>
      <c r="E64" t="s">
        <v>201</v>
      </c>
      <c r="F64" t="s">
        <v>204</v>
      </c>
      <c r="G64" t="s">
        <v>205</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v>20535000</v>
      </c>
      <c r="AW64" s="3">
        <v>44529000</v>
      </c>
      <c r="AX64" s="3">
        <v>0</v>
      </c>
      <c r="AY64" s="3">
        <v>2755000</v>
      </c>
      <c r="AZ64" s="3">
        <v>67819000</v>
      </c>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v>392000</v>
      </c>
      <c r="CA64" s="3">
        <v>0</v>
      </c>
      <c r="CB64" s="3">
        <v>0</v>
      </c>
      <c r="CC64" s="3">
        <v>0</v>
      </c>
      <c r="CD64" s="3">
        <v>392000</v>
      </c>
      <c r="CE64" s="3">
        <v>392000</v>
      </c>
      <c r="CF64" s="3">
        <v>0</v>
      </c>
      <c r="CG64" s="3">
        <v>0</v>
      </c>
      <c r="CH64" s="3">
        <v>0</v>
      </c>
      <c r="CI64" s="3">
        <v>392000</v>
      </c>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c r="IW64" s="3"/>
      <c r="IX64" s="3"/>
      <c r="IY64" s="3"/>
      <c r="IZ64" s="3"/>
      <c r="JA64" s="3"/>
      <c r="JB64" s="3"/>
      <c r="JC64" s="3"/>
      <c r="JD64" s="3"/>
      <c r="JE64" s="3"/>
      <c r="JF64" s="3"/>
      <c r="JG64" s="3"/>
      <c r="JH64" s="3"/>
      <c r="JI64" s="3"/>
      <c r="JJ64" s="3"/>
      <c r="JK64" s="3"/>
      <c r="JL64" s="3"/>
      <c r="JM64" s="3"/>
      <c r="JN64" s="3"/>
      <c r="JO64" s="3"/>
      <c r="JP64" s="3"/>
      <c r="JQ64" s="3"/>
      <c r="JR64" s="3"/>
      <c r="JS64" s="3"/>
      <c r="JT64" s="3"/>
      <c r="JU64" s="3"/>
      <c r="JV64" s="3"/>
      <c r="JW64" s="3"/>
      <c r="JX64" s="3"/>
      <c r="JY64" s="3"/>
      <c r="JZ64" s="3"/>
      <c r="KA64" s="3"/>
      <c r="KB64" s="3"/>
      <c r="KC64" s="3"/>
      <c r="KD64" s="3"/>
      <c r="KE64" s="3"/>
      <c r="KF64" s="3"/>
      <c r="KG64" s="3"/>
      <c r="KH64" s="3"/>
      <c r="KI64" s="3"/>
      <c r="KJ64" s="3"/>
      <c r="KK64" s="3"/>
      <c r="KL64" s="3"/>
      <c r="KM64" s="3"/>
      <c r="KN64" s="3"/>
      <c r="KO64" s="3"/>
      <c r="KP64" s="3"/>
      <c r="KQ64" s="3"/>
      <c r="KR64" s="3"/>
      <c r="KS64" s="3"/>
      <c r="KT64" s="3"/>
      <c r="KU64" s="3"/>
      <c r="KV64" s="3"/>
      <c r="KW64" s="3"/>
      <c r="KX64" s="3"/>
      <c r="KY64" s="3"/>
      <c r="KZ64" s="3"/>
      <c r="LA64" s="3"/>
      <c r="LB64" s="3"/>
      <c r="LC64" s="3"/>
      <c r="LD64" s="3"/>
      <c r="LE64" s="3"/>
      <c r="LF64" s="3"/>
      <c r="LG64" s="3"/>
      <c r="LH64" s="3"/>
      <c r="LI64" s="3"/>
      <c r="LJ64" s="3"/>
      <c r="LK64" s="3"/>
      <c r="LL64" s="3"/>
      <c r="LM64" s="3"/>
      <c r="LN64" s="3"/>
      <c r="LO64" s="3"/>
      <c r="LP64" s="3"/>
      <c r="LQ64" s="3"/>
      <c r="LR64" s="3"/>
      <c r="LS64" s="3"/>
      <c r="LT64" s="3"/>
    </row>
    <row r="65" spans="1:332" x14ac:dyDescent="0.25">
      <c r="A65" t="s">
        <v>685</v>
      </c>
      <c r="B65" t="s">
        <v>686</v>
      </c>
      <c r="C65" t="s">
        <v>600</v>
      </c>
      <c r="D65" t="s">
        <v>719</v>
      </c>
      <c r="E65" t="s">
        <v>217</v>
      </c>
      <c r="F65" t="s">
        <v>218</v>
      </c>
      <c r="G65" t="s">
        <v>769</v>
      </c>
      <c r="H65" s="3">
        <v>18011000</v>
      </c>
      <c r="I65" s="3">
        <v>50004000</v>
      </c>
      <c r="J65" s="3">
        <v>0</v>
      </c>
      <c r="K65" s="3">
        <v>41845000</v>
      </c>
      <c r="L65" s="3">
        <v>69860000</v>
      </c>
      <c r="M65" s="3">
        <v>18011000</v>
      </c>
      <c r="N65" s="3">
        <v>50004000</v>
      </c>
      <c r="O65" s="3">
        <v>0</v>
      </c>
      <c r="P65" s="3">
        <v>1845000</v>
      </c>
      <c r="Q65" s="3">
        <v>69860000</v>
      </c>
      <c r="R65" s="3"/>
      <c r="S65" s="3"/>
      <c r="T65" s="3"/>
      <c r="U65" s="3"/>
      <c r="V65" s="3"/>
      <c r="W65" s="3"/>
      <c r="X65" s="3"/>
      <c r="Y65" s="3"/>
      <c r="Z65" s="3"/>
      <c r="AA65" s="3"/>
      <c r="AB65" s="3"/>
      <c r="AC65" s="3"/>
      <c r="AD65" s="3"/>
      <c r="AE65" s="3"/>
      <c r="AF65" s="3"/>
      <c r="AG65" s="3"/>
      <c r="AH65" s="3"/>
      <c r="AI65" s="3"/>
      <c r="AJ65" s="3"/>
      <c r="AK65" s="3"/>
      <c r="AL65" s="3"/>
      <c r="AM65" s="3"/>
      <c r="AN65" s="3"/>
      <c r="AO65" s="3"/>
      <c r="AP65" s="3"/>
      <c r="AQ65" s="3">
        <v>20535000</v>
      </c>
      <c r="AR65" s="3">
        <v>44529000</v>
      </c>
      <c r="AS65" s="3">
        <v>0</v>
      </c>
      <c r="AT65" s="3">
        <v>2755000</v>
      </c>
      <c r="AU65" s="3">
        <v>67819000</v>
      </c>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v>22057000</v>
      </c>
      <c r="CA65" s="3">
        <v>45507000</v>
      </c>
      <c r="CB65" s="3">
        <v>0</v>
      </c>
      <c r="CC65" s="3">
        <v>438000</v>
      </c>
      <c r="CD65" s="3">
        <v>68002000</v>
      </c>
      <c r="CE65" s="3">
        <v>22057000</v>
      </c>
      <c r="CF65" s="3">
        <v>45507000</v>
      </c>
      <c r="CG65" s="3">
        <v>0</v>
      </c>
      <c r="CH65" s="3">
        <v>438000</v>
      </c>
      <c r="CI65" s="3">
        <v>68002000</v>
      </c>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v>24440000</v>
      </c>
      <c r="DJ65" s="3">
        <v>52796000</v>
      </c>
      <c r="DK65" s="3">
        <v>0</v>
      </c>
      <c r="DL65" s="3">
        <v>2483000</v>
      </c>
      <c r="DM65" s="3">
        <v>79719000</v>
      </c>
      <c r="DN65" s="3">
        <v>24440000</v>
      </c>
      <c r="DO65" s="3">
        <v>52796000</v>
      </c>
      <c r="DP65" s="3">
        <v>0</v>
      </c>
      <c r="DQ65" s="3">
        <v>2483000</v>
      </c>
      <c r="DR65" s="3">
        <v>79719000</v>
      </c>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v>24495000</v>
      </c>
      <c r="ES65" s="3">
        <v>59191000</v>
      </c>
      <c r="ET65" s="3">
        <v>0</v>
      </c>
      <c r="EU65" s="3">
        <v>1093000</v>
      </c>
      <c r="EV65" s="3">
        <v>84779000</v>
      </c>
      <c r="EW65" s="3">
        <v>24495000</v>
      </c>
      <c r="EX65" s="3">
        <v>59191000</v>
      </c>
      <c r="EY65" s="3">
        <v>0</v>
      </c>
      <c r="EZ65" s="3">
        <v>1093000</v>
      </c>
      <c r="FA65" s="3">
        <v>84779000</v>
      </c>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v>28405000</v>
      </c>
      <c r="GB65" s="3">
        <v>55226000</v>
      </c>
      <c r="GC65" s="3">
        <v>0</v>
      </c>
      <c r="GD65" s="3">
        <v>1163000</v>
      </c>
      <c r="GE65" s="3">
        <v>84794000</v>
      </c>
      <c r="GF65" s="3">
        <v>28405000</v>
      </c>
      <c r="GG65" s="3">
        <v>55226000</v>
      </c>
      <c r="GH65" s="3">
        <v>0</v>
      </c>
      <c r="GI65" s="3">
        <v>1163000</v>
      </c>
      <c r="GJ65" s="3">
        <v>84794000</v>
      </c>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v>27235000</v>
      </c>
      <c r="HK65" s="3">
        <v>59782000</v>
      </c>
      <c r="HL65" s="3">
        <v>0</v>
      </c>
      <c r="HM65" s="3">
        <v>2848000</v>
      </c>
      <c r="HN65" s="3">
        <v>89865000</v>
      </c>
      <c r="HO65" s="3">
        <v>27235000</v>
      </c>
      <c r="HP65" s="3">
        <v>59782000</v>
      </c>
      <c r="HQ65" s="3">
        <v>0</v>
      </c>
      <c r="HR65" s="3">
        <v>2848000</v>
      </c>
      <c r="HS65" s="3">
        <v>89865000</v>
      </c>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v>22784000</v>
      </c>
      <c r="IT65" s="3">
        <v>66563000</v>
      </c>
      <c r="IU65" s="3">
        <v>0</v>
      </c>
      <c r="IV65" s="3">
        <v>3891000</v>
      </c>
      <c r="IW65" s="3">
        <v>93238000</v>
      </c>
      <c r="IX65" s="3">
        <v>22784000</v>
      </c>
      <c r="IY65" s="3">
        <v>66563000</v>
      </c>
      <c r="IZ65" s="3">
        <v>0</v>
      </c>
      <c r="JA65" s="3">
        <v>3891000</v>
      </c>
      <c r="JB65" s="3">
        <v>93238000</v>
      </c>
      <c r="JC65" s="3"/>
      <c r="JD65" s="3"/>
      <c r="JE65" s="3"/>
      <c r="JF65" s="3"/>
      <c r="JG65" s="3"/>
      <c r="JH65" s="3"/>
      <c r="JI65" s="3"/>
      <c r="JJ65" s="3"/>
      <c r="JK65" s="3"/>
      <c r="JL65" s="3"/>
      <c r="JM65" s="3"/>
      <c r="JN65" s="3"/>
      <c r="JO65" s="3"/>
      <c r="JP65" s="3"/>
      <c r="JQ65" s="3"/>
      <c r="JR65" s="3"/>
      <c r="JS65" s="3"/>
      <c r="JT65" s="3"/>
      <c r="JU65" s="3"/>
      <c r="JV65" s="3"/>
      <c r="JW65" s="3"/>
      <c r="JX65" s="3"/>
      <c r="JY65" s="3"/>
      <c r="JZ65" s="3"/>
      <c r="KA65" s="3"/>
      <c r="KB65" s="3">
        <v>27947000</v>
      </c>
      <c r="KC65" s="3">
        <v>70604000</v>
      </c>
      <c r="KD65" s="3">
        <v>0</v>
      </c>
      <c r="KE65" s="3">
        <v>1050000</v>
      </c>
      <c r="KF65" s="3">
        <v>99601000</v>
      </c>
      <c r="KG65" s="3">
        <v>27947000</v>
      </c>
      <c r="KH65" s="3">
        <v>70604000</v>
      </c>
      <c r="KI65" s="3">
        <v>0</v>
      </c>
      <c r="KJ65" s="3">
        <v>1050000</v>
      </c>
      <c r="KK65" s="3">
        <v>99601000</v>
      </c>
      <c r="KL65" s="3"/>
      <c r="KM65" s="3"/>
      <c r="KN65" s="3"/>
      <c r="KO65" s="3"/>
      <c r="KP65" s="3"/>
      <c r="KQ65" s="3"/>
      <c r="KR65" s="3"/>
      <c r="KS65" s="3"/>
      <c r="KT65" s="3"/>
      <c r="KU65" s="3"/>
      <c r="KV65" s="3"/>
      <c r="KW65" s="3"/>
      <c r="KX65" s="3"/>
      <c r="KY65" s="3"/>
      <c r="KZ65" s="3"/>
      <c r="LA65" s="3"/>
      <c r="LB65" s="3"/>
      <c r="LC65" s="3"/>
      <c r="LD65" s="3"/>
      <c r="LE65" s="3"/>
      <c r="LF65" s="3"/>
      <c r="LG65" s="3"/>
      <c r="LH65" s="3"/>
      <c r="LI65" s="3"/>
      <c r="LJ65" s="3"/>
      <c r="LK65" s="3">
        <v>31783000</v>
      </c>
      <c r="LL65" s="3">
        <v>64216000</v>
      </c>
      <c r="LM65" s="3">
        <v>0</v>
      </c>
      <c r="LN65" s="3">
        <v>0</v>
      </c>
      <c r="LO65" s="3">
        <v>95999000</v>
      </c>
      <c r="LP65" s="3"/>
      <c r="LQ65" s="3"/>
      <c r="LR65" s="3"/>
      <c r="LS65" s="3"/>
      <c r="LT65" s="3"/>
    </row>
    <row r="66" spans="1:332" x14ac:dyDescent="0.25">
      <c r="A66" t="s">
        <v>685</v>
      </c>
      <c r="B66" t="s">
        <v>686</v>
      </c>
      <c r="C66" t="s">
        <v>600</v>
      </c>
      <c r="D66" t="s">
        <v>719</v>
      </c>
      <c r="E66" t="s">
        <v>217</v>
      </c>
      <c r="F66" s="4" t="s">
        <v>618</v>
      </c>
      <c r="G66" t="s">
        <v>934</v>
      </c>
      <c r="H66" s="3"/>
      <c r="I66" s="3"/>
      <c r="J66" s="3"/>
      <c r="K66" s="3"/>
      <c r="L66" s="3"/>
      <c r="M66" s="3">
        <v>0</v>
      </c>
      <c r="N66" s="3">
        <v>0</v>
      </c>
      <c r="O66" s="3">
        <v>0</v>
      </c>
      <c r="P66" s="3">
        <v>120000000</v>
      </c>
      <c r="Q66" s="3">
        <v>120000000</v>
      </c>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c r="IW66" s="3"/>
      <c r="IX66" s="3"/>
      <c r="IY66" s="3"/>
      <c r="IZ66" s="3"/>
      <c r="JA66" s="3"/>
      <c r="JB66" s="3"/>
      <c r="JC66" s="3"/>
      <c r="JD66" s="3"/>
      <c r="JE66" s="3"/>
      <c r="JF66" s="3"/>
      <c r="JG66" s="3"/>
      <c r="JH66" s="3"/>
      <c r="JI66" s="3"/>
      <c r="JJ66" s="3"/>
      <c r="JK66" s="3"/>
      <c r="JL66" s="3"/>
      <c r="JM66" s="3"/>
      <c r="JN66" s="3"/>
      <c r="JO66" s="3"/>
      <c r="JP66" s="3"/>
      <c r="JQ66" s="3"/>
      <c r="JR66" s="3"/>
      <c r="JS66" s="3"/>
      <c r="JT66" s="3"/>
      <c r="JU66" s="3"/>
      <c r="JV66" s="3"/>
      <c r="JW66" s="3"/>
      <c r="JX66" s="3"/>
      <c r="JY66" s="3"/>
      <c r="JZ66" s="3"/>
      <c r="KA66" s="3"/>
      <c r="KB66" s="3"/>
      <c r="KC66" s="3"/>
      <c r="KD66" s="3"/>
      <c r="KE66" s="3"/>
      <c r="KF66" s="3"/>
      <c r="KG66" s="3"/>
      <c r="KH66" s="3"/>
      <c r="KI66" s="3"/>
      <c r="KJ66" s="3"/>
      <c r="KK66" s="3"/>
      <c r="KL66" s="3"/>
      <c r="KM66" s="3"/>
      <c r="KN66" s="3"/>
      <c r="KO66" s="3"/>
      <c r="KP66" s="3"/>
      <c r="KQ66" s="3"/>
      <c r="KR66" s="3"/>
      <c r="KS66" s="3"/>
      <c r="KT66" s="3"/>
      <c r="KU66" s="3"/>
      <c r="KV66" s="3"/>
      <c r="KW66" s="3"/>
      <c r="KX66" s="3"/>
      <c r="KY66" s="3"/>
      <c r="KZ66" s="3"/>
      <c r="LA66" s="3"/>
      <c r="LB66" s="3"/>
      <c r="LC66" s="3"/>
      <c r="LD66" s="3"/>
      <c r="LE66" s="3"/>
      <c r="LF66" s="3"/>
      <c r="LG66" s="3"/>
      <c r="LH66" s="3"/>
      <c r="LI66" s="3"/>
      <c r="LJ66" s="3"/>
      <c r="LK66" s="3"/>
      <c r="LL66" s="3"/>
      <c r="LM66" s="3"/>
      <c r="LN66" s="3"/>
      <c r="LO66" s="3"/>
      <c r="LP66" s="3"/>
      <c r="LQ66" s="3"/>
      <c r="LR66" s="3"/>
      <c r="LS66" s="3"/>
      <c r="LT66" s="3"/>
    </row>
    <row r="67" spans="1:332" x14ac:dyDescent="0.25">
      <c r="A67" t="s">
        <v>685</v>
      </c>
      <c r="B67" t="s">
        <v>686</v>
      </c>
      <c r="C67" t="s">
        <v>600</v>
      </c>
      <c r="D67" t="s">
        <v>719</v>
      </c>
      <c r="E67" t="s">
        <v>217</v>
      </c>
      <c r="F67" s="4" t="s">
        <v>642</v>
      </c>
      <c r="G67" t="s">
        <v>942</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v>0</v>
      </c>
      <c r="AW67" s="3">
        <v>200000000</v>
      </c>
      <c r="AX67" s="3">
        <v>0</v>
      </c>
      <c r="AY67" s="3">
        <v>800000000</v>
      </c>
      <c r="AZ67" s="3">
        <v>1000000000</v>
      </c>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c r="IW67" s="3"/>
      <c r="IX67" s="3"/>
      <c r="IY67" s="3"/>
      <c r="IZ67" s="3"/>
      <c r="JA67" s="3"/>
      <c r="JB67" s="3"/>
      <c r="JC67" s="3"/>
      <c r="JD67" s="3"/>
      <c r="JE67" s="3"/>
      <c r="JF67" s="3"/>
      <c r="JG67" s="3"/>
      <c r="JH67" s="3"/>
      <c r="JI67" s="3"/>
      <c r="JJ67" s="3"/>
      <c r="JK67" s="3"/>
      <c r="JL67" s="3"/>
      <c r="JM67" s="3"/>
      <c r="JN67" s="3"/>
      <c r="JO67" s="3"/>
      <c r="JP67" s="3"/>
      <c r="JQ67" s="3"/>
      <c r="JR67" s="3"/>
      <c r="JS67" s="3"/>
      <c r="JT67" s="3"/>
      <c r="JU67" s="3"/>
      <c r="JV67" s="3"/>
      <c r="JW67" s="3"/>
      <c r="JX67" s="3"/>
      <c r="JY67" s="3"/>
      <c r="JZ67" s="3"/>
      <c r="KA67" s="3"/>
      <c r="KB67" s="3"/>
      <c r="KC67" s="3"/>
      <c r="KD67" s="3"/>
      <c r="KE67" s="3"/>
      <c r="KF67" s="3"/>
      <c r="KG67" s="3"/>
      <c r="KH67" s="3"/>
      <c r="KI67" s="3"/>
      <c r="KJ67" s="3"/>
      <c r="KK67" s="3"/>
      <c r="KL67" s="3"/>
      <c r="KM67" s="3"/>
      <c r="KN67" s="3"/>
      <c r="KO67" s="3"/>
      <c r="KP67" s="3"/>
      <c r="KQ67" s="3"/>
      <c r="KR67" s="3"/>
      <c r="KS67" s="3"/>
      <c r="KT67" s="3"/>
      <c r="KU67" s="3"/>
      <c r="KV67" s="3"/>
      <c r="KW67" s="3"/>
      <c r="KX67" s="3"/>
      <c r="KY67" s="3"/>
      <c r="KZ67" s="3"/>
      <c r="LA67" s="3"/>
      <c r="LB67" s="3"/>
      <c r="LC67" s="3"/>
      <c r="LD67" s="3"/>
      <c r="LE67" s="3"/>
      <c r="LF67" s="3"/>
      <c r="LG67" s="3"/>
      <c r="LH67" s="3"/>
      <c r="LI67" s="3"/>
      <c r="LJ67" s="3"/>
      <c r="LK67" s="3"/>
      <c r="LL67" s="3"/>
      <c r="LM67" s="3"/>
      <c r="LN67" s="3"/>
      <c r="LO67" s="3"/>
      <c r="LP67" s="3"/>
      <c r="LQ67" s="3"/>
      <c r="LR67" s="3"/>
      <c r="LS67" s="3"/>
      <c r="LT67" s="3"/>
    </row>
    <row r="68" spans="1:332" x14ac:dyDescent="0.25">
      <c r="A68" t="s">
        <v>685</v>
      </c>
      <c r="B68" t="s">
        <v>686</v>
      </c>
      <c r="C68" t="s">
        <v>600</v>
      </c>
      <c r="D68" t="s">
        <v>719</v>
      </c>
      <c r="E68" t="s">
        <v>217</v>
      </c>
      <c r="F68" t="s">
        <v>641</v>
      </c>
      <c r="G68" t="s">
        <v>820</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v>0</v>
      </c>
      <c r="CF68" s="3">
        <v>10000000</v>
      </c>
      <c r="CG68" s="3">
        <v>0</v>
      </c>
      <c r="CH68" s="3">
        <v>0</v>
      </c>
      <c r="CI68" s="3">
        <v>10000000</v>
      </c>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c r="IW68" s="3"/>
      <c r="IX68" s="3"/>
      <c r="IY68" s="3"/>
      <c r="IZ68" s="3"/>
      <c r="JA68" s="3"/>
      <c r="JB68" s="3"/>
      <c r="JC68" s="3"/>
      <c r="JD68" s="3"/>
      <c r="JE68" s="3"/>
      <c r="JF68" s="3"/>
      <c r="JG68" s="3"/>
      <c r="JH68" s="3"/>
      <c r="JI68" s="3"/>
      <c r="JJ68" s="3"/>
      <c r="JK68" s="3"/>
      <c r="JL68" s="3"/>
      <c r="JM68" s="3"/>
      <c r="JN68" s="3"/>
      <c r="JO68" s="3"/>
      <c r="JP68" s="3"/>
      <c r="JQ68" s="3"/>
      <c r="JR68" s="3"/>
      <c r="JS68" s="3"/>
      <c r="JT68" s="3"/>
      <c r="JU68" s="3"/>
      <c r="JV68" s="3"/>
      <c r="JW68" s="3"/>
      <c r="JX68" s="3"/>
      <c r="JY68" s="3"/>
      <c r="JZ68" s="3"/>
      <c r="KA68" s="3"/>
      <c r="KB68" s="3"/>
      <c r="KC68" s="3"/>
      <c r="KD68" s="3"/>
      <c r="KE68" s="3"/>
      <c r="KF68" s="3"/>
      <c r="KG68" s="3"/>
      <c r="KH68" s="3"/>
      <c r="KI68" s="3"/>
      <c r="KJ68" s="3"/>
      <c r="KK68" s="3"/>
      <c r="KL68" s="3"/>
      <c r="KM68" s="3"/>
      <c r="KN68" s="3"/>
      <c r="KO68" s="3"/>
      <c r="KP68" s="3"/>
      <c r="KQ68" s="3"/>
      <c r="KR68" s="3"/>
      <c r="KS68" s="3"/>
      <c r="KT68" s="3"/>
      <c r="KU68" s="3"/>
      <c r="KV68" s="3"/>
      <c r="KW68" s="3"/>
      <c r="KX68" s="3"/>
      <c r="KY68" s="3"/>
      <c r="KZ68" s="3"/>
      <c r="LA68" s="3"/>
      <c r="LB68" s="3"/>
      <c r="LC68" s="3"/>
      <c r="LD68" s="3"/>
      <c r="LE68" s="3"/>
      <c r="LF68" s="3"/>
      <c r="LG68" s="3"/>
      <c r="LH68" s="3"/>
      <c r="LI68" s="3"/>
      <c r="LJ68" s="3"/>
      <c r="LK68" s="3"/>
      <c r="LL68" s="3"/>
      <c r="LM68" s="3"/>
      <c r="LN68" s="3"/>
      <c r="LO68" s="3"/>
      <c r="LP68" s="3"/>
      <c r="LQ68" s="3"/>
      <c r="LR68" s="3"/>
      <c r="LS68" s="3"/>
      <c r="LT68" s="3"/>
    </row>
    <row r="69" spans="1:332" x14ac:dyDescent="0.25">
      <c r="A69" t="s">
        <v>685</v>
      </c>
      <c r="B69" t="s">
        <v>686</v>
      </c>
      <c r="C69" t="s">
        <v>600</v>
      </c>
      <c r="D69" t="s">
        <v>719</v>
      </c>
      <c r="E69" t="s">
        <v>217</v>
      </c>
      <c r="F69" t="s">
        <v>640</v>
      </c>
      <c r="G69" t="s">
        <v>813</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v>0</v>
      </c>
      <c r="DJ69" s="3">
        <v>0</v>
      </c>
      <c r="DK69" s="3">
        <v>0</v>
      </c>
      <c r="DL69" s="3">
        <v>0</v>
      </c>
      <c r="DM69" s="3">
        <v>0</v>
      </c>
      <c r="DN69" s="3">
        <v>0</v>
      </c>
      <c r="DO69" s="3">
        <v>10000000</v>
      </c>
      <c r="DP69" s="3">
        <v>0</v>
      </c>
      <c r="DQ69" s="3">
        <v>0</v>
      </c>
      <c r="DR69" s="3">
        <v>10000000</v>
      </c>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c r="IW69" s="3"/>
      <c r="IX69" s="3"/>
      <c r="IY69" s="3"/>
      <c r="IZ69" s="3"/>
      <c r="JA69" s="3"/>
      <c r="JB69" s="3"/>
      <c r="JC69" s="3"/>
      <c r="JD69" s="3"/>
      <c r="JE69" s="3"/>
      <c r="JF69" s="3"/>
      <c r="JG69" s="3"/>
      <c r="JH69" s="3"/>
      <c r="JI69" s="3"/>
      <c r="JJ69" s="3"/>
      <c r="JK69" s="3"/>
      <c r="JL69" s="3"/>
      <c r="JM69" s="3"/>
      <c r="JN69" s="3"/>
      <c r="JO69" s="3"/>
      <c r="JP69" s="3"/>
      <c r="JQ69" s="3"/>
      <c r="JR69" s="3"/>
      <c r="JS69" s="3"/>
      <c r="JT69" s="3"/>
      <c r="JU69" s="3"/>
      <c r="JV69" s="3"/>
      <c r="JW69" s="3"/>
      <c r="JX69" s="3"/>
      <c r="JY69" s="3"/>
      <c r="JZ69" s="3"/>
      <c r="KA69" s="3"/>
      <c r="KB69" s="3"/>
      <c r="KC69" s="3"/>
      <c r="KD69" s="3"/>
      <c r="KE69" s="3"/>
      <c r="KF69" s="3"/>
      <c r="KG69" s="3"/>
      <c r="KH69" s="3"/>
      <c r="KI69" s="3"/>
      <c r="KJ69" s="3"/>
      <c r="KK69" s="3"/>
      <c r="KL69" s="3"/>
      <c r="KM69" s="3"/>
      <c r="KN69" s="3"/>
      <c r="KO69" s="3"/>
      <c r="KP69" s="3"/>
      <c r="KQ69" s="3"/>
      <c r="KR69" s="3"/>
      <c r="KS69" s="3"/>
      <c r="KT69" s="3"/>
      <c r="KU69" s="3"/>
      <c r="KV69" s="3"/>
      <c r="KW69" s="3"/>
      <c r="KX69" s="3"/>
      <c r="KY69" s="3"/>
      <c r="KZ69" s="3"/>
      <c r="LA69" s="3"/>
      <c r="LB69" s="3"/>
      <c r="LC69" s="3"/>
      <c r="LD69" s="3"/>
      <c r="LE69" s="3"/>
      <c r="LF69" s="3"/>
      <c r="LG69" s="3"/>
      <c r="LH69" s="3"/>
      <c r="LI69" s="3"/>
      <c r="LJ69" s="3"/>
      <c r="LK69" s="3"/>
      <c r="LL69" s="3"/>
      <c r="LM69" s="3"/>
      <c r="LN69" s="3"/>
      <c r="LO69" s="3"/>
      <c r="LP69" s="3"/>
      <c r="LQ69" s="3"/>
      <c r="LR69" s="3"/>
      <c r="LS69" s="3"/>
      <c r="LT69" s="3"/>
    </row>
    <row r="70" spans="1:332" x14ac:dyDescent="0.25">
      <c r="A70" t="s">
        <v>685</v>
      </c>
      <c r="B70" t="s">
        <v>686</v>
      </c>
      <c r="C70" t="s">
        <v>600</v>
      </c>
      <c r="D70" t="s">
        <v>719</v>
      </c>
      <c r="E70" t="s">
        <v>217</v>
      </c>
      <c r="F70" t="s">
        <v>639</v>
      </c>
      <c r="G70" t="s">
        <v>814</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v>0</v>
      </c>
      <c r="DJ70" s="3">
        <v>0</v>
      </c>
      <c r="DK70" s="3">
        <v>0</v>
      </c>
      <c r="DL70" s="3">
        <v>0</v>
      </c>
      <c r="DM70" s="3">
        <v>0</v>
      </c>
      <c r="DN70" s="3">
        <v>0</v>
      </c>
      <c r="DO70" s="3">
        <v>10000000</v>
      </c>
      <c r="DP70" s="3">
        <v>0</v>
      </c>
      <c r="DQ70" s="3">
        <v>0</v>
      </c>
      <c r="DR70" s="3">
        <v>10000000</v>
      </c>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c r="IW70" s="3"/>
      <c r="IX70" s="3"/>
      <c r="IY70" s="3"/>
      <c r="IZ70" s="3"/>
      <c r="JA70" s="3"/>
      <c r="JB70" s="3"/>
      <c r="JC70" s="3"/>
      <c r="JD70" s="3"/>
      <c r="JE70" s="3"/>
      <c r="JF70" s="3"/>
      <c r="JG70" s="3"/>
      <c r="JH70" s="3"/>
      <c r="JI70" s="3"/>
      <c r="JJ70" s="3"/>
      <c r="JK70" s="3"/>
      <c r="JL70" s="3"/>
      <c r="JM70" s="3"/>
      <c r="JN70" s="3"/>
      <c r="JO70" s="3"/>
      <c r="JP70" s="3"/>
      <c r="JQ70" s="3"/>
      <c r="JR70" s="3"/>
      <c r="JS70" s="3"/>
      <c r="JT70" s="3"/>
      <c r="JU70" s="3"/>
      <c r="JV70" s="3"/>
      <c r="JW70" s="3"/>
      <c r="JX70" s="3"/>
      <c r="JY70" s="3"/>
      <c r="JZ70" s="3"/>
      <c r="KA70" s="3"/>
      <c r="KB70" s="3"/>
      <c r="KC70" s="3"/>
      <c r="KD70" s="3"/>
      <c r="KE70" s="3"/>
      <c r="KF70" s="3"/>
      <c r="KG70" s="3"/>
      <c r="KH70" s="3"/>
      <c r="KI70" s="3"/>
      <c r="KJ70" s="3"/>
      <c r="KK70" s="3"/>
      <c r="KL70" s="3"/>
      <c r="KM70" s="3"/>
      <c r="KN70" s="3"/>
      <c r="KO70" s="3"/>
      <c r="KP70" s="3"/>
      <c r="KQ70" s="3"/>
      <c r="KR70" s="3"/>
      <c r="KS70" s="3"/>
      <c r="KT70" s="3"/>
      <c r="KU70" s="3"/>
      <c r="KV70" s="3"/>
      <c r="KW70" s="3"/>
      <c r="KX70" s="3"/>
      <c r="KY70" s="3"/>
      <c r="KZ70" s="3"/>
      <c r="LA70" s="3"/>
      <c r="LB70" s="3"/>
      <c r="LC70" s="3"/>
      <c r="LD70" s="3"/>
      <c r="LE70" s="3"/>
      <c r="LF70" s="3"/>
      <c r="LG70" s="3"/>
      <c r="LH70" s="3"/>
      <c r="LI70" s="3"/>
      <c r="LJ70" s="3"/>
      <c r="LK70" s="3"/>
      <c r="LL70" s="3"/>
      <c r="LM70" s="3"/>
      <c r="LN70" s="3"/>
      <c r="LO70" s="3"/>
      <c r="LP70" s="3"/>
      <c r="LQ70" s="3"/>
      <c r="LR70" s="3"/>
      <c r="LS70" s="3"/>
      <c r="LT70" s="3"/>
    </row>
    <row r="71" spans="1:332" x14ac:dyDescent="0.25">
      <c r="A71" t="s">
        <v>685</v>
      </c>
      <c r="B71" t="s">
        <v>686</v>
      </c>
      <c r="C71" t="s">
        <v>600</v>
      </c>
      <c r="D71" t="s">
        <v>719</v>
      </c>
      <c r="E71" t="s">
        <v>217</v>
      </c>
      <c r="F71" t="s">
        <v>638</v>
      </c>
      <c r="G71" t="s">
        <v>808</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v>0</v>
      </c>
      <c r="ES71" s="3">
        <v>0</v>
      </c>
      <c r="ET71" s="3">
        <v>0</v>
      </c>
      <c r="EU71" s="3">
        <v>0</v>
      </c>
      <c r="EV71" s="3">
        <v>0</v>
      </c>
      <c r="EW71" s="3">
        <v>0</v>
      </c>
      <c r="EX71" s="3">
        <v>75000000</v>
      </c>
      <c r="EY71" s="3"/>
      <c r="EZ71" s="3">
        <v>0</v>
      </c>
      <c r="FA71" s="3">
        <v>75000000</v>
      </c>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v>0</v>
      </c>
      <c r="GD71" s="3"/>
      <c r="GE71" s="3"/>
      <c r="GF71" s="3">
        <v>0</v>
      </c>
      <c r="GG71" s="3">
        <v>100000000</v>
      </c>
      <c r="GH71" s="3">
        <v>0</v>
      </c>
      <c r="GI71" s="3">
        <v>0</v>
      </c>
      <c r="GJ71" s="3">
        <v>100000000</v>
      </c>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v>0</v>
      </c>
      <c r="HK71" s="3">
        <v>0</v>
      </c>
      <c r="HL71" s="3">
        <v>0</v>
      </c>
      <c r="HM71" s="3">
        <v>0</v>
      </c>
      <c r="HN71" s="3">
        <v>0</v>
      </c>
      <c r="HO71" s="3"/>
      <c r="HP71" s="3"/>
      <c r="HQ71" s="3">
        <v>0</v>
      </c>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c r="IW71" s="3"/>
      <c r="IX71" s="3"/>
      <c r="IY71" s="3"/>
      <c r="IZ71" s="3"/>
      <c r="JA71" s="3"/>
      <c r="JB71" s="3"/>
      <c r="JC71" s="3"/>
      <c r="JD71" s="3"/>
      <c r="JE71" s="3"/>
      <c r="JF71" s="3"/>
      <c r="JG71" s="3"/>
      <c r="JH71" s="3"/>
      <c r="JI71" s="3"/>
      <c r="JJ71" s="3"/>
      <c r="JK71" s="3"/>
      <c r="JL71" s="3"/>
      <c r="JM71" s="3"/>
      <c r="JN71" s="3"/>
      <c r="JO71" s="3"/>
      <c r="JP71" s="3"/>
      <c r="JQ71" s="3"/>
      <c r="JR71" s="3"/>
      <c r="JS71" s="3"/>
      <c r="JT71" s="3"/>
      <c r="JU71" s="3"/>
      <c r="JV71" s="3"/>
      <c r="JW71" s="3"/>
      <c r="JX71" s="3"/>
      <c r="JY71" s="3"/>
      <c r="JZ71" s="3"/>
      <c r="KA71" s="3"/>
      <c r="KB71" s="3"/>
      <c r="KC71" s="3"/>
      <c r="KD71" s="3"/>
      <c r="KE71" s="3"/>
      <c r="KF71" s="3"/>
      <c r="KG71" s="3"/>
      <c r="KH71" s="3"/>
      <c r="KI71" s="3"/>
      <c r="KJ71" s="3"/>
      <c r="KK71" s="3"/>
      <c r="KL71" s="3"/>
      <c r="KM71" s="3"/>
      <c r="KN71" s="3"/>
      <c r="KO71" s="3"/>
      <c r="KP71" s="3"/>
      <c r="KQ71" s="3"/>
      <c r="KR71" s="3"/>
      <c r="KS71" s="3"/>
      <c r="KT71" s="3"/>
      <c r="KU71" s="3"/>
      <c r="KV71" s="3"/>
      <c r="KW71" s="3"/>
      <c r="KX71" s="3"/>
      <c r="KY71" s="3"/>
      <c r="KZ71" s="3"/>
      <c r="LA71" s="3"/>
      <c r="LB71" s="3"/>
      <c r="LC71" s="3"/>
      <c r="LD71" s="3"/>
      <c r="LE71" s="3"/>
      <c r="LF71" s="3"/>
      <c r="LG71" s="3"/>
      <c r="LH71" s="3"/>
      <c r="LI71" s="3"/>
      <c r="LJ71" s="3"/>
      <c r="LK71" s="3"/>
      <c r="LL71" s="3"/>
      <c r="LM71" s="3"/>
      <c r="LN71" s="3"/>
      <c r="LO71" s="3"/>
      <c r="LP71" s="3"/>
      <c r="LQ71" s="3"/>
      <c r="LR71" s="3"/>
      <c r="LS71" s="3"/>
      <c r="LT71" s="3"/>
    </row>
    <row r="72" spans="1:332" x14ac:dyDescent="0.25">
      <c r="A72" t="s">
        <v>685</v>
      </c>
      <c r="B72" t="s">
        <v>686</v>
      </c>
      <c r="C72" t="s">
        <v>601</v>
      </c>
      <c r="D72" t="s">
        <v>720</v>
      </c>
      <c r="E72" t="s">
        <v>201</v>
      </c>
      <c r="F72" t="s">
        <v>202</v>
      </c>
      <c r="G72" t="s">
        <v>203</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v>25033000</v>
      </c>
      <c r="AW72" s="3">
        <v>36092000</v>
      </c>
      <c r="AX72" s="3">
        <v>0</v>
      </c>
      <c r="AY72" s="3">
        <v>4251000</v>
      </c>
      <c r="AZ72" s="3">
        <v>65376000</v>
      </c>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v>22672000</v>
      </c>
      <c r="CA72" s="3">
        <v>30671000</v>
      </c>
      <c r="CB72" s="3">
        <v>0</v>
      </c>
      <c r="CC72" s="3">
        <v>5091000</v>
      </c>
      <c r="CD72" s="3">
        <v>58434000</v>
      </c>
      <c r="CE72" s="3">
        <v>22672000</v>
      </c>
      <c r="CF72" s="3">
        <v>30671000</v>
      </c>
      <c r="CG72" s="3">
        <v>0</v>
      </c>
      <c r="CH72" s="3">
        <v>5091000</v>
      </c>
      <c r="CI72" s="3">
        <v>58434000</v>
      </c>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v>26769000</v>
      </c>
      <c r="DJ72" s="3">
        <v>31773000</v>
      </c>
      <c r="DK72" s="3">
        <v>0</v>
      </c>
      <c r="DL72" s="3">
        <v>2930000</v>
      </c>
      <c r="DM72" s="3">
        <v>61472000</v>
      </c>
      <c r="DN72" s="3">
        <v>26769000</v>
      </c>
      <c r="DO72" s="3">
        <v>31773000</v>
      </c>
      <c r="DP72" s="3">
        <v>0</v>
      </c>
      <c r="DQ72" s="3">
        <v>2930000</v>
      </c>
      <c r="DR72" s="3">
        <v>61472000</v>
      </c>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v>24408000</v>
      </c>
      <c r="ES72" s="3">
        <v>31828000</v>
      </c>
      <c r="ET72" s="3">
        <v>0</v>
      </c>
      <c r="EU72" s="3">
        <v>1740000</v>
      </c>
      <c r="EV72" s="3">
        <v>57976000</v>
      </c>
      <c r="EW72" s="3">
        <v>24408000</v>
      </c>
      <c r="EX72" s="3">
        <v>31828000</v>
      </c>
      <c r="EY72" s="3">
        <v>0</v>
      </c>
      <c r="EZ72" s="3">
        <v>1740000</v>
      </c>
      <c r="FA72" s="3">
        <v>57976000</v>
      </c>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v>27423000</v>
      </c>
      <c r="GB72" s="3">
        <v>32934000</v>
      </c>
      <c r="GC72" s="3">
        <v>0</v>
      </c>
      <c r="GD72" s="3">
        <v>0</v>
      </c>
      <c r="GE72" s="3">
        <v>60357000</v>
      </c>
      <c r="GF72" s="3">
        <v>27423000</v>
      </c>
      <c r="GG72" s="3">
        <v>32934000</v>
      </c>
      <c r="GH72" s="3">
        <v>0</v>
      </c>
      <c r="GI72" s="3">
        <v>0</v>
      </c>
      <c r="GJ72" s="3">
        <v>60357000</v>
      </c>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v>19268000</v>
      </c>
      <c r="HK72" s="3">
        <v>33527000</v>
      </c>
      <c r="HL72" s="3">
        <v>0</v>
      </c>
      <c r="HM72" s="3">
        <v>3115000</v>
      </c>
      <c r="HN72" s="3">
        <v>55910000</v>
      </c>
      <c r="HO72" s="3">
        <v>19268000</v>
      </c>
      <c r="HP72" s="3">
        <v>33527000</v>
      </c>
      <c r="HQ72" s="3">
        <v>0</v>
      </c>
      <c r="HR72" s="3">
        <v>3115000</v>
      </c>
      <c r="HS72" s="3">
        <v>55910000</v>
      </c>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v>22110000</v>
      </c>
      <c r="IT72" s="3">
        <v>38513000</v>
      </c>
      <c r="IU72" s="3">
        <v>0</v>
      </c>
      <c r="IV72" s="3">
        <v>9750000</v>
      </c>
      <c r="IW72" s="3">
        <v>70373000</v>
      </c>
      <c r="IX72" s="3">
        <v>22110000</v>
      </c>
      <c r="IY72" s="3">
        <v>38513000</v>
      </c>
      <c r="IZ72" s="3">
        <v>0</v>
      </c>
      <c r="JA72" s="3">
        <v>9750000</v>
      </c>
      <c r="JB72" s="3">
        <v>70373000</v>
      </c>
      <c r="JC72" s="3"/>
      <c r="JD72" s="3"/>
      <c r="JE72" s="3"/>
      <c r="JF72" s="3"/>
      <c r="JG72" s="3"/>
      <c r="JH72" s="3"/>
      <c r="JI72" s="3"/>
      <c r="JJ72" s="3"/>
      <c r="JK72" s="3"/>
      <c r="JL72" s="3"/>
      <c r="JM72" s="3"/>
      <c r="JN72" s="3"/>
      <c r="JO72" s="3"/>
      <c r="JP72" s="3"/>
      <c r="JQ72" s="3"/>
      <c r="JR72" s="3"/>
      <c r="JS72" s="3"/>
      <c r="JT72" s="3"/>
      <c r="JU72" s="3"/>
      <c r="JV72" s="3"/>
      <c r="JW72" s="3"/>
      <c r="JX72" s="3"/>
      <c r="JY72" s="3"/>
      <c r="JZ72" s="3"/>
      <c r="KA72" s="3"/>
      <c r="KB72" s="3">
        <v>34974000</v>
      </c>
      <c r="KC72" s="3">
        <v>42920000</v>
      </c>
      <c r="KD72" s="3">
        <v>0</v>
      </c>
      <c r="KE72" s="3">
        <v>2920000</v>
      </c>
      <c r="KF72" s="3">
        <v>80814000</v>
      </c>
      <c r="KG72" s="3">
        <v>34974000</v>
      </c>
      <c r="KH72" s="3">
        <v>42920000</v>
      </c>
      <c r="KI72" s="3">
        <v>0</v>
      </c>
      <c r="KJ72" s="3">
        <v>2920000</v>
      </c>
      <c r="KK72" s="3">
        <v>80814000</v>
      </c>
      <c r="KL72" s="3"/>
      <c r="KM72" s="3"/>
      <c r="KN72" s="3"/>
      <c r="KO72" s="3"/>
      <c r="KP72" s="3"/>
      <c r="KQ72" s="3"/>
      <c r="KR72" s="3"/>
      <c r="KS72" s="3"/>
      <c r="KT72" s="3"/>
      <c r="KU72" s="3"/>
      <c r="KV72" s="3"/>
      <c r="KW72" s="3"/>
      <c r="KX72" s="3"/>
      <c r="KY72" s="3"/>
      <c r="KZ72" s="3"/>
      <c r="LA72" s="3"/>
      <c r="LB72" s="3"/>
      <c r="LC72" s="3"/>
      <c r="LD72" s="3"/>
      <c r="LE72" s="3"/>
      <c r="LF72" s="3"/>
      <c r="LG72" s="3"/>
      <c r="LH72" s="3"/>
      <c r="LI72" s="3"/>
      <c r="LJ72" s="3"/>
      <c r="LK72" s="3">
        <v>49879000</v>
      </c>
      <c r="LL72" s="3">
        <v>52789000</v>
      </c>
      <c r="LM72" s="3">
        <v>0</v>
      </c>
      <c r="LN72" s="3">
        <v>0</v>
      </c>
      <c r="LO72" s="3">
        <v>102668000</v>
      </c>
      <c r="LP72" s="3"/>
      <c r="LQ72" s="3"/>
      <c r="LR72" s="3"/>
      <c r="LS72" s="3"/>
      <c r="LT72" s="3"/>
    </row>
    <row r="73" spans="1:332" x14ac:dyDescent="0.25">
      <c r="A73" t="s">
        <v>685</v>
      </c>
      <c r="B73" t="s">
        <v>686</v>
      </c>
      <c r="C73" t="s">
        <v>601</v>
      </c>
      <c r="D73" t="s">
        <v>720</v>
      </c>
      <c r="E73" t="s">
        <v>201</v>
      </c>
      <c r="F73" t="s">
        <v>204</v>
      </c>
      <c r="G73" t="s">
        <v>205</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v>685000</v>
      </c>
      <c r="CA73" s="3">
        <v>0</v>
      </c>
      <c r="CB73" s="3">
        <v>0</v>
      </c>
      <c r="CC73" s="3">
        <v>0</v>
      </c>
      <c r="CD73" s="3">
        <v>685000</v>
      </c>
      <c r="CE73" s="3">
        <v>685000</v>
      </c>
      <c r="CF73" s="3">
        <v>0</v>
      </c>
      <c r="CG73" s="3">
        <v>0</v>
      </c>
      <c r="CH73" s="3">
        <v>0</v>
      </c>
      <c r="CI73" s="3">
        <v>685000</v>
      </c>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c r="LL73" s="3"/>
      <c r="LM73" s="3"/>
      <c r="LN73" s="3"/>
      <c r="LO73" s="3"/>
      <c r="LP73" s="3"/>
      <c r="LQ73" s="3"/>
      <c r="LR73" s="3"/>
      <c r="LS73" s="3"/>
      <c r="LT73" s="3"/>
    </row>
    <row r="74" spans="1:332" x14ac:dyDescent="0.25">
      <c r="A74" t="s">
        <v>685</v>
      </c>
      <c r="B74" t="s">
        <v>686</v>
      </c>
      <c r="C74" t="s">
        <v>601</v>
      </c>
      <c r="D74" t="s">
        <v>720</v>
      </c>
      <c r="E74" t="s">
        <v>217</v>
      </c>
      <c r="F74" t="s">
        <v>721</v>
      </c>
      <c r="G74" t="s">
        <v>770</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v>22170000</v>
      </c>
      <c r="AW74" s="3">
        <v>39194000</v>
      </c>
      <c r="AX74" s="3">
        <v>0</v>
      </c>
      <c r="AY74" s="3">
        <v>0</v>
      </c>
      <c r="AZ74" s="3">
        <v>61364000</v>
      </c>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v>19432000</v>
      </c>
      <c r="CA74" s="3">
        <v>36152000</v>
      </c>
      <c r="CB74" s="3">
        <v>0</v>
      </c>
      <c r="CC74" s="3">
        <v>0</v>
      </c>
      <c r="CD74" s="3">
        <v>55584000</v>
      </c>
      <c r="CE74" s="3">
        <v>19432000</v>
      </c>
      <c r="CF74" s="3">
        <v>36152000</v>
      </c>
      <c r="CG74" s="3">
        <v>0</v>
      </c>
      <c r="CH74" s="3">
        <v>0</v>
      </c>
      <c r="CI74" s="3">
        <v>55584000</v>
      </c>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v>24427000</v>
      </c>
      <c r="DJ74" s="3">
        <v>36803000</v>
      </c>
      <c r="DK74" s="3">
        <v>0</v>
      </c>
      <c r="DL74" s="3">
        <v>0</v>
      </c>
      <c r="DM74" s="3">
        <v>61230000</v>
      </c>
      <c r="DN74" s="3">
        <v>24427000</v>
      </c>
      <c r="DO74" s="3">
        <v>46803000</v>
      </c>
      <c r="DP74" s="3">
        <v>0</v>
      </c>
      <c r="DQ74" s="3">
        <v>0</v>
      </c>
      <c r="DR74" s="3">
        <v>71230000</v>
      </c>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v>25120000</v>
      </c>
      <c r="ES74" s="3">
        <v>36803000</v>
      </c>
      <c r="ET74" s="3">
        <v>0</v>
      </c>
      <c r="EU74" s="3">
        <v>0</v>
      </c>
      <c r="EV74" s="3">
        <v>61923000</v>
      </c>
      <c r="EW74" s="3">
        <v>25120000</v>
      </c>
      <c r="EX74" s="3">
        <v>36803000</v>
      </c>
      <c r="EY74" s="3">
        <v>0</v>
      </c>
      <c r="EZ74" s="3">
        <v>0</v>
      </c>
      <c r="FA74" s="3">
        <v>61923000</v>
      </c>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v>23998000</v>
      </c>
      <c r="GB74" s="3">
        <v>43553000</v>
      </c>
      <c r="GC74" s="3">
        <v>0</v>
      </c>
      <c r="GD74" s="3">
        <v>0</v>
      </c>
      <c r="GE74" s="3">
        <v>67551000</v>
      </c>
      <c r="GF74" s="3">
        <v>23998000</v>
      </c>
      <c r="GG74" s="3">
        <v>43553000</v>
      </c>
      <c r="GH74" s="3">
        <v>0</v>
      </c>
      <c r="GI74" s="3">
        <v>0</v>
      </c>
      <c r="GJ74" s="3">
        <v>67551000</v>
      </c>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v>20489000</v>
      </c>
      <c r="HK74" s="3">
        <v>44337000</v>
      </c>
      <c r="HL74" s="3">
        <v>0</v>
      </c>
      <c r="HM74" s="3">
        <v>0</v>
      </c>
      <c r="HN74" s="3">
        <v>64826000</v>
      </c>
      <c r="HO74" s="3">
        <v>20489000</v>
      </c>
      <c r="HP74" s="3">
        <v>44337000</v>
      </c>
      <c r="HQ74" s="3">
        <v>0</v>
      </c>
      <c r="HR74" s="3">
        <v>0</v>
      </c>
      <c r="HS74" s="3">
        <v>64826000</v>
      </c>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v>24080000</v>
      </c>
      <c r="IT74" s="3">
        <v>46055000</v>
      </c>
      <c r="IU74" s="3">
        <v>0</v>
      </c>
      <c r="IV74" s="3">
        <v>0</v>
      </c>
      <c r="IW74" s="3">
        <v>70135000</v>
      </c>
      <c r="IX74" s="3">
        <v>24080000</v>
      </c>
      <c r="IY74" s="3">
        <v>46055000</v>
      </c>
      <c r="IZ74" s="3">
        <v>0</v>
      </c>
      <c r="JA74" s="3">
        <v>0</v>
      </c>
      <c r="JB74" s="3">
        <v>70135000</v>
      </c>
      <c r="JC74" s="3"/>
      <c r="JD74" s="3"/>
      <c r="JE74" s="3"/>
      <c r="JF74" s="3"/>
      <c r="JG74" s="3"/>
      <c r="JH74" s="3"/>
      <c r="JI74" s="3"/>
      <c r="JJ74" s="3"/>
      <c r="JK74" s="3"/>
      <c r="JL74" s="3"/>
      <c r="JM74" s="3"/>
      <c r="JN74" s="3"/>
      <c r="JO74" s="3"/>
      <c r="JP74" s="3"/>
      <c r="JQ74" s="3"/>
      <c r="JR74" s="3"/>
      <c r="JS74" s="3"/>
      <c r="JT74" s="3"/>
      <c r="JU74" s="3"/>
      <c r="JV74" s="3"/>
      <c r="JW74" s="3"/>
      <c r="JX74" s="3"/>
      <c r="JY74" s="3"/>
      <c r="JZ74" s="3"/>
      <c r="KA74" s="3"/>
      <c r="KB74" s="3">
        <v>27768000</v>
      </c>
      <c r="KC74" s="3">
        <v>45948000</v>
      </c>
      <c r="KD74" s="3">
        <v>0</v>
      </c>
      <c r="KE74" s="3">
        <v>0</v>
      </c>
      <c r="KF74" s="3">
        <v>73716000</v>
      </c>
      <c r="KG74" s="3">
        <v>27768000</v>
      </c>
      <c r="KH74" s="3">
        <v>45948000</v>
      </c>
      <c r="KI74" s="3">
        <v>0</v>
      </c>
      <c r="KJ74" s="3">
        <v>0</v>
      </c>
      <c r="KK74" s="3">
        <v>73716000</v>
      </c>
      <c r="KL74" s="3"/>
      <c r="KM74" s="3"/>
      <c r="KN74" s="3"/>
      <c r="KO74" s="3"/>
      <c r="KP74" s="3"/>
      <c r="KQ74" s="3"/>
      <c r="KR74" s="3"/>
      <c r="KS74" s="3"/>
      <c r="KT74" s="3"/>
      <c r="KU74" s="3"/>
      <c r="KV74" s="3"/>
      <c r="KW74" s="3"/>
      <c r="KX74" s="3"/>
      <c r="KY74" s="3"/>
      <c r="KZ74" s="3"/>
      <c r="LA74" s="3"/>
      <c r="LB74" s="3"/>
      <c r="LC74" s="3"/>
      <c r="LD74" s="3"/>
      <c r="LE74" s="3"/>
      <c r="LF74" s="3"/>
      <c r="LG74" s="3"/>
      <c r="LH74" s="3"/>
      <c r="LI74" s="3"/>
      <c r="LJ74" s="3"/>
      <c r="LK74" s="3">
        <v>28746000</v>
      </c>
      <c r="LL74" s="3">
        <v>46775000</v>
      </c>
      <c r="LM74" s="3">
        <v>0</v>
      </c>
      <c r="LN74" s="3">
        <v>0</v>
      </c>
      <c r="LO74" s="3">
        <v>75521000</v>
      </c>
      <c r="LP74" s="3"/>
      <c r="LQ74" s="3"/>
      <c r="LR74" s="3"/>
      <c r="LS74" s="3"/>
      <c r="LT74" s="3"/>
    </row>
    <row r="75" spans="1:332" x14ac:dyDescent="0.25">
      <c r="A75" t="s">
        <v>685</v>
      </c>
      <c r="B75" t="s">
        <v>686</v>
      </c>
      <c r="C75" t="s">
        <v>601</v>
      </c>
      <c r="D75" t="s">
        <v>720</v>
      </c>
      <c r="E75" t="s">
        <v>217</v>
      </c>
      <c r="F75" t="s">
        <v>722</v>
      </c>
      <c r="G75" t="s">
        <v>771</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v>0</v>
      </c>
      <c r="AW75" s="3">
        <v>8914000</v>
      </c>
      <c r="AX75" s="3">
        <v>0</v>
      </c>
      <c r="AY75" s="3">
        <v>0</v>
      </c>
      <c r="AZ75" s="3">
        <v>8914000</v>
      </c>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v>0</v>
      </c>
      <c r="CA75" s="3">
        <v>8283000</v>
      </c>
      <c r="CB75" s="3">
        <v>0</v>
      </c>
      <c r="CC75" s="3">
        <v>0</v>
      </c>
      <c r="CD75" s="3">
        <v>8283000</v>
      </c>
      <c r="CE75" s="3">
        <v>0</v>
      </c>
      <c r="CF75" s="3">
        <v>8283000</v>
      </c>
      <c r="CG75" s="3">
        <v>0</v>
      </c>
      <c r="CH75" s="3">
        <v>0</v>
      </c>
      <c r="CI75" s="3">
        <v>8283000</v>
      </c>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v>0</v>
      </c>
      <c r="DJ75" s="3">
        <v>8432000</v>
      </c>
      <c r="DK75" s="3">
        <v>0</v>
      </c>
      <c r="DL75" s="3">
        <v>0</v>
      </c>
      <c r="DM75" s="3">
        <v>8432000</v>
      </c>
      <c r="DN75" s="3">
        <v>0</v>
      </c>
      <c r="DO75" s="3">
        <v>8432000</v>
      </c>
      <c r="DP75" s="3">
        <v>0</v>
      </c>
      <c r="DQ75" s="3">
        <v>0</v>
      </c>
      <c r="DR75" s="3">
        <v>8432000</v>
      </c>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v>0</v>
      </c>
      <c r="ES75" s="3">
        <v>8432000</v>
      </c>
      <c r="ET75" s="3">
        <v>0</v>
      </c>
      <c r="EU75" s="3">
        <v>0</v>
      </c>
      <c r="EV75" s="3">
        <v>8432000</v>
      </c>
      <c r="EW75" s="3">
        <v>0</v>
      </c>
      <c r="EX75" s="3">
        <v>8432000</v>
      </c>
      <c r="EY75" s="3">
        <v>0</v>
      </c>
      <c r="EZ75" s="3">
        <v>0</v>
      </c>
      <c r="FA75" s="3">
        <v>8432000</v>
      </c>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v>0</v>
      </c>
      <c r="GB75" s="3">
        <v>8739000</v>
      </c>
      <c r="GC75" s="3">
        <v>0</v>
      </c>
      <c r="GD75" s="3">
        <v>0</v>
      </c>
      <c r="GE75" s="3">
        <v>8739000</v>
      </c>
      <c r="GF75" s="3">
        <v>0</v>
      </c>
      <c r="GG75" s="3">
        <v>8739000</v>
      </c>
      <c r="GH75" s="3">
        <v>0</v>
      </c>
      <c r="GI75" s="3">
        <v>0</v>
      </c>
      <c r="GJ75" s="3">
        <v>8739000</v>
      </c>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v>0</v>
      </c>
      <c r="HK75" s="3">
        <v>7384000</v>
      </c>
      <c r="HL75" s="3">
        <v>0</v>
      </c>
      <c r="HM75" s="3">
        <v>0</v>
      </c>
      <c r="HN75" s="3">
        <v>7384000</v>
      </c>
      <c r="HO75" s="3">
        <v>0</v>
      </c>
      <c r="HP75" s="3">
        <v>7384000</v>
      </c>
      <c r="HQ75" s="3">
        <v>0</v>
      </c>
      <c r="HR75" s="3">
        <v>0</v>
      </c>
      <c r="HS75" s="3">
        <v>7384000</v>
      </c>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v>0</v>
      </c>
      <c r="IT75" s="3">
        <v>7517000</v>
      </c>
      <c r="IU75" s="3">
        <v>0</v>
      </c>
      <c r="IV75" s="3">
        <v>0</v>
      </c>
      <c r="IW75" s="3">
        <v>7517000</v>
      </c>
      <c r="IX75" s="3">
        <v>0</v>
      </c>
      <c r="IY75" s="3">
        <v>7517000</v>
      </c>
      <c r="IZ75" s="3">
        <v>0</v>
      </c>
      <c r="JA75" s="3">
        <v>0</v>
      </c>
      <c r="JB75" s="3">
        <v>7517000</v>
      </c>
      <c r="JC75" s="3"/>
      <c r="JD75" s="3"/>
      <c r="JE75" s="3"/>
      <c r="JF75" s="3"/>
      <c r="JG75" s="3"/>
      <c r="JH75" s="3"/>
      <c r="JI75" s="3"/>
      <c r="JJ75" s="3"/>
      <c r="JK75" s="3"/>
      <c r="JL75" s="3"/>
      <c r="JM75" s="3"/>
      <c r="JN75" s="3"/>
      <c r="JO75" s="3"/>
      <c r="JP75" s="3"/>
      <c r="JQ75" s="3"/>
      <c r="JR75" s="3"/>
      <c r="JS75" s="3"/>
      <c r="JT75" s="3"/>
      <c r="JU75" s="3"/>
      <c r="JV75" s="3"/>
      <c r="JW75" s="3"/>
      <c r="JX75" s="3"/>
      <c r="JY75" s="3"/>
      <c r="JZ75" s="3"/>
      <c r="KA75" s="3"/>
      <c r="KB75" s="3">
        <v>0</v>
      </c>
      <c r="KC75" s="3">
        <v>7652000</v>
      </c>
      <c r="KD75" s="3">
        <v>0</v>
      </c>
      <c r="KE75" s="3">
        <v>0</v>
      </c>
      <c r="KF75" s="3">
        <v>7652000</v>
      </c>
      <c r="KG75" s="3">
        <v>0</v>
      </c>
      <c r="KH75" s="3">
        <v>7652000</v>
      </c>
      <c r="KI75" s="3">
        <v>0</v>
      </c>
      <c r="KJ75" s="3">
        <v>0</v>
      </c>
      <c r="KK75" s="3">
        <v>7652000</v>
      </c>
      <c r="KL75" s="3"/>
      <c r="KM75" s="3"/>
      <c r="KN75" s="3"/>
      <c r="KO75" s="3"/>
      <c r="KP75" s="3"/>
      <c r="KQ75" s="3"/>
      <c r="KR75" s="3"/>
      <c r="KS75" s="3"/>
      <c r="KT75" s="3"/>
      <c r="KU75" s="3"/>
      <c r="KV75" s="3"/>
      <c r="KW75" s="3"/>
      <c r="KX75" s="3"/>
      <c r="KY75" s="3"/>
      <c r="KZ75" s="3"/>
      <c r="LA75" s="3"/>
      <c r="LB75" s="3"/>
      <c r="LC75" s="3"/>
      <c r="LD75" s="3"/>
      <c r="LE75" s="3"/>
      <c r="LF75" s="3"/>
      <c r="LG75" s="3"/>
      <c r="LH75" s="3"/>
      <c r="LI75" s="3"/>
      <c r="LJ75" s="3"/>
      <c r="LK75" s="3">
        <v>0</v>
      </c>
      <c r="LL75" s="3">
        <v>7790000</v>
      </c>
      <c r="LM75" s="3">
        <v>0</v>
      </c>
      <c r="LN75" s="3">
        <v>0</v>
      </c>
      <c r="LO75" s="3">
        <v>7790000</v>
      </c>
      <c r="LP75" s="3"/>
      <c r="LQ75" s="3"/>
      <c r="LR75" s="3"/>
      <c r="LS75" s="3"/>
      <c r="LT75" s="3"/>
    </row>
    <row r="76" spans="1:332" x14ac:dyDescent="0.25">
      <c r="A76" t="s">
        <v>685</v>
      </c>
      <c r="B76" t="s">
        <v>686</v>
      </c>
      <c r="C76" t="s">
        <v>601</v>
      </c>
      <c r="D76" t="s">
        <v>720</v>
      </c>
      <c r="E76" t="s">
        <v>217</v>
      </c>
      <c r="F76" t="s">
        <v>723</v>
      </c>
      <c r="G76" t="s">
        <v>810</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v>0</v>
      </c>
      <c r="EX76" s="3">
        <v>50000000</v>
      </c>
      <c r="EY76" s="3"/>
      <c r="EZ76" s="3">
        <v>0</v>
      </c>
      <c r="FA76" s="3">
        <v>50000000</v>
      </c>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c r="IM76" s="3"/>
      <c r="IN76" s="3"/>
      <c r="IO76" s="3"/>
      <c r="IP76" s="3"/>
      <c r="IQ76" s="3"/>
      <c r="IR76" s="3"/>
      <c r="IS76" s="3"/>
      <c r="IT76" s="3"/>
      <c r="IU76" s="3"/>
      <c r="IV76" s="3"/>
      <c r="IW76" s="3"/>
      <c r="IX76" s="3"/>
      <c r="IY76" s="3"/>
      <c r="IZ76" s="3"/>
      <c r="JA76" s="3"/>
      <c r="JB76" s="3"/>
      <c r="JC76" s="3"/>
      <c r="JD76" s="3"/>
      <c r="JE76" s="3"/>
      <c r="JF76" s="3"/>
      <c r="JG76" s="3"/>
      <c r="JH76" s="3"/>
      <c r="JI76" s="3"/>
      <c r="JJ76" s="3"/>
      <c r="JK76" s="3"/>
      <c r="JL76" s="3"/>
      <c r="JM76" s="3"/>
      <c r="JN76" s="3"/>
      <c r="JO76" s="3"/>
      <c r="JP76" s="3"/>
      <c r="JQ76" s="3"/>
      <c r="JR76" s="3"/>
      <c r="JS76" s="3"/>
      <c r="JT76" s="3"/>
      <c r="JU76" s="3"/>
      <c r="JV76" s="3"/>
      <c r="JW76" s="3"/>
      <c r="JX76" s="3"/>
      <c r="JY76" s="3"/>
      <c r="JZ76" s="3"/>
      <c r="KA76" s="3"/>
      <c r="KB76" s="3"/>
      <c r="KC76" s="3"/>
      <c r="KD76" s="3"/>
      <c r="KE76" s="3"/>
      <c r="KF76" s="3"/>
      <c r="KG76" s="3"/>
      <c r="KH76" s="3"/>
      <c r="KI76" s="3"/>
      <c r="KJ76" s="3"/>
      <c r="KK76" s="3"/>
      <c r="KL76" s="3"/>
      <c r="KM76" s="3"/>
      <c r="KN76" s="3"/>
      <c r="KO76" s="3"/>
      <c r="KP76" s="3"/>
      <c r="KQ76" s="3"/>
      <c r="KR76" s="3"/>
      <c r="KS76" s="3"/>
      <c r="KT76" s="3"/>
      <c r="KU76" s="3"/>
      <c r="KV76" s="3"/>
      <c r="KW76" s="3"/>
      <c r="KX76" s="3"/>
      <c r="KY76" s="3"/>
      <c r="KZ76" s="3"/>
      <c r="LA76" s="3"/>
      <c r="LB76" s="3"/>
      <c r="LC76" s="3"/>
      <c r="LD76" s="3"/>
      <c r="LE76" s="3"/>
      <c r="LF76" s="3"/>
      <c r="LG76" s="3"/>
      <c r="LH76" s="3"/>
      <c r="LI76" s="3"/>
      <c r="LJ76" s="3"/>
      <c r="LK76" s="3"/>
      <c r="LL76" s="3"/>
      <c r="LM76" s="3"/>
      <c r="LN76" s="3"/>
      <c r="LO76" s="3"/>
      <c r="LP76" s="3"/>
      <c r="LQ76" s="3"/>
      <c r="LR76" s="3"/>
      <c r="LS76" s="3"/>
      <c r="LT76" s="3"/>
    </row>
    <row r="77" spans="1:332" x14ac:dyDescent="0.25">
      <c r="A77" t="s">
        <v>685</v>
      </c>
      <c r="B77" t="s">
        <v>686</v>
      </c>
      <c r="C77" t="s">
        <v>601</v>
      </c>
      <c r="D77" t="s">
        <v>720</v>
      </c>
      <c r="E77" t="s">
        <v>217</v>
      </c>
      <c r="F77" t="s">
        <v>724</v>
      </c>
      <c r="G77" t="s">
        <v>807</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v>0</v>
      </c>
      <c r="GD77" s="3"/>
      <c r="GE77" s="3"/>
      <c r="GF77" s="3">
        <v>0</v>
      </c>
      <c r="GG77" s="3">
        <v>10000000</v>
      </c>
      <c r="GH77" s="3">
        <v>0</v>
      </c>
      <c r="GI77" s="3">
        <v>0</v>
      </c>
      <c r="GJ77" s="3">
        <v>10000000</v>
      </c>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c r="IM77" s="3"/>
      <c r="IN77" s="3"/>
      <c r="IO77" s="3"/>
      <c r="IP77" s="3"/>
      <c r="IQ77" s="3"/>
      <c r="IR77" s="3"/>
      <c r="IS77" s="3"/>
      <c r="IT77" s="3"/>
      <c r="IU77" s="3"/>
      <c r="IV77" s="3"/>
      <c r="IW77" s="3"/>
      <c r="IX77" s="3"/>
      <c r="IY77" s="3"/>
      <c r="IZ77" s="3"/>
      <c r="JA77" s="3"/>
      <c r="JB77" s="3"/>
      <c r="JC77" s="3"/>
      <c r="JD77" s="3"/>
      <c r="JE77" s="3"/>
      <c r="JF77" s="3"/>
      <c r="JG77" s="3"/>
      <c r="JH77" s="3"/>
      <c r="JI77" s="3"/>
      <c r="JJ77" s="3"/>
      <c r="JK77" s="3"/>
      <c r="JL77" s="3"/>
      <c r="JM77" s="3"/>
      <c r="JN77" s="3"/>
      <c r="JO77" s="3"/>
      <c r="JP77" s="3"/>
      <c r="JQ77" s="3"/>
      <c r="JR77" s="3"/>
      <c r="JS77" s="3"/>
      <c r="JT77" s="3"/>
      <c r="JU77" s="3"/>
      <c r="JV77" s="3"/>
      <c r="JW77" s="3"/>
      <c r="JX77" s="3"/>
      <c r="JY77" s="3"/>
      <c r="JZ77" s="3"/>
      <c r="KA77" s="3"/>
      <c r="KB77" s="3"/>
      <c r="KC77" s="3"/>
      <c r="KD77" s="3"/>
      <c r="KE77" s="3"/>
      <c r="KF77" s="3"/>
      <c r="KG77" s="3"/>
      <c r="KH77" s="3"/>
      <c r="KI77" s="3"/>
      <c r="KJ77" s="3"/>
      <c r="KK77" s="3"/>
      <c r="KL77" s="3"/>
      <c r="KM77" s="3"/>
      <c r="KN77" s="3"/>
      <c r="KO77" s="3"/>
      <c r="KP77" s="3"/>
      <c r="KQ77" s="3"/>
      <c r="KR77" s="3"/>
      <c r="KS77" s="3"/>
      <c r="KT77" s="3"/>
      <c r="KU77" s="3"/>
      <c r="KV77" s="3"/>
      <c r="KW77" s="3"/>
      <c r="KX77" s="3"/>
      <c r="KY77" s="3"/>
      <c r="KZ77" s="3"/>
      <c r="LA77" s="3"/>
      <c r="LB77" s="3"/>
      <c r="LC77" s="3"/>
      <c r="LD77" s="3"/>
      <c r="LE77" s="3"/>
      <c r="LF77" s="3"/>
      <c r="LG77" s="3"/>
      <c r="LH77" s="3"/>
      <c r="LI77" s="3"/>
      <c r="LJ77" s="3"/>
      <c r="LK77" s="3"/>
      <c r="LL77" s="3"/>
      <c r="LM77" s="3"/>
      <c r="LN77" s="3"/>
      <c r="LO77" s="3"/>
      <c r="LP77" s="3"/>
      <c r="LQ77" s="3"/>
      <c r="LR77" s="3"/>
      <c r="LS77" s="3"/>
      <c r="LT77" s="3"/>
    </row>
    <row r="78" spans="1:332" x14ac:dyDescent="0.25">
      <c r="A78" t="s">
        <v>685</v>
      </c>
      <c r="B78" t="s">
        <v>686</v>
      </c>
      <c r="C78" t="s">
        <v>601</v>
      </c>
      <c r="D78" t="s">
        <v>720</v>
      </c>
      <c r="E78" t="s">
        <v>217</v>
      </c>
      <c r="F78" t="s">
        <v>725</v>
      </c>
      <c r="G78" t="s">
        <v>772</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v>19002000</v>
      </c>
      <c r="AW78" s="3">
        <v>86728000</v>
      </c>
      <c r="AX78" s="3">
        <v>0</v>
      </c>
      <c r="AY78" s="3">
        <v>0</v>
      </c>
      <c r="AZ78" s="3">
        <v>105730000</v>
      </c>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v>19002000</v>
      </c>
      <c r="CA78" s="3">
        <v>90233000</v>
      </c>
      <c r="CB78" s="3">
        <v>0</v>
      </c>
      <c r="CC78" s="3">
        <v>0</v>
      </c>
      <c r="CD78" s="3">
        <v>109235000</v>
      </c>
      <c r="CE78" s="3">
        <v>19002000</v>
      </c>
      <c r="CF78" s="3">
        <v>90233000</v>
      </c>
      <c r="CG78" s="3">
        <v>0</v>
      </c>
      <c r="CH78" s="3">
        <v>0</v>
      </c>
      <c r="CI78" s="3">
        <v>109235000</v>
      </c>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v>19002000</v>
      </c>
      <c r="DJ78" s="3">
        <v>91504000</v>
      </c>
      <c r="DK78" s="3">
        <v>0</v>
      </c>
      <c r="DL78" s="3">
        <v>0</v>
      </c>
      <c r="DM78" s="3">
        <v>110506000</v>
      </c>
      <c r="DN78" s="3">
        <v>19002000</v>
      </c>
      <c r="DO78" s="3">
        <v>91504000</v>
      </c>
      <c r="DP78" s="3">
        <v>0</v>
      </c>
      <c r="DQ78" s="3">
        <v>0</v>
      </c>
      <c r="DR78" s="3">
        <v>110506000</v>
      </c>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v>19002000</v>
      </c>
      <c r="ES78" s="3">
        <v>91504000</v>
      </c>
      <c r="ET78" s="3">
        <v>0</v>
      </c>
      <c r="EU78" s="3">
        <v>0</v>
      </c>
      <c r="EV78" s="3">
        <v>110506000</v>
      </c>
      <c r="EW78" s="3">
        <v>19002000</v>
      </c>
      <c r="EX78" s="3">
        <v>91504000</v>
      </c>
      <c r="EY78" s="3">
        <v>0</v>
      </c>
      <c r="EZ78" s="3">
        <v>0</v>
      </c>
      <c r="FA78" s="3">
        <v>110506000</v>
      </c>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v>19002000</v>
      </c>
      <c r="GB78" s="3">
        <v>82679000</v>
      </c>
      <c r="GC78" s="3">
        <v>0</v>
      </c>
      <c r="GD78" s="3">
        <v>0</v>
      </c>
      <c r="GE78" s="3">
        <v>101681000</v>
      </c>
      <c r="GF78" s="3">
        <v>19002000</v>
      </c>
      <c r="GG78" s="3">
        <v>111679000</v>
      </c>
      <c r="GH78" s="3">
        <v>0</v>
      </c>
      <c r="GI78" s="3">
        <v>0</v>
      </c>
      <c r="GJ78" s="3">
        <v>130681000</v>
      </c>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v>19002000</v>
      </c>
      <c r="HK78" s="3">
        <v>72534000</v>
      </c>
      <c r="HL78" s="3">
        <v>0</v>
      </c>
      <c r="HM78" s="3">
        <v>0</v>
      </c>
      <c r="HN78" s="3">
        <v>91536000</v>
      </c>
      <c r="HO78" s="3">
        <v>19002000</v>
      </c>
      <c r="HP78" s="3">
        <v>72534000</v>
      </c>
      <c r="HQ78" s="3">
        <v>0</v>
      </c>
      <c r="HR78" s="3">
        <v>0</v>
      </c>
      <c r="HS78" s="3">
        <v>91536000</v>
      </c>
      <c r="HT78" s="3"/>
      <c r="HU78" s="3"/>
      <c r="HV78" s="3"/>
      <c r="HW78" s="3"/>
      <c r="HX78" s="3"/>
      <c r="HY78" s="3"/>
      <c r="HZ78" s="3"/>
      <c r="IA78" s="3"/>
      <c r="IB78" s="3"/>
      <c r="IC78" s="3"/>
      <c r="ID78" s="3"/>
      <c r="IE78" s="3"/>
      <c r="IF78" s="3"/>
      <c r="IG78" s="3"/>
      <c r="IH78" s="3"/>
      <c r="II78" s="3"/>
      <c r="IJ78" s="3"/>
      <c r="IK78" s="3"/>
      <c r="IL78" s="3"/>
      <c r="IM78" s="3"/>
      <c r="IN78" s="3"/>
      <c r="IO78" s="3"/>
      <c r="IP78" s="3"/>
      <c r="IQ78" s="3"/>
      <c r="IR78" s="3"/>
      <c r="IS78" s="3">
        <v>19002000</v>
      </c>
      <c r="IT78" s="3">
        <v>188031000</v>
      </c>
      <c r="IU78" s="3">
        <v>0</v>
      </c>
      <c r="IV78" s="3">
        <v>4000000</v>
      </c>
      <c r="IW78" s="3">
        <v>211033000</v>
      </c>
      <c r="IX78" s="3">
        <v>19002000</v>
      </c>
      <c r="IY78" s="3">
        <v>188031000</v>
      </c>
      <c r="IZ78" s="3">
        <v>0</v>
      </c>
      <c r="JA78" s="3">
        <v>4000000</v>
      </c>
      <c r="JB78" s="3">
        <v>211033000</v>
      </c>
      <c r="JC78" s="3"/>
      <c r="JD78" s="3"/>
      <c r="JE78" s="3"/>
      <c r="JF78" s="3"/>
      <c r="JG78" s="3"/>
      <c r="JH78" s="3"/>
      <c r="JI78" s="3"/>
      <c r="JJ78" s="3"/>
      <c r="JK78" s="3"/>
      <c r="JL78" s="3"/>
      <c r="JM78" s="3"/>
      <c r="JN78" s="3"/>
      <c r="JO78" s="3"/>
      <c r="JP78" s="3"/>
      <c r="JQ78" s="3"/>
      <c r="JR78" s="3"/>
      <c r="JS78" s="3"/>
      <c r="JT78" s="3"/>
      <c r="JU78" s="3"/>
      <c r="JV78" s="3"/>
      <c r="JW78" s="3"/>
      <c r="JX78" s="3"/>
      <c r="JY78" s="3"/>
      <c r="JZ78" s="3"/>
      <c r="KA78" s="3"/>
      <c r="KB78" s="3">
        <v>19002000</v>
      </c>
      <c r="KC78" s="3">
        <v>188209000</v>
      </c>
      <c r="KD78" s="3">
        <v>0</v>
      </c>
      <c r="KE78" s="3">
        <v>0</v>
      </c>
      <c r="KF78" s="3">
        <v>207211000</v>
      </c>
      <c r="KG78" s="3">
        <v>19002000</v>
      </c>
      <c r="KH78" s="3">
        <v>188209000</v>
      </c>
      <c r="KI78" s="3">
        <v>0</v>
      </c>
      <c r="KJ78" s="3">
        <v>0</v>
      </c>
      <c r="KK78" s="3">
        <v>207211000</v>
      </c>
      <c r="KL78" s="3"/>
      <c r="KM78" s="3"/>
      <c r="KN78" s="3"/>
      <c r="KO78" s="3"/>
      <c r="KP78" s="3"/>
      <c r="KQ78" s="3"/>
      <c r="KR78" s="3"/>
      <c r="KS78" s="3"/>
      <c r="KT78" s="3"/>
      <c r="KU78" s="3"/>
      <c r="KV78" s="3"/>
      <c r="KW78" s="3"/>
      <c r="KX78" s="3"/>
      <c r="KY78" s="3"/>
      <c r="KZ78" s="3"/>
      <c r="LA78" s="3"/>
      <c r="LB78" s="3"/>
      <c r="LC78" s="3"/>
      <c r="LD78" s="3"/>
      <c r="LE78" s="3"/>
      <c r="LF78" s="3"/>
      <c r="LG78" s="3"/>
      <c r="LH78" s="3"/>
      <c r="LI78" s="3"/>
      <c r="LJ78" s="3"/>
      <c r="LK78" s="3">
        <v>19002000</v>
      </c>
      <c r="LL78" s="3">
        <v>154938000</v>
      </c>
      <c r="LM78" s="3">
        <v>0</v>
      </c>
      <c r="LN78" s="3">
        <v>0</v>
      </c>
      <c r="LO78" s="3">
        <v>173940000</v>
      </c>
      <c r="LP78" s="3"/>
      <c r="LQ78" s="3"/>
      <c r="LR78" s="3"/>
      <c r="LS78" s="3"/>
      <c r="LT78" s="3"/>
    </row>
    <row r="79" spans="1:332" x14ac:dyDescent="0.25">
      <c r="A79" t="s">
        <v>685</v>
      </c>
      <c r="B79" t="s">
        <v>686</v>
      </c>
      <c r="C79" t="s">
        <v>602</v>
      </c>
      <c r="D79" t="s">
        <v>726</v>
      </c>
      <c r="E79" t="s">
        <v>201</v>
      </c>
      <c r="F79" t="s">
        <v>202</v>
      </c>
      <c r="G79" t="s">
        <v>203</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v>181787000</v>
      </c>
      <c r="AW79" s="3">
        <v>78017000</v>
      </c>
      <c r="AX79" s="3">
        <v>0</v>
      </c>
      <c r="AY79" s="3">
        <v>9500000</v>
      </c>
      <c r="AZ79" s="3">
        <v>269304000</v>
      </c>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v>180587000</v>
      </c>
      <c r="CA79" s="3">
        <v>78048000</v>
      </c>
      <c r="CB79" s="3">
        <v>0</v>
      </c>
      <c r="CC79" s="3">
        <v>83785000</v>
      </c>
      <c r="CD79" s="3">
        <v>342420000</v>
      </c>
      <c r="CE79" s="3">
        <v>180587000</v>
      </c>
      <c r="CF79" s="3">
        <v>78048000</v>
      </c>
      <c r="CG79" s="3">
        <v>0</v>
      </c>
      <c r="CH79" s="3">
        <v>83785000</v>
      </c>
      <c r="CI79" s="3">
        <v>342420000</v>
      </c>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v>194960000</v>
      </c>
      <c r="DJ79" s="3">
        <v>86730000</v>
      </c>
      <c r="DK79" s="3">
        <v>0</v>
      </c>
      <c r="DL79" s="3">
        <v>0</v>
      </c>
      <c r="DM79" s="3">
        <v>281690000</v>
      </c>
      <c r="DN79" s="3">
        <v>194960000</v>
      </c>
      <c r="DO79" s="3">
        <v>86730000</v>
      </c>
      <c r="DP79" s="3">
        <v>0</v>
      </c>
      <c r="DQ79" s="3">
        <v>0</v>
      </c>
      <c r="DR79" s="3">
        <v>281690000</v>
      </c>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v>212603000</v>
      </c>
      <c r="ES79" s="3">
        <v>89198000</v>
      </c>
      <c r="ET79" s="3">
        <v>0</v>
      </c>
      <c r="EU79" s="3">
        <v>93785000</v>
      </c>
      <c r="EV79" s="3">
        <v>395586000</v>
      </c>
      <c r="EW79" s="3">
        <v>212603000</v>
      </c>
      <c r="EX79" s="3">
        <v>89198000</v>
      </c>
      <c r="EY79" s="3">
        <v>0</v>
      </c>
      <c r="EZ79" s="3">
        <v>93785000</v>
      </c>
      <c r="FA79" s="3">
        <v>395586000</v>
      </c>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v>218089000</v>
      </c>
      <c r="GB79" s="3">
        <v>90751000</v>
      </c>
      <c r="GC79" s="3">
        <v>0</v>
      </c>
      <c r="GD79" s="3">
        <v>8700000</v>
      </c>
      <c r="GE79" s="3">
        <v>317540000</v>
      </c>
      <c r="GF79" s="3">
        <v>218089000</v>
      </c>
      <c r="GG79" s="3">
        <v>110121000</v>
      </c>
      <c r="GH79" s="3">
        <v>0</v>
      </c>
      <c r="GI79" s="3">
        <v>8700000</v>
      </c>
      <c r="GJ79" s="3">
        <v>336910000</v>
      </c>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v>216073000</v>
      </c>
      <c r="HK79" s="3">
        <v>94509000</v>
      </c>
      <c r="HL79" s="3">
        <v>0</v>
      </c>
      <c r="HM79" s="3">
        <v>16150000</v>
      </c>
      <c r="HN79" s="3">
        <v>326732000</v>
      </c>
      <c r="HO79" s="3">
        <v>216073000</v>
      </c>
      <c r="HP79" s="3">
        <v>94509000</v>
      </c>
      <c r="HQ79" s="3">
        <v>0</v>
      </c>
      <c r="HR79" s="3">
        <v>16150000</v>
      </c>
      <c r="HS79" s="3">
        <v>326732000</v>
      </c>
      <c r="HT79" s="3"/>
      <c r="HU79" s="3"/>
      <c r="HV79" s="3"/>
      <c r="HW79" s="3"/>
      <c r="HX79" s="3"/>
      <c r="HY79" s="3"/>
      <c r="HZ79" s="3"/>
      <c r="IA79" s="3"/>
      <c r="IB79" s="3"/>
      <c r="IC79" s="3"/>
      <c r="ID79" s="3"/>
      <c r="IE79" s="3"/>
      <c r="IF79" s="3"/>
      <c r="IG79" s="3"/>
      <c r="IH79" s="3"/>
      <c r="II79" s="3"/>
      <c r="IJ79" s="3"/>
      <c r="IK79" s="3"/>
      <c r="IL79" s="3"/>
      <c r="IM79" s="3"/>
      <c r="IN79" s="3"/>
      <c r="IO79" s="3"/>
      <c r="IP79" s="3"/>
      <c r="IQ79" s="3"/>
      <c r="IR79" s="3"/>
      <c r="IS79" s="3">
        <v>219132000</v>
      </c>
      <c r="IT79" s="3">
        <v>112368000</v>
      </c>
      <c r="IU79" s="3">
        <v>0</v>
      </c>
      <c r="IV79" s="3">
        <v>73150000</v>
      </c>
      <c r="IW79" s="3">
        <v>404650000</v>
      </c>
      <c r="IX79" s="3">
        <v>0</v>
      </c>
      <c r="IY79" s="3">
        <v>0</v>
      </c>
      <c r="IZ79" s="3">
        <v>0</v>
      </c>
      <c r="JA79" s="3">
        <v>0</v>
      </c>
      <c r="JB79" s="3">
        <v>0</v>
      </c>
      <c r="JC79" s="3"/>
      <c r="JD79" s="3"/>
      <c r="JE79" s="3"/>
      <c r="JF79" s="3"/>
      <c r="JG79" s="3"/>
      <c r="JH79" s="3"/>
      <c r="JI79" s="3"/>
      <c r="JJ79" s="3"/>
      <c r="JK79" s="3"/>
      <c r="JL79" s="3"/>
      <c r="JM79" s="3"/>
      <c r="JN79" s="3"/>
      <c r="JO79" s="3"/>
      <c r="JP79" s="3"/>
      <c r="JQ79" s="3"/>
      <c r="JR79" s="3"/>
      <c r="JS79" s="3"/>
      <c r="JT79" s="3"/>
      <c r="JU79" s="3"/>
      <c r="JV79" s="3"/>
      <c r="JW79" s="3"/>
      <c r="JX79" s="3"/>
      <c r="JY79" s="3"/>
      <c r="JZ79" s="3"/>
      <c r="KA79" s="3"/>
      <c r="KB79" s="3"/>
      <c r="KC79" s="3"/>
      <c r="KD79" s="3"/>
      <c r="KE79" s="3"/>
      <c r="KF79" s="3"/>
      <c r="KG79" s="3"/>
      <c r="KH79" s="3"/>
      <c r="KI79" s="3"/>
      <c r="KJ79" s="3"/>
      <c r="KK79" s="3"/>
      <c r="KL79" s="3"/>
      <c r="KM79" s="3"/>
      <c r="KN79" s="3"/>
      <c r="KO79" s="3"/>
      <c r="KP79" s="3"/>
      <c r="KQ79" s="3"/>
      <c r="KR79" s="3"/>
      <c r="KS79" s="3"/>
      <c r="KT79" s="3"/>
      <c r="KU79" s="3"/>
      <c r="KV79" s="3"/>
      <c r="KW79" s="3"/>
      <c r="KX79" s="3"/>
      <c r="KY79" s="3"/>
      <c r="KZ79" s="3"/>
      <c r="LA79" s="3"/>
      <c r="LB79" s="3"/>
      <c r="LC79" s="3"/>
      <c r="LD79" s="3"/>
      <c r="LE79" s="3"/>
      <c r="LF79" s="3"/>
      <c r="LG79" s="3"/>
      <c r="LH79" s="3"/>
      <c r="LI79" s="3"/>
      <c r="LJ79" s="3"/>
      <c r="LK79" s="3"/>
      <c r="LL79" s="3"/>
      <c r="LM79" s="3"/>
      <c r="LN79" s="3"/>
      <c r="LO79" s="3"/>
      <c r="LP79" s="3"/>
      <c r="LQ79" s="3"/>
      <c r="LR79" s="3"/>
      <c r="LS79" s="3"/>
      <c r="LT79" s="3"/>
    </row>
    <row r="80" spans="1:332" x14ac:dyDescent="0.25">
      <c r="A80" t="s">
        <v>685</v>
      </c>
      <c r="B80" t="s">
        <v>686</v>
      </c>
      <c r="C80" t="s">
        <v>602</v>
      </c>
      <c r="D80" t="s">
        <v>726</v>
      </c>
      <c r="E80" t="s">
        <v>201</v>
      </c>
      <c r="F80" t="s">
        <v>204</v>
      </c>
      <c r="G80" t="s">
        <v>205</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v>1498000</v>
      </c>
      <c r="AW80" s="3">
        <v>0</v>
      </c>
      <c r="AX80" s="3">
        <v>0</v>
      </c>
      <c r="AY80" s="3">
        <v>0</v>
      </c>
      <c r="AZ80" s="3">
        <v>1498000</v>
      </c>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v>1584000</v>
      </c>
      <c r="CA80" s="3">
        <v>0</v>
      </c>
      <c r="CB80" s="3">
        <v>0</v>
      </c>
      <c r="CC80" s="3">
        <v>0</v>
      </c>
      <c r="CD80" s="3">
        <v>1584000</v>
      </c>
      <c r="CE80" s="3">
        <v>1584000</v>
      </c>
      <c r="CF80" s="3">
        <v>0</v>
      </c>
      <c r="CG80" s="3">
        <v>0</v>
      </c>
      <c r="CH80" s="3">
        <v>0</v>
      </c>
      <c r="CI80" s="3">
        <v>1584000</v>
      </c>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v>5766000</v>
      </c>
      <c r="DJ80" s="3">
        <v>0</v>
      </c>
      <c r="DK80" s="3">
        <v>0</v>
      </c>
      <c r="DL80" s="3">
        <v>0</v>
      </c>
      <c r="DM80" s="3">
        <v>5766000</v>
      </c>
      <c r="DN80" s="3">
        <v>5766000</v>
      </c>
      <c r="DO80" s="3">
        <v>0</v>
      </c>
      <c r="DP80" s="3">
        <v>0</v>
      </c>
      <c r="DQ80" s="3">
        <v>0</v>
      </c>
      <c r="DR80" s="3">
        <v>5766000</v>
      </c>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v>5170000</v>
      </c>
      <c r="ES80" s="3">
        <v>0</v>
      </c>
      <c r="ET80" s="3">
        <v>0</v>
      </c>
      <c r="EU80" s="3">
        <v>0</v>
      </c>
      <c r="EV80" s="3">
        <v>5170000</v>
      </c>
      <c r="EW80" s="3">
        <v>5170000</v>
      </c>
      <c r="EX80" s="3">
        <v>0</v>
      </c>
      <c r="EY80" s="3">
        <v>0</v>
      </c>
      <c r="EZ80" s="3">
        <v>0</v>
      </c>
      <c r="FA80" s="3">
        <v>5170000</v>
      </c>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v>5714000</v>
      </c>
      <c r="GB80" s="3">
        <v>0</v>
      </c>
      <c r="GC80" s="3">
        <v>0</v>
      </c>
      <c r="GD80" s="3">
        <v>0</v>
      </c>
      <c r="GE80" s="3">
        <v>5714000</v>
      </c>
      <c r="GF80" s="3">
        <v>5714000</v>
      </c>
      <c r="GG80" s="3">
        <v>0</v>
      </c>
      <c r="GH80" s="3">
        <v>0</v>
      </c>
      <c r="GI80" s="3">
        <v>0</v>
      </c>
      <c r="GJ80" s="3">
        <v>5714000</v>
      </c>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v>5412000</v>
      </c>
      <c r="HK80" s="3">
        <v>0</v>
      </c>
      <c r="HL80" s="3">
        <v>0</v>
      </c>
      <c r="HM80" s="3">
        <v>0</v>
      </c>
      <c r="HN80" s="3">
        <v>5412000</v>
      </c>
      <c r="HO80" s="3">
        <v>5412000</v>
      </c>
      <c r="HP80" s="3">
        <v>0</v>
      </c>
      <c r="HQ80" s="3">
        <v>0</v>
      </c>
      <c r="HR80" s="3">
        <v>0</v>
      </c>
      <c r="HS80" s="3">
        <v>5412000</v>
      </c>
      <c r="HT80" s="3"/>
      <c r="HU80" s="3"/>
      <c r="HV80" s="3"/>
      <c r="HW80" s="3"/>
      <c r="HX80" s="3"/>
      <c r="HY80" s="3"/>
      <c r="HZ80" s="3"/>
      <c r="IA80" s="3"/>
      <c r="IB80" s="3"/>
      <c r="IC80" s="3"/>
      <c r="ID80" s="3"/>
      <c r="IE80" s="3"/>
      <c r="IF80" s="3"/>
      <c r="IG80" s="3"/>
      <c r="IH80" s="3"/>
      <c r="II80" s="3"/>
      <c r="IJ80" s="3"/>
      <c r="IK80" s="3"/>
      <c r="IL80" s="3"/>
      <c r="IM80" s="3"/>
      <c r="IN80" s="3"/>
      <c r="IO80" s="3"/>
      <c r="IP80" s="3"/>
      <c r="IQ80" s="3"/>
      <c r="IR80" s="3"/>
      <c r="IS80" s="3">
        <v>6242000</v>
      </c>
      <c r="IT80" s="3">
        <v>0</v>
      </c>
      <c r="IU80" s="3">
        <v>0</v>
      </c>
      <c r="IV80" s="3">
        <v>0</v>
      </c>
      <c r="IW80" s="3">
        <v>6242000</v>
      </c>
      <c r="IX80" s="3">
        <v>0</v>
      </c>
      <c r="IY80" s="3">
        <v>0</v>
      </c>
      <c r="IZ80" s="3">
        <v>0</v>
      </c>
      <c r="JA80" s="3">
        <v>0</v>
      </c>
      <c r="JB80" s="3">
        <v>0</v>
      </c>
      <c r="JC80" s="3"/>
      <c r="JD80" s="3"/>
      <c r="JE80" s="3"/>
      <c r="JF80" s="3"/>
      <c r="JG80" s="3"/>
      <c r="JH80" s="3"/>
      <c r="JI80" s="3"/>
      <c r="JJ80" s="3"/>
      <c r="JK80" s="3"/>
      <c r="JL80" s="3"/>
      <c r="JM80" s="3"/>
      <c r="JN80" s="3"/>
      <c r="JO80" s="3"/>
      <c r="JP80" s="3"/>
      <c r="JQ80" s="3"/>
      <c r="JR80" s="3"/>
      <c r="JS80" s="3"/>
      <c r="JT80" s="3"/>
      <c r="JU80" s="3"/>
      <c r="JV80" s="3"/>
      <c r="JW80" s="3"/>
      <c r="JX80" s="3"/>
      <c r="JY80" s="3"/>
      <c r="JZ80" s="3"/>
      <c r="KA80" s="3"/>
      <c r="KB80" s="3"/>
      <c r="KC80" s="3"/>
      <c r="KD80" s="3"/>
      <c r="KE80" s="3"/>
      <c r="KF80" s="3"/>
      <c r="KG80" s="3"/>
      <c r="KH80" s="3"/>
      <c r="KI80" s="3"/>
      <c r="KJ80" s="3"/>
      <c r="KK80" s="3"/>
      <c r="KL80" s="3"/>
      <c r="KM80" s="3"/>
      <c r="KN80" s="3"/>
      <c r="KO80" s="3"/>
      <c r="KP80" s="3"/>
      <c r="KQ80" s="3"/>
      <c r="KR80" s="3"/>
      <c r="KS80" s="3"/>
      <c r="KT80" s="3"/>
      <c r="KU80" s="3"/>
      <c r="KV80" s="3"/>
      <c r="KW80" s="3"/>
      <c r="KX80" s="3"/>
      <c r="KY80" s="3"/>
      <c r="KZ80" s="3"/>
      <c r="LA80" s="3"/>
      <c r="LB80" s="3"/>
      <c r="LC80" s="3"/>
      <c r="LD80" s="3"/>
      <c r="LE80" s="3"/>
      <c r="LF80" s="3"/>
      <c r="LG80" s="3"/>
      <c r="LH80" s="3"/>
      <c r="LI80" s="3"/>
      <c r="LJ80" s="3"/>
      <c r="LK80" s="3"/>
      <c r="LL80" s="3"/>
      <c r="LM80" s="3"/>
      <c r="LN80" s="3"/>
      <c r="LO80" s="3"/>
      <c r="LP80" s="3"/>
      <c r="LQ80" s="3"/>
      <c r="LR80" s="3"/>
      <c r="LS80" s="3"/>
      <c r="LT80" s="3"/>
    </row>
    <row r="81" spans="1:332" x14ac:dyDescent="0.25">
      <c r="A81" t="s">
        <v>685</v>
      </c>
      <c r="B81" t="s">
        <v>686</v>
      </c>
      <c r="C81" t="s">
        <v>602</v>
      </c>
      <c r="D81" t="s">
        <v>726</v>
      </c>
      <c r="E81" t="s">
        <v>208</v>
      </c>
      <c r="F81" t="s">
        <v>209</v>
      </c>
      <c r="G81" t="s">
        <v>793</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v>208068000</v>
      </c>
      <c r="AW81" s="3">
        <v>11410000</v>
      </c>
      <c r="AX81" s="3">
        <v>0</v>
      </c>
      <c r="AY81" s="3">
        <v>0</v>
      </c>
      <c r="AZ81" s="3">
        <v>219478000</v>
      </c>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v>212609000</v>
      </c>
      <c r="CA81" s="3">
        <v>12285000</v>
      </c>
      <c r="CB81" s="3">
        <v>0</v>
      </c>
      <c r="CC81" s="3">
        <v>4820000</v>
      </c>
      <c r="CD81" s="3">
        <v>229714000</v>
      </c>
      <c r="CE81" s="3">
        <v>212609000</v>
      </c>
      <c r="CF81" s="3">
        <v>15285000</v>
      </c>
      <c r="CG81" s="3">
        <v>0</v>
      </c>
      <c r="CH81" s="3">
        <v>4820000</v>
      </c>
      <c r="CI81" s="3">
        <v>232714000</v>
      </c>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v>217136000</v>
      </c>
      <c r="DJ81" s="3">
        <v>18296000</v>
      </c>
      <c r="DK81" s="3">
        <v>0</v>
      </c>
      <c r="DL81" s="3">
        <v>25920000</v>
      </c>
      <c r="DM81" s="3">
        <v>261352000</v>
      </c>
      <c r="DN81" s="3">
        <v>217136000</v>
      </c>
      <c r="DO81" s="3">
        <v>18296000</v>
      </c>
      <c r="DP81" s="3">
        <v>0</v>
      </c>
      <c r="DQ81" s="3">
        <v>25920000</v>
      </c>
      <c r="DR81" s="3">
        <v>261352000</v>
      </c>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v>219347000</v>
      </c>
      <c r="ES81" s="3">
        <v>27300000</v>
      </c>
      <c r="ET81" s="3">
        <v>0</v>
      </c>
      <c r="EU81" s="3">
        <v>16240000</v>
      </c>
      <c r="EV81" s="3">
        <v>262887000</v>
      </c>
      <c r="EW81" s="3">
        <v>219347000</v>
      </c>
      <c r="EX81" s="3">
        <v>27300000</v>
      </c>
      <c r="EY81" s="3">
        <v>0</v>
      </c>
      <c r="EZ81" s="3">
        <v>16240000</v>
      </c>
      <c r="FA81" s="3">
        <v>262887000</v>
      </c>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v>230385000</v>
      </c>
      <c r="GB81" s="3">
        <v>21795000</v>
      </c>
      <c r="GC81" s="3">
        <v>0</v>
      </c>
      <c r="GD81" s="3">
        <v>89720000</v>
      </c>
      <c r="GE81" s="3">
        <v>341900000</v>
      </c>
      <c r="GF81" s="3">
        <v>230385000</v>
      </c>
      <c r="GG81" s="3">
        <v>22425000</v>
      </c>
      <c r="GH81" s="3">
        <v>0</v>
      </c>
      <c r="GI81" s="3">
        <v>89720000</v>
      </c>
      <c r="GJ81" s="3">
        <v>342530000</v>
      </c>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v>226684000</v>
      </c>
      <c r="HK81" s="3">
        <v>101136000</v>
      </c>
      <c r="HL81" s="3">
        <v>0</v>
      </c>
      <c r="HM81" s="3">
        <v>93952000</v>
      </c>
      <c r="HN81" s="3">
        <v>421772000</v>
      </c>
      <c r="HO81" s="3">
        <v>226684000</v>
      </c>
      <c r="HP81" s="3">
        <v>101136000</v>
      </c>
      <c r="HQ81" s="3">
        <v>0</v>
      </c>
      <c r="HR81" s="3">
        <v>93952000</v>
      </c>
      <c r="HS81" s="3">
        <v>421772000</v>
      </c>
      <c r="HT81" s="3"/>
      <c r="HU81" s="3"/>
      <c r="HV81" s="3"/>
      <c r="HW81" s="3"/>
      <c r="HX81" s="3"/>
      <c r="HY81" s="3"/>
      <c r="HZ81" s="3"/>
      <c r="IA81" s="3"/>
      <c r="IB81" s="3"/>
      <c r="IC81" s="3"/>
      <c r="ID81" s="3"/>
      <c r="IE81" s="3"/>
      <c r="IF81" s="3"/>
      <c r="IG81" s="3"/>
      <c r="IH81" s="3"/>
      <c r="II81" s="3"/>
      <c r="IJ81" s="3"/>
      <c r="IK81" s="3"/>
      <c r="IL81" s="3"/>
      <c r="IM81" s="3"/>
      <c r="IN81" s="3"/>
      <c r="IO81" s="3"/>
      <c r="IP81" s="3"/>
      <c r="IQ81" s="3"/>
      <c r="IR81" s="3"/>
      <c r="IS81" s="3">
        <v>214651000</v>
      </c>
      <c r="IT81" s="3">
        <v>97223000</v>
      </c>
      <c r="IU81" s="3">
        <v>0</v>
      </c>
      <c r="IV81" s="3">
        <v>57596000</v>
      </c>
      <c r="IW81" s="3">
        <v>369470000</v>
      </c>
      <c r="IX81" s="3">
        <v>0</v>
      </c>
      <c r="IY81" s="3">
        <v>0</v>
      </c>
      <c r="IZ81" s="3">
        <v>0</v>
      </c>
      <c r="JA81" s="3">
        <v>0</v>
      </c>
      <c r="JB81" s="3">
        <v>0</v>
      </c>
      <c r="JC81" s="3"/>
      <c r="JD81" s="3"/>
      <c r="JE81" s="3"/>
      <c r="JF81" s="3"/>
      <c r="JG81" s="3"/>
      <c r="JH81" s="3"/>
      <c r="JI81" s="3"/>
      <c r="JJ81" s="3"/>
      <c r="JK81" s="3"/>
      <c r="JL81" s="3"/>
      <c r="JM81" s="3"/>
      <c r="JN81" s="3"/>
      <c r="JO81" s="3"/>
      <c r="JP81" s="3"/>
      <c r="JQ81" s="3"/>
      <c r="JR81" s="3"/>
      <c r="JS81" s="3"/>
      <c r="JT81" s="3"/>
      <c r="JU81" s="3"/>
      <c r="JV81" s="3"/>
      <c r="JW81" s="3"/>
      <c r="JX81" s="3"/>
      <c r="JY81" s="3"/>
      <c r="JZ81" s="3"/>
      <c r="KA81" s="3"/>
      <c r="KB81" s="3"/>
      <c r="KC81" s="3"/>
      <c r="KD81" s="3"/>
      <c r="KE81" s="3"/>
      <c r="KF81" s="3"/>
      <c r="KG81" s="3"/>
      <c r="KH81" s="3"/>
      <c r="KI81" s="3"/>
      <c r="KJ81" s="3"/>
      <c r="KK81" s="3"/>
      <c r="KL81" s="3"/>
      <c r="KM81" s="3"/>
      <c r="KN81" s="3"/>
      <c r="KO81" s="3"/>
      <c r="KP81" s="3"/>
      <c r="KQ81" s="3"/>
      <c r="KR81" s="3"/>
      <c r="KS81" s="3"/>
      <c r="KT81" s="3"/>
      <c r="KU81" s="3"/>
      <c r="KV81" s="3"/>
      <c r="KW81" s="3"/>
      <c r="KX81" s="3"/>
      <c r="KY81" s="3"/>
      <c r="KZ81" s="3"/>
      <c r="LA81" s="3"/>
      <c r="LB81" s="3"/>
      <c r="LC81" s="3"/>
      <c r="LD81" s="3"/>
      <c r="LE81" s="3"/>
      <c r="LF81" s="3"/>
      <c r="LG81" s="3"/>
      <c r="LH81" s="3"/>
      <c r="LI81" s="3"/>
      <c r="LJ81" s="3"/>
      <c r="LK81" s="3"/>
      <c r="LL81" s="3"/>
      <c r="LM81" s="3"/>
      <c r="LN81" s="3"/>
      <c r="LO81" s="3"/>
      <c r="LP81" s="3"/>
      <c r="LQ81" s="3"/>
      <c r="LR81" s="3"/>
      <c r="LS81" s="3"/>
      <c r="LT81" s="3"/>
    </row>
    <row r="82" spans="1:332" x14ac:dyDescent="0.25">
      <c r="A82" t="s">
        <v>685</v>
      </c>
      <c r="B82" t="s">
        <v>686</v>
      </c>
      <c r="C82" t="s">
        <v>602</v>
      </c>
      <c r="D82" t="s">
        <v>726</v>
      </c>
      <c r="E82" t="s">
        <v>217</v>
      </c>
      <c r="F82" t="s">
        <v>218</v>
      </c>
      <c r="G82" t="s">
        <v>794</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v>34858000</v>
      </c>
      <c r="AW82" s="3">
        <v>1983000</v>
      </c>
      <c r="AX82" s="3">
        <v>0</v>
      </c>
      <c r="AY82" s="3">
        <v>0</v>
      </c>
      <c r="AZ82" s="3">
        <v>36841000</v>
      </c>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v>34737000</v>
      </c>
      <c r="CA82" s="3">
        <v>10983000</v>
      </c>
      <c r="CB82" s="3">
        <v>0</v>
      </c>
      <c r="CC82" s="3">
        <v>0</v>
      </c>
      <c r="CD82" s="3">
        <v>45720000</v>
      </c>
      <c r="CE82" s="3">
        <v>34737000</v>
      </c>
      <c r="CF82" s="3">
        <v>10983000</v>
      </c>
      <c r="CG82" s="3">
        <v>0</v>
      </c>
      <c r="CH82" s="3">
        <v>0</v>
      </c>
      <c r="CI82" s="3">
        <v>45720000</v>
      </c>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v>33677000</v>
      </c>
      <c r="DJ82" s="3">
        <v>10983000</v>
      </c>
      <c r="DK82" s="3">
        <v>0</v>
      </c>
      <c r="DL82" s="3">
        <v>0</v>
      </c>
      <c r="DM82" s="3">
        <v>44660000</v>
      </c>
      <c r="DN82" s="3">
        <v>33677000</v>
      </c>
      <c r="DO82" s="3">
        <v>10983000</v>
      </c>
      <c r="DP82" s="3">
        <v>0</v>
      </c>
      <c r="DQ82" s="3">
        <v>0</v>
      </c>
      <c r="DR82" s="3">
        <v>44660000</v>
      </c>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v>33594000</v>
      </c>
      <c r="ES82" s="3">
        <v>65403000</v>
      </c>
      <c r="ET82" s="3">
        <v>0</v>
      </c>
      <c r="EU82" s="3">
        <v>0</v>
      </c>
      <c r="EV82" s="3">
        <v>98997000</v>
      </c>
      <c r="EW82" s="3">
        <v>33594000</v>
      </c>
      <c r="EX82" s="3">
        <v>65403000</v>
      </c>
      <c r="EY82" s="3">
        <v>0</v>
      </c>
      <c r="EZ82" s="3">
        <v>0</v>
      </c>
      <c r="FA82" s="3">
        <v>98997000</v>
      </c>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v>36630000</v>
      </c>
      <c r="GB82" s="3">
        <v>65403000</v>
      </c>
      <c r="GC82" s="3">
        <v>0</v>
      </c>
      <c r="GD82" s="3">
        <v>0</v>
      </c>
      <c r="GE82" s="3">
        <v>102033000</v>
      </c>
      <c r="GF82" s="3">
        <v>36630000</v>
      </c>
      <c r="GG82" s="3">
        <v>65403000</v>
      </c>
      <c r="GH82" s="3">
        <v>0</v>
      </c>
      <c r="GI82" s="3">
        <v>0</v>
      </c>
      <c r="GJ82" s="3">
        <v>102033000</v>
      </c>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v>31388000</v>
      </c>
      <c r="HK82" s="3">
        <v>65826000</v>
      </c>
      <c r="HL82" s="3">
        <v>0</v>
      </c>
      <c r="HM82" s="3">
        <v>0</v>
      </c>
      <c r="HN82" s="3">
        <v>97214000</v>
      </c>
      <c r="HO82" s="3">
        <v>31388000</v>
      </c>
      <c r="HP82" s="3">
        <v>65826000</v>
      </c>
      <c r="HQ82" s="3">
        <v>0</v>
      </c>
      <c r="HR82" s="3">
        <v>0</v>
      </c>
      <c r="HS82" s="3">
        <v>97214000</v>
      </c>
      <c r="HT82" s="3"/>
      <c r="HU82" s="3"/>
      <c r="HV82" s="3"/>
      <c r="HW82" s="3"/>
      <c r="HX82" s="3"/>
      <c r="HY82" s="3"/>
      <c r="HZ82" s="3"/>
      <c r="IA82" s="3"/>
      <c r="IB82" s="3"/>
      <c r="IC82" s="3"/>
      <c r="ID82" s="3"/>
      <c r="IE82" s="3"/>
      <c r="IF82" s="3"/>
      <c r="IG82" s="3"/>
      <c r="IH82" s="3"/>
      <c r="II82" s="3"/>
      <c r="IJ82" s="3"/>
      <c r="IK82" s="3"/>
      <c r="IL82" s="3"/>
      <c r="IM82" s="3"/>
      <c r="IN82" s="3"/>
      <c r="IO82" s="3"/>
      <c r="IP82" s="3"/>
      <c r="IQ82" s="3"/>
      <c r="IR82" s="3"/>
      <c r="IS82" s="3"/>
      <c r="IT82" s="3"/>
      <c r="IU82" s="3"/>
      <c r="IV82" s="3"/>
      <c r="IW82" s="3"/>
      <c r="IX82" s="3"/>
      <c r="IY82" s="3"/>
      <c r="IZ82" s="3"/>
      <c r="JA82" s="3"/>
      <c r="JB82" s="3"/>
      <c r="JC82" s="3"/>
      <c r="JD82" s="3"/>
      <c r="JE82" s="3"/>
      <c r="JF82" s="3"/>
      <c r="JG82" s="3"/>
      <c r="JH82" s="3"/>
      <c r="JI82" s="3"/>
      <c r="JJ82" s="3"/>
      <c r="JK82" s="3"/>
      <c r="JL82" s="3"/>
      <c r="JM82" s="3"/>
      <c r="JN82" s="3"/>
      <c r="JO82" s="3"/>
      <c r="JP82" s="3"/>
      <c r="JQ82" s="3"/>
      <c r="JR82" s="3"/>
      <c r="JS82" s="3"/>
      <c r="JT82" s="3"/>
      <c r="JU82" s="3"/>
      <c r="JV82" s="3"/>
      <c r="JW82" s="3"/>
      <c r="JX82" s="3"/>
      <c r="JY82" s="3"/>
      <c r="JZ82" s="3"/>
      <c r="KA82" s="3"/>
      <c r="KB82" s="3"/>
      <c r="KC82" s="3"/>
      <c r="KD82" s="3"/>
      <c r="KE82" s="3"/>
      <c r="KF82" s="3"/>
      <c r="KG82" s="3"/>
      <c r="KH82" s="3"/>
      <c r="KI82" s="3"/>
      <c r="KJ82" s="3"/>
      <c r="KK82" s="3"/>
      <c r="KL82" s="3"/>
      <c r="KM82" s="3"/>
      <c r="KN82" s="3"/>
      <c r="KO82" s="3"/>
      <c r="KP82" s="3"/>
      <c r="KQ82" s="3"/>
      <c r="KR82" s="3"/>
      <c r="KS82" s="3"/>
      <c r="KT82" s="3"/>
      <c r="KU82" s="3"/>
      <c r="KV82" s="3"/>
      <c r="KW82" s="3"/>
      <c r="KX82" s="3"/>
      <c r="KY82" s="3"/>
      <c r="KZ82" s="3"/>
      <c r="LA82" s="3"/>
      <c r="LB82" s="3"/>
      <c r="LC82" s="3"/>
      <c r="LD82" s="3"/>
      <c r="LE82" s="3"/>
      <c r="LF82" s="3"/>
      <c r="LG82" s="3"/>
      <c r="LH82" s="3"/>
      <c r="LI82" s="3"/>
      <c r="LJ82" s="3"/>
      <c r="LK82" s="3"/>
      <c r="LL82" s="3"/>
      <c r="LM82" s="3"/>
      <c r="LN82" s="3"/>
      <c r="LO82" s="3"/>
      <c r="LP82" s="3"/>
      <c r="LQ82" s="3"/>
      <c r="LR82" s="3"/>
      <c r="LS82" s="3"/>
      <c r="LT82" s="3"/>
    </row>
    <row r="83" spans="1:332" x14ac:dyDescent="0.25">
      <c r="A83" t="s">
        <v>685</v>
      </c>
      <c r="B83" t="s">
        <v>686</v>
      </c>
      <c r="C83" t="s">
        <v>602</v>
      </c>
      <c r="D83" t="s">
        <v>726</v>
      </c>
      <c r="E83" t="s">
        <v>217</v>
      </c>
      <c r="F83" t="s">
        <v>220</v>
      </c>
      <c r="G83" t="s">
        <v>795</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v>30969000</v>
      </c>
      <c r="AW83" s="3">
        <v>15482000</v>
      </c>
      <c r="AX83" s="3">
        <v>0</v>
      </c>
      <c r="AY83" s="3">
        <v>0</v>
      </c>
      <c r="AZ83" s="3">
        <v>46451000</v>
      </c>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v>33345000</v>
      </c>
      <c r="CA83" s="3">
        <v>15445000</v>
      </c>
      <c r="CB83" s="3">
        <v>0</v>
      </c>
      <c r="CC83" s="3">
        <v>0</v>
      </c>
      <c r="CD83" s="3">
        <v>48790000</v>
      </c>
      <c r="CE83" s="3">
        <v>33345000</v>
      </c>
      <c r="CF83" s="3">
        <v>15445000</v>
      </c>
      <c r="CG83" s="3">
        <v>0</v>
      </c>
      <c r="CH83" s="3">
        <v>0</v>
      </c>
      <c r="CI83" s="3">
        <v>48790000</v>
      </c>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v>64907000</v>
      </c>
      <c r="DJ83" s="3">
        <v>15723000</v>
      </c>
      <c r="DK83" s="3">
        <v>0</v>
      </c>
      <c r="DL83" s="3">
        <v>0</v>
      </c>
      <c r="DM83" s="3">
        <v>80630000</v>
      </c>
      <c r="DN83" s="3">
        <v>64907000</v>
      </c>
      <c r="DO83" s="3">
        <v>15723000</v>
      </c>
      <c r="DP83" s="3">
        <v>0</v>
      </c>
      <c r="DQ83" s="3">
        <v>0</v>
      </c>
      <c r="DR83" s="3">
        <v>80630000</v>
      </c>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v>69340000</v>
      </c>
      <c r="ES83" s="3">
        <v>16723000</v>
      </c>
      <c r="ET83" s="3">
        <v>0</v>
      </c>
      <c r="EU83" s="3">
        <v>0</v>
      </c>
      <c r="EV83" s="3">
        <v>86063000</v>
      </c>
      <c r="EW83" s="3">
        <v>69340000</v>
      </c>
      <c r="EX83" s="3">
        <v>16723000</v>
      </c>
      <c r="EY83" s="3">
        <v>0</v>
      </c>
      <c r="EZ83" s="3">
        <v>0</v>
      </c>
      <c r="FA83" s="3">
        <v>86063000</v>
      </c>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v>76168000</v>
      </c>
      <c r="GB83" s="3">
        <v>16600000</v>
      </c>
      <c r="GC83" s="3">
        <v>0</v>
      </c>
      <c r="GD83" s="3">
        <v>0</v>
      </c>
      <c r="GE83" s="3">
        <v>92768000</v>
      </c>
      <c r="GF83" s="3">
        <v>76168000</v>
      </c>
      <c r="GG83" s="3">
        <v>16600000</v>
      </c>
      <c r="GH83" s="3">
        <v>0</v>
      </c>
      <c r="GI83" s="3">
        <v>0</v>
      </c>
      <c r="GJ83" s="3">
        <v>92768000</v>
      </c>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v>67760000</v>
      </c>
      <c r="HK83" s="3">
        <v>15209000</v>
      </c>
      <c r="HL83" s="3">
        <v>0</v>
      </c>
      <c r="HM83" s="3">
        <v>0</v>
      </c>
      <c r="HN83" s="3">
        <v>82969000</v>
      </c>
      <c r="HO83" s="3">
        <v>67760000</v>
      </c>
      <c r="HP83" s="3">
        <v>15209000</v>
      </c>
      <c r="HQ83" s="3">
        <v>0</v>
      </c>
      <c r="HR83" s="3">
        <v>0</v>
      </c>
      <c r="HS83" s="3">
        <v>82969000</v>
      </c>
      <c r="HT83" s="3"/>
      <c r="HU83" s="3"/>
      <c r="HV83" s="3"/>
      <c r="HW83" s="3"/>
      <c r="HX83" s="3"/>
      <c r="HY83" s="3"/>
      <c r="HZ83" s="3"/>
      <c r="IA83" s="3"/>
      <c r="IB83" s="3"/>
      <c r="IC83" s="3"/>
      <c r="ID83" s="3"/>
      <c r="IE83" s="3"/>
      <c r="IF83" s="3"/>
      <c r="IG83" s="3"/>
      <c r="IH83" s="3"/>
      <c r="II83" s="3"/>
      <c r="IJ83" s="3"/>
      <c r="IK83" s="3"/>
      <c r="IL83" s="3"/>
      <c r="IM83" s="3"/>
      <c r="IN83" s="3"/>
      <c r="IO83" s="3"/>
      <c r="IP83" s="3"/>
      <c r="IQ83" s="3"/>
      <c r="IR83" s="3"/>
      <c r="IS83" s="3"/>
      <c r="IT83" s="3"/>
      <c r="IU83" s="3"/>
      <c r="IV83" s="3"/>
      <c r="IW83" s="3"/>
      <c r="IX83" s="3"/>
      <c r="IY83" s="3"/>
      <c r="IZ83" s="3"/>
      <c r="JA83" s="3"/>
      <c r="JB83" s="3"/>
      <c r="JC83" s="3"/>
      <c r="JD83" s="3"/>
      <c r="JE83" s="3"/>
      <c r="JF83" s="3"/>
      <c r="JG83" s="3"/>
      <c r="JH83" s="3"/>
      <c r="JI83" s="3"/>
      <c r="JJ83" s="3"/>
      <c r="JK83" s="3"/>
      <c r="JL83" s="3"/>
      <c r="JM83" s="3"/>
      <c r="JN83" s="3"/>
      <c r="JO83" s="3"/>
      <c r="JP83" s="3"/>
      <c r="JQ83" s="3"/>
      <c r="JR83" s="3"/>
      <c r="JS83" s="3"/>
      <c r="JT83" s="3"/>
      <c r="JU83" s="3"/>
      <c r="JV83" s="3"/>
      <c r="JW83" s="3"/>
      <c r="JX83" s="3"/>
      <c r="JY83" s="3"/>
      <c r="JZ83" s="3"/>
      <c r="KA83" s="3"/>
      <c r="KB83" s="3"/>
      <c r="KC83" s="3"/>
      <c r="KD83" s="3"/>
      <c r="KE83" s="3"/>
      <c r="KF83" s="3"/>
      <c r="KG83" s="3"/>
      <c r="KH83" s="3"/>
      <c r="KI83" s="3"/>
      <c r="KJ83" s="3"/>
      <c r="KK83" s="3"/>
      <c r="KL83" s="3"/>
      <c r="KM83" s="3"/>
      <c r="KN83" s="3"/>
      <c r="KO83" s="3"/>
      <c r="KP83" s="3"/>
      <c r="KQ83" s="3"/>
      <c r="KR83" s="3"/>
      <c r="KS83" s="3"/>
      <c r="KT83" s="3"/>
      <c r="KU83" s="3"/>
      <c r="KV83" s="3"/>
      <c r="KW83" s="3"/>
      <c r="KX83" s="3"/>
      <c r="KY83" s="3"/>
      <c r="KZ83" s="3"/>
      <c r="LA83" s="3"/>
      <c r="LB83" s="3"/>
      <c r="LC83" s="3"/>
      <c r="LD83" s="3"/>
      <c r="LE83" s="3"/>
      <c r="LF83" s="3"/>
      <c r="LG83" s="3"/>
      <c r="LH83" s="3"/>
      <c r="LI83" s="3"/>
      <c r="LJ83" s="3"/>
      <c r="LK83" s="3"/>
      <c r="LL83" s="3"/>
      <c r="LM83" s="3"/>
      <c r="LN83" s="3"/>
      <c r="LO83" s="3"/>
      <c r="LP83" s="3"/>
      <c r="LQ83" s="3"/>
      <c r="LR83" s="3"/>
      <c r="LS83" s="3"/>
      <c r="LT83" s="3"/>
    </row>
    <row r="84" spans="1:332" x14ac:dyDescent="0.25">
      <c r="A84" t="s">
        <v>685</v>
      </c>
      <c r="B84" t="s">
        <v>686</v>
      </c>
      <c r="C84" t="s">
        <v>602</v>
      </c>
      <c r="D84" t="s">
        <v>726</v>
      </c>
      <c r="E84" t="s">
        <v>224</v>
      </c>
      <c r="F84" t="s">
        <v>520</v>
      </c>
      <c r="G84" t="s">
        <v>796</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v>5959000</v>
      </c>
      <c r="AW84" s="3">
        <v>23727000</v>
      </c>
      <c r="AX84" s="3">
        <v>0</v>
      </c>
      <c r="AY84" s="3">
        <v>0</v>
      </c>
      <c r="AZ84" s="3">
        <v>29686000</v>
      </c>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v>5969000</v>
      </c>
      <c r="CA84" s="3">
        <v>23671000</v>
      </c>
      <c r="CB84" s="3">
        <v>0</v>
      </c>
      <c r="CC84" s="3">
        <v>0</v>
      </c>
      <c r="CD84" s="3">
        <v>29640000</v>
      </c>
      <c r="CE84" s="3">
        <v>5969000</v>
      </c>
      <c r="CF84" s="3">
        <v>23671000</v>
      </c>
      <c r="CG84" s="3">
        <v>0</v>
      </c>
      <c r="CH84" s="3">
        <v>0</v>
      </c>
      <c r="CI84" s="3">
        <v>29640000</v>
      </c>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v>5947000</v>
      </c>
      <c r="DJ84" s="3">
        <v>24098000</v>
      </c>
      <c r="DK84" s="3">
        <v>0</v>
      </c>
      <c r="DL84" s="3">
        <v>0</v>
      </c>
      <c r="DM84" s="3">
        <v>30045000</v>
      </c>
      <c r="DN84" s="3">
        <v>5947000</v>
      </c>
      <c r="DO84" s="3">
        <v>24098000</v>
      </c>
      <c r="DP84" s="3">
        <v>0</v>
      </c>
      <c r="DQ84" s="3">
        <v>0</v>
      </c>
      <c r="DR84" s="3">
        <v>30045000</v>
      </c>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v>6174000</v>
      </c>
      <c r="ES84" s="3">
        <v>29598000</v>
      </c>
      <c r="ET84" s="3">
        <v>0</v>
      </c>
      <c r="EU84" s="3">
        <v>0</v>
      </c>
      <c r="EV84" s="3">
        <v>35772000</v>
      </c>
      <c r="EW84" s="3">
        <v>6174000</v>
      </c>
      <c r="EX84" s="3">
        <v>29598000</v>
      </c>
      <c r="EY84" s="3">
        <v>0</v>
      </c>
      <c r="EZ84" s="3">
        <v>0</v>
      </c>
      <c r="FA84" s="3">
        <v>35772000</v>
      </c>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v>4644000</v>
      </c>
      <c r="GB84" s="3">
        <v>23910000</v>
      </c>
      <c r="GC84" s="3">
        <v>0</v>
      </c>
      <c r="GD84" s="3">
        <v>0</v>
      </c>
      <c r="GE84" s="3">
        <v>28554000</v>
      </c>
      <c r="GF84" s="3">
        <v>4644000</v>
      </c>
      <c r="GG84" s="3">
        <v>23910000</v>
      </c>
      <c r="GH84" s="3">
        <v>0</v>
      </c>
      <c r="GI84" s="3">
        <v>0</v>
      </c>
      <c r="GJ84" s="3">
        <v>28554000</v>
      </c>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v>4568000</v>
      </c>
      <c r="HK84" s="3">
        <v>24340000</v>
      </c>
      <c r="HL84" s="3">
        <v>0</v>
      </c>
      <c r="HM84" s="3">
        <v>0</v>
      </c>
      <c r="HN84" s="3">
        <v>28908000</v>
      </c>
      <c r="HO84" s="3">
        <v>4568000</v>
      </c>
      <c r="HP84" s="3">
        <v>24340000</v>
      </c>
      <c r="HQ84" s="3">
        <v>0</v>
      </c>
      <c r="HR84" s="3">
        <v>0</v>
      </c>
      <c r="HS84" s="3">
        <v>28908000</v>
      </c>
      <c r="HT84" s="3"/>
      <c r="HU84" s="3"/>
      <c r="HV84" s="3"/>
      <c r="HW84" s="3"/>
      <c r="HX84" s="3"/>
      <c r="HY84" s="3"/>
      <c r="HZ84" s="3"/>
      <c r="IA84" s="3"/>
      <c r="IB84" s="3"/>
      <c r="IC84" s="3"/>
      <c r="ID84" s="3"/>
      <c r="IE84" s="3"/>
      <c r="IF84" s="3"/>
      <c r="IG84" s="3"/>
      <c r="IH84" s="3"/>
      <c r="II84" s="3"/>
      <c r="IJ84" s="3"/>
      <c r="IK84" s="3"/>
      <c r="IL84" s="3"/>
      <c r="IM84" s="3"/>
      <c r="IN84" s="3"/>
      <c r="IO84" s="3"/>
      <c r="IP84" s="3"/>
      <c r="IQ84" s="3"/>
      <c r="IR84" s="3"/>
      <c r="IS84" s="3"/>
      <c r="IT84" s="3"/>
      <c r="IU84" s="3"/>
      <c r="IV84" s="3"/>
      <c r="IW84" s="3"/>
      <c r="IX84" s="3"/>
      <c r="IY84" s="3"/>
      <c r="IZ84" s="3"/>
      <c r="JA84" s="3"/>
      <c r="JB84" s="3"/>
      <c r="JC84" s="3"/>
      <c r="JD84" s="3"/>
      <c r="JE84" s="3"/>
      <c r="JF84" s="3"/>
      <c r="JG84" s="3"/>
      <c r="JH84" s="3"/>
      <c r="JI84" s="3"/>
      <c r="JJ84" s="3"/>
      <c r="JK84" s="3"/>
      <c r="JL84" s="3"/>
      <c r="JM84" s="3"/>
      <c r="JN84" s="3"/>
      <c r="JO84" s="3"/>
      <c r="JP84" s="3"/>
      <c r="JQ84" s="3"/>
      <c r="JR84" s="3"/>
      <c r="JS84" s="3"/>
      <c r="JT84" s="3"/>
      <c r="JU84" s="3"/>
      <c r="JV84" s="3"/>
      <c r="JW84" s="3"/>
      <c r="JX84" s="3"/>
      <c r="JY84" s="3"/>
      <c r="JZ84" s="3"/>
      <c r="KA84" s="3"/>
      <c r="KB84" s="3"/>
      <c r="KC84" s="3"/>
      <c r="KD84" s="3"/>
      <c r="KE84" s="3"/>
      <c r="KF84" s="3"/>
      <c r="KG84" s="3"/>
      <c r="KH84" s="3"/>
      <c r="KI84" s="3"/>
      <c r="KJ84" s="3"/>
      <c r="KK84" s="3"/>
      <c r="KL84" s="3"/>
      <c r="KM84" s="3"/>
      <c r="KN84" s="3"/>
      <c r="KO84" s="3"/>
      <c r="KP84" s="3"/>
      <c r="KQ84" s="3"/>
      <c r="KR84" s="3"/>
      <c r="KS84" s="3"/>
      <c r="KT84" s="3"/>
      <c r="KU84" s="3"/>
      <c r="KV84" s="3"/>
      <c r="KW84" s="3"/>
      <c r="KX84" s="3"/>
      <c r="KY84" s="3"/>
      <c r="KZ84" s="3"/>
      <c r="LA84" s="3"/>
      <c r="LB84" s="3"/>
      <c r="LC84" s="3"/>
      <c r="LD84" s="3"/>
      <c r="LE84" s="3"/>
      <c r="LF84" s="3"/>
      <c r="LG84" s="3"/>
      <c r="LH84" s="3"/>
      <c r="LI84" s="3"/>
      <c r="LJ84" s="3"/>
      <c r="LK84" s="3"/>
      <c r="LL84" s="3"/>
      <c r="LM84" s="3"/>
      <c r="LN84" s="3"/>
      <c r="LO84" s="3"/>
      <c r="LP84" s="3"/>
      <c r="LQ84" s="3"/>
      <c r="LR84" s="3"/>
      <c r="LS84" s="3"/>
      <c r="LT84" s="3"/>
    </row>
    <row r="85" spans="1:332" x14ac:dyDescent="0.25">
      <c r="A85" t="s">
        <v>685</v>
      </c>
      <c r="B85" t="s">
        <v>686</v>
      </c>
      <c r="C85" t="s">
        <v>602</v>
      </c>
      <c r="D85" t="s">
        <v>726</v>
      </c>
      <c r="E85" t="s">
        <v>224</v>
      </c>
      <c r="F85" t="s">
        <v>521</v>
      </c>
      <c r="G85" t="s">
        <v>797</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v>18659000</v>
      </c>
      <c r="AW85" s="3">
        <v>138989000</v>
      </c>
      <c r="AX85" s="3">
        <v>0</v>
      </c>
      <c r="AY85" s="3">
        <v>0</v>
      </c>
      <c r="AZ85" s="3">
        <v>157648000</v>
      </c>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v>18377000</v>
      </c>
      <c r="CA85" s="3">
        <v>133186000</v>
      </c>
      <c r="CB85" s="3">
        <v>0</v>
      </c>
      <c r="CC85" s="3">
        <v>0</v>
      </c>
      <c r="CD85" s="3">
        <v>151563000</v>
      </c>
      <c r="CE85" s="3">
        <v>18377000</v>
      </c>
      <c r="CF85" s="3">
        <v>133186000</v>
      </c>
      <c r="CG85" s="3">
        <v>0</v>
      </c>
      <c r="CH85" s="3">
        <v>0</v>
      </c>
      <c r="CI85" s="3">
        <v>151563000</v>
      </c>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v>18567000</v>
      </c>
      <c r="DJ85" s="3">
        <v>141049000</v>
      </c>
      <c r="DK85" s="3">
        <v>0</v>
      </c>
      <c r="DL85" s="3">
        <v>0</v>
      </c>
      <c r="DM85" s="3">
        <v>159616000</v>
      </c>
      <c r="DN85" s="3">
        <v>18567000</v>
      </c>
      <c r="DO85" s="3">
        <v>141049000</v>
      </c>
      <c r="DP85" s="3">
        <v>0</v>
      </c>
      <c r="DQ85" s="3">
        <v>0</v>
      </c>
      <c r="DR85" s="3">
        <v>159616000</v>
      </c>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v>20649000</v>
      </c>
      <c r="ES85" s="3">
        <v>168878000</v>
      </c>
      <c r="ET85" s="3">
        <v>0</v>
      </c>
      <c r="EU85" s="3">
        <v>0</v>
      </c>
      <c r="EV85" s="3">
        <v>189527000</v>
      </c>
      <c r="EW85" s="3">
        <v>20649000</v>
      </c>
      <c r="EX85" s="3">
        <v>168878000</v>
      </c>
      <c r="EY85" s="3">
        <v>0</v>
      </c>
      <c r="EZ85" s="3">
        <v>0</v>
      </c>
      <c r="FA85" s="3">
        <v>189527000</v>
      </c>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v>21668000</v>
      </c>
      <c r="GB85" s="3">
        <v>167507000</v>
      </c>
      <c r="GC85" s="3">
        <v>0</v>
      </c>
      <c r="GD85" s="3">
        <v>0</v>
      </c>
      <c r="GE85" s="3">
        <v>189175000</v>
      </c>
      <c r="GF85" s="3">
        <v>21668000</v>
      </c>
      <c r="GG85" s="3">
        <v>167507000</v>
      </c>
      <c r="GH85" s="3">
        <v>0</v>
      </c>
      <c r="GI85" s="3">
        <v>0</v>
      </c>
      <c r="GJ85" s="3">
        <v>189175000</v>
      </c>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v>21227000</v>
      </c>
      <c r="HK85" s="3">
        <v>167507000</v>
      </c>
      <c r="HL85" s="3">
        <v>0</v>
      </c>
      <c r="HM85" s="3">
        <v>0</v>
      </c>
      <c r="HN85" s="3">
        <v>188734000</v>
      </c>
      <c r="HO85" s="3">
        <v>21227000</v>
      </c>
      <c r="HP85" s="3">
        <v>244617000</v>
      </c>
      <c r="HQ85" s="3">
        <v>0</v>
      </c>
      <c r="HR85" s="3">
        <v>0</v>
      </c>
      <c r="HS85" s="3">
        <v>265844000</v>
      </c>
      <c r="HT85" s="3"/>
      <c r="HU85" s="3"/>
      <c r="HV85" s="3"/>
      <c r="HW85" s="3"/>
      <c r="HX85" s="3"/>
      <c r="HY85" s="3"/>
      <c r="HZ85" s="3"/>
      <c r="IA85" s="3"/>
      <c r="IB85" s="3"/>
      <c r="IC85" s="3"/>
      <c r="ID85" s="3"/>
      <c r="IE85" s="3"/>
      <c r="IF85" s="3"/>
      <c r="IG85" s="3"/>
      <c r="IH85" s="3"/>
      <c r="II85" s="3"/>
      <c r="IJ85" s="3"/>
      <c r="IK85" s="3"/>
      <c r="IL85" s="3"/>
      <c r="IM85" s="3"/>
      <c r="IN85" s="3"/>
      <c r="IO85" s="3"/>
      <c r="IP85" s="3"/>
      <c r="IQ85" s="3"/>
      <c r="IR85" s="3"/>
      <c r="IS85" s="3"/>
      <c r="IT85" s="3"/>
      <c r="IU85" s="3"/>
      <c r="IV85" s="3"/>
      <c r="IW85" s="3"/>
      <c r="IX85" s="3"/>
      <c r="IY85" s="3"/>
      <c r="IZ85" s="3"/>
      <c r="JA85" s="3"/>
      <c r="JB85" s="3"/>
      <c r="JC85" s="3"/>
      <c r="JD85" s="3"/>
      <c r="JE85" s="3"/>
      <c r="JF85" s="3"/>
      <c r="JG85" s="3"/>
      <c r="JH85" s="3"/>
      <c r="JI85" s="3"/>
      <c r="JJ85" s="3"/>
      <c r="JK85" s="3"/>
      <c r="JL85" s="3"/>
      <c r="JM85" s="3"/>
      <c r="JN85" s="3"/>
      <c r="JO85" s="3"/>
      <c r="JP85" s="3"/>
      <c r="JQ85" s="3"/>
      <c r="JR85" s="3"/>
      <c r="JS85" s="3"/>
      <c r="JT85" s="3"/>
      <c r="JU85" s="3"/>
      <c r="JV85" s="3"/>
      <c r="JW85" s="3"/>
      <c r="JX85" s="3"/>
      <c r="JY85" s="3"/>
      <c r="JZ85" s="3"/>
      <c r="KA85" s="3"/>
      <c r="KB85" s="3"/>
      <c r="KC85" s="3"/>
      <c r="KD85" s="3"/>
      <c r="KE85" s="3"/>
      <c r="KF85" s="3"/>
      <c r="KG85" s="3"/>
      <c r="KH85" s="3"/>
      <c r="KI85" s="3"/>
      <c r="KJ85" s="3"/>
      <c r="KK85" s="3"/>
      <c r="KL85" s="3"/>
      <c r="KM85" s="3"/>
      <c r="KN85" s="3"/>
      <c r="KO85" s="3"/>
      <c r="KP85" s="3"/>
      <c r="KQ85" s="3"/>
      <c r="KR85" s="3"/>
      <c r="KS85" s="3"/>
      <c r="KT85" s="3"/>
      <c r="KU85" s="3"/>
      <c r="KV85" s="3"/>
      <c r="KW85" s="3"/>
      <c r="KX85" s="3"/>
      <c r="KY85" s="3"/>
      <c r="KZ85" s="3"/>
      <c r="LA85" s="3"/>
      <c r="LB85" s="3"/>
      <c r="LC85" s="3"/>
      <c r="LD85" s="3"/>
      <c r="LE85" s="3"/>
      <c r="LF85" s="3"/>
      <c r="LG85" s="3"/>
      <c r="LH85" s="3"/>
      <c r="LI85" s="3"/>
      <c r="LJ85" s="3"/>
      <c r="LK85" s="3"/>
      <c r="LL85" s="3"/>
      <c r="LM85" s="3"/>
      <c r="LN85" s="3"/>
      <c r="LO85" s="3"/>
      <c r="LP85" s="3"/>
      <c r="LQ85" s="3"/>
      <c r="LR85" s="3"/>
      <c r="LS85" s="3"/>
      <c r="LT85" s="3"/>
    </row>
    <row r="86" spans="1:332" x14ac:dyDescent="0.25">
      <c r="A86" t="s">
        <v>685</v>
      </c>
      <c r="B86" t="s">
        <v>686</v>
      </c>
      <c r="C86" t="s">
        <v>602</v>
      </c>
      <c r="D86" t="s">
        <v>726</v>
      </c>
      <c r="E86" t="s">
        <v>224</v>
      </c>
      <c r="F86" t="s">
        <v>522</v>
      </c>
      <c r="G86" t="s">
        <v>798</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v>28177000</v>
      </c>
      <c r="AW86" s="3">
        <v>4641000</v>
      </c>
      <c r="AX86" s="3">
        <v>0</v>
      </c>
      <c r="AY86" s="3">
        <v>0</v>
      </c>
      <c r="AZ86" s="3">
        <v>32818000</v>
      </c>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v>28155000</v>
      </c>
      <c r="CA86" s="3">
        <v>4630000</v>
      </c>
      <c r="CB86" s="3">
        <v>0</v>
      </c>
      <c r="CC86" s="3">
        <v>0</v>
      </c>
      <c r="CD86" s="3">
        <v>32785000</v>
      </c>
      <c r="CE86" s="3">
        <v>28155000</v>
      </c>
      <c r="CF86" s="3">
        <v>4630000</v>
      </c>
      <c r="CG86" s="3">
        <v>0</v>
      </c>
      <c r="CH86" s="3">
        <v>0</v>
      </c>
      <c r="CI86" s="3">
        <v>32785000</v>
      </c>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v>28341000</v>
      </c>
      <c r="DJ86" s="3">
        <v>4712000</v>
      </c>
      <c r="DK86" s="3">
        <v>0</v>
      </c>
      <c r="DL86" s="3">
        <v>0</v>
      </c>
      <c r="DM86" s="3">
        <v>33053000</v>
      </c>
      <c r="DN86" s="3">
        <v>28341000</v>
      </c>
      <c r="DO86" s="3">
        <v>4712000</v>
      </c>
      <c r="DP86" s="3">
        <v>0</v>
      </c>
      <c r="DQ86" s="3">
        <v>0</v>
      </c>
      <c r="DR86" s="3">
        <v>33053000</v>
      </c>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v>29659000</v>
      </c>
      <c r="ES86" s="3">
        <v>4712000</v>
      </c>
      <c r="ET86" s="3">
        <v>0</v>
      </c>
      <c r="EU86" s="3">
        <v>0</v>
      </c>
      <c r="EV86" s="3">
        <v>34371000</v>
      </c>
      <c r="EW86" s="3">
        <v>29659000</v>
      </c>
      <c r="EX86" s="3">
        <v>4712000</v>
      </c>
      <c r="EY86" s="3">
        <v>0</v>
      </c>
      <c r="EZ86" s="3">
        <v>0</v>
      </c>
      <c r="FA86" s="3">
        <v>34371000</v>
      </c>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v>29153000</v>
      </c>
      <c r="GB86" s="3">
        <v>4675000</v>
      </c>
      <c r="GC86" s="3">
        <v>0</v>
      </c>
      <c r="GD86" s="3">
        <v>0</v>
      </c>
      <c r="GE86" s="3">
        <v>33828000</v>
      </c>
      <c r="GF86" s="3">
        <v>29153000</v>
      </c>
      <c r="GG86" s="3">
        <v>4675000</v>
      </c>
      <c r="GH86" s="3">
        <v>0</v>
      </c>
      <c r="GI86" s="3">
        <v>0</v>
      </c>
      <c r="GJ86" s="3">
        <v>33828000</v>
      </c>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v>31039000</v>
      </c>
      <c r="HK86" s="3">
        <v>4759000</v>
      </c>
      <c r="HL86" s="3">
        <v>0</v>
      </c>
      <c r="HM86" s="3">
        <v>0</v>
      </c>
      <c r="HN86" s="3">
        <v>35798000</v>
      </c>
      <c r="HO86" s="3">
        <v>31039000</v>
      </c>
      <c r="HP86" s="3">
        <v>4759000</v>
      </c>
      <c r="HQ86" s="3">
        <v>0</v>
      </c>
      <c r="HR86" s="3">
        <v>0</v>
      </c>
      <c r="HS86" s="3">
        <v>35798000</v>
      </c>
      <c r="HT86" s="3"/>
      <c r="HU86" s="3"/>
      <c r="HV86" s="3"/>
      <c r="HW86" s="3"/>
      <c r="HX86" s="3"/>
      <c r="HY86" s="3"/>
      <c r="HZ86" s="3"/>
      <c r="IA86" s="3"/>
      <c r="IB86" s="3"/>
      <c r="IC86" s="3"/>
      <c r="ID86" s="3"/>
      <c r="IE86" s="3"/>
      <c r="IF86" s="3"/>
      <c r="IG86" s="3"/>
      <c r="IH86" s="3"/>
      <c r="II86" s="3"/>
      <c r="IJ86" s="3"/>
      <c r="IK86" s="3"/>
      <c r="IL86" s="3"/>
      <c r="IM86" s="3"/>
      <c r="IN86" s="3"/>
      <c r="IO86" s="3"/>
      <c r="IP86" s="3"/>
      <c r="IQ86" s="3"/>
      <c r="IR86" s="3"/>
      <c r="IS86" s="3"/>
      <c r="IT86" s="3"/>
      <c r="IU86" s="3"/>
      <c r="IV86" s="3"/>
      <c r="IW86" s="3"/>
      <c r="IX86" s="3"/>
      <c r="IY86" s="3"/>
      <c r="IZ86" s="3"/>
      <c r="JA86" s="3"/>
      <c r="JB86" s="3"/>
      <c r="JC86" s="3"/>
      <c r="JD86" s="3"/>
      <c r="JE86" s="3"/>
      <c r="JF86" s="3"/>
      <c r="JG86" s="3"/>
      <c r="JH86" s="3"/>
      <c r="JI86" s="3"/>
      <c r="JJ86" s="3"/>
      <c r="JK86" s="3"/>
      <c r="JL86" s="3"/>
      <c r="JM86" s="3"/>
      <c r="JN86" s="3"/>
      <c r="JO86" s="3"/>
      <c r="JP86" s="3"/>
      <c r="JQ86" s="3"/>
      <c r="JR86" s="3"/>
      <c r="JS86" s="3"/>
      <c r="JT86" s="3"/>
      <c r="JU86" s="3"/>
      <c r="JV86" s="3"/>
      <c r="JW86" s="3"/>
      <c r="JX86" s="3"/>
      <c r="JY86" s="3"/>
      <c r="JZ86" s="3"/>
      <c r="KA86" s="3"/>
      <c r="KB86" s="3"/>
      <c r="KC86" s="3"/>
      <c r="KD86" s="3"/>
      <c r="KE86" s="3"/>
      <c r="KF86" s="3"/>
      <c r="KG86" s="3"/>
      <c r="KH86" s="3"/>
      <c r="KI86" s="3"/>
      <c r="KJ86" s="3"/>
      <c r="KK86" s="3"/>
      <c r="KL86" s="3"/>
      <c r="KM86" s="3"/>
      <c r="KN86" s="3"/>
      <c r="KO86" s="3"/>
      <c r="KP86" s="3"/>
      <c r="KQ86" s="3"/>
      <c r="KR86" s="3"/>
      <c r="KS86" s="3"/>
      <c r="KT86" s="3"/>
      <c r="KU86" s="3"/>
      <c r="KV86" s="3"/>
      <c r="KW86" s="3"/>
      <c r="KX86" s="3"/>
      <c r="KY86" s="3"/>
      <c r="KZ86" s="3"/>
      <c r="LA86" s="3"/>
      <c r="LB86" s="3"/>
      <c r="LC86" s="3"/>
      <c r="LD86" s="3"/>
      <c r="LE86" s="3"/>
      <c r="LF86" s="3"/>
      <c r="LG86" s="3"/>
      <c r="LH86" s="3"/>
      <c r="LI86" s="3"/>
      <c r="LJ86" s="3"/>
      <c r="LK86" s="3"/>
      <c r="LL86" s="3"/>
      <c r="LM86" s="3"/>
      <c r="LN86" s="3"/>
      <c r="LO86" s="3"/>
      <c r="LP86" s="3"/>
      <c r="LQ86" s="3"/>
      <c r="LR86" s="3"/>
      <c r="LS86" s="3"/>
      <c r="LT86" s="3"/>
    </row>
    <row r="87" spans="1:332" x14ac:dyDescent="0.25">
      <c r="A87" t="s">
        <v>685</v>
      </c>
      <c r="B87" t="s">
        <v>686</v>
      </c>
      <c r="C87" t="s">
        <v>602</v>
      </c>
      <c r="D87" t="s">
        <v>726</v>
      </c>
      <c r="E87" t="s">
        <v>224</v>
      </c>
      <c r="F87" t="s">
        <v>523</v>
      </c>
      <c r="G87" t="s">
        <v>799</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v>78718000</v>
      </c>
      <c r="AW87" s="3">
        <v>3363000</v>
      </c>
      <c r="AX87" s="3">
        <v>0</v>
      </c>
      <c r="AY87" s="3">
        <v>0</v>
      </c>
      <c r="AZ87" s="3">
        <v>82081000</v>
      </c>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v>93054000</v>
      </c>
      <c r="CA87" s="3">
        <v>3355000</v>
      </c>
      <c r="CB87" s="3">
        <v>0</v>
      </c>
      <c r="CC87" s="3">
        <v>0</v>
      </c>
      <c r="CD87" s="3">
        <v>96409000</v>
      </c>
      <c r="CE87" s="3">
        <v>93054000</v>
      </c>
      <c r="CF87" s="3">
        <v>3355000</v>
      </c>
      <c r="CG87" s="3">
        <v>0</v>
      </c>
      <c r="CH87" s="3">
        <v>0</v>
      </c>
      <c r="CI87" s="3">
        <v>96409000</v>
      </c>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v>93244000</v>
      </c>
      <c r="DJ87" s="3">
        <v>3415000</v>
      </c>
      <c r="DK87" s="3">
        <v>0</v>
      </c>
      <c r="DL87" s="3">
        <v>0</v>
      </c>
      <c r="DM87" s="3">
        <v>96659000</v>
      </c>
      <c r="DN87" s="3">
        <v>93244000</v>
      </c>
      <c r="DO87" s="3">
        <v>3415000</v>
      </c>
      <c r="DP87" s="3">
        <v>0</v>
      </c>
      <c r="DQ87" s="3">
        <v>0</v>
      </c>
      <c r="DR87" s="3">
        <v>96659000</v>
      </c>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v>124648000</v>
      </c>
      <c r="ES87" s="3">
        <v>3815000</v>
      </c>
      <c r="ET87" s="3">
        <v>0</v>
      </c>
      <c r="EU87" s="3">
        <v>0</v>
      </c>
      <c r="EV87" s="3">
        <v>128463000</v>
      </c>
      <c r="EW87" s="3">
        <v>124648000</v>
      </c>
      <c r="EX87" s="3">
        <v>3815000</v>
      </c>
      <c r="EY87" s="3">
        <v>0</v>
      </c>
      <c r="EZ87" s="3">
        <v>0</v>
      </c>
      <c r="FA87" s="3">
        <v>128463000</v>
      </c>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v>135895000</v>
      </c>
      <c r="GB87" s="3">
        <v>3389000</v>
      </c>
      <c r="GC87" s="3">
        <v>0</v>
      </c>
      <c r="GD87" s="3">
        <v>0</v>
      </c>
      <c r="GE87" s="3">
        <v>139284000</v>
      </c>
      <c r="GF87" s="3">
        <v>135895000</v>
      </c>
      <c r="GG87" s="3">
        <v>3389000</v>
      </c>
      <c r="GH87" s="3">
        <v>0</v>
      </c>
      <c r="GI87" s="3">
        <v>0</v>
      </c>
      <c r="GJ87" s="3">
        <v>139284000</v>
      </c>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v>140891000</v>
      </c>
      <c r="HK87" s="3">
        <v>3450000</v>
      </c>
      <c r="HL87" s="3">
        <v>0</v>
      </c>
      <c r="HM87" s="3">
        <v>0</v>
      </c>
      <c r="HN87" s="3">
        <v>144341000</v>
      </c>
      <c r="HO87" s="3">
        <v>140891000</v>
      </c>
      <c r="HP87" s="3">
        <v>3450000</v>
      </c>
      <c r="HQ87" s="3">
        <v>0</v>
      </c>
      <c r="HR87" s="3">
        <v>0</v>
      </c>
      <c r="HS87" s="3">
        <v>144341000</v>
      </c>
      <c r="HT87" s="3"/>
      <c r="HU87" s="3"/>
      <c r="HV87" s="3"/>
      <c r="HW87" s="3"/>
      <c r="HX87" s="3"/>
      <c r="HY87" s="3"/>
      <c r="HZ87" s="3"/>
      <c r="IA87" s="3"/>
      <c r="IB87" s="3"/>
      <c r="IC87" s="3"/>
      <c r="ID87" s="3"/>
      <c r="IE87" s="3"/>
      <c r="IF87" s="3"/>
      <c r="IG87" s="3"/>
      <c r="IH87" s="3"/>
      <c r="II87" s="3"/>
      <c r="IJ87" s="3"/>
      <c r="IK87" s="3"/>
      <c r="IL87" s="3"/>
      <c r="IM87" s="3"/>
      <c r="IN87" s="3"/>
      <c r="IO87" s="3"/>
      <c r="IP87" s="3"/>
      <c r="IQ87" s="3"/>
      <c r="IR87" s="3"/>
      <c r="IS87" s="3"/>
      <c r="IT87" s="3"/>
      <c r="IU87" s="3"/>
      <c r="IV87" s="3"/>
      <c r="IW87" s="3"/>
      <c r="IX87" s="3"/>
      <c r="IY87" s="3"/>
      <c r="IZ87" s="3"/>
      <c r="JA87" s="3"/>
      <c r="JB87" s="3"/>
      <c r="JC87" s="3"/>
      <c r="JD87" s="3"/>
      <c r="JE87" s="3"/>
      <c r="JF87" s="3"/>
      <c r="JG87" s="3"/>
      <c r="JH87" s="3"/>
      <c r="JI87" s="3"/>
      <c r="JJ87" s="3"/>
      <c r="JK87" s="3"/>
      <c r="JL87" s="3"/>
      <c r="JM87" s="3"/>
      <c r="JN87" s="3"/>
      <c r="JO87" s="3"/>
      <c r="JP87" s="3"/>
      <c r="JQ87" s="3"/>
      <c r="JR87" s="3"/>
      <c r="JS87" s="3"/>
      <c r="JT87" s="3"/>
      <c r="JU87" s="3"/>
      <c r="JV87" s="3"/>
      <c r="JW87" s="3"/>
      <c r="JX87" s="3"/>
      <c r="JY87" s="3"/>
      <c r="JZ87" s="3"/>
      <c r="KA87" s="3"/>
      <c r="KB87" s="3"/>
      <c r="KC87" s="3"/>
      <c r="KD87" s="3"/>
      <c r="KE87" s="3"/>
      <c r="KF87" s="3"/>
      <c r="KG87" s="3"/>
      <c r="KH87" s="3"/>
      <c r="KI87" s="3"/>
      <c r="KJ87" s="3"/>
      <c r="KK87" s="3"/>
      <c r="KL87" s="3"/>
      <c r="KM87" s="3"/>
      <c r="KN87" s="3"/>
      <c r="KO87" s="3"/>
      <c r="KP87" s="3"/>
      <c r="KQ87" s="3"/>
      <c r="KR87" s="3"/>
      <c r="KS87" s="3"/>
      <c r="KT87" s="3"/>
      <c r="KU87" s="3"/>
      <c r="KV87" s="3"/>
      <c r="KW87" s="3"/>
      <c r="KX87" s="3"/>
      <c r="KY87" s="3"/>
      <c r="KZ87" s="3"/>
      <c r="LA87" s="3"/>
      <c r="LB87" s="3"/>
      <c r="LC87" s="3"/>
      <c r="LD87" s="3"/>
      <c r="LE87" s="3"/>
      <c r="LF87" s="3"/>
      <c r="LG87" s="3"/>
      <c r="LH87" s="3"/>
      <c r="LI87" s="3"/>
      <c r="LJ87" s="3"/>
      <c r="LK87" s="3"/>
      <c r="LL87" s="3"/>
      <c r="LM87" s="3"/>
      <c r="LN87" s="3"/>
      <c r="LO87" s="3"/>
      <c r="LP87" s="3"/>
      <c r="LQ87" s="3"/>
      <c r="LR87" s="3"/>
      <c r="LS87" s="3"/>
      <c r="LT87" s="3"/>
    </row>
    <row r="88" spans="1:332" x14ac:dyDescent="0.25">
      <c r="A88" t="s">
        <v>685</v>
      </c>
      <c r="B88" t="s">
        <v>686</v>
      </c>
      <c r="C88" t="s">
        <v>602</v>
      </c>
      <c r="D88" t="s">
        <v>726</v>
      </c>
      <c r="E88" t="s">
        <v>241</v>
      </c>
      <c r="F88" t="s">
        <v>532</v>
      </c>
      <c r="G88" t="s">
        <v>800</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v>33596000</v>
      </c>
      <c r="AW88" s="3">
        <v>2872000</v>
      </c>
      <c r="AX88" s="3">
        <v>0</v>
      </c>
      <c r="AY88" s="3">
        <v>0</v>
      </c>
      <c r="AZ88" s="3">
        <v>36468000</v>
      </c>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v>35015000</v>
      </c>
      <c r="CA88" s="3">
        <v>2865000</v>
      </c>
      <c r="CB88" s="3">
        <v>0</v>
      </c>
      <c r="CC88" s="3">
        <v>0</v>
      </c>
      <c r="CD88" s="3">
        <v>37880000</v>
      </c>
      <c r="CE88" s="3">
        <v>35015000</v>
      </c>
      <c r="CF88" s="3">
        <v>2865000</v>
      </c>
      <c r="CG88" s="3">
        <v>0</v>
      </c>
      <c r="CH88" s="3">
        <v>0</v>
      </c>
      <c r="CI88" s="3">
        <v>37880000</v>
      </c>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v>34450000</v>
      </c>
      <c r="DJ88" s="3">
        <v>2917000</v>
      </c>
      <c r="DK88" s="3">
        <v>0</v>
      </c>
      <c r="DL88" s="3">
        <v>0</v>
      </c>
      <c r="DM88" s="3">
        <v>37367000</v>
      </c>
      <c r="DN88" s="3">
        <v>34450000</v>
      </c>
      <c r="DO88" s="3">
        <v>2917000</v>
      </c>
      <c r="DP88" s="3">
        <v>0</v>
      </c>
      <c r="DQ88" s="3">
        <v>0</v>
      </c>
      <c r="DR88" s="3">
        <v>37367000</v>
      </c>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v>33563000</v>
      </c>
      <c r="ES88" s="3">
        <v>53717000</v>
      </c>
      <c r="ET88" s="3">
        <v>0</v>
      </c>
      <c r="EU88" s="3">
        <v>0</v>
      </c>
      <c r="EV88" s="3">
        <v>87280000</v>
      </c>
      <c r="EW88" s="3">
        <v>33563000</v>
      </c>
      <c r="EX88" s="3">
        <v>53717000</v>
      </c>
      <c r="EY88" s="3">
        <v>0</v>
      </c>
      <c r="EZ88" s="3">
        <v>0</v>
      </c>
      <c r="FA88" s="3">
        <v>87280000</v>
      </c>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v>35927000</v>
      </c>
      <c r="GB88" s="3">
        <v>2894000</v>
      </c>
      <c r="GC88" s="3">
        <v>0</v>
      </c>
      <c r="GD88" s="3">
        <v>0</v>
      </c>
      <c r="GE88" s="3">
        <v>38821000</v>
      </c>
      <c r="GF88" s="3">
        <v>35927000</v>
      </c>
      <c r="GG88" s="3">
        <v>2894000</v>
      </c>
      <c r="GH88" s="3">
        <v>0</v>
      </c>
      <c r="GI88" s="3">
        <v>0</v>
      </c>
      <c r="GJ88" s="3">
        <v>38821000</v>
      </c>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v>35573000</v>
      </c>
      <c r="HK88" s="3">
        <v>2710000</v>
      </c>
      <c r="HL88" s="3">
        <v>0</v>
      </c>
      <c r="HM88" s="3">
        <v>0</v>
      </c>
      <c r="HN88" s="3">
        <v>38283000</v>
      </c>
      <c r="HO88" s="3">
        <v>35573000</v>
      </c>
      <c r="HP88" s="3">
        <v>2710000</v>
      </c>
      <c r="HQ88" s="3">
        <v>0</v>
      </c>
      <c r="HR88" s="3">
        <v>0</v>
      </c>
      <c r="HS88" s="3">
        <v>38283000</v>
      </c>
      <c r="HT88" s="3"/>
      <c r="HU88" s="3"/>
      <c r="HV88" s="3"/>
      <c r="HW88" s="3"/>
      <c r="HX88" s="3"/>
      <c r="HY88" s="3"/>
      <c r="HZ88" s="3"/>
      <c r="IA88" s="3"/>
      <c r="IB88" s="3"/>
      <c r="IC88" s="3"/>
      <c r="ID88" s="3"/>
      <c r="IE88" s="3"/>
      <c r="IF88" s="3"/>
      <c r="IG88" s="3"/>
      <c r="IH88" s="3"/>
      <c r="II88" s="3"/>
      <c r="IJ88" s="3"/>
      <c r="IK88" s="3"/>
      <c r="IL88" s="3"/>
      <c r="IM88" s="3"/>
      <c r="IN88" s="3"/>
      <c r="IO88" s="3"/>
      <c r="IP88" s="3"/>
      <c r="IQ88" s="3"/>
      <c r="IR88" s="3"/>
      <c r="IS88" s="3"/>
      <c r="IT88" s="3"/>
      <c r="IU88" s="3"/>
      <c r="IV88" s="3"/>
      <c r="IW88" s="3"/>
      <c r="IX88" s="3"/>
      <c r="IY88" s="3"/>
      <c r="IZ88" s="3"/>
      <c r="JA88" s="3"/>
      <c r="JB88" s="3"/>
      <c r="JC88" s="3"/>
      <c r="JD88" s="3"/>
      <c r="JE88" s="3"/>
      <c r="JF88" s="3"/>
      <c r="JG88" s="3"/>
      <c r="JH88" s="3"/>
      <c r="JI88" s="3"/>
      <c r="JJ88" s="3"/>
      <c r="JK88" s="3"/>
      <c r="JL88" s="3"/>
      <c r="JM88" s="3"/>
      <c r="JN88" s="3"/>
      <c r="JO88" s="3"/>
      <c r="JP88" s="3"/>
      <c r="JQ88" s="3"/>
      <c r="JR88" s="3"/>
      <c r="JS88" s="3"/>
      <c r="JT88" s="3"/>
      <c r="JU88" s="3"/>
      <c r="JV88" s="3"/>
      <c r="JW88" s="3"/>
      <c r="JX88" s="3"/>
      <c r="JY88" s="3"/>
      <c r="JZ88" s="3"/>
      <c r="KA88" s="3"/>
      <c r="KB88" s="3"/>
      <c r="KC88" s="3"/>
      <c r="KD88" s="3"/>
      <c r="KE88" s="3"/>
      <c r="KF88" s="3"/>
      <c r="KG88" s="3"/>
      <c r="KH88" s="3"/>
      <c r="KI88" s="3"/>
      <c r="KJ88" s="3"/>
      <c r="KK88" s="3"/>
      <c r="KL88" s="3"/>
      <c r="KM88" s="3"/>
      <c r="KN88" s="3"/>
      <c r="KO88" s="3"/>
      <c r="KP88" s="3"/>
      <c r="KQ88" s="3"/>
      <c r="KR88" s="3"/>
      <c r="KS88" s="3"/>
      <c r="KT88" s="3"/>
      <c r="KU88" s="3"/>
      <c r="KV88" s="3"/>
      <c r="KW88" s="3"/>
      <c r="KX88" s="3"/>
      <c r="KY88" s="3"/>
      <c r="KZ88" s="3"/>
      <c r="LA88" s="3"/>
      <c r="LB88" s="3"/>
      <c r="LC88" s="3"/>
      <c r="LD88" s="3"/>
      <c r="LE88" s="3"/>
      <c r="LF88" s="3"/>
      <c r="LG88" s="3"/>
      <c r="LH88" s="3"/>
      <c r="LI88" s="3"/>
      <c r="LJ88" s="3"/>
      <c r="LK88" s="3"/>
      <c r="LL88" s="3"/>
      <c r="LM88" s="3"/>
      <c r="LN88" s="3"/>
      <c r="LO88" s="3"/>
      <c r="LP88" s="3"/>
      <c r="LQ88" s="3"/>
      <c r="LR88" s="3"/>
      <c r="LS88" s="3"/>
      <c r="LT88" s="3"/>
    </row>
    <row r="89" spans="1:332" x14ac:dyDescent="0.25">
      <c r="A89" t="s">
        <v>685</v>
      </c>
      <c r="B89" t="s">
        <v>686</v>
      </c>
      <c r="C89" t="s">
        <v>602</v>
      </c>
      <c r="D89" t="s">
        <v>726</v>
      </c>
      <c r="E89" t="s">
        <v>241</v>
      </c>
      <c r="F89" t="s">
        <v>533</v>
      </c>
      <c r="G89" t="s">
        <v>801</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v>12642000</v>
      </c>
      <c r="AW89" s="3">
        <v>3387000</v>
      </c>
      <c r="AX89" s="3">
        <v>0</v>
      </c>
      <c r="AY89" s="3">
        <v>0</v>
      </c>
      <c r="AZ89" s="3">
        <v>16029000</v>
      </c>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v>10532000</v>
      </c>
      <c r="CA89" s="3">
        <v>17379000</v>
      </c>
      <c r="CB89" s="3">
        <v>0</v>
      </c>
      <c r="CC89" s="3">
        <v>0</v>
      </c>
      <c r="CD89" s="3">
        <v>27911000</v>
      </c>
      <c r="CE89" s="3">
        <v>10532000</v>
      </c>
      <c r="CF89" s="3">
        <v>17379000</v>
      </c>
      <c r="CG89" s="3">
        <v>0</v>
      </c>
      <c r="CH89" s="3">
        <v>0</v>
      </c>
      <c r="CI89" s="3">
        <v>27911000</v>
      </c>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v>9831000</v>
      </c>
      <c r="DJ89" s="3">
        <v>25683000</v>
      </c>
      <c r="DK89" s="3">
        <v>0</v>
      </c>
      <c r="DL89" s="3">
        <v>0</v>
      </c>
      <c r="DM89" s="3">
        <v>35514000</v>
      </c>
      <c r="DN89" s="3">
        <v>9831000</v>
      </c>
      <c r="DO89" s="3">
        <v>25683000</v>
      </c>
      <c r="DP89" s="3">
        <v>0</v>
      </c>
      <c r="DQ89" s="3">
        <v>0</v>
      </c>
      <c r="DR89" s="3">
        <v>35514000</v>
      </c>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v>18927000</v>
      </c>
      <c r="ES89" s="3">
        <v>27183000</v>
      </c>
      <c r="ET89" s="3">
        <v>0</v>
      </c>
      <c r="EU89" s="3">
        <v>0</v>
      </c>
      <c r="EV89" s="3">
        <v>46110000</v>
      </c>
      <c r="EW89" s="3">
        <v>18927000</v>
      </c>
      <c r="EX89" s="3">
        <v>27183000</v>
      </c>
      <c r="EY89" s="3">
        <v>0</v>
      </c>
      <c r="EZ89" s="3">
        <v>0</v>
      </c>
      <c r="FA89" s="3">
        <v>46110000</v>
      </c>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v>17916000</v>
      </c>
      <c r="GB89" s="3">
        <v>25483000</v>
      </c>
      <c r="GC89" s="3">
        <v>0</v>
      </c>
      <c r="GD89" s="3">
        <v>0</v>
      </c>
      <c r="GE89" s="3">
        <v>43399000</v>
      </c>
      <c r="GF89" s="3">
        <v>17916000</v>
      </c>
      <c r="GG89" s="3">
        <v>25483000</v>
      </c>
      <c r="GH89" s="3">
        <v>0</v>
      </c>
      <c r="GI89" s="3">
        <v>0</v>
      </c>
      <c r="GJ89" s="3">
        <v>43399000</v>
      </c>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v>16731000</v>
      </c>
      <c r="HK89" s="3">
        <v>25942000</v>
      </c>
      <c r="HL89" s="3">
        <v>0</v>
      </c>
      <c r="HM89" s="3">
        <v>0</v>
      </c>
      <c r="HN89" s="3">
        <v>42673000</v>
      </c>
      <c r="HO89" s="3">
        <v>16731000</v>
      </c>
      <c r="HP89" s="3">
        <v>25942000</v>
      </c>
      <c r="HQ89" s="3">
        <v>0</v>
      </c>
      <c r="HR89" s="3">
        <v>0</v>
      </c>
      <c r="HS89" s="3">
        <v>42673000</v>
      </c>
      <c r="HT89" s="3"/>
      <c r="HU89" s="3"/>
      <c r="HV89" s="3"/>
      <c r="HW89" s="3"/>
      <c r="HX89" s="3"/>
      <c r="HY89" s="3"/>
      <c r="HZ89" s="3"/>
      <c r="IA89" s="3"/>
      <c r="IB89" s="3"/>
      <c r="IC89" s="3"/>
      <c r="ID89" s="3"/>
      <c r="IE89" s="3"/>
      <c r="IF89" s="3"/>
      <c r="IG89" s="3"/>
      <c r="IH89" s="3"/>
      <c r="II89" s="3"/>
      <c r="IJ89" s="3"/>
      <c r="IK89" s="3"/>
      <c r="IL89" s="3"/>
      <c r="IM89" s="3"/>
      <c r="IN89" s="3"/>
      <c r="IO89" s="3"/>
      <c r="IP89" s="3"/>
      <c r="IQ89" s="3"/>
      <c r="IR89" s="3"/>
      <c r="IS89" s="3"/>
      <c r="IT89" s="3"/>
      <c r="IU89" s="3"/>
      <c r="IV89" s="3"/>
      <c r="IW89" s="3"/>
      <c r="IX89" s="3"/>
      <c r="IY89" s="3"/>
      <c r="IZ89" s="3"/>
      <c r="JA89" s="3"/>
      <c r="JB89" s="3"/>
      <c r="JC89" s="3"/>
      <c r="JD89" s="3"/>
      <c r="JE89" s="3"/>
      <c r="JF89" s="3"/>
      <c r="JG89" s="3"/>
      <c r="JH89" s="3"/>
      <c r="JI89" s="3"/>
      <c r="JJ89" s="3"/>
      <c r="JK89" s="3"/>
      <c r="JL89" s="3"/>
      <c r="JM89" s="3"/>
      <c r="JN89" s="3"/>
      <c r="JO89" s="3"/>
      <c r="JP89" s="3"/>
      <c r="JQ89" s="3"/>
      <c r="JR89" s="3"/>
      <c r="JS89" s="3"/>
      <c r="JT89" s="3"/>
      <c r="JU89" s="3"/>
      <c r="JV89" s="3"/>
      <c r="JW89" s="3"/>
      <c r="JX89" s="3"/>
      <c r="JY89" s="3"/>
      <c r="JZ89" s="3"/>
      <c r="KA89" s="3"/>
      <c r="KB89" s="3"/>
      <c r="KC89" s="3"/>
      <c r="KD89" s="3"/>
      <c r="KE89" s="3"/>
      <c r="KF89" s="3"/>
      <c r="KG89" s="3"/>
      <c r="KH89" s="3"/>
      <c r="KI89" s="3"/>
      <c r="KJ89" s="3"/>
      <c r="KK89" s="3"/>
      <c r="KL89" s="3"/>
      <c r="KM89" s="3"/>
      <c r="KN89" s="3"/>
      <c r="KO89" s="3"/>
      <c r="KP89" s="3"/>
      <c r="KQ89" s="3"/>
      <c r="KR89" s="3"/>
      <c r="KS89" s="3"/>
      <c r="KT89" s="3"/>
      <c r="KU89" s="3"/>
      <c r="KV89" s="3"/>
      <c r="KW89" s="3"/>
      <c r="KX89" s="3"/>
      <c r="KY89" s="3"/>
      <c r="KZ89" s="3"/>
      <c r="LA89" s="3"/>
      <c r="LB89" s="3"/>
      <c r="LC89" s="3"/>
      <c r="LD89" s="3"/>
      <c r="LE89" s="3"/>
      <c r="LF89" s="3"/>
      <c r="LG89" s="3"/>
      <c r="LH89" s="3"/>
      <c r="LI89" s="3"/>
      <c r="LJ89" s="3"/>
      <c r="LK89" s="3"/>
      <c r="LL89" s="3"/>
      <c r="LM89" s="3"/>
      <c r="LN89" s="3"/>
      <c r="LO89" s="3"/>
      <c r="LP89" s="3"/>
      <c r="LQ89" s="3"/>
      <c r="LR89" s="3"/>
      <c r="LS89" s="3"/>
      <c r="LT89" s="3"/>
    </row>
    <row r="90" spans="1:332" x14ac:dyDescent="0.25">
      <c r="A90" t="s">
        <v>685</v>
      </c>
      <c r="B90" t="s">
        <v>686</v>
      </c>
      <c r="C90" t="s">
        <v>602</v>
      </c>
      <c r="D90" t="s">
        <v>726</v>
      </c>
      <c r="E90" t="s">
        <v>241</v>
      </c>
      <c r="F90" t="s">
        <v>534</v>
      </c>
      <c r="G90" t="s">
        <v>779</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v>37391000</v>
      </c>
      <c r="AW90" s="3">
        <v>2723000</v>
      </c>
      <c r="AX90" s="3">
        <v>0</v>
      </c>
      <c r="AY90" s="3">
        <v>0</v>
      </c>
      <c r="AZ90" s="3">
        <v>40114000</v>
      </c>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v>40710000</v>
      </c>
      <c r="CA90" s="3">
        <v>2717000</v>
      </c>
      <c r="CB90" s="3">
        <v>0</v>
      </c>
      <c r="CC90" s="3">
        <v>0</v>
      </c>
      <c r="CD90" s="3">
        <v>43427000</v>
      </c>
      <c r="CE90" s="3">
        <v>40710000</v>
      </c>
      <c r="CF90" s="3">
        <v>2717000</v>
      </c>
      <c r="CG90" s="3">
        <v>0</v>
      </c>
      <c r="CH90" s="3">
        <v>0</v>
      </c>
      <c r="CI90" s="3">
        <v>43427000</v>
      </c>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v>36706000</v>
      </c>
      <c r="DJ90" s="3">
        <v>2766000</v>
      </c>
      <c r="DK90" s="3">
        <v>0</v>
      </c>
      <c r="DL90" s="3">
        <v>0</v>
      </c>
      <c r="DM90" s="3">
        <v>39472000</v>
      </c>
      <c r="DN90" s="3">
        <v>36706000</v>
      </c>
      <c r="DO90" s="3">
        <v>2766000</v>
      </c>
      <c r="DP90" s="3">
        <v>0</v>
      </c>
      <c r="DQ90" s="3">
        <v>0</v>
      </c>
      <c r="DR90" s="3">
        <v>39472000</v>
      </c>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v>35411000</v>
      </c>
      <c r="ES90" s="3">
        <v>3066000</v>
      </c>
      <c r="ET90" s="3">
        <v>0</v>
      </c>
      <c r="EU90" s="3">
        <v>0</v>
      </c>
      <c r="EV90" s="3">
        <v>38477000</v>
      </c>
      <c r="EW90" s="3">
        <v>35411000</v>
      </c>
      <c r="EX90" s="3">
        <v>3066000</v>
      </c>
      <c r="EY90" s="3">
        <v>0</v>
      </c>
      <c r="EZ90" s="3">
        <v>0</v>
      </c>
      <c r="FA90" s="3">
        <v>38477000</v>
      </c>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v>31377000</v>
      </c>
      <c r="GB90" s="3">
        <v>2745000</v>
      </c>
      <c r="GC90" s="3">
        <v>0</v>
      </c>
      <c r="GD90" s="3">
        <v>0</v>
      </c>
      <c r="GE90" s="3">
        <v>34122000</v>
      </c>
      <c r="GF90" s="3">
        <v>31377000</v>
      </c>
      <c r="GG90" s="3">
        <v>2745000</v>
      </c>
      <c r="GH90" s="3">
        <v>0</v>
      </c>
      <c r="GI90" s="3">
        <v>0</v>
      </c>
      <c r="GJ90" s="3">
        <v>34122000</v>
      </c>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v>34886000</v>
      </c>
      <c r="HK90" s="3">
        <v>2794000</v>
      </c>
      <c r="HL90" s="3">
        <v>0</v>
      </c>
      <c r="HM90" s="3">
        <v>0</v>
      </c>
      <c r="HN90" s="3">
        <v>37680000</v>
      </c>
      <c r="HO90" s="3">
        <v>34886000</v>
      </c>
      <c r="HP90" s="3">
        <v>2794000</v>
      </c>
      <c r="HQ90" s="3">
        <v>0</v>
      </c>
      <c r="HR90" s="3">
        <v>0</v>
      </c>
      <c r="HS90" s="3">
        <v>37680000</v>
      </c>
      <c r="HT90" s="3"/>
      <c r="HU90" s="3"/>
      <c r="HV90" s="3"/>
      <c r="HW90" s="3"/>
      <c r="HX90" s="3"/>
      <c r="HY90" s="3"/>
      <c r="HZ90" s="3"/>
      <c r="IA90" s="3"/>
      <c r="IB90" s="3"/>
      <c r="IC90" s="3"/>
      <c r="ID90" s="3"/>
      <c r="IE90" s="3"/>
      <c r="IF90" s="3"/>
      <c r="IG90" s="3"/>
      <c r="IH90" s="3"/>
      <c r="II90" s="3"/>
      <c r="IJ90" s="3"/>
      <c r="IK90" s="3"/>
      <c r="IL90" s="3"/>
      <c r="IM90" s="3"/>
      <c r="IN90" s="3"/>
      <c r="IO90" s="3"/>
      <c r="IP90" s="3"/>
      <c r="IQ90" s="3"/>
      <c r="IR90" s="3"/>
      <c r="IS90" s="3"/>
      <c r="IT90" s="3"/>
      <c r="IU90" s="3"/>
      <c r="IV90" s="3"/>
      <c r="IW90" s="3"/>
      <c r="IX90" s="3"/>
      <c r="IY90" s="3"/>
      <c r="IZ90" s="3"/>
      <c r="JA90" s="3"/>
      <c r="JB90" s="3"/>
      <c r="JC90" s="3"/>
      <c r="JD90" s="3"/>
      <c r="JE90" s="3"/>
      <c r="JF90" s="3"/>
      <c r="JG90" s="3"/>
      <c r="JH90" s="3"/>
      <c r="JI90" s="3"/>
      <c r="JJ90" s="3"/>
      <c r="JK90" s="3"/>
      <c r="JL90" s="3"/>
      <c r="JM90" s="3"/>
      <c r="JN90" s="3"/>
      <c r="JO90" s="3"/>
      <c r="JP90" s="3"/>
      <c r="JQ90" s="3"/>
      <c r="JR90" s="3"/>
      <c r="JS90" s="3"/>
      <c r="JT90" s="3"/>
      <c r="JU90" s="3"/>
      <c r="JV90" s="3"/>
      <c r="JW90" s="3"/>
      <c r="JX90" s="3"/>
      <c r="JY90" s="3"/>
      <c r="JZ90" s="3"/>
      <c r="KA90" s="3"/>
      <c r="KB90" s="3"/>
      <c r="KC90" s="3"/>
      <c r="KD90" s="3"/>
      <c r="KE90" s="3"/>
      <c r="KF90" s="3"/>
      <c r="KG90" s="3"/>
      <c r="KH90" s="3"/>
      <c r="KI90" s="3"/>
      <c r="KJ90" s="3"/>
      <c r="KK90" s="3"/>
      <c r="KL90" s="3"/>
      <c r="KM90" s="3"/>
      <c r="KN90" s="3"/>
      <c r="KO90" s="3"/>
      <c r="KP90" s="3"/>
      <c r="KQ90" s="3"/>
      <c r="KR90" s="3"/>
      <c r="KS90" s="3"/>
      <c r="KT90" s="3"/>
      <c r="KU90" s="3"/>
      <c r="KV90" s="3"/>
      <c r="KW90" s="3"/>
      <c r="KX90" s="3"/>
      <c r="KY90" s="3"/>
      <c r="KZ90" s="3"/>
      <c r="LA90" s="3"/>
      <c r="LB90" s="3"/>
      <c r="LC90" s="3"/>
      <c r="LD90" s="3"/>
      <c r="LE90" s="3"/>
      <c r="LF90" s="3"/>
      <c r="LG90" s="3"/>
      <c r="LH90" s="3"/>
      <c r="LI90" s="3"/>
      <c r="LJ90" s="3"/>
      <c r="LK90" s="3"/>
      <c r="LL90" s="3"/>
      <c r="LM90" s="3"/>
      <c r="LN90" s="3"/>
      <c r="LO90" s="3"/>
      <c r="LP90" s="3"/>
      <c r="LQ90" s="3"/>
      <c r="LR90" s="3"/>
      <c r="LS90" s="3"/>
      <c r="LT90" s="3"/>
    </row>
    <row r="91" spans="1:332" x14ac:dyDescent="0.25">
      <c r="A91" t="s">
        <v>685</v>
      </c>
      <c r="B91" t="s">
        <v>686</v>
      </c>
      <c r="C91" t="s">
        <v>602</v>
      </c>
      <c r="D91" t="s">
        <v>726</v>
      </c>
      <c r="E91" t="s">
        <v>241</v>
      </c>
      <c r="F91" t="s">
        <v>535</v>
      </c>
      <c r="G91" t="s">
        <v>802</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v>13751000</v>
      </c>
      <c r="AW91" s="3">
        <v>2930000</v>
      </c>
      <c r="AX91" s="3">
        <v>0</v>
      </c>
      <c r="AY91" s="3">
        <v>0</v>
      </c>
      <c r="AZ91" s="3">
        <v>16681000</v>
      </c>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v>15785000</v>
      </c>
      <c r="CA91" s="3">
        <v>2923000</v>
      </c>
      <c r="CB91" s="3">
        <v>0</v>
      </c>
      <c r="CC91" s="3">
        <v>0</v>
      </c>
      <c r="CD91" s="3">
        <v>18708000</v>
      </c>
      <c r="CE91" s="3">
        <v>15785000</v>
      </c>
      <c r="CF91" s="3">
        <v>2923000</v>
      </c>
      <c r="CG91" s="3">
        <v>0</v>
      </c>
      <c r="CH91" s="3">
        <v>0</v>
      </c>
      <c r="CI91" s="3">
        <v>18708000</v>
      </c>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v>18497000</v>
      </c>
      <c r="DJ91" s="3">
        <v>2976000</v>
      </c>
      <c r="DK91" s="3">
        <v>0</v>
      </c>
      <c r="DL91" s="3">
        <v>0</v>
      </c>
      <c r="DM91" s="3">
        <v>21473000</v>
      </c>
      <c r="DN91" s="3">
        <v>18497000</v>
      </c>
      <c r="DO91" s="3">
        <v>2976000</v>
      </c>
      <c r="DP91" s="3">
        <v>0</v>
      </c>
      <c r="DQ91" s="3">
        <v>0</v>
      </c>
      <c r="DR91" s="3">
        <v>21473000</v>
      </c>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v>20723000</v>
      </c>
      <c r="ES91" s="3">
        <v>2976000</v>
      </c>
      <c r="ET91" s="3">
        <v>0</v>
      </c>
      <c r="EU91" s="3">
        <v>0</v>
      </c>
      <c r="EV91" s="3">
        <v>23699000</v>
      </c>
      <c r="EW91" s="3">
        <v>20723000</v>
      </c>
      <c r="EX91" s="3">
        <v>2976000</v>
      </c>
      <c r="EY91" s="3">
        <v>0</v>
      </c>
      <c r="EZ91" s="3">
        <v>0</v>
      </c>
      <c r="FA91" s="3">
        <v>23699000</v>
      </c>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v>22545000</v>
      </c>
      <c r="GB91" s="3">
        <v>2953000</v>
      </c>
      <c r="GC91" s="3">
        <v>0</v>
      </c>
      <c r="GD91" s="3">
        <v>0</v>
      </c>
      <c r="GE91" s="3">
        <v>25498000</v>
      </c>
      <c r="GF91" s="3">
        <v>22545000</v>
      </c>
      <c r="GG91" s="3">
        <v>2953000</v>
      </c>
      <c r="GH91" s="3">
        <v>0</v>
      </c>
      <c r="GI91" s="3">
        <v>0</v>
      </c>
      <c r="GJ91" s="3">
        <v>25498000</v>
      </c>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v>22874000</v>
      </c>
      <c r="HK91" s="3">
        <v>2766000</v>
      </c>
      <c r="HL91" s="3">
        <v>0</v>
      </c>
      <c r="HM91" s="3">
        <v>0</v>
      </c>
      <c r="HN91" s="3">
        <v>25640000</v>
      </c>
      <c r="HO91" s="3">
        <v>22874000</v>
      </c>
      <c r="HP91" s="3">
        <v>2766000</v>
      </c>
      <c r="HQ91" s="3">
        <v>0</v>
      </c>
      <c r="HR91" s="3">
        <v>0</v>
      </c>
      <c r="HS91" s="3">
        <v>25640000</v>
      </c>
      <c r="HT91" s="3"/>
      <c r="HU91" s="3"/>
      <c r="HV91" s="3"/>
      <c r="HW91" s="3"/>
      <c r="HX91" s="3"/>
      <c r="HY91" s="3"/>
      <c r="HZ91" s="3"/>
      <c r="IA91" s="3"/>
      <c r="IB91" s="3"/>
      <c r="IC91" s="3"/>
      <c r="ID91" s="3"/>
      <c r="IE91" s="3"/>
      <c r="IF91" s="3"/>
      <c r="IG91" s="3"/>
      <c r="IH91" s="3"/>
      <c r="II91" s="3"/>
      <c r="IJ91" s="3"/>
      <c r="IK91" s="3"/>
      <c r="IL91" s="3"/>
      <c r="IM91" s="3"/>
      <c r="IN91" s="3"/>
      <c r="IO91" s="3"/>
      <c r="IP91" s="3"/>
      <c r="IQ91" s="3"/>
      <c r="IR91" s="3"/>
      <c r="IS91" s="3"/>
      <c r="IT91" s="3"/>
      <c r="IU91" s="3"/>
      <c r="IV91" s="3"/>
      <c r="IW91" s="3"/>
      <c r="IX91" s="3"/>
      <c r="IY91" s="3"/>
      <c r="IZ91" s="3"/>
      <c r="JA91" s="3"/>
      <c r="JB91" s="3"/>
      <c r="JC91" s="3"/>
      <c r="JD91" s="3"/>
      <c r="JE91" s="3"/>
      <c r="JF91" s="3"/>
      <c r="JG91" s="3"/>
      <c r="JH91" s="3"/>
      <c r="JI91" s="3"/>
      <c r="JJ91" s="3"/>
      <c r="JK91" s="3"/>
      <c r="JL91" s="3"/>
      <c r="JM91" s="3"/>
      <c r="JN91" s="3"/>
      <c r="JO91" s="3"/>
      <c r="JP91" s="3"/>
      <c r="JQ91" s="3"/>
      <c r="JR91" s="3"/>
      <c r="JS91" s="3"/>
      <c r="JT91" s="3"/>
      <c r="JU91" s="3"/>
      <c r="JV91" s="3"/>
      <c r="JW91" s="3"/>
      <c r="JX91" s="3"/>
      <c r="JY91" s="3"/>
      <c r="JZ91" s="3"/>
      <c r="KA91" s="3"/>
      <c r="KB91" s="3"/>
      <c r="KC91" s="3"/>
      <c r="KD91" s="3"/>
      <c r="KE91" s="3"/>
      <c r="KF91" s="3"/>
      <c r="KG91" s="3"/>
      <c r="KH91" s="3"/>
      <c r="KI91" s="3"/>
      <c r="KJ91" s="3"/>
      <c r="KK91" s="3"/>
      <c r="KL91" s="3"/>
      <c r="KM91" s="3"/>
      <c r="KN91" s="3"/>
      <c r="KO91" s="3"/>
      <c r="KP91" s="3"/>
      <c r="KQ91" s="3"/>
      <c r="KR91" s="3"/>
      <c r="KS91" s="3"/>
      <c r="KT91" s="3"/>
      <c r="KU91" s="3"/>
      <c r="KV91" s="3"/>
      <c r="KW91" s="3"/>
      <c r="KX91" s="3"/>
      <c r="KY91" s="3"/>
      <c r="KZ91" s="3"/>
      <c r="LA91" s="3"/>
      <c r="LB91" s="3"/>
      <c r="LC91" s="3"/>
      <c r="LD91" s="3"/>
      <c r="LE91" s="3"/>
      <c r="LF91" s="3"/>
      <c r="LG91" s="3"/>
      <c r="LH91" s="3"/>
      <c r="LI91" s="3"/>
      <c r="LJ91" s="3"/>
      <c r="LK91" s="3"/>
      <c r="LL91" s="3"/>
      <c r="LM91" s="3"/>
      <c r="LN91" s="3"/>
      <c r="LO91" s="3"/>
      <c r="LP91" s="3"/>
      <c r="LQ91" s="3"/>
      <c r="LR91" s="3"/>
      <c r="LS91" s="3"/>
      <c r="LT91" s="3"/>
    </row>
    <row r="92" spans="1:332" x14ac:dyDescent="0.25">
      <c r="A92" t="s">
        <v>685</v>
      </c>
      <c r="B92" t="s">
        <v>686</v>
      </c>
      <c r="C92" t="s">
        <v>602</v>
      </c>
      <c r="D92" t="s">
        <v>726</v>
      </c>
      <c r="E92" t="s">
        <v>241</v>
      </c>
      <c r="F92" t="s">
        <v>242</v>
      </c>
      <c r="G92" t="s">
        <v>815</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v>0</v>
      </c>
      <c r="DO92" s="3">
        <v>10000000</v>
      </c>
      <c r="DP92" s="3">
        <v>0</v>
      </c>
      <c r="DQ92" s="3">
        <v>0</v>
      </c>
      <c r="DR92" s="3">
        <v>10000000</v>
      </c>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c r="IM92" s="3"/>
      <c r="IN92" s="3"/>
      <c r="IO92" s="3"/>
      <c r="IP92" s="3"/>
      <c r="IQ92" s="3"/>
      <c r="IR92" s="3"/>
      <c r="IS92" s="3"/>
      <c r="IT92" s="3"/>
      <c r="IU92" s="3"/>
      <c r="IV92" s="3"/>
      <c r="IW92" s="3"/>
      <c r="IX92" s="3"/>
      <c r="IY92" s="3"/>
      <c r="IZ92" s="3"/>
      <c r="JA92" s="3"/>
      <c r="JB92" s="3"/>
      <c r="JC92" s="3"/>
      <c r="JD92" s="3"/>
      <c r="JE92" s="3"/>
      <c r="JF92" s="3"/>
      <c r="JG92" s="3"/>
      <c r="JH92" s="3"/>
      <c r="JI92" s="3"/>
      <c r="JJ92" s="3"/>
      <c r="JK92" s="3"/>
      <c r="JL92" s="3"/>
      <c r="JM92" s="3"/>
      <c r="JN92" s="3"/>
      <c r="JO92" s="3"/>
      <c r="JP92" s="3"/>
      <c r="JQ92" s="3"/>
      <c r="JR92" s="3"/>
      <c r="JS92" s="3"/>
      <c r="JT92" s="3"/>
      <c r="JU92" s="3"/>
      <c r="JV92" s="3"/>
      <c r="JW92" s="3"/>
      <c r="JX92" s="3"/>
      <c r="JY92" s="3"/>
      <c r="JZ92" s="3"/>
      <c r="KA92" s="3"/>
      <c r="KB92" s="3"/>
      <c r="KC92" s="3"/>
      <c r="KD92" s="3"/>
      <c r="KE92" s="3"/>
      <c r="KF92" s="3"/>
      <c r="KG92" s="3"/>
      <c r="KH92" s="3"/>
      <c r="KI92" s="3"/>
      <c r="KJ92" s="3"/>
      <c r="KK92" s="3"/>
      <c r="KL92" s="3"/>
      <c r="KM92" s="3"/>
      <c r="KN92" s="3"/>
      <c r="KO92" s="3"/>
      <c r="KP92" s="3"/>
      <c r="KQ92" s="3"/>
      <c r="KR92" s="3"/>
      <c r="KS92" s="3"/>
      <c r="KT92" s="3"/>
      <c r="KU92" s="3"/>
      <c r="KV92" s="3"/>
      <c r="KW92" s="3"/>
      <c r="KX92" s="3"/>
      <c r="KY92" s="3"/>
      <c r="KZ92" s="3"/>
      <c r="LA92" s="3"/>
      <c r="LB92" s="3"/>
      <c r="LC92" s="3"/>
      <c r="LD92" s="3"/>
      <c r="LE92" s="3"/>
      <c r="LF92" s="3"/>
      <c r="LG92" s="3"/>
      <c r="LH92" s="3"/>
      <c r="LI92" s="3"/>
      <c r="LJ92" s="3"/>
      <c r="LK92" s="3"/>
      <c r="LL92" s="3"/>
      <c r="LM92" s="3"/>
      <c r="LN92" s="3"/>
      <c r="LO92" s="3"/>
      <c r="LP92" s="3"/>
      <c r="LQ92" s="3"/>
      <c r="LR92" s="3"/>
      <c r="LS92" s="3"/>
      <c r="LT92" s="3"/>
    </row>
    <row r="93" spans="1:332" x14ac:dyDescent="0.25">
      <c r="A93" t="s">
        <v>685</v>
      </c>
      <c r="B93" t="s">
        <v>686</v>
      </c>
      <c r="C93" t="s">
        <v>602</v>
      </c>
      <c r="D93" t="s">
        <v>726</v>
      </c>
      <c r="E93" t="s">
        <v>300</v>
      </c>
      <c r="F93" t="s">
        <v>620</v>
      </c>
      <c r="G93" t="s">
        <v>816</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c r="IM93" s="3"/>
      <c r="IN93" s="3"/>
      <c r="IO93" s="3"/>
      <c r="IP93" s="3"/>
      <c r="IQ93" s="3"/>
      <c r="IR93" s="3"/>
      <c r="IS93" s="3">
        <v>105800000</v>
      </c>
      <c r="IT93" s="3">
        <v>93031000</v>
      </c>
      <c r="IU93" s="3">
        <v>0</v>
      </c>
      <c r="IV93" s="3">
        <v>0</v>
      </c>
      <c r="IW93" s="3">
        <v>198831000</v>
      </c>
      <c r="IX93" s="3">
        <v>0</v>
      </c>
      <c r="IY93" s="3">
        <v>0</v>
      </c>
      <c r="IZ93" s="3">
        <v>0</v>
      </c>
      <c r="JA93" s="3">
        <v>0</v>
      </c>
      <c r="JB93" s="3">
        <v>0</v>
      </c>
      <c r="JC93" s="3"/>
      <c r="JD93" s="3"/>
      <c r="JE93" s="3"/>
      <c r="JF93" s="3"/>
      <c r="JG93" s="3"/>
      <c r="JH93" s="3"/>
      <c r="JI93" s="3"/>
      <c r="JJ93" s="3"/>
      <c r="JK93" s="3"/>
      <c r="JL93" s="3"/>
      <c r="JM93" s="3"/>
      <c r="JN93" s="3"/>
      <c r="JO93" s="3"/>
      <c r="JP93" s="3"/>
      <c r="JQ93" s="3"/>
      <c r="JR93" s="3"/>
      <c r="JS93" s="3"/>
      <c r="JT93" s="3"/>
      <c r="JU93" s="3"/>
      <c r="JV93" s="3"/>
      <c r="JW93" s="3"/>
      <c r="JX93" s="3"/>
      <c r="JY93" s="3"/>
      <c r="JZ93" s="3"/>
      <c r="KA93" s="3"/>
      <c r="KB93" s="3"/>
      <c r="KC93" s="3"/>
      <c r="KD93" s="3"/>
      <c r="KE93" s="3"/>
      <c r="KF93" s="3"/>
      <c r="KG93" s="3"/>
      <c r="KH93" s="3"/>
      <c r="KI93" s="3"/>
      <c r="KJ93" s="3"/>
      <c r="KK93" s="3"/>
      <c r="KL93" s="3"/>
      <c r="KM93" s="3"/>
      <c r="KN93" s="3"/>
      <c r="KO93" s="3"/>
      <c r="KP93" s="3"/>
      <c r="KQ93" s="3"/>
      <c r="KR93" s="3"/>
      <c r="KS93" s="3"/>
      <c r="KT93" s="3"/>
      <c r="KU93" s="3"/>
      <c r="KV93" s="3"/>
      <c r="KW93" s="3"/>
      <c r="KX93" s="3"/>
      <c r="KY93" s="3"/>
      <c r="KZ93" s="3"/>
      <c r="LA93" s="3"/>
      <c r="LB93" s="3"/>
      <c r="LC93" s="3"/>
      <c r="LD93" s="3"/>
      <c r="LE93" s="3"/>
      <c r="LF93" s="3"/>
      <c r="LG93" s="3"/>
      <c r="LH93" s="3"/>
      <c r="LI93" s="3"/>
      <c r="LJ93" s="3"/>
      <c r="LK93" s="3"/>
      <c r="LL93" s="3"/>
      <c r="LM93" s="3"/>
      <c r="LN93" s="3"/>
      <c r="LO93" s="3"/>
      <c r="LP93" s="3"/>
      <c r="LQ93" s="3"/>
      <c r="LR93" s="3"/>
      <c r="LS93" s="3"/>
      <c r="LT93" s="3"/>
    </row>
    <row r="94" spans="1:332" x14ac:dyDescent="0.25">
      <c r="A94" t="s">
        <v>685</v>
      </c>
      <c r="B94" t="s">
        <v>686</v>
      </c>
      <c r="C94" t="s">
        <v>602</v>
      </c>
      <c r="D94" t="s">
        <v>726</v>
      </c>
      <c r="E94" t="s">
        <v>727</v>
      </c>
      <c r="F94" t="s">
        <v>728</v>
      </c>
      <c r="G94" t="s">
        <v>817</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c r="IM94" s="3"/>
      <c r="IN94" s="3"/>
      <c r="IO94" s="3"/>
      <c r="IP94" s="3"/>
      <c r="IQ94" s="3"/>
      <c r="IR94" s="3"/>
      <c r="IS94" s="3">
        <v>170321000</v>
      </c>
      <c r="IT94" s="3">
        <v>272907000</v>
      </c>
      <c r="IU94" s="3">
        <v>0</v>
      </c>
      <c r="IV94" s="3">
        <v>0</v>
      </c>
      <c r="IW94" s="3">
        <v>443228000</v>
      </c>
      <c r="IX94" s="3">
        <v>0</v>
      </c>
      <c r="IY94" s="3">
        <v>0</v>
      </c>
      <c r="IZ94" s="3">
        <v>0</v>
      </c>
      <c r="JA94" s="3">
        <v>0</v>
      </c>
      <c r="JB94" s="3">
        <v>0</v>
      </c>
      <c r="JC94" s="3"/>
      <c r="JD94" s="3"/>
      <c r="JE94" s="3"/>
      <c r="JF94" s="3"/>
      <c r="JG94" s="3"/>
      <c r="JH94" s="3"/>
      <c r="JI94" s="3"/>
      <c r="JJ94" s="3"/>
      <c r="JK94" s="3"/>
      <c r="JL94" s="3"/>
      <c r="JM94" s="3"/>
      <c r="JN94" s="3"/>
      <c r="JO94" s="3"/>
      <c r="JP94" s="3"/>
      <c r="JQ94" s="3"/>
      <c r="JR94" s="3"/>
      <c r="JS94" s="3"/>
      <c r="JT94" s="3"/>
      <c r="JU94" s="3"/>
      <c r="JV94" s="3"/>
      <c r="JW94" s="3"/>
      <c r="JX94" s="3"/>
      <c r="JY94" s="3"/>
      <c r="JZ94" s="3"/>
      <c r="KA94" s="3"/>
      <c r="KB94" s="3"/>
      <c r="KC94" s="3"/>
      <c r="KD94" s="3"/>
      <c r="KE94" s="3"/>
      <c r="KF94" s="3"/>
      <c r="KG94" s="3"/>
      <c r="KH94" s="3"/>
      <c r="KI94" s="3"/>
      <c r="KJ94" s="3"/>
      <c r="KK94" s="3"/>
      <c r="KL94" s="3"/>
      <c r="KM94" s="3"/>
      <c r="KN94" s="3"/>
      <c r="KO94" s="3"/>
      <c r="KP94" s="3"/>
      <c r="KQ94" s="3"/>
      <c r="KR94" s="3"/>
      <c r="KS94" s="3"/>
      <c r="KT94" s="3"/>
      <c r="KU94" s="3"/>
      <c r="KV94" s="3"/>
      <c r="KW94" s="3"/>
      <c r="KX94" s="3"/>
      <c r="KY94" s="3"/>
      <c r="KZ94" s="3"/>
      <c r="LA94" s="3"/>
      <c r="LB94" s="3"/>
      <c r="LC94" s="3"/>
      <c r="LD94" s="3"/>
      <c r="LE94" s="3"/>
      <c r="LF94" s="3"/>
      <c r="LG94" s="3"/>
      <c r="LH94" s="3"/>
      <c r="LI94" s="3"/>
      <c r="LJ94" s="3"/>
      <c r="LK94" s="3"/>
      <c r="LL94" s="3"/>
      <c r="LM94" s="3"/>
      <c r="LN94" s="3"/>
      <c r="LO94" s="3"/>
      <c r="LP94" s="3"/>
      <c r="LQ94" s="3"/>
      <c r="LR94" s="3"/>
      <c r="LS94" s="3"/>
      <c r="LT94" s="3"/>
    </row>
    <row r="95" spans="1:332" x14ac:dyDescent="0.25">
      <c r="A95" t="s">
        <v>685</v>
      </c>
      <c r="B95" t="s">
        <v>686</v>
      </c>
      <c r="C95" t="s">
        <v>602</v>
      </c>
      <c r="D95" t="s">
        <v>726</v>
      </c>
      <c r="E95" t="s">
        <v>729</v>
      </c>
      <c r="F95" t="s">
        <v>730</v>
      </c>
      <c r="G95" t="s">
        <v>818</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c r="IM95" s="3"/>
      <c r="IN95" s="3"/>
      <c r="IO95" s="3"/>
      <c r="IP95" s="3"/>
      <c r="IQ95" s="3"/>
      <c r="IR95" s="3"/>
      <c r="IS95" s="3">
        <v>106632000</v>
      </c>
      <c r="IT95" s="3">
        <v>34828000</v>
      </c>
      <c r="IU95" s="3">
        <v>0</v>
      </c>
      <c r="IV95" s="3">
        <v>0</v>
      </c>
      <c r="IW95" s="3">
        <v>141460000</v>
      </c>
      <c r="IX95" s="3">
        <v>0</v>
      </c>
      <c r="IY95" s="3">
        <v>0</v>
      </c>
      <c r="IZ95" s="3">
        <v>0</v>
      </c>
      <c r="JA95" s="3">
        <v>0</v>
      </c>
      <c r="JB95" s="3">
        <v>0</v>
      </c>
      <c r="JC95" s="3"/>
      <c r="JD95" s="3"/>
      <c r="JE95" s="3"/>
      <c r="JF95" s="3"/>
      <c r="JG95" s="3"/>
      <c r="JH95" s="3"/>
      <c r="JI95" s="3"/>
      <c r="JJ95" s="3"/>
      <c r="JK95" s="3"/>
      <c r="JL95" s="3"/>
      <c r="JM95" s="3"/>
      <c r="JN95" s="3"/>
      <c r="JO95" s="3"/>
      <c r="JP95" s="3"/>
      <c r="JQ95" s="3"/>
      <c r="JR95" s="3"/>
      <c r="JS95" s="3"/>
      <c r="JT95" s="3"/>
      <c r="JU95" s="3"/>
      <c r="JV95" s="3"/>
      <c r="JW95" s="3"/>
      <c r="JX95" s="3"/>
      <c r="JY95" s="3"/>
      <c r="JZ95" s="3"/>
      <c r="KA95" s="3"/>
      <c r="KB95" s="3"/>
      <c r="KC95" s="3"/>
      <c r="KD95" s="3"/>
      <c r="KE95" s="3"/>
      <c r="KF95" s="3"/>
      <c r="KG95" s="3"/>
      <c r="KH95" s="3"/>
      <c r="KI95" s="3"/>
      <c r="KJ95" s="3"/>
      <c r="KK95" s="3"/>
      <c r="KL95" s="3"/>
      <c r="KM95" s="3"/>
      <c r="KN95" s="3"/>
      <c r="KO95" s="3"/>
      <c r="KP95" s="3"/>
      <c r="KQ95" s="3"/>
      <c r="KR95" s="3"/>
      <c r="KS95" s="3"/>
      <c r="KT95" s="3"/>
      <c r="KU95" s="3"/>
      <c r="KV95" s="3"/>
      <c r="KW95" s="3"/>
      <c r="KX95" s="3"/>
      <c r="KY95" s="3"/>
      <c r="KZ95" s="3"/>
      <c r="LA95" s="3"/>
      <c r="LB95" s="3"/>
      <c r="LC95" s="3"/>
      <c r="LD95" s="3"/>
      <c r="LE95" s="3"/>
      <c r="LF95" s="3"/>
      <c r="LG95" s="3"/>
      <c r="LH95" s="3"/>
      <c r="LI95" s="3"/>
      <c r="LJ95" s="3"/>
      <c r="LK95" s="3"/>
      <c r="LL95" s="3"/>
      <c r="LM95" s="3"/>
      <c r="LN95" s="3"/>
      <c r="LO95" s="3"/>
      <c r="LP95" s="3"/>
      <c r="LQ95" s="3"/>
      <c r="LR95" s="3"/>
      <c r="LS95" s="3"/>
      <c r="LT95" s="3"/>
    </row>
    <row r="96" spans="1:332" x14ac:dyDescent="0.25">
      <c r="A96" t="s">
        <v>685</v>
      </c>
      <c r="B96" t="s">
        <v>686</v>
      </c>
      <c r="C96" t="s">
        <v>602</v>
      </c>
      <c r="D96" t="s">
        <v>726</v>
      </c>
      <c r="E96" t="s">
        <v>731</v>
      </c>
      <c r="F96" t="s">
        <v>732</v>
      </c>
      <c r="G96" t="s">
        <v>819</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c r="IM96" s="3"/>
      <c r="IN96" s="3"/>
      <c r="IO96" s="3"/>
      <c r="IP96" s="3"/>
      <c r="IQ96" s="3"/>
      <c r="IR96" s="3"/>
      <c r="IS96" s="3">
        <v>30872000</v>
      </c>
      <c r="IT96" s="3">
        <v>4845000</v>
      </c>
      <c r="IU96" s="3">
        <v>0</v>
      </c>
      <c r="IV96" s="3">
        <v>0</v>
      </c>
      <c r="IW96" s="3">
        <v>35717000</v>
      </c>
      <c r="IX96" s="3">
        <v>0</v>
      </c>
      <c r="IY96" s="3">
        <v>0</v>
      </c>
      <c r="IZ96" s="3">
        <v>0</v>
      </c>
      <c r="JA96" s="3">
        <v>0</v>
      </c>
      <c r="JB96" s="3">
        <v>0</v>
      </c>
      <c r="JC96" s="3"/>
      <c r="JD96" s="3"/>
      <c r="JE96" s="3"/>
      <c r="JF96" s="3"/>
      <c r="JG96" s="3"/>
      <c r="JH96" s="3"/>
      <c r="JI96" s="3"/>
      <c r="JJ96" s="3"/>
      <c r="JK96" s="3"/>
      <c r="JL96" s="3"/>
      <c r="JM96" s="3"/>
      <c r="JN96" s="3"/>
      <c r="JO96" s="3"/>
      <c r="JP96" s="3"/>
      <c r="JQ96" s="3"/>
      <c r="JR96" s="3"/>
      <c r="JS96" s="3"/>
      <c r="JT96" s="3"/>
      <c r="JU96" s="3"/>
      <c r="JV96" s="3"/>
      <c r="JW96" s="3"/>
      <c r="JX96" s="3"/>
      <c r="JY96" s="3"/>
      <c r="JZ96" s="3"/>
      <c r="KA96" s="3"/>
      <c r="KB96" s="3"/>
      <c r="KC96" s="3"/>
      <c r="KD96" s="3"/>
      <c r="KE96" s="3"/>
      <c r="KF96" s="3"/>
      <c r="KG96" s="3"/>
      <c r="KH96" s="3"/>
      <c r="KI96" s="3"/>
      <c r="KJ96" s="3"/>
      <c r="KK96" s="3"/>
      <c r="KL96" s="3"/>
      <c r="KM96" s="3"/>
      <c r="KN96" s="3"/>
      <c r="KO96" s="3"/>
      <c r="KP96" s="3"/>
      <c r="KQ96" s="3"/>
      <c r="KR96" s="3"/>
      <c r="KS96" s="3"/>
      <c r="KT96" s="3"/>
      <c r="KU96" s="3"/>
      <c r="KV96" s="3"/>
      <c r="KW96" s="3"/>
      <c r="KX96" s="3"/>
      <c r="KY96" s="3"/>
      <c r="KZ96" s="3"/>
      <c r="LA96" s="3"/>
      <c r="LB96" s="3"/>
      <c r="LC96" s="3"/>
      <c r="LD96" s="3"/>
      <c r="LE96" s="3"/>
      <c r="LF96" s="3"/>
      <c r="LG96" s="3"/>
      <c r="LH96" s="3"/>
      <c r="LI96" s="3"/>
      <c r="LJ96" s="3"/>
      <c r="LK96" s="3"/>
      <c r="LL96" s="3"/>
      <c r="LM96" s="3"/>
      <c r="LN96" s="3"/>
      <c r="LO96" s="3"/>
      <c r="LP96" s="3"/>
      <c r="LQ96" s="3"/>
      <c r="LR96" s="3"/>
      <c r="LS96" s="3"/>
      <c r="LT96" s="3"/>
    </row>
    <row r="97" spans="1:332" x14ac:dyDescent="0.25">
      <c r="A97" t="s">
        <v>685</v>
      </c>
      <c r="B97" t="s">
        <v>686</v>
      </c>
      <c r="C97" t="s">
        <v>733</v>
      </c>
      <c r="D97" t="s">
        <v>734</v>
      </c>
      <c r="E97" t="s">
        <v>201</v>
      </c>
      <c r="F97" t="s">
        <v>202</v>
      </c>
      <c r="G97" t="s">
        <v>203</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v>29747000</v>
      </c>
      <c r="AW97" s="3">
        <v>28838000</v>
      </c>
      <c r="AX97" s="3">
        <v>0</v>
      </c>
      <c r="AY97" s="3">
        <v>4805000</v>
      </c>
      <c r="AZ97" s="3">
        <v>63390000</v>
      </c>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v>30090000</v>
      </c>
      <c r="CA97" s="3">
        <v>26597000</v>
      </c>
      <c r="CB97" s="3">
        <v>0</v>
      </c>
      <c r="CC97" s="3">
        <v>4466000</v>
      </c>
      <c r="CD97" s="3">
        <v>61153000</v>
      </c>
      <c r="CE97" s="3">
        <v>30090000</v>
      </c>
      <c r="CF97" s="3">
        <v>26597000</v>
      </c>
      <c r="CG97" s="3">
        <v>0</v>
      </c>
      <c r="CH97" s="3">
        <v>4466000</v>
      </c>
      <c r="CI97" s="3">
        <v>61153000</v>
      </c>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v>31214000</v>
      </c>
      <c r="DJ97" s="3">
        <v>31314000</v>
      </c>
      <c r="DK97" s="3">
        <v>0</v>
      </c>
      <c r="DL97" s="3">
        <v>0</v>
      </c>
      <c r="DM97" s="3">
        <v>62528000</v>
      </c>
      <c r="DN97" s="3">
        <v>31214000</v>
      </c>
      <c r="DO97" s="3">
        <v>31314000</v>
      </c>
      <c r="DP97" s="3">
        <v>0</v>
      </c>
      <c r="DQ97" s="3">
        <v>0</v>
      </c>
      <c r="DR97" s="3">
        <v>62528000</v>
      </c>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v>32312000</v>
      </c>
      <c r="ES97" s="3">
        <v>35103000</v>
      </c>
      <c r="ET97" s="3">
        <v>0</v>
      </c>
      <c r="EU97" s="3">
        <v>0</v>
      </c>
      <c r="EV97" s="3">
        <v>67415000</v>
      </c>
      <c r="EW97" s="3">
        <v>32312000</v>
      </c>
      <c r="EX97" s="3">
        <v>35103000</v>
      </c>
      <c r="EY97" s="3">
        <v>0</v>
      </c>
      <c r="EZ97" s="3">
        <v>0</v>
      </c>
      <c r="FA97" s="3">
        <v>67415000</v>
      </c>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v>30358000</v>
      </c>
      <c r="GB97" s="3">
        <v>31849000</v>
      </c>
      <c r="GC97" s="3">
        <v>0</v>
      </c>
      <c r="GD97" s="3">
        <v>0</v>
      </c>
      <c r="GE97" s="3">
        <v>62207000</v>
      </c>
      <c r="GF97" s="3">
        <v>30358000</v>
      </c>
      <c r="GG97" s="3">
        <v>31849000</v>
      </c>
      <c r="GH97" s="3">
        <v>0</v>
      </c>
      <c r="GI97" s="3">
        <v>0</v>
      </c>
      <c r="GJ97" s="3">
        <v>62207000</v>
      </c>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v>33761000</v>
      </c>
      <c r="HK97" s="3">
        <v>31053000</v>
      </c>
      <c r="HL97" s="3">
        <v>0</v>
      </c>
      <c r="HM97" s="3">
        <v>3200000</v>
      </c>
      <c r="HN97" s="3">
        <v>68014000</v>
      </c>
      <c r="HO97" s="3">
        <v>33761000</v>
      </c>
      <c r="HP97" s="3">
        <v>31053000</v>
      </c>
      <c r="HQ97" s="3">
        <v>0</v>
      </c>
      <c r="HR97" s="3">
        <v>3200000</v>
      </c>
      <c r="HS97" s="3">
        <v>68014000</v>
      </c>
      <c r="HT97" s="3"/>
      <c r="HU97" s="3"/>
      <c r="HV97" s="3"/>
      <c r="HW97" s="3"/>
      <c r="HX97" s="3"/>
      <c r="HY97" s="3"/>
      <c r="HZ97" s="3"/>
      <c r="IA97" s="3"/>
      <c r="IB97" s="3"/>
      <c r="IC97" s="3"/>
      <c r="ID97" s="3"/>
      <c r="IE97" s="3"/>
      <c r="IF97" s="3"/>
      <c r="IG97" s="3"/>
      <c r="IH97" s="3"/>
      <c r="II97" s="3"/>
      <c r="IJ97" s="3"/>
      <c r="IK97" s="3"/>
      <c r="IL97" s="3"/>
      <c r="IM97" s="3"/>
      <c r="IN97" s="3"/>
      <c r="IO97" s="3"/>
      <c r="IP97" s="3"/>
      <c r="IQ97" s="3"/>
      <c r="IR97" s="3"/>
      <c r="IS97" s="3">
        <v>31041000</v>
      </c>
      <c r="IT97" s="3">
        <v>40451000</v>
      </c>
      <c r="IU97" s="3">
        <v>0</v>
      </c>
      <c r="IV97" s="3">
        <v>5800000</v>
      </c>
      <c r="IW97" s="3">
        <v>77292000</v>
      </c>
      <c r="IX97" s="3">
        <v>31041000</v>
      </c>
      <c r="IY97" s="3">
        <v>40451000</v>
      </c>
      <c r="IZ97" s="3">
        <v>0</v>
      </c>
      <c r="JA97" s="3">
        <v>5800000</v>
      </c>
      <c r="JB97" s="3">
        <v>77292000</v>
      </c>
      <c r="JC97" s="3"/>
      <c r="JD97" s="3"/>
      <c r="JE97" s="3"/>
      <c r="JF97" s="3"/>
      <c r="JG97" s="3"/>
      <c r="JH97" s="3"/>
      <c r="JI97" s="3"/>
      <c r="JJ97" s="3"/>
      <c r="JK97" s="3"/>
      <c r="JL97" s="3"/>
      <c r="JM97" s="3"/>
      <c r="JN97" s="3"/>
      <c r="JO97" s="3"/>
      <c r="JP97" s="3"/>
      <c r="JQ97" s="3"/>
      <c r="JR97" s="3"/>
      <c r="JS97" s="3"/>
      <c r="JT97" s="3"/>
      <c r="JU97" s="3"/>
      <c r="JV97" s="3"/>
      <c r="JW97" s="3"/>
      <c r="JX97" s="3"/>
      <c r="JY97" s="3"/>
      <c r="JZ97" s="3"/>
      <c r="KA97" s="3"/>
      <c r="KB97" s="3">
        <v>40992000</v>
      </c>
      <c r="KC97" s="3">
        <v>65781000</v>
      </c>
      <c r="KD97" s="3">
        <v>0</v>
      </c>
      <c r="KE97" s="3">
        <v>2130000</v>
      </c>
      <c r="KF97" s="3">
        <v>108903000</v>
      </c>
      <c r="KG97" s="3">
        <v>40992000</v>
      </c>
      <c r="KH97" s="3">
        <v>65781000</v>
      </c>
      <c r="KI97" s="3">
        <v>0</v>
      </c>
      <c r="KJ97" s="3">
        <v>2130000</v>
      </c>
      <c r="KK97" s="3">
        <v>108903000</v>
      </c>
      <c r="KL97" s="3"/>
      <c r="KM97" s="3"/>
      <c r="KN97" s="3"/>
      <c r="KO97" s="3"/>
      <c r="KP97" s="3"/>
      <c r="KQ97" s="3"/>
      <c r="KR97" s="3"/>
      <c r="KS97" s="3"/>
      <c r="KT97" s="3"/>
      <c r="KU97" s="3"/>
      <c r="KV97" s="3"/>
      <c r="KW97" s="3"/>
      <c r="KX97" s="3"/>
      <c r="KY97" s="3"/>
      <c r="KZ97" s="3"/>
      <c r="LA97" s="3"/>
      <c r="LB97" s="3"/>
      <c r="LC97" s="3"/>
      <c r="LD97" s="3"/>
      <c r="LE97" s="3"/>
      <c r="LF97" s="3"/>
      <c r="LG97" s="3"/>
      <c r="LH97" s="3"/>
      <c r="LI97" s="3"/>
      <c r="LJ97" s="3"/>
      <c r="LK97" s="3">
        <v>43334000</v>
      </c>
      <c r="LL97" s="3">
        <v>45472000</v>
      </c>
      <c r="LM97" s="3">
        <v>0</v>
      </c>
      <c r="LN97" s="3">
        <v>0</v>
      </c>
      <c r="LO97" s="3">
        <v>88806000</v>
      </c>
      <c r="LP97" s="3"/>
      <c r="LQ97" s="3"/>
      <c r="LR97" s="3"/>
      <c r="LS97" s="3"/>
      <c r="LT97" s="3"/>
    </row>
    <row r="98" spans="1:332" x14ac:dyDescent="0.25">
      <c r="A98" t="s">
        <v>685</v>
      </c>
      <c r="B98" t="s">
        <v>686</v>
      </c>
      <c r="C98" t="s">
        <v>733</v>
      </c>
      <c r="D98" t="s">
        <v>734</v>
      </c>
      <c r="E98" t="s">
        <v>201</v>
      </c>
      <c r="F98" t="s">
        <v>204</v>
      </c>
      <c r="G98" t="s">
        <v>205</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v>854000</v>
      </c>
      <c r="AW98" s="3">
        <v>0</v>
      </c>
      <c r="AX98" s="3">
        <v>0</v>
      </c>
      <c r="AY98" s="3">
        <v>0</v>
      </c>
      <c r="AZ98" s="3">
        <v>854000</v>
      </c>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v>3063000</v>
      </c>
      <c r="CA98" s="3">
        <v>0</v>
      </c>
      <c r="CB98" s="3">
        <v>0</v>
      </c>
      <c r="CC98" s="3">
        <v>0</v>
      </c>
      <c r="CD98" s="3">
        <v>3063000</v>
      </c>
      <c r="CE98" s="3">
        <v>3063000</v>
      </c>
      <c r="CF98" s="3">
        <v>0</v>
      </c>
      <c r="CG98" s="3">
        <v>0</v>
      </c>
      <c r="CH98" s="3">
        <v>0</v>
      </c>
      <c r="CI98" s="3">
        <v>3063000</v>
      </c>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v>2505000</v>
      </c>
      <c r="DJ98" s="3">
        <v>0</v>
      </c>
      <c r="DK98" s="3">
        <v>0</v>
      </c>
      <c r="DL98" s="3">
        <v>0</v>
      </c>
      <c r="DM98" s="3">
        <v>2505000</v>
      </c>
      <c r="DN98" s="3">
        <v>2505000</v>
      </c>
      <c r="DO98" s="3">
        <v>0</v>
      </c>
      <c r="DP98" s="3">
        <v>0</v>
      </c>
      <c r="DQ98" s="3">
        <v>0</v>
      </c>
      <c r="DR98" s="3">
        <v>2505000</v>
      </c>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v>460000</v>
      </c>
      <c r="ES98" s="3">
        <v>0</v>
      </c>
      <c r="ET98" s="3">
        <v>0</v>
      </c>
      <c r="EU98" s="3">
        <v>0</v>
      </c>
      <c r="EV98" s="3">
        <v>460000</v>
      </c>
      <c r="EW98" s="3">
        <v>460000</v>
      </c>
      <c r="EX98" s="3">
        <v>0</v>
      </c>
      <c r="EY98" s="3">
        <v>0</v>
      </c>
      <c r="EZ98" s="3">
        <v>0</v>
      </c>
      <c r="FA98" s="3">
        <v>460000</v>
      </c>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v>427000</v>
      </c>
      <c r="GB98" s="3">
        <v>0</v>
      </c>
      <c r="GC98" s="3">
        <v>0</v>
      </c>
      <c r="GD98" s="3">
        <v>0</v>
      </c>
      <c r="GE98" s="3">
        <v>427000</v>
      </c>
      <c r="GF98" s="3">
        <v>427000</v>
      </c>
      <c r="GG98" s="3">
        <v>0</v>
      </c>
      <c r="GH98" s="3">
        <v>0</v>
      </c>
      <c r="GI98" s="3">
        <v>0</v>
      </c>
      <c r="GJ98" s="3">
        <v>427000</v>
      </c>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v>1628000</v>
      </c>
      <c r="HK98" s="3">
        <v>0</v>
      </c>
      <c r="HL98" s="3">
        <v>0</v>
      </c>
      <c r="HM98" s="3">
        <v>0</v>
      </c>
      <c r="HN98" s="3">
        <v>1628000</v>
      </c>
      <c r="HO98" s="3">
        <v>1628000</v>
      </c>
      <c r="HP98" s="3">
        <v>0</v>
      </c>
      <c r="HQ98" s="3">
        <v>0</v>
      </c>
      <c r="HR98" s="3">
        <v>0</v>
      </c>
      <c r="HS98" s="3">
        <v>1628000</v>
      </c>
      <c r="HT98" s="3"/>
      <c r="HU98" s="3"/>
      <c r="HV98" s="3"/>
      <c r="HW98" s="3"/>
      <c r="HX98" s="3"/>
      <c r="HY98" s="3"/>
      <c r="HZ98" s="3"/>
      <c r="IA98" s="3"/>
      <c r="IB98" s="3"/>
      <c r="IC98" s="3"/>
      <c r="ID98" s="3"/>
      <c r="IE98" s="3"/>
      <c r="IF98" s="3"/>
      <c r="IG98" s="3"/>
      <c r="IH98" s="3"/>
      <c r="II98" s="3"/>
      <c r="IJ98" s="3"/>
      <c r="IK98" s="3"/>
      <c r="IL98" s="3"/>
      <c r="IM98" s="3"/>
      <c r="IN98" s="3"/>
      <c r="IO98" s="3"/>
      <c r="IP98" s="3"/>
      <c r="IQ98" s="3"/>
      <c r="IR98" s="3"/>
      <c r="IS98" s="3">
        <v>848000</v>
      </c>
      <c r="IT98" s="3">
        <v>0</v>
      </c>
      <c r="IU98" s="3">
        <v>0</v>
      </c>
      <c r="IV98" s="3">
        <v>0</v>
      </c>
      <c r="IW98" s="3">
        <v>848000</v>
      </c>
      <c r="IX98" s="3">
        <v>848000</v>
      </c>
      <c r="IY98" s="3">
        <v>0</v>
      </c>
      <c r="IZ98" s="3">
        <v>0</v>
      </c>
      <c r="JA98" s="3">
        <v>0</v>
      </c>
      <c r="JB98" s="3">
        <v>848000</v>
      </c>
      <c r="JC98" s="3"/>
      <c r="JD98" s="3"/>
      <c r="JE98" s="3"/>
      <c r="JF98" s="3"/>
      <c r="JG98" s="3"/>
      <c r="JH98" s="3"/>
      <c r="JI98" s="3"/>
      <c r="JJ98" s="3"/>
      <c r="JK98" s="3"/>
      <c r="JL98" s="3"/>
      <c r="JM98" s="3"/>
      <c r="JN98" s="3"/>
      <c r="JO98" s="3"/>
      <c r="JP98" s="3"/>
      <c r="JQ98" s="3"/>
      <c r="JR98" s="3"/>
      <c r="JS98" s="3"/>
      <c r="JT98" s="3"/>
      <c r="JU98" s="3"/>
      <c r="JV98" s="3"/>
      <c r="JW98" s="3"/>
      <c r="JX98" s="3"/>
      <c r="JY98" s="3"/>
      <c r="JZ98" s="3"/>
      <c r="KA98" s="3"/>
      <c r="KB98" s="3">
        <v>230000</v>
      </c>
      <c r="KC98" s="3">
        <v>0</v>
      </c>
      <c r="KD98" s="3">
        <v>0</v>
      </c>
      <c r="KE98" s="3">
        <v>0</v>
      </c>
      <c r="KF98" s="3">
        <v>230000</v>
      </c>
      <c r="KG98" s="3">
        <v>230000</v>
      </c>
      <c r="KH98" s="3">
        <v>0</v>
      </c>
      <c r="KI98" s="3">
        <v>0</v>
      </c>
      <c r="KJ98" s="3">
        <v>0</v>
      </c>
      <c r="KK98" s="3">
        <v>230000</v>
      </c>
      <c r="KL98" s="3"/>
      <c r="KM98" s="3"/>
      <c r="KN98" s="3"/>
      <c r="KO98" s="3"/>
      <c r="KP98" s="3"/>
      <c r="KQ98" s="3"/>
      <c r="KR98" s="3"/>
      <c r="KS98" s="3"/>
      <c r="KT98" s="3"/>
      <c r="KU98" s="3"/>
      <c r="KV98" s="3"/>
      <c r="KW98" s="3"/>
      <c r="KX98" s="3"/>
      <c r="KY98" s="3"/>
      <c r="KZ98" s="3"/>
      <c r="LA98" s="3"/>
      <c r="LB98" s="3"/>
      <c r="LC98" s="3"/>
      <c r="LD98" s="3"/>
      <c r="LE98" s="3"/>
      <c r="LF98" s="3"/>
      <c r="LG98" s="3"/>
      <c r="LH98" s="3"/>
      <c r="LI98" s="3"/>
      <c r="LJ98" s="3"/>
      <c r="LK98" s="3">
        <v>169000</v>
      </c>
      <c r="LL98" s="3">
        <v>0</v>
      </c>
      <c r="LM98" s="3">
        <v>0</v>
      </c>
      <c r="LN98" s="3">
        <v>0</v>
      </c>
      <c r="LO98" s="3">
        <v>169000</v>
      </c>
      <c r="LP98" s="3"/>
      <c r="LQ98" s="3"/>
      <c r="LR98" s="3"/>
      <c r="LS98" s="3"/>
      <c r="LT98" s="3"/>
    </row>
    <row r="99" spans="1:332" x14ac:dyDescent="0.25">
      <c r="A99" t="s">
        <v>685</v>
      </c>
      <c r="B99" t="s">
        <v>686</v>
      </c>
      <c r="C99" t="s">
        <v>733</v>
      </c>
      <c r="D99" t="s">
        <v>734</v>
      </c>
      <c r="E99" t="s">
        <v>217</v>
      </c>
      <c r="F99" t="s">
        <v>218</v>
      </c>
      <c r="G99" t="s">
        <v>785</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v>55207000</v>
      </c>
      <c r="AW99" s="3">
        <v>58644000</v>
      </c>
      <c r="AX99" s="3">
        <v>0</v>
      </c>
      <c r="AY99" s="3">
        <v>0</v>
      </c>
      <c r="AZ99" s="3">
        <v>113851000</v>
      </c>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v>57008000</v>
      </c>
      <c r="CA99" s="3">
        <v>57164000</v>
      </c>
      <c r="CB99" s="3">
        <v>0</v>
      </c>
      <c r="CC99" s="3">
        <v>0</v>
      </c>
      <c r="CD99" s="3">
        <v>114172000</v>
      </c>
      <c r="CE99" s="3">
        <v>57008000</v>
      </c>
      <c r="CF99" s="3">
        <v>57164000</v>
      </c>
      <c r="CG99" s="3">
        <v>0</v>
      </c>
      <c r="CH99" s="3">
        <v>0</v>
      </c>
      <c r="CI99" s="3">
        <v>114172000</v>
      </c>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v>61071000</v>
      </c>
      <c r="DJ99" s="3">
        <v>57339000</v>
      </c>
      <c r="DK99" s="3">
        <v>0</v>
      </c>
      <c r="DL99" s="3">
        <v>0</v>
      </c>
      <c r="DM99" s="3">
        <v>118410000</v>
      </c>
      <c r="DN99" s="3">
        <v>61071000</v>
      </c>
      <c r="DO99" s="3">
        <v>57339000</v>
      </c>
      <c r="DP99" s="3">
        <v>0</v>
      </c>
      <c r="DQ99" s="3">
        <v>0</v>
      </c>
      <c r="DR99" s="3">
        <v>118410000</v>
      </c>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v>59410000</v>
      </c>
      <c r="ES99" s="3">
        <v>57339000</v>
      </c>
      <c r="ET99" s="3">
        <v>0</v>
      </c>
      <c r="EU99" s="3">
        <v>6537000</v>
      </c>
      <c r="EV99" s="3">
        <v>123286000</v>
      </c>
      <c r="EW99" s="3">
        <v>59410000</v>
      </c>
      <c r="EX99" s="3">
        <v>57339000</v>
      </c>
      <c r="EY99" s="3">
        <v>0</v>
      </c>
      <c r="EZ99" s="3">
        <v>6537000</v>
      </c>
      <c r="FA99" s="3">
        <v>123286000</v>
      </c>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v>63883000</v>
      </c>
      <c r="GB99" s="3">
        <v>56935000</v>
      </c>
      <c r="GC99" s="3">
        <v>0</v>
      </c>
      <c r="GD99" s="3">
        <v>0</v>
      </c>
      <c r="GE99" s="3">
        <v>120818000</v>
      </c>
      <c r="GF99" s="3">
        <v>63883000</v>
      </c>
      <c r="GG99" s="3">
        <v>56935000</v>
      </c>
      <c r="GH99" s="3">
        <v>0</v>
      </c>
      <c r="GI99" s="3">
        <v>0</v>
      </c>
      <c r="GJ99" s="3">
        <v>120818000</v>
      </c>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v>64787000</v>
      </c>
      <c r="HK99" s="3">
        <v>57960000</v>
      </c>
      <c r="HL99" s="3">
        <v>0</v>
      </c>
      <c r="HM99" s="3">
        <v>4800000</v>
      </c>
      <c r="HN99" s="3">
        <v>127547000</v>
      </c>
      <c r="HO99" s="3">
        <v>64787000</v>
      </c>
      <c r="HP99" s="3">
        <v>57960000</v>
      </c>
      <c r="HQ99" s="3">
        <v>0</v>
      </c>
      <c r="HR99" s="3">
        <v>4800000</v>
      </c>
      <c r="HS99" s="3">
        <v>127547000</v>
      </c>
      <c r="HT99" s="3"/>
      <c r="HU99" s="3"/>
      <c r="HV99" s="3"/>
      <c r="HW99" s="3"/>
      <c r="HX99" s="3"/>
      <c r="HY99" s="3"/>
      <c r="HZ99" s="3"/>
      <c r="IA99" s="3"/>
      <c r="IB99" s="3"/>
      <c r="IC99" s="3"/>
      <c r="ID99" s="3"/>
      <c r="IE99" s="3"/>
      <c r="IF99" s="3"/>
      <c r="IG99" s="3"/>
      <c r="IH99" s="3"/>
      <c r="II99" s="3"/>
      <c r="IJ99" s="3"/>
      <c r="IK99" s="3"/>
      <c r="IL99" s="3"/>
      <c r="IM99" s="3"/>
      <c r="IN99" s="3"/>
      <c r="IO99" s="3"/>
      <c r="IP99" s="3"/>
      <c r="IQ99" s="3"/>
      <c r="IR99" s="3"/>
      <c r="IS99" s="3">
        <v>64930000</v>
      </c>
      <c r="IT99" s="3">
        <v>62605000</v>
      </c>
      <c r="IU99" s="3">
        <v>0</v>
      </c>
      <c r="IV99" s="3">
        <v>0</v>
      </c>
      <c r="IW99" s="3">
        <v>127535000</v>
      </c>
      <c r="IX99" s="3">
        <v>64930000</v>
      </c>
      <c r="IY99" s="3">
        <v>62605000</v>
      </c>
      <c r="IZ99" s="3">
        <v>0</v>
      </c>
      <c r="JA99" s="3">
        <v>0</v>
      </c>
      <c r="JB99" s="3">
        <v>127535000</v>
      </c>
      <c r="JC99" s="3"/>
      <c r="JD99" s="3"/>
      <c r="JE99" s="3"/>
      <c r="JF99" s="3"/>
      <c r="JG99" s="3"/>
      <c r="JH99" s="3"/>
      <c r="JI99" s="3"/>
      <c r="JJ99" s="3"/>
      <c r="JK99" s="3"/>
      <c r="JL99" s="3"/>
      <c r="JM99" s="3"/>
      <c r="JN99" s="3"/>
      <c r="JO99" s="3"/>
      <c r="JP99" s="3"/>
      <c r="JQ99" s="3"/>
      <c r="JR99" s="3"/>
      <c r="JS99" s="3"/>
      <c r="JT99" s="3"/>
      <c r="JU99" s="3"/>
      <c r="JV99" s="3"/>
      <c r="JW99" s="3"/>
      <c r="JX99" s="3"/>
      <c r="JY99" s="3"/>
      <c r="JZ99" s="3"/>
      <c r="KA99" s="3"/>
      <c r="KB99" s="3">
        <v>76894000</v>
      </c>
      <c r="KC99" s="3">
        <v>62175000</v>
      </c>
      <c r="KD99" s="3">
        <v>0</v>
      </c>
      <c r="KE99" s="3">
        <v>0</v>
      </c>
      <c r="KF99" s="3">
        <v>139069000</v>
      </c>
      <c r="KG99" s="3">
        <v>76894000</v>
      </c>
      <c r="KH99" s="3">
        <v>62175000</v>
      </c>
      <c r="KI99" s="3">
        <v>0</v>
      </c>
      <c r="KJ99" s="3">
        <v>0</v>
      </c>
      <c r="KK99" s="3">
        <v>139069000</v>
      </c>
      <c r="KL99" s="3"/>
      <c r="KM99" s="3"/>
      <c r="KN99" s="3"/>
      <c r="KO99" s="3"/>
      <c r="KP99" s="3"/>
      <c r="KQ99" s="3"/>
      <c r="KR99" s="3"/>
      <c r="KS99" s="3"/>
      <c r="KT99" s="3"/>
      <c r="KU99" s="3"/>
      <c r="KV99" s="3"/>
      <c r="KW99" s="3"/>
      <c r="KX99" s="3"/>
      <c r="KY99" s="3"/>
      <c r="KZ99" s="3"/>
      <c r="LA99" s="3"/>
      <c r="LB99" s="3"/>
      <c r="LC99" s="3"/>
      <c r="LD99" s="3"/>
      <c r="LE99" s="3"/>
      <c r="LF99" s="3"/>
      <c r="LG99" s="3"/>
      <c r="LH99" s="3"/>
      <c r="LI99" s="3"/>
      <c r="LJ99" s="3"/>
      <c r="LK99" s="3">
        <v>78189000</v>
      </c>
      <c r="LL99" s="3">
        <v>66269000</v>
      </c>
      <c r="LM99" s="3">
        <v>0</v>
      </c>
      <c r="LN99" s="3">
        <v>0</v>
      </c>
      <c r="LO99" s="3">
        <v>144458000</v>
      </c>
      <c r="LP99" s="3"/>
      <c r="LQ99" s="3"/>
      <c r="LR99" s="3"/>
      <c r="LS99" s="3"/>
      <c r="LT99" s="3"/>
    </row>
    <row r="100" spans="1:332" x14ac:dyDescent="0.25">
      <c r="A100" t="s">
        <v>685</v>
      </c>
      <c r="B100" t="s">
        <v>686</v>
      </c>
      <c r="C100" t="s">
        <v>735</v>
      </c>
      <c r="D100" t="s">
        <v>736</v>
      </c>
      <c r="E100" t="s">
        <v>201</v>
      </c>
      <c r="F100" t="s">
        <v>202</v>
      </c>
      <c r="G100" t="s">
        <v>203</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v>0</v>
      </c>
      <c r="GD100" s="3"/>
      <c r="GE100" s="3"/>
      <c r="GF100" s="3">
        <v>16434000</v>
      </c>
      <c r="GG100" s="3">
        <v>37010000</v>
      </c>
      <c r="GH100" s="3">
        <v>0</v>
      </c>
      <c r="GI100" s="3">
        <v>11239000</v>
      </c>
      <c r="GJ100" s="3">
        <v>64683000</v>
      </c>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v>17587000</v>
      </c>
      <c r="HK100" s="3">
        <v>9746000</v>
      </c>
      <c r="HL100" s="3">
        <v>0</v>
      </c>
      <c r="HM100" s="3">
        <v>8000000</v>
      </c>
      <c r="HN100" s="3">
        <v>35333000</v>
      </c>
      <c r="HO100" s="3">
        <v>17587000</v>
      </c>
      <c r="HP100" s="3">
        <v>109746000</v>
      </c>
      <c r="HQ100" s="3">
        <v>0</v>
      </c>
      <c r="HR100" s="3">
        <v>108000000</v>
      </c>
      <c r="HS100" s="3">
        <v>235333000</v>
      </c>
      <c r="HT100" s="3"/>
      <c r="HU100" s="3"/>
      <c r="HV100" s="3"/>
      <c r="HW100" s="3"/>
      <c r="HX100" s="3"/>
      <c r="HY100" s="3"/>
      <c r="HZ100" s="3"/>
      <c r="IA100" s="3"/>
      <c r="IB100" s="3"/>
      <c r="IC100" s="3"/>
      <c r="ID100" s="3"/>
      <c r="IE100" s="3"/>
      <c r="IF100" s="3"/>
      <c r="IG100" s="3"/>
      <c r="IH100" s="3"/>
      <c r="II100" s="3"/>
      <c r="IJ100" s="3"/>
      <c r="IK100" s="3"/>
      <c r="IL100" s="3"/>
      <c r="IM100" s="3"/>
      <c r="IN100" s="3"/>
      <c r="IO100" s="3"/>
      <c r="IP100" s="3"/>
      <c r="IQ100" s="3"/>
      <c r="IR100" s="3"/>
      <c r="IS100" s="3">
        <v>54618000</v>
      </c>
      <c r="IT100" s="3">
        <v>74683000</v>
      </c>
      <c r="IU100" s="3">
        <v>0</v>
      </c>
      <c r="IV100" s="3">
        <v>13320000</v>
      </c>
      <c r="IW100" s="3">
        <v>142621000</v>
      </c>
      <c r="IX100" s="3">
        <v>54618000</v>
      </c>
      <c r="IY100" s="3">
        <v>74683000</v>
      </c>
      <c r="IZ100" s="3">
        <v>0</v>
      </c>
      <c r="JA100" s="3">
        <v>13320000</v>
      </c>
      <c r="JB100" s="3">
        <v>142621000</v>
      </c>
      <c r="JC100" s="3"/>
      <c r="JD100" s="3"/>
      <c r="JE100" s="3"/>
      <c r="JF100" s="3"/>
      <c r="JG100" s="3"/>
      <c r="JH100" s="3"/>
      <c r="JI100" s="3"/>
      <c r="JJ100" s="3"/>
      <c r="JK100" s="3"/>
      <c r="JL100" s="3"/>
      <c r="JM100" s="3"/>
      <c r="JN100" s="3"/>
      <c r="JO100" s="3"/>
      <c r="JP100" s="3"/>
      <c r="JQ100" s="3"/>
      <c r="JR100" s="3"/>
      <c r="JS100" s="3"/>
      <c r="JT100" s="3"/>
      <c r="JU100" s="3"/>
      <c r="JV100" s="3"/>
      <c r="JW100" s="3"/>
      <c r="JX100" s="3"/>
      <c r="JY100" s="3"/>
      <c r="JZ100" s="3"/>
      <c r="KA100" s="3"/>
      <c r="KB100" s="3">
        <v>163455000</v>
      </c>
      <c r="KC100" s="3">
        <v>109835000</v>
      </c>
      <c r="KD100" s="3">
        <v>0</v>
      </c>
      <c r="KE100" s="3">
        <v>0</v>
      </c>
      <c r="KF100" s="3">
        <v>273290000</v>
      </c>
      <c r="KG100" s="3">
        <v>163455000</v>
      </c>
      <c r="KH100" s="3">
        <v>109835000</v>
      </c>
      <c r="KI100" s="3">
        <v>0</v>
      </c>
      <c r="KJ100" s="3">
        <v>0</v>
      </c>
      <c r="KK100" s="3">
        <v>273290000</v>
      </c>
      <c r="KL100" s="3"/>
      <c r="KM100" s="3"/>
      <c r="KN100" s="3"/>
      <c r="KO100" s="3"/>
      <c r="KP100" s="3"/>
      <c r="KQ100" s="3"/>
      <c r="KR100" s="3"/>
      <c r="KS100" s="3"/>
      <c r="KT100" s="3"/>
      <c r="KU100" s="3"/>
      <c r="KV100" s="3"/>
      <c r="KW100" s="3"/>
      <c r="KX100" s="3"/>
      <c r="KY100" s="3"/>
      <c r="KZ100" s="3"/>
      <c r="LA100" s="3"/>
      <c r="LB100" s="3"/>
      <c r="LC100" s="3"/>
      <c r="LD100" s="3"/>
      <c r="LE100" s="3"/>
      <c r="LF100" s="3"/>
      <c r="LG100" s="3"/>
      <c r="LH100" s="3"/>
      <c r="LI100" s="3"/>
      <c r="LJ100" s="3"/>
      <c r="LK100" s="3">
        <v>230179000</v>
      </c>
      <c r="LL100" s="3">
        <v>115802000</v>
      </c>
      <c r="LM100" s="3">
        <v>0</v>
      </c>
      <c r="LN100" s="3">
        <v>0</v>
      </c>
      <c r="LO100" s="3">
        <v>345981000</v>
      </c>
      <c r="LP100" s="3"/>
      <c r="LQ100" s="3"/>
      <c r="LR100" s="3"/>
      <c r="LS100" s="3"/>
      <c r="LT100" s="3"/>
    </row>
    <row r="101" spans="1:332" x14ac:dyDescent="0.25">
      <c r="A101" t="s">
        <v>685</v>
      </c>
      <c r="B101" t="s">
        <v>686</v>
      </c>
      <c r="C101" t="s">
        <v>735</v>
      </c>
      <c r="D101" t="s">
        <v>736</v>
      </c>
      <c r="E101" t="s">
        <v>217</v>
      </c>
      <c r="F101" t="s">
        <v>218</v>
      </c>
      <c r="G101" t="s">
        <v>773</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v>0</v>
      </c>
      <c r="GD101" s="3"/>
      <c r="GE101" s="3"/>
      <c r="GF101" s="3">
        <v>4797000</v>
      </c>
      <c r="GG101" s="3">
        <v>5515000</v>
      </c>
      <c r="GH101" s="3">
        <v>0</v>
      </c>
      <c r="GI101" s="3">
        <v>0</v>
      </c>
      <c r="GJ101" s="3">
        <v>10312000</v>
      </c>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v>2288000</v>
      </c>
      <c r="HK101" s="3">
        <v>5165000</v>
      </c>
      <c r="HL101" s="3">
        <v>0</v>
      </c>
      <c r="HM101" s="3">
        <v>0</v>
      </c>
      <c r="HN101" s="3">
        <v>7453000</v>
      </c>
      <c r="HO101" s="3">
        <v>2288000</v>
      </c>
      <c r="HP101" s="3">
        <v>5165000</v>
      </c>
      <c r="HQ101" s="3">
        <v>0</v>
      </c>
      <c r="HR101" s="3">
        <v>0</v>
      </c>
      <c r="HS101" s="3">
        <v>7453000</v>
      </c>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v>40555000</v>
      </c>
      <c r="IT101" s="3">
        <v>5258000</v>
      </c>
      <c r="IU101" s="3">
        <v>0</v>
      </c>
      <c r="IV101" s="3">
        <v>0</v>
      </c>
      <c r="IW101" s="3">
        <v>45813000</v>
      </c>
      <c r="IX101" s="3">
        <v>40555000</v>
      </c>
      <c r="IY101" s="3">
        <v>5258000</v>
      </c>
      <c r="IZ101" s="3">
        <v>0</v>
      </c>
      <c r="JA101" s="3">
        <v>0</v>
      </c>
      <c r="JB101" s="3">
        <v>45813000</v>
      </c>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v>46717000</v>
      </c>
      <c r="KC101" s="3">
        <v>13132000</v>
      </c>
      <c r="KD101" s="3">
        <v>0</v>
      </c>
      <c r="KE101" s="3">
        <v>0</v>
      </c>
      <c r="KF101" s="3">
        <v>59849000</v>
      </c>
      <c r="KG101" s="3">
        <v>46717000</v>
      </c>
      <c r="KH101" s="3">
        <v>13132000</v>
      </c>
      <c r="KI101" s="3">
        <v>0</v>
      </c>
      <c r="KJ101" s="3">
        <v>0</v>
      </c>
      <c r="KK101" s="3">
        <v>59849000</v>
      </c>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v>43234000</v>
      </c>
      <c r="LL101" s="3">
        <v>14596000</v>
      </c>
      <c r="LM101" s="3">
        <v>0</v>
      </c>
      <c r="LN101" s="3">
        <v>0</v>
      </c>
      <c r="LO101" s="3">
        <v>57830000</v>
      </c>
      <c r="LP101" s="3"/>
      <c r="LQ101" s="3"/>
      <c r="LR101" s="3"/>
      <c r="LS101" s="3"/>
      <c r="LT101" s="3"/>
    </row>
    <row r="102" spans="1:332" x14ac:dyDescent="0.25">
      <c r="A102" t="s">
        <v>685</v>
      </c>
      <c r="B102" t="s">
        <v>686</v>
      </c>
      <c r="C102" t="s">
        <v>735</v>
      </c>
      <c r="D102" t="s">
        <v>736</v>
      </c>
      <c r="E102" t="s">
        <v>224</v>
      </c>
      <c r="F102" t="s">
        <v>520</v>
      </c>
      <c r="G102" t="s">
        <v>775</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v>0</v>
      </c>
      <c r="GD102" s="3"/>
      <c r="GE102" s="3"/>
      <c r="GF102" s="3">
        <v>10719000</v>
      </c>
      <c r="GG102" s="3">
        <v>21378000</v>
      </c>
      <c r="GH102" s="3">
        <v>0</v>
      </c>
      <c r="GI102" s="3">
        <v>0</v>
      </c>
      <c r="GJ102" s="3">
        <v>32097000</v>
      </c>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v>10268000</v>
      </c>
      <c r="HK102" s="3">
        <v>20457000</v>
      </c>
      <c r="HL102" s="3">
        <v>0</v>
      </c>
      <c r="HM102" s="3">
        <v>0</v>
      </c>
      <c r="HN102" s="3">
        <v>30725000</v>
      </c>
      <c r="HO102" s="3">
        <v>10268000</v>
      </c>
      <c r="HP102" s="3">
        <v>20457000</v>
      </c>
      <c r="HQ102" s="3">
        <v>0</v>
      </c>
      <c r="HR102" s="3">
        <v>0</v>
      </c>
      <c r="HS102" s="3">
        <v>30725000</v>
      </c>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v>39526000</v>
      </c>
      <c r="IT102" s="3">
        <v>20825000</v>
      </c>
      <c r="IU102" s="3">
        <v>0</v>
      </c>
      <c r="IV102" s="3">
        <v>0</v>
      </c>
      <c r="IW102" s="3">
        <v>60351000</v>
      </c>
      <c r="IX102" s="3">
        <v>39526000</v>
      </c>
      <c r="IY102" s="3">
        <v>20825000</v>
      </c>
      <c r="IZ102" s="3">
        <v>0</v>
      </c>
      <c r="JA102" s="3">
        <v>0</v>
      </c>
      <c r="JB102" s="3">
        <v>60351000</v>
      </c>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v>49172000</v>
      </c>
      <c r="KC102" s="3">
        <v>29465000</v>
      </c>
      <c r="KD102" s="3">
        <v>0</v>
      </c>
      <c r="KE102" s="3">
        <v>0</v>
      </c>
      <c r="KF102" s="3">
        <v>78637000</v>
      </c>
      <c r="KG102" s="3">
        <v>49172000</v>
      </c>
      <c r="KH102" s="3">
        <v>29465000</v>
      </c>
      <c r="KI102" s="3">
        <v>0</v>
      </c>
      <c r="KJ102" s="3">
        <v>0</v>
      </c>
      <c r="KK102" s="3">
        <v>78637000</v>
      </c>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v>47345000</v>
      </c>
      <c r="LL102" s="3">
        <v>31300000</v>
      </c>
      <c r="LM102" s="3">
        <v>0</v>
      </c>
      <c r="LN102" s="3">
        <v>0</v>
      </c>
      <c r="LO102" s="3">
        <v>78645000</v>
      </c>
      <c r="LP102" s="3"/>
      <c r="LQ102" s="3"/>
      <c r="LR102" s="3"/>
      <c r="LS102" s="3"/>
      <c r="LT102" s="3"/>
    </row>
    <row r="103" spans="1:332" x14ac:dyDescent="0.25">
      <c r="A103" t="s">
        <v>685</v>
      </c>
      <c r="B103" t="s">
        <v>686</v>
      </c>
      <c r="C103" t="s">
        <v>735</v>
      </c>
      <c r="D103" t="s">
        <v>736</v>
      </c>
      <c r="E103" t="s">
        <v>241</v>
      </c>
      <c r="F103" t="s">
        <v>532</v>
      </c>
      <c r="G103" t="s">
        <v>776</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v>0</v>
      </c>
      <c r="GD103" s="3"/>
      <c r="GE103" s="3"/>
      <c r="GF103" s="3">
        <v>12694000</v>
      </c>
      <c r="GG103" s="3">
        <v>3495000</v>
      </c>
      <c r="GH103" s="3">
        <v>0</v>
      </c>
      <c r="GI103" s="3">
        <v>510000</v>
      </c>
      <c r="GJ103" s="3">
        <v>16699000</v>
      </c>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v>37485000</v>
      </c>
      <c r="IT103" s="3">
        <v>1349000</v>
      </c>
      <c r="IU103" s="3">
        <v>0</v>
      </c>
      <c r="IV103" s="3">
        <v>0</v>
      </c>
      <c r="IW103" s="3">
        <v>38834000</v>
      </c>
      <c r="IX103" s="3">
        <v>37485000</v>
      </c>
      <c r="IY103" s="3">
        <v>1349000</v>
      </c>
      <c r="IZ103" s="3">
        <v>0</v>
      </c>
      <c r="JA103" s="3">
        <v>0</v>
      </c>
      <c r="JB103" s="3">
        <v>38834000</v>
      </c>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v>42516000</v>
      </c>
      <c r="KC103" s="3">
        <v>8681000</v>
      </c>
      <c r="KD103" s="3">
        <v>0</v>
      </c>
      <c r="KE103" s="3">
        <v>0</v>
      </c>
      <c r="KF103" s="3">
        <v>51197000</v>
      </c>
      <c r="KG103" s="3">
        <v>42516000</v>
      </c>
      <c r="KH103" s="3">
        <v>8681000</v>
      </c>
      <c r="KI103" s="3">
        <v>0</v>
      </c>
      <c r="KJ103" s="3">
        <v>0</v>
      </c>
      <c r="KK103" s="3">
        <v>51197000</v>
      </c>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v>43085000</v>
      </c>
      <c r="LL103" s="3">
        <v>9987000</v>
      </c>
      <c r="LM103" s="3">
        <v>0</v>
      </c>
      <c r="LN103" s="3">
        <v>0</v>
      </c>
      <c r="LO103" s="3">
        <v>53072000</v>
      </c>
      <c r="LP103" s="3"/>
      <c r="LQ103" s="3"/>
      <c r="LR103" s="3"/>
      <c r="LS103" s="3"/>
      <c r="LT103" s="3"/>
    </row>
    <row r="104" spans="1:332" x14ac:dyDescent="0.25">
      <c r="A104" t="s">
        <v>685</v>
      </c>
      <c r="B104" t="s">
        <v>686</v>
      </c>
      <c r="C104" t="s">
        <v>735</v>
      </c>
      <c r="D104" t="s">
        <v>736</v>
      </c>
      <c r="E104" t="s">
        <v>292</v>
      </c>
      <c r="F104" t="s">
        <v>293</v>
      </c>
      <c r="G104" t="s">
        <v>777</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v>0</v>
      </c>
      <c r="GD104" s="3"/>
      <c r="GE104" s="3"/>
      <c r="GF104" s="3">
        <v>32155000</v>
      </c>
      <c r="GG104" s="3">
        <v>257411000</v>
      </c>
      <c r="GH104" s="3">
        <v>0</v>
      </c>
      <c r="GI104" s="3">
        <v>20696000</v>
      </c>
      <c r="GJ104" s="3">
        <v>310262000</v>
      </c>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v>0</v>
      </c>
      <c r="HK104" s="3">
        <v>224978000</v>
      </c>
      <c r="HL104" s="3">
        <v>0</v>
      </c>
      <c r="HM104" s="3">
        <v>0</v>
      </c>
      <c r="HN104" s="3">
        <v>224978000</v>
      </c>
      <c r="HO104" s="3">
        <v>0</v>
      </c>
      <c r="HP104" s="3">
        <v>224978000</v>
      </c>
      <c r="HQ104" s="3">
        <v>0</v>
      </c>
      <c r="HR104" s="3">
        <v>0</v>
      </c>
      <c r="HS104" s="3">
        <v>224978000</v>
      </c>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v>0</v>
      </c>
      <c r="IT104" s="3">
        <v>280379000</v>
      </c>
      <c r="IU104" s="3">
        <v>0</v>
      </c>
      <c r="IV104" s="3">
        <v>0</v>
      </c>
      <c r="IW104" s="3">
        <v>280379000</v>
      </c>
      <c r="IX104" s="3">
        <v>0</v>
      </c>
      <c r="IY104" s="3">
        <v>280379000</v>
      </c>
      <c r="IZ104" s="3">
        <v>0</v>
      </c>
      <c r="JA104" s="3">
        <v>0</v>
      </c>
      <c r="JB104" s="3">
        <v>280379000</v>
      </c>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v>0</v>
      </c>
      <c r="KC104" s="3">
        <v>258224000</v>
      </c>
      <c r="KD104" s="3">
        <v>0</v>
      </c>
      <c r="KE104" s="3">
        <v>0</v>
      </c>
      <c r="KF104" s="3">
        <v>258224000</v>
      </c>
      <c r="KG104" s="3">
        <v>0</v>
      </c>
      <c r="KH104" s="3">
        <v>284494000</v>
      </c>
      <c r="KI104" s="3">
        <v>0</v>
      </c>
      <c r="KJ104" s="3">
        <v>0</v>
      </c>
      <c r="KK104" s="3">
        <v>284494000</v>
      </c>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v>0</v>
      </c>
      <c r="LL104" s="3">
        <v>276223000</v>
      </c>
      <c r="LM104" s="3">
        <v>0</v>
      </c>
      <c r="LN104" s="3">
        <v>0</v>
      </c>
      <c r="LO104" s="3">
        <v>276223000</v>
      </c>
      <c r="LP104" s="3"/>
      <c r="LQ104" s="3"/>
      <c r="LR104" s="3"/>
      <c r="LS104" s="3"/>
      <c r="LT104" s="3"/>
    </row>
    <row r="105" spans="1:332" x14ac:dyDescent="0.25">
      <c r="A105" t="s">
        <v>685</v>
      </c>
      <c r="B105" t="s">
        <v>686</v>
      </c>
      <c r="C105" t="s">
        <v>737</v>
      </c>
      <c r="D105" t="s">
        <v>738</v>
      </c>
      <c r="E105" t="s">
        <v>201</v>
      </c>
      <c r="F105" t="s">
        <v>202</v>
      </c>
      <c r="G105" t="s">
        <v>203</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v>0</v>
      </c>
      <c r="KC105" s="3">
        <v>0</v>
      </c>
      <c r="KD105" s="3">
        <v>0</v>
      </c>
      <c r="KE105" s="3">
        <v>0</v>
      </c>
      <c r="KF105" s="3">
        <v>0</v>
      </c>
      <c r="KG105" s="3">
        <v>127695000</v>
      </c>
      <c r="KH105" s="3">
        <v>100762000</v>
      </c>
      <c r="KI105" s="3">
        <v>0</v>
      </c>
      <c r="KJ105" s="3">
        <v>3000000</v>
      </c>
      <c r="KK105" s="3">
        <v>231457000</v>
      </c>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v>171187000</v>
      </c>
      <c r="LL105" s="3">
        <v>123457000</v>
      </c>
      <c r="LM105" s="3">
        <v>0</v>
      </c>
      <c r="LN105" s="3">
        <v>0</v>
      </c>
      <c r="LO105" s="3">
        <v>294644000</v>
      </c>
      <c r="LP105" s="3"/>
      <c r="LQ105" s="3"/>
      <c r="LR105" s="3"/>
      <c r="LS105" s="3"/>
      <c r="LT105" s="3"/>
    </row>
    <row r="106" spans="1:332" x14ac:dyDescent="0.25">
      <c r="A106" t="s">
        <v>685</v>
      </c>
      <c r="B106" t="s">
        <v>686</v>
      </c>
      <c r="C106" t="s">
        <v>737</v>
      </c>
      <c r="D106" t="s">
        <v>738</v>
      </c>
      <c r="E106" t="s">
        <v>201</v>
      </c>
      <c r="F106" t="s">
        <v>204</v>
      </c>
      <c r="G106" t="s">
        <v>205</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v>0</v>
      </c>
      <c r="KC106" s="3">
        <v>0</v>
      </c>
      <c r="KD106" s="3">
        <v>0</v>
      </c>
      <c r="KE106" s="3">
        <v>0</v>
      </c>
      <c r="KF106" s="3">
        <v>0</v>
      </c>
      <c r="KG106" s="3">
        <v>737000</v>
      </c>
      <c r="KH106" s="3">
        <v>0</v>
      </c>
      <c r="KI106" s="3">
        <v>0</v>
      </c>
      <c r="KJ106" s="3">
        <v>0</v>
      </c>
      <c r="KK106" s="3">
        <v>737000</v>
      </c>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v>4326000</v>
      </c>
      <c r="LL106" s="3">
        <v>0</v>
      </c>
      <c r="LM106" s="3">
        <v>0</v>
      </c>
      <c r="LN106" s="3">
        <v>0</v>
      </c>
      <c r="LO106" s="3">
        <v>4326000</v>
      </c>
      <c r="LP106" s="3"/>
      <c r="LQ106" s="3"/>
      <c r="LR106" s="3"/>
      <c r="LS106" s="3"/>
      <c r="LT106" s="3"/>
    </row>
    <row r="107" spans="1:332" x14ac:dyDescent="0.25">
      <c r="A107" t="s">
        <v>685</v>
      </c>
      <c r="B107" t="s">
        <v>686</v>
      </c>
      <c r="C107" t="s">
        <v>737</v>
      </c>
      <c r="D107" t="s">
        <v>738</v>
      </c>
      <c r="E107" t="s">
        <v>208</v>
      </c>
      <c r="F107" t="s">
        <v>209</v>
      </c>
      <c r="G107" t="s">
        <v>778</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c r="IM107" s="3"/>
      <c r="IN107" s="3"/>
      <c r="IO107" s="3"/>
      <c r="IP107" s="3"/>
      <c r="IQ107" s="3"/>
      <c r="IR107" s="3"/>
      <c r="IS107" s="3"/>
      <c r="IT107" s="3"/>
      <c r="IU107" s="3"/>
      <c r="IV107" s="3"/>
      <c r="IW107" s="3"/>
      <c r="IX107" s="3"/>
      <c r="IY107" s="3"/>
      <c r="IZ107" s="3"/>
      <c r="JA107" s="3"/>
      <c r="JB107" s="3"/>
      <c r="JC107" s="3"/>
      <c r="JD107" s="3"/>
      <c r="JE107" s="3"/>
      <c r="JF107" s="3"/>
      <c r="JG107" s="3"/>
      <c r="JH107" s="3"/>
      <c r="JI107" s="3"/>
      <c r="JJ107" s="3"/>
      <c r="JK107" s="3"/>
      <c r="JL107" s="3"/>
      <c r="JM107" s="3"/>
      <c r="JN107" s="3"/>
      <c r="JO107" s="3"/>
      <c r="JP107" s="3"/>
      <c r="JQ107" s="3"/>
      <c r="JR107" s="3"/>
      <c r="JS107" s="3"/>
      <c r="JT107" s="3"/>
      <c r="JU107" s="3"/>
      <c r="JV107" s="3"/>
      <c r="JW107" s="3"/>
      <c r="JX107" s="3"/>
      <c r="JY107" s="3"/>
      <c r="JZ107" s="3"/>
      <c r="KA107" s="3"/>
      <c r="KB107" s="3">
        <v>0</v>
      </c>
      <c r="KC107" s="3">
        <v>0</v>
      </c>
      <c r="KD107" s="3">
        <v>0</v>
      </c>
      <c r="KE107" s="3">
        <v>0</v>
      </c>
      <c r="KF107" s="3">
        <v>0</v>
      </c>
      <c r="KG107" s="3">
        <v>3257000</v>
      </c>
      <c r="KH107" s="3">
        <v>5384000</v>
      </c>
      <c r="KI107" s="3">
        <v>0</v>
      </c>
      <c r="KJ107" s="3">
        <v>0</v>
      </c>
      <c r="KK107" s="3">
        <v>8641000</v>
      </c>
      <c r="KL107" s="3"/>
      <c r="KM107" s="3"/>
      <c r="KN107" s="3"/>
      <c r="KO107" s="3"/>
      <c r="KP107" s="3"/>
      <c r="KQ107" s="3"/>
      <c r="KR107" s="3"/>
      <c r="KS107" s="3"/>
      <c r="KT107" s="3"/>
      <c r="KU107" s="3"/>
      <c r="KV107" s="3"/>
      <c r="KW107" s="3"/>
      <c r="KX107" s="3"/>
      <c r="KY107" s="3"/>
      <c r="KZ107" s="3"/>
      <c r="LA107" s="3"/>
      <c r="LB107" s="3"/>
      <c r="LC107" s="3"/>
      <c r="LD107" s="3"/>
      <c r="LE107" s="3"/>
      <c r="LF107" s="3"/>
      <c r="LG107" s="3"/>
      <c r="LH107" s="3"/>
      <c r="LI107" s="3"/>
      <c r="LJ107" s="3"/>
      <c r="LK107" s="3">
        <v>4113000</v>
      </c>
      <c r="LL107" s="3">
        <v>2289000</v>
      </c>
      <c r="LM107" s="3">
        <v>0</v>
      </c>
      <c r="LN107" s="3">
        <v>0</v>
      </c>
      <c r="LO107" s="3">
        <v>6402000</v>
      </c>
      <c r="LP107" s="3"/>
      <c r="LQ107" s="3"/>
      <c r="LR107" s="3"/>
      <c r="LS107" s="3"/>
      <c r="LT107" s="3"/>
    </row>
    <row r="108" spans="1:332" x14ac:dyDescent="0.25">
      <c r="A108" t="s">
        <v>685</v>
      </c>
      <c r="B108" t="s">
        <v>686</v>
      </c>
      <c r="C108" t="s">
        <v>737</v>
      </c>
      <c r="D108" t="s">
        <v>738</v>
      </c>
      <c r="E108" t="s">
        <v>208</v>
      </c>
      <c r="F108" t="s">
        <v>211</v>
      </c>
      <c r="G108" t="s">
        <v>779</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c r="IM108" s="3"/>
      <c r="IN108" s="3"/>
      <c r="IO108" s="3"/>
      <c r="IP108" s="3"/>
      <c r="IQ108" s="3"/>
      <c r="IR108" s="3"/>
      <c r="IS108" s="3"/>
      <c r="IT108" s="3"/>
      <c r="IU108" s="3"/>
      <c r="IV108" s="3"/>
      <c r="IW108" s="3"/>
      <c r="IX108" s="3"/>
      <c r="IY108" s="3"/>
      <c r="IZ108" s="3"/>
      <c r="JA108" s="3"/>
      <c r="JB108" s="3"/>
      <c r="JC108" s="3"/>
      <c r="JD108" s="3"/>
      <c r="JE108" s="3"/>
      <c r="JF108" s="3"/>
      <c r="JG108" s="3"/>
      <c r="JH108" s="3"/>
      <c r="JI108" s="3"/>
      <c r="JJ108" s="3"/>
      <c r="JK108" s="3"/>
      <c r="JL108" s="3"/>
      <c r="JM108" s="3"/>
      <c r="JN108" s="3"/>
      <c r="JO108" s="3"/>
      <c r="JP108" s="3"/>
      <c r="JQ108" s="3"/>
      <c r="JR108" s="3"/>
      <c r="JS108" s="3"/>
      <c r="JT108" s="3"/>
      <c r="JU108" s="3"/>
      <c r="JV108" s="3"/>
      <c r="JW108" s="3"/>
      <c r="JX108" s="3"/>
      <c r="JY108" s="3"/>
      <c r="JZ108" s="3"/>
      <c r="KA108" s="3"/>
      <c r="KB108" s="3">
        <v>0</v>
      </c>
      <c r="KC108" s="3">
        <v>0</v>
      </c>
      <c r="KD108" s="3">
        <v>0</v>
      </c>
      <c r="KE108" s="3">
        <v>0</v>
      </c>
      <c r="KF108" s="3">
        <v>0</v>
      </c>
      <c r="KG108" s="3">
        <v>1884000</v>
      </c>
      <c r="KH108" s="3">
        <v>3300000</v>
      </c>
      <c r="KI108" s="3">
        <v>0</v>
      </c>
      <c r="KJ108" s="3">
        <v>0</v>
      </c>
      <c r="KK108" s="3">
        <v>5184000</v>
      </c>
      <c r="KL108" s="3"/>
      <c r="KM108" s="3"/>
      <c r="KN108" s="3"/>
      <c r="KO108" s="3"/>
      <c r="KP108" s="3"/>
      <c r="KQ108" s="3"/>
      <c r="KR108" s="3"/>
      <c r="KS108" s="3"/>
      <c r="KT108" s="3"/>
      <c r="KU108" s="3"/>
      <c r="KV108" s="3"/>
      <c r="KW108" s="3"/>
      <c r="KX108" s="3"/>
      <c r="KY108" s="3"/>
      <c r="KZ108" s="3"/>
      <c r="LA108" s="3"/>
      <c r="LB108" s="3"/>
      <c r="LC108" s="3"/>
      <c r="LD108" s="3"/>
      <c r="LE108" s="3"/>
      <c r="LF108" s="3"/>
      <c r="LG108" s="3"/>
      <c r="LH108" s="3"/>
      <c r="LI108" s="3"/>
      <c r="LJ108" s="3"/>
      <c r="LK108" s="3">
        <v>3349000</v>
      </c>
      <c r="LL108" s="3">
        <v>3359000</v>
      </c>
      <c r="LM108" s="3">
        <v>0</v>
      </c>
      <c r="LN108" s="3">
        <v>0</v>
      </c>
      <c r="LO108" s="3">
        <v>6708000</v>
      </c>
      <c r="LP108" s="3"/>
      <c r="LQ108" s="3"/>
      <c r="LR108" s="3"/>
      <c r="LS108" s="3"/>
      <c r="LT108" s="3"/>
    </row>
    <row r="109" spans="1:332" x14ac:dyDescent="0.25">
      <c r="A109" t="s">
        <v>685</v>
      </c>
      <c r="B109" t="s">
        <v>686</v>
      </c>
      <c r="C109" t="s">
        <v>737</v>
      </c>
      <c r="D109" t="s">
        <v>738</v>
      </c>
      <c r="E109" t="s">
        <v>217</v>
      </c>
      <c r="F109" t="s">
        <v>218</v>
      </c>
      <c r="G109" t="s">
        <v>780</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c r="IM109" s="3"/>
      <c r="IN109" s="3"/>
      <c r="IO109" s="3"/>
      <c r="IP109" s="3"/>
      <c r="IQ109" s="3"/>
      <c r="IR109" s="3"/>
      <c r="IS109" s="3"/>
      <c r="IT109" s="3"/>
      <c r="IU109" s="3"/>
      <c r="IV109" s="3"/>
      <c r="IW109" s="3"/>
      <c r="IX109" s="3"/>
      <c r="IY109" s="3"/>
      <c r="IZ109" s="3"/>
      <c r="JA109" s="3"/>
      <c r="JB109" s="3"/>
      <c r="JC109" s="3"/>
      <c r="JD109" s="3"/>
      <c r="JE109" s="3"/>
      <c r="JF109" s="3"/>
      <c r="JG109" s="3"/>
      <c r="JH109" s="3"/>
      <c r="JI109" s="3"/>
      <c r="JJ109" s="3"/>
      <c r="JK109" s="3"/>
      <c r="JL109" s="3"/>
      <c r="JM109" s="3"/>
      <c r="JN109" s="3"/>
      <c r="JO109" s="3"/>
      <c r="JP109" s="3"/>
      <c r="JQ109" s="3"/>
      <c r="JR109" s="3"/>
      <c r="JS109" s="3"/>
      <c r="JT109" s="3"/>
      <c r="JU109" s="3"/>
      <c r="JV109" s="3"/>
      <c r="JW109" s="3"/>
      <c r="JX109" s="3"/>
      <c r="JY109" s="3"/>
      <c r="JZ109" s="3"/>
      <c r="KA109" s="3"/>
      <c r="KB109" s="3">
        <v>0</v>
      </c>
      <c r="KC109" s="3">
        <v>0</v>
      </c>
      <c r="KD109" s="3">
        <v>0</v>
      </c>
      <c r="KE109" s="3">
        <v>0</v>
      </c>
      <c r="KF109" s="3">
        <v>0</v>
      </c>
      <c r="KG109" s="3">
        <v>7163000</v>
      </c>
      <c r="KH109" s="3">
        <v>4340000</v>
      </c>
      <c r="KI109" s="3">
        <v>0</v>
      </c>
      <c r="KJ109" s="3">
        <v>0</v>
      </c>
      <c r="KK109" s="3">
        <v>11503000</v>
      </c>
      <c r="KL109" s="3"/>
      <c r="KM109" s="3"/>
      <c r="KN109" s="3"/>
      <c r="KO109" s="3"/>
      <c r="KP109" s="3"/>
      <c r="KQ109" s="3"/>
      <c r="KR109" s="3"/>
      <c r="KS109" s="3"/>
      <c r="KT109" s="3"/>
      <c r="KU109" s="3"/>
      <c r="KV109" s="3"/>
      <c r="KW109" s="3"/>
      <c r="KX109" s="3"/>
      <c r="KY109" s="3"/>
      <c r="KZ109" s="3"/>
      <c r="LA109" s="3"/>
      <c r="LB109" s="3"/>
      <c r="LC109" s="3"/>
      <c r="LD109" s="3"/>
      <c r="LE109" s="3"/>
      <c r="LF109" s="3"/>
      <c r="LG109" s="3"/>
      <c r="LH109" s="3"/>
      <c r="LI109" s="3"/>
      <c r="LJ109" s="3"/>
      <c r="LK109" s="3">
        <v>19268000</v>
      </c>
      <c r="LL109" s="3">
        <v>4418000</v>
      </c>
      <c r="LM109" s="3">
        <v>0</v>
      </c>
      <c r="LN109" s="3">
        <v>0</v>
      </c>
      <c r="LO109" s="3">
        <v>23686000</v>
      </c>
      <c r="LP109" s="3"/>
      <c r="LQ109" s="3"/>
      <c r="LR109" s="3"/>
      <c r="LS109" s="3"/>
      <c r="LT109" s="3"/>
    </row>
    <row r="110" spans="1:332" x14ac:dyDescent="0.25">
      <c r="A110" t="s">
        <v>685</v>
      </c>
      <c r="B110" t="s">
        <v>686</v>
      </c>
      <c r="C110" t="s">
        <v>737</v>
      </c>
      <c r="D110" t="s">
        <v>738</v>
      </c>
      <c r="E110" t="s">
        <v>224</v>
      </c>
      <c r="F110" t="s">
        <v>520</v>
      </c>
      <c r="G110" t="s">
        <v>781</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c r="IM110" s="3"/>
      <c r="IN110" s="3"/>
      <c r="IO110" s="3"/>
      <c r="IP110" s="3"/>
      <c r="IQ110" s="3"/>
      <c r="IR110" s="3"/>
      <c r="IS110" s="3"/>
      <c r="IT110" s="3"/>
      <c r="IU110" s="3"/>
      <c r="IV110" s="3"/>
      <c r="IW110" s="3"/>
      <c r="IX110" s="3"/>
      <c r="IY110" s="3"/>
      <c r="IZ110" s="3"/>
      <c r="JA110" s="3"/>
      <c r="JB110" s="3"/>
      <c r="JC110" s="3"/>
      <c r="JD110" s="3"/>
      <c r="JE110" s="3"/>
      <c r="JF110" s="3"/>
      <c r="JG110" s="3"/>
      <c r="JH110" s="3"/>
      <c r="JI110" s="3"/>
      <c r="JJ110" s="3"/>
      <c r="JK110" s="3"/>
      <c r="JL110" s="3"/>
      <c r="JM110" s="3"/>
      <c r="JN110" s="3"/>
      <c r="JO110" s="3"/>
      <c r="JP110" s="3"/>
      <c r="JQ110" s="3"/>
      <c r="JR110" s="3"/>
      <c r="JS110" s="3"/>
      <c r="JT110" s="3"/>
      <c r="JU110" s="3"/>
      <c r="JV110" s="3"/>
      <c r="JW110" s="3"/>
      <c r="JX110" s="3"/>
      <c r="JY110" s="3"/>
      <c r="JZ110" s="3"/>
      <c r="KA110" s="3"/>
      <c r="KB110" s="3">
        <v>0</v>
      </c>
      <c r="KC110" s="3">
        <v>0</v>
      </c>
      <c r="KD110" s="3">
        <v>0</v>
      </c>
      <c r="KE110" s="3">
        <v>0</v>
      </c>
      <c r="KF110" s="3">
        <v>0</v>
      </c>
      <c r="KG110" s="3">
        <v>19372000</v>
      </c>
      <c r="KH110" s="3">
        <v>14364000</v>
      </c>
      <c r="KI110" s="3">
        <v>0</v>
      </c>
      <c r="KJ110" s="3">
        <v>0</v>
      </c>
      <c r="KK110" s="3">
        <v>33736000</v>
      </c>
      <c r="KL110" s="3"/>
      <c r="KM110" s="3"/>
      <c r="KN110" s="3"/>
      <c r="KO110" s="3"/>
      <c r="KP110" s="3"/>
      <c r="KQ110" s="3"/>
      <c r="KR110" s="3"/>
      <c r="KS110" s="3"/>
      <c r="KT110" s="3"/>
      <c r="KU110" s="3"/>
      <c r="KV110" s="3"/>
      <c r="KW110" s="3"/>
      <c r="KX110" s="3"/>
      <c r="KY110" s="3"/>
      <c r="KZ110" s="3"/>
      <c r="LA110" s="3"/>
      <c r="LB110" s="3"/>
      <c r="LC110" s="3"/>
      <c r="LD110" s="3"/>
      <c r="LE110" s="3"/>
      <c r="LF110" s="3"/>
      <c r="LG110" s="3"/>
      <c r="LH110" s="3"/>
      <c r="LI110" s="3"/>
      <c r="LJ110" s="3"/>
      <c r="LK110" s="3">
        <v>22458000</v>
      </c>
      <c r="LL110" s="3">
        <v>4443000</v>
      </c>
      <c r="LM110" s="3">
        <v>0</v>
      </c>
      <c r="LN110" s="3">
        <v>0</v>
      </c>
      <c r="LO110" s="3">
        <v>26901000</v>
      </c>
      <c r="LP110" s="3"/>
      <c r="LQ110" s="3"/>
      <c r="LR110" s="3"/>
      <c r="LS110" s="3"/>
      <c r="LT110" s="3"/>
    </row>
    <row r="111" spans="1:332" x14ac:dyDescent="0.25">
      <c r="A111" t="s">
        <v>685</v>
      </c>
      <c r="B111" t="s">
        <v>686</v>
      </c>
      <c r="C111" t="s">
        <v>737</v>
      </c>
      <c r="D111" t="s">
        <v>738</v>
      </c>
      <c r="E111" t="s">
        <v>241</v>
      </c>
      <c r="F111" t="s">
        <v>532</v>
      </c>
      <c r="G111" t="s">
        <v>782</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c r="IM111" s="3"/>
      <c r="IN111" s="3"/>
      <c r="IO111" s="3"/>
      <c r="IP111" s="3"/>
      <c r="IQ111" s="3"/>
      <c r="IR111" s="3"/>
      <c r="IS111" s="3"/>
      <c r="IT111" s="3"/>
      <c r="IU111" s="3"/>
      <c r="IV111" s="3"/>
      <c r="IW111" s="3"/>
      <c r="IX111" s="3"/>
      <c r="IY111" s="3"/>
      <c r="IZ111" s="3"/>
      <c r="JA111" s="3"/>
      <c r="JB111" s="3"/>
      <c r="JC111" s="3"/>
      <c r="JD111" s="3"/>
      <c r="JE111" s="3"/>
      <c r="JF111" s="3"/>
      <c r="JG111" s="3"/>
      <c r="JH111" s="3"/>
      <c r="JI111" s="3"/>
      <c r="JJ111" s="3"/>
      <c r="JK111" s="3"/>
      <c r="JL111" s="3"/>
      <c r="JM111" s="3"/>
      <c r="JN111" s="3"/>
      <c r="JO111" s="3"/>
      <c r="JP111" s="3"/>
      <c r="JQ111" s="3"/>
      <c r="JR111" s="3"/>
      <c r="JS111" s="3"/>
      <c r="JT111" s="3"/>
      <c r="JU111" s="3"/>
      <c r="JV111" s="3"/>
      <c r="JW111" s="3"/>
      <c r="JX111" s="3"/>
      <c r="JY111" s="3"/>
      <c r="JZ111" s="3"/>
      <c r="KA111" s="3"/>
      <c r="KB111" s="3">
        <v>0</v>
      </c>
      <c r="KC111" s="3">
        <v>0</v>
      </c>
      <c r="KD111" s="3">
        <v>0</v>
      </c>
      <c r="KE111" s="3">
        <v>0</v>
      </c>
      <c r="KF111" s="3">
        <v>0</v>
      </c>
      <c r="KG111" s="3">
        <v>7788000</v>
      </c>
      <c r="KH111" s="3">
        <v>3294607000</v>
      </c>
      <c r="KI111" s="3">
        <v>0</v>
      </c>
      <c r="KJ111" s="3">
        <v>0</v>
      </c>
      <c r="KK111" s="3">
        <v>3302395000</v>
      </c>
      <c r="KL111" s="3"/>
      <c r="KM111" s="3"/>
      <c r="KN111" s="3"/>
      <c r="KO111" s="3"/>
      <c r="KP111" s="3"/>
      <c r="KQ111" s="3"/>
      <c r="KR111" s="3"/>
      <c r="KS111" s="3"/>
      <c r="KT111" s="3"/>
      <c r="KU111" s="3"/>
      <c r="KV111" s="3"/>
      <c r="KW111" s="3"/>
      <c r="KX111" s="3"/>
      <c r="KY111" s="3"/>
      <c r="KZ111" s="3"/>
      <c r="LA111" s="3"/>
      <c r="LB111" s="3"/>
      <c r="LC111" s="3"/>
      <c r="LD111" s="3"/>
      <c r="LE111" s="3"/>
      <c r="LF111" s="3"/>
      <c r="LG111" s="3"/>
      <c r="LH111" s="3"/>
      <c r="LI111" s="3"/>
      <c r="LJ111" s="3"/>
      <c r="LK111" s="3">
        <v>8895000</v>
      </c>
      <c r="LL111" s="3">
        <v>3432881000</v>
      </c>
      <c r="LM111" s="3">
        <v>0</v>
      </c>
      <c r="LN111" s="3">
        <v>0</v>
      </c>
      <c r="LO111" s="3">
        <v>3441776000</v>
      </c>
      <c r="LP111" s="3"/>
      <c r="LQ111" s="3"/>
      <c r="LR111" s="3"/>
      <c r="LS111" s="3"/>
      <c r="LT111" s="3"/>
    </row>
    <row r="112" spans="1:332" x14ac:dyDescent="0.25">
      <c r="A112" t="s">
        <v>685</v>
      </c>
      <c r="B112" t="s">
        <v>686</v>
      </c>
      <c r="C112" t="s">
        <v>737</v>
      </c>
      <c r="D112" t="s">
        <v>738</v>
      </c>
      <c r="E112" t="s">
        <v>241</v>
      </c>
      <c r="F112" t="s">
        <v>533</v>
      </c>
      <c r="G112" t="s">
        <v>783</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c r="IM112" s="3"/>
      <c r="IN112" s="3"/>
      <c r="IO112" s="3"/>
      <c r="IP112" s="3"/>
      <c r="IQ112" s="3"/>
      <c r="IR112" s="3"/>
      <c r="IS112" s="3"/>
      <c r="IT112" s="3"/>
      <c r="IU112" s="3"/>
      <c r="IV112" s="3"/>
      <c r="IW112" s="3"/>
      <c r="IX112" s="3"/>
      <c r="IY112" s="3"/>
      <c r="IZ112" s="3"/>
      <c r="JA112" s="3"/>
      <c r="JB112" s="3"/>
      <c r="JC112" s="3"/>
      <c r="JD112" s="3"/>
      <c r="JE112" s="3"/>
      <c r="JF112" s="3"/>
      <c r="JG112" s="3"/>
      <c r="JH112" s="3"/>
      <c r="JI112" s="3"/>
      <c r="JJ112" s="3"/>
      <c r="JK112" s="3"/>
      <c r="JL112" s="3"/>
      <c r="JM112" s="3"/>
      <c r="JN112" s="3"/>
      <c r="JO112" s="3"/>
      <c r="JP112" s="3"/>
      <c r="JQ112" s="3"/>
      <c r="JR112" s="3"/>
      <c r="JS112" s="3"/>
      <c r="JT112" s="3"/>
      <c r="JU112" s="3"/>
      <c r="JV112" s="3"/>
      <c r="JW112" s="3"/>
      <c r="JX112" s="3"/>
      <c r="JY112" s="3"/>
      <c r="JZ112" s="3"/>
      <c r="KA112" s="3"/>
      <c r="KB112" s="3">
        <v>0</v>
      </c>
      <c r="KC112" s="3">
        <v>0</v>
      </c>
      <c r="KD112" s="3">
        <v>0</v>
      </c>
      <c r="KE112" s="3">
        <v>0</v>
      </c>
      <c r="KF112" s="3">
        <v>0</v>
      </c>
      <c r="KG112" s="3">
        <v>0</v>
      </c>
      <c r="KH112" s="3">
        <v>3300000</v>
      </c>
      <c r="KI112" s="3">
        <v>0</v>
      </c>
      <c r="KJ112" s="3">
        <v>0</v>
      </c>
      <c r="KK112" s="3">
        <v>3300000</v>
      </c>
      <c r="KL112" s="3"/>
      <c r="KM112" s="3"/>
      <c r="KN112" s="3"/>
      <c r="KO112" s="3"/>
      <c r="KP112" s="3"/>
      <c r="KQ112" s="3"/>
      <c r="KR112" s="3"/>
      <c r="KS112" s="3"/>
      <c r="KT112" s="3"/>
      <c r="KU112" s="3"/>
      <c r="KV112" s="3"/>
      <c r="KW112" s="3"/>
      <c r="KX112" s="3"/>
      <c r="KY112" s="3"/>
      <c r="KZ112" s="3"/>
      <c r="LA112" s="3"/>
      <c r="LB112" s="3"/>
      <c r="LC112" s="3"/>
      <c r="LD112" s="3"/>
      <c r="LE112" s="3"/>
      <c r="LF112" s="3"/>
      <c r="LG112" s="3"/>
      <c r="LH112" s="3"/>
      <c r="LI112" s="3"/>
      <c r="LJ112" s="3"/>
      <c r="LK112" s="3">
        <v>0</v>
      </c>
      <c r="LL112" s="3">
        <v>3359000</v>
      </c>
      <c r="LM112" s="3">
        <v>0</v>
      </c>
      <c r="LN112" s="3">
        <v>0</v>
      </c>
      <c r="LO112" s="3">
        <v>3359000</v>
      </c>
      <c r="LP112" s="3"/>
      <c r="LQ112" s="3"/>
      <c r="LR112" s="3"/>
      <c r="LS112" s="3"/>
      <c r="LT112" s="3"/>
    </row>
    <row r="113" spans="53:77" x14ac:dyDescent="0.25">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row>
  </sheetData>
  <autoFilter ref="A1:KK112" xr:uid="{70CC8D72-6ECA-45AB-B55D-35661EC3E11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0D35-DE10-4AE6-A0A6-8DB97992D046}">
  <dimension ref="A1:IE97"/>
  <sheetViews>
    <sheetView zoomScale="90" zoomScaleNormal="90" workbookViewId="0">
      <pane xSplit="7" ySplit="1" topLeftCell="AC2" activePane="bottomRight" state="frozen"/>
      <selection pane="topRight" activeCell="H1" sqref="H1"/>
      <selection pane="bottomLeft" activeCell="A2" sqref="A2"/>
      <selection pane="bottomRight" activeCell="AF2" sqref="AF2"/>
    </sheetView>
  </sheetViews>
  <sheetFormatPr defaultRowHeight="15" x14ac:dyDescent="0.25"/>
  <cols>
    <col min="1" max="5" width="9.140625" hidden="1" customWidth="1"/>
    <col min="6" max="6" width="9.140625" customWidth="1"/>
    <col min="7" max="239" width="15.7109375" customWidth="1"/>
  </cols>
  <sheetData>
    <row r="1" spans="1:239" s="1" customFormat="1" x14ac:dyDescent="0.25">
      <c r="A1" s="1" t="s">
        <v>0</v>
      </c>
      <c r="B1" s="1" t="s">
        <v>1</v>
      </c>
      <c r="C1" s="1" t="s">
        <v>2</v>
      </c>
      <c r="D1" s="1" t="s">
        <v>3</v>
      </c>
      <c r="E1" s="1" t="s">
        <v>4</v>
      </c>
      <c r="F1" s="7" t="s">
        <v>5</v>
      </c>
      <c r="G1" s="7" t="s">
        <v>6</v>
      </c>
      <c r="H1" s="7" t="s">
        <v>610</v>
      </c>
      <c r="I1" s="7" t="s">
        <v>611</v>
      </c>
      <c r="J1" s="7" t="s">
        <v>612</v>
      </c>
      <c r="K1" s="7" t="s">
        <v>7</v>
      </c>
      <c r="L1" s="7" t="s">
        <v>613</v>
      </c>
      <c r="M1" s="7" t="s">
        <v>614</v>
      </c>
      <c r="N1" s="7" t="s">
        <v>615</v>
      </c>
      <c r="O1" s="7" t="s">
        <v>8</v>
      </c>
      <c r="P1" s="8" t="s">
        <v>649</v>
      </c>
      <c r="Q1" s="8" t="s">
        <v>650</v>
      </c>
      <c r="R1" s="8" t="s">
        <v>651</v>
      </c>
      <c r="S1" s="8" t="s">
        <v>9</v>
      </c>
      <c r="T1" s="8" t="s">
        <v>652</v>
      </c>
      <c r="U1" s="8" t="s">
        <v>653</v>
      </c>
      <c r="V1" s="8" t="s">
        <v>654</v>
      </c>
      <c r="W1" s="8" t="s">
        <v>10</v>
      </c>
      <c r="X1" s="8" t="s">
        <v>655</v>
      </c>
      <c r="Y1" s="8" t="s">
        <v>656</v>
      </c>
      <c r="Z1" s="8" t="s">
        <v>657</v>
      </c>
      <c r="AA1" s="8" t="s">
        <v>11</v>
      </c>
      <c r="AB1" s="8" t="s">
        <v>658</v>
      </c>
      <c r="AC1" s="8" t="s">
        <v>659</v>
      </c>
      <c r="AD1" s="8" t="s">
        <v>660</v>
      </c>
      <c r="AE1" s="8" t="s">
        <v>12</v>
      </c>
      <c r="AF1" s="8" t="s">
        <v>661</v>
      </c>
      <c r="AG1" s="8" t="s">
        <v>662</v>
      </c>
      <c r="AH1" s="8" t="s">
        <v>663</v>
      </c>
      <c r="AI1" s="8" t="s">
        <v>13</v>
      </c>
      <c r="AJ1" s="1" t="s">
        <v>604</v>
      </c>
      <c r="AK1" s="1" t="s">
        <v>605</v>
      </c>
      <c r="AL1" s="1" t="s">
        <v>606</v>
      </c>
      <c r="AM1" s="1" t="s">
        <v>14</v>
      </c>
      <c r="AN1" s="1" t="s">
        <v>607</v>
      </c>
      <c r="AO1" s="1" t="s">
        <v>608</v>
      </c>
      <c r="AP1" s="1" t="s">
        <v>609</v>
      </c>
      <c r="AQ1" s="1" t="s">
        <v>15</v>
      </c>
      <c r="AR1" s="2" t="s">
        <v>664</v>
      </c>
      <c r="AS1" s="2" t="s">
        <v>665</v>
      </c>
      <c r="AT1" s="2" t="s">
        <v>666</v>
      </c>
      <c r="AU1" s="2" t="s">
        <v>16</v>
      </c>
      <c r="AV1" s="2" t="s">
        <v>667</v>
      </c>
      <c r="AW1" s="2" t="s">
        <v>668</v>
      </c>
      <c r="AX1" s="2" t="s">
        <v>669</v>
      </c>
      <c r="AY1" s="2" t="s">
        <v>17</v>
      </c>
      <c r="AZ1" s="2" t="s">
        <v>670</v>
      </c>
      <c r="BA1" s="2" t="s">
        <v>671</v>
      </c>
      <c r="BB1" s="2" t="s">
        <v>672</v>
      </c>
      <c r="BC1" s="2" t="s">
        <v>18</v>
      </c>
      <c r="BD1" s="2" t="s">
        <v>673</v>
      </c>
      <c r="BE1" s="2" t="s">
        <v>674</v>
      </c>
      <c r="BF1" s="2" t="s">
        <v>675</v>
      </c>
      <c r="BG1" s="2" t="s">
        <v>19</v>
      </c>
      <c r="BH1" s="2" t="s">
        <v>676</v>
      </c>
      <c r="BI1" s="2" t="s">
        <v>677</v>
      </c>
      <c r="BJ1" s="2" t="s">
        <v>678</v>
      </c>
      <c r="BK1" s="2" t="s">
        <v>20</v>
      </c>
      <c r="BL1" s="1" t="s">
        <v>21</v>
      </c>
      <c r="BM1" s="1" t="s">
        <v>22</v>
      </c>
      <c r="BN1" s="1" t="s">
        <v>23</v>
      </c>
      <c r="BO1" s="1" t="s">
        <v>24</v>
      </c>
      <c r="BP1" s="1" t="s">
        <v>25</v>
      </c>
      <c r="BQ1" s="1" t="s">
        <v>26</v>
      </c>
      <c r="BR1" s="1" t="s">
        <v>27</v>
      </c>
      <c r="BS1" s="1" t="s">
        <v>28</v>
      </c>
      <c r="BT1" s="2" t="s">
        <v>29</v>
      </c>
      <c r="BU1" s="2" t="s">
        <v>30</v>
      </c>
      <c r="BV1" s="2" t="s">
        <v>31</v>
      </c>
      <c r="BW1" s="2" t="s">
        <v>32</v>
      </c>
      <c r="BX1" s="2" t="s">
        <v>33</v>
      </c>
      <c r="BY1" s="2" t="s">
        <v>34</v>
      </c>
      <c r="BZ1" s="2" t="s">
        <v>35</v>
      </c>
      <c r="CA1" s="2" t="s">
        <v>36</v>
      </c>
      <c r="CB1" s="2" t="s">
        <v>37</v>
      </c>
      <c r="CC1" s="2" t="s">
        <v>38</v>
      </c>
      <c r="CD1" s="2" t="s">
        <v>39</v>
      </c>
      <c r="CE1" s="2" t="s">
        <v>40</v>
      </c>
      <c r="CF1" s="2" t="s">
        <v>41</v>
      </c>
      <c r="CG1" s="2" t="s">
        <v>42</v>
      </c>
      <c r="CH1" s="2" t="s">
        <v>43</v>
      </c>
      <c r="CI1" s="2" t="s">
        <v>44</v>
      </c>
      <c r="CJ1" s="2" t="s">
        <v>45</v>
      </c>
      <c r="CK1" s="2" t="s">
        <v>46</v>
      </c>
      <c r="CL1" s="2" t="s">
        <v>47</v>
      </c>
      <c r="CM1" s="2" t="s">
        <v>48</v>
      </c>
      <c r="CN1" s="1" t="s">
        <v>49</v>
      </c>
      <c r="CO1" s="1" t="s">
        <v>50</v>
      </c>
      <c r="CP1" s="1" t="s">
        <v>51</v>
      </c>
      <c r="CQ1" s="1" t="s">
        <v>52</v>
      </c>
      <c r="CR1" s="1" t="s">
        <v>53</v>
      </c>
      <c r="CS1" s="1" t="s">
        <v>54</v>
      </c>
      <c r="CT1" s="1" t="s">
        <v>55</v>
      </c>
      <c r="CU1" s="1" t="s">
        <v>56</v>
      </c>
      <c r="CV1" s="2" t="s">
        <v>57</v>
      </c>
      <c r="CW1" s="2" t="s">
        <v>58</v>
      </c>
      <c r="CX1" s="2" t="s">
        <v>59</v>
      </c>
      <c r="CY1" s="2" t="s">
        <v>60</v>
      </c>
      <c r="CZ1" s="2" t="s">
        <v>61</v>
      </c>
      <c r="DA1" s="2" t="s">
        <v>62</v>
      </c>
      <c r="DB1" s="2" t="s">
        <v>63</v>
      </c>
      <c r="DC1" s="2" t="s">
        <v>64</v>
      </c>
      <c r="DD1" s="2" t="s">
        <v>65</v>
      </c>
      <c r="DE1" s="2" t="s">
        <v>66</v>
      </c>
      <c r="DF1" s="2" t="s">
        <v>67</v>
      </c>
      <c r="DG1" s="2" t="s">
        <v>68</v>
      </c>
      <c r="DH1" s="2" t="s">
        <v>69</v>
      </c>
      <c r="DI1" s="2" t="s">
        <v>70</v>
      </c>
      <c r="DJ1" s="2" t="s">
        <v>71</v>
      </c>
      <c r="DK1" s="2" t="s">
        <v>72</v>
      </c>
      <c r="DL1" s="2" t="s">
        <v>73</v>
      </c>
      <c r="DM1" s="2" t="s">
        <v>74</v>
      </c>
      <c r="DN1" s="2" t="s">
        <v>75</v>
      </c>
      <c r="DO1" s="2" t="s">
        <v>76</v>
      </c>
      <c r="DP1" s="1" t="s">
        <v>77</v>
      </c>
      <c r="DQ1" s="1" t="s">
        <v>78</v>
      </c>
      <c r="DR1" s="1" t="s">
        <v>79</v>
      </c>
      <c r="DS1" s="1" t="s">
        <v>80</v>
      </c>
      <c r="DT1" s="1" t="s">
        <v>81</v>
      </c>
      <c r="DU1" s="1" t="s">
        <v>82</v>
      </c>
      <c r="DV1" s="1" t="s">
        <v>83</v>
      </c>
      <c r="DW1" s="1" t="s">
        <v>84</v>
      </c>
      <c r="DX1" s="2" t="s">
        <v>85</v>
      </c>
      <c r="DY1" s="2" t="s">
        <v>86</v>
      </c>
      <c r="DZ1" s="2" t="s">
        <v>87</v>
      </c>
      <c r="EA1" s="2" t="s">
        <v>88</v>
      </c>
      <c r="EB1" s="2" t="s">
        <v>89</v>
      </c>
      <c r="EC1" s="2" t="s">
        <v>90</v>
      </c>
      <c r="ED1" s="2" t="s">
        <v>91</v>
      </c>
      <c r="EE1" s="2" t="s">
        <v>92</v>
      </c>
      <c r="EF1" s="2" t="s">
        <v>93</v>
      </c>
      <c r="EG1" s="2" t="s">
        <v>94</v>
      </c>
      <c r="EH1" s="2" t="s">
        <v>95</v>
      </c>
      <c r="EI1" s="2" t="s">
        <v>96</v>
      </c>
      <c r="EJ1" s="2" t="s">
        <v>97</v>
      </c>
      <c r="EK1" s="2" t="s">
        <v>98</v>
      </c>
      <c r="EL1" s="2" t="s">
        <v>99</v>
      </c>
      <c r="EM1" s="2" t="s">
        <v>100</v>
      </c>
      <c r="EN1" s="2" t="s">
        <v>101</v>
      </c>
      <c r="EO1" s="2" t="s">
        <v>102</v>
      </c>
      <c r="EP1" s="2" t="s">
        <v>103</v>
      </c>
      <c r="EQ1" s="2" t="s">
        <v>104</v>
      </c>
      <c r="ER1" s="1" t="s">
        <v>105</v>
      </c>
      <c r="ES1" s="1" t="s">
        <v>106</v>
      </c>
      <c r="ET1" s="1" t="s">
        <v>107</v>
      </c>
      <c r="EU1" s="1" t="s">
        <v>108</v>
      </c>
      <c r="EV1" s="1" t="s">
        <v>109</v>
      </c>
      <c r="EW1" s="1" t="s">
        <v>110</v>
      </c>
      <c r="EX1" s="1" t="s">
        <v>111</v>
      </c>
      <c r="EY1" s="1" t="s">
        <v>112</v>
      </c>
      <c r="EZ1" s="2" t="s">
        <v>113</v>
      </c>
      <c r="FA1" s="2" t="s">
        <v>114</v>
      </c>
      <c r="FB1" s="2" t="s">
        <v>115</v>
      </c>
      <c r="FC1" s="2" t="s">
        <v>116</v>
      </c>
      <c r="FD1" s="2" t="s">
        <v>117</v>
      </c>
      <c r="FE1" s="2" t="s">
        <v>118</v>
      </c>
      <c r="FF1" s="2" t="s">
        <v>119</v>
      </c>
      <c r="FG1" s="2" t="s">
        <v>120</v>
      </c>
      <c r="FH1" s="2" t="s">
        <v>121</v>
      </c>
      <c r="FI1" s="2" t="s">
        <v>122</v>
      </c>
      <c r="FJ1" s="2" t="s">
        <v>123</v>
      </c>
      <c r="FK1" s="2" t="s">
        <v>124</v>
      </c>
      <c r="FL1" s="2" t="s">
        <v>125</v>
      </c>
      <c r="FM1" s="2" t="s">
        <v>126</v>
      </c>
      <c r="FN1" s="2" t="s">
        <v>127</v>
      </c>
      <c r="FO1" s="2" t="s">
        <v>128</v>
      </c>
      <c r="FP1" s="2" t="s">
        <v>129</v>
      </c>
      <c r="FQ1" s="2" t="s">
        <v>130</v>
      </c>
      <c r="FR1" s="2" t="s">
        <v>131</v>
      </c>
      <c r="FS1" s="2" t="s">
        <v>132</v>
      </c>
      <c r="FT1" s="1" t="s">
        <v>133</v>
      </c>
      <c r="FU1" s="1" t="s">
        <v>134</v>
      </c>
      <c r="FV1" s="1" t="s">
        <v>135</v>
      </c>
      <c r="FW1" s="1" t="s">
        <v>136</v>
      </c>
      <c r="FX1" s="1" t="s">
        <v>137</v>
      </c>
      <c r="FY1" s="1" t="s">
        <v>138</v>
      </c>
      <c r="FZ1" s="1" t="s">
        <v>139</v>
      </c>
      <c r="GA1" s="1" t="s">
        <v>140</v>
      </c>
      <c r="GB1" s="2" t="s">
        <v>141</v>
      </c>
      <c r="GC1" s="2" t="s">
        <v>142</v>
      </c>
      <c r="GD1" s="2" t="s">
        <v>143</v>
      </c>
      <c r="GE1" s="2" t="s">
        <v>144</v>
      </c>
      <c r="GF1" s="2" t="s">
        <v>145</v>
      </c>
      <c r="GG1" s="2" t="s">
        <v>146</v>
      </c>
      <c r="GH1" s="2" t="s">
        <v>147</v>
      </c>
      <c r="GI1" s="2" t="s">
        <v>148</v>
      </c>
      <c r="GJ1" s="2" t="s">
        <v>149</v>
      </c>
      <c r="GK1" s="2" t="s">
        <v>150</v>
      </c>
      <c r="GL1" s="2" t="s">
        <v>151</v>
      </c>
      <c r="GM1" s="2" t="s">
        <v>152</v>
      </c>
      <c r="GN1" s="2" t="s">
        <v>153</v>
      </c>
      <c r="GO1" s="2" t="s">
        <v>154</v>
      </c>
      <c r="GP1" s="2" t="s">
        <v>155</v>
      </c>
      <c r="GQ1" s="2" t="s">
        <v>156</v>
      </c>
      <c r="GR1" s="2" t="s">
        <v>157</v>
      </c>
      <c r="GS1" s="2" t="s">
        <v>158</v>
      </c>
      <c r="GT1" s="2" t="s">
        <v>159</v>
      </c>
      <c r="GU1" s="2" t="s">
        <v>160</v>
      </c>
      <c r="GV1" s="1" t="s">
        <v>161</v>
      </c>
      <c r="GW1" s="1" t="s">
        <v>162</v>
      </c>
      <c r="GX1" s="1" t="s">
        <v>163</v>
      </c>
      <c r="GY1" s="1" t="s">
        <v>164</v>
      </c>
      <c r="GZ1" s="1" t="s">
        <v>165</v>
      </c>
      <c r="HA1" s="1" t="s">
        <v>166</v>
      </c>
      <c r="HB1" s="1" t="s">
        <v>167</v>
      </c>
      <c r="HC1" s="1" t="s">
        <v>168</v>
      </c>
      <c r="HD1" s="2" t="s">
        <v>169</v>
      </c>
      <c r="HE1" s="2" t="s">
        <v>170</v>
      </c>
      <c r="HF1" s="2" t="s">
        <v>171</v>
      </c>
      <c r="HG1" s="2" t="s">
        <v>172</v>
      </c>
      <c r="HH1" s="2" t="s">
        <v>173</v>
      </c>
      <c r="HI1" s="2" t="s">
        <v>174</v>
      </c>
      <c r="HJ1" s="2" t="s">
        <v>175</v>
      </c>
      <c r="HK1" s="2" t="s">
        <v>176</v>
      </c>
      <c r="HL1" s="2" t="s">
        <v>177</v>
      </c>
      <c r="HM1" s="2" t="s">
        <v>178</v>
      </c>
      <c r="HN1" s="2" t="s">
        <v>179</v>
      </c>
      <c r="HO1" s="2" t="s">
        <v>180</v>
      </c>
      <c r="HP1" s="2" t="s">
        <v>181</v>
      </c>
      <c r="HQ1" s="2" t="s">
        <v>182</v>
      </c>
      <c r="HR1" s="2" t="s">
        <v>183</v>
      </c>
      <c r="HS1" s="2" t="s">
        <v>184</v>
      </c>
      <c r="HT1" s="2" t="s">
        <v>185</v>
      </c>
      <c r="HU1" s="2" t="s">
        <v>186</v>
      </c>
      <c r="HV1" s="2" t="s">
        <v>187</v>
      </c>
      <c r="HW1" s="2" t="s">
        <v>188</v>
      </c>
      <c r="HX1" s="1" t="s">
        <v>189</v>
      </c>
      <c r="HY1" s="1" t="s">
        <v>190</v>
      </c>
      <c r="HZ1" s="1" t="s">
        <v>191</v>
      </c>
      <c r="IA1" s="1" t="s">
        <v>192</v>
      </c>
      <c r="IB1" s="1" t="s">
        <v>193</v>
      </c>
      <c r="IC1" s="1" t="s">
        <v>194</v>
      </c>
      <c r="ID1" s="1" t="s">
        <v>195</v>
      </c>
      <c r="IE1" s="1" t="s">
        <v>196</v>
      </c>
    </row>
    <row r="2" spans="1:239" x14ac:dyDescent="0.25">
      <c r="A2" t="s">
        <v>1290</v>
      </c>
      <c r="B2" t="s">
        <v>1291</v>
      </c>
      <c r="C2" t="s">
        <v>735</v>
      </c>
      <c r="D2" t="s">
        <v>1292</v>
      </c>
      <c r="E2" t="s">
        <v>201</v>
      </c>
      <c r="F2" t="s">
        <v>202</v>
      </c>
      <c r="G2" t="s">
        <v>203</v>
      </c>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v>21761000</v>
      </c>
      <c r="AO2" s="3">
        <v>16177000</v>
      </c>
      <c r="AP2" s="3">
        <v>735000</v>
      </c>
      <c r="AQ2" s="3">
        <v>38673000</v>
      </c>
      <c r="AR2" s="3">
        <v>17316000</v>
      </c>
      <c r="AS2" s="3">
        <v>14977000</v>
      </c>
      <c r="AT2" s="3">
        <v>365000</v>
      </c>
      <c r="AU2" s="3">
        <v>32658000</v>
      </c>
      <c r="AV2" s="3">
        <v>16609424.199999999</v>
      </c>
      <c r="AW2" s="3">
        <v>14977000</v>
      </c>
      <c r="AX2" s="3">
        <v>445000</v>
      </c>
      <c r="AY2" s="3">
        <v>32031424.199999999</v>
      </c>
      <c r="AZ2" s="3">
        <v>16609424.199999999</v>
      </c>
      <c r="BA2" s="3">
        <v>14977000</v>
      </c>
      <c r="BB2" s="3">
        <v>445000</v>
      </c>
      <c r="BC2" s="3">
        <v>32031424.199999999</v>
      </c>
      <c r="BD2" s="3">
        <v>16609424.199999999</v>
      </c>
      <c r="BE2" s="3">
        <v>14975867.98</v>
      </c>
      <c r="BF2" s="3">
        <v>291239</v>
      </c>
      <c r="BG2" s="3">
        <v>31876531.18</v>
      </c>
      <c r="BH2" s="3">
        <v>16609424.199999999</v>
      </c>
      <c r="BI2" s="3">
        <v>14975867.98</v>
      </c>
      <c r="BJ2" s="3">
        <v>131849.15</v>
      </c>
      <c r="BK2" s="3">
        <v>31717141.329999998</v>
      </c>
      <c r="BL2" s="3">
        <v>17698000</v>
      </c>
      <c r="BM2" s="3">
        <v>15112000</v>
      </c>
      <c r="BN2" s="3">
        <v>350000</v>
      </c>
      <c r="BO2" s="3">
        <v>33160000</v>
      </c>
      <c r="BP2" s="3">
        <v>17698000</v>
      </c>
      <c r="BQ2" s="3">
        <v>15112000</v>
      </c>
      <c r="BR2" s="3">
        <v>350000</v>
      </c>
      <c r="BS2" s="3">
        <v>33160000</v>
      </c>
      <c r="BT2" s="3">
        <v>17698000</v>
      </c>
      <c r="BU2" s="3">
        <v>15112000</v>
      </c>
      <c r="BV2" s="3">
        <v>350000</v>
      </c>
      <c r="BW2" s="3">
        <v>33160000</v>
      </c>
      <c r="BX2" s="6">
        <v>20725097.449999999</v>
      </c>
      <c r="BY2" s="6">
        <v>17890495.93</v>
      </c>
      <c r="BZ2" s="3">
        <v>315000</v>
      </c>
      <c r="CA2" s="3">
        <v>38930593.380000003</v>
      </c>
      <c r="CB2" s="6">
        <v>20725097.449999999</v>
      </c>
      <c r="CC2" s="6">
        <v>17890495.93</v>
      </c>
      <c r="CD2" s="3">
        <v>315000</v>
      </c>
      <c r="CE2" s="3">
        <v>38930593.380000003</v>
      </c>
      <c r="CF2" s="3">
        <v>20725097.449999999</v>
      </c>
      <c r="CG2" s="3">
        <v>17890495.93</v>
      </c>
      <c r="CH2" s="3">
        <v>306055.65999999997</v>
      </c>
      <c r="CI2" s="3">
        <v>38921649.039999999</v>
      </c>
      <c r="CJ2" s="3">
        <v>19822560.18</v>
      </c>
      <c r="CK2" s="3">
        <v>14418784.01</v>
      </c>
      <c r="CL2" s="3">
        <v>306055.65999999997</v>
      </c>
      <c r="CM2" s="3">
        <v>34547399.850000001</v>
      </c>
      <c r="CN2" s="3">
        <v>19075000</v>
      </c>
      <c r="CO2" s="3">
        <v>16484000</v>
      </c>
      <c r="CP2" s="3">
        <v>3900000</v>
      </c>
      <c r="CQ2" s="3">
        <v>39459000</v>
      </c>
      <c r="CR2" s="3">
        <v>19075000</v>
      </c>
      <c r="CS2" s="3">
        <v>21484000</v>
      </c>
      <c r="CT2" s="3">
        <v>8900000</v>
      </c>
      <c r="CU2" s="3">
        <v>49459000</v>
      </c>
      <c r="CV2" s="3">
        <v>19075000</v>
      </c>
      <c r="CW2" s="3">
        <v>21484000</v>
      </c>
      <c r="CX2" s="3">
        <v>8900000</v>
      </c>
      <c r="CY2" s="3">
        <v>49459000</v>
      </c>
      <c r="CZ2" s="3">
        <v>19339843.02</v>
      </c>
      <c r="DA2" s="3">
        <v>24396253.710000001</v>
      </c>
      <c r="DB2" s="3">
        <v>8900000</v>
      </c>
      <c r="DC2" s="3">
        <v>52636096.729999997</v>
      </c>
      <c r="DD2" s="3">
        <v>19339843.02</v>
      </c>
      <c r="DE2" s="3">
        <v>24396253.710000001</v>
      </c>
      <c r="DF2" s="3">
        <v>8900000</v>
      </c>
      <c r="DG2" s="3">
        <v>52636096.729999997</v>
      </c>
      <c r="DH2" s="3">
        <v>19280311.48</v>
      </c>
      <c r="DI2" s="3">
        <v>19388268.789999999</v>
      </c>
      <c r="DJ2" s="3">
        <v>3709302</v>
      </c>
      <c r="DK2" s="3">
        <v>42377882.270000003</v>
      </c>
      <c r="DL2" s="3">
        <v>19067655.879999999</v>
      </c>
      <c r="DM2" s="3">
        <v>18732019.239999998</v>
      </c>
      <c r="DN2" s="3">
        <v>3082404.9</v>
      </c>
      <c r="DO2" s="3">
        <v>40882080.020000003</v>
      </c>
      <c r="DP2" s="3">
        <v>19890000</v>
      </c>
      <c r="DQ2" s="3">
        <v>16484000</v>
      </c>
      <c r="DR2" s="3">
        <v>0</v>
      </c>
      <c r="DS2" s="3">
        <v>36374000</v>
      </c>
      <c r="DT2" s="3">
        <v>19890000</v>
      </c>
      <c r="DU2" s="3">
        <v>16484000</v>
      </c>
      <c r="DV2" s="3">
        <v>0</v>
      </c>
      <c r="DW2" s="3">
        <v>36374000</v>
      </c>
      <c r="DX2" s="3">
        <v>19890000</v>
      </c>
      <c r="DY2" s="3">
        <v>16484000</v>
      </c>
      <c r="DZ2" s="3">
        <v>0</v>
      </c>
      <c r="EA2" s="3">
        <v>36374000</v>
      </c>
      <c r="EB2" s="3">
        <v>19106151.34</v>
      </c>
      <c r="EC2" s="3">
        <v>16203885.880000001</v>
      </c>
      <c r="ED2" s="3">
        <v>0</v>
      </c>
      <c r="EE2" s="3">
        <v>35310037.219999999</v>
      </c>
      <c r="EF2" s="3">
        <v>19106151.34</v>
      </c>
      <c r="EG2" s="3">
        <v>16203885.880000001</v>
      </c>
      <c r="EH2" s="3">
        <v>0</v>
      </c>
      <c r="EI2" s="3">
        <v>35310037.219999999</v>
      </c>
      <c r="EJ2" s="3">
        <v>18788300.84</v>
      </c>
      <c r="EK2" s="3">
        <v>16201023.02</v>
      </c>
      <c r="EL2" s="3">
        <v>0</v>
      </c>
      <c r="EM2" s="3">
        <v>34989323.859999999</v>
      </c>
      <c r="EN2" s="3">
        <v>18101800.93</v>
      </c>
      <c r="EO2" s="3">
        <v>14351861.220000001</v>
      </c>
      <c r="EP2" s="3">
        <v>0</v>
      </c>
      <c r="EQ2" s="3">
        <v>32453662.149999999</v>
      </c>
      <c r="ER2" s="3">
        <v>20170000</v>
      </c>
      <c r="ES2" s="3">
        <v>25436000</v>
      </c>
      <c r="ET2" s="3">
        <v>0</v>
      </c>
      <c r="EU2" s="3">
        <v>45606000</v>
      </c>
      <c r="EV2" s="3">
        <v>20170000</v>
      </c>
      <c r="EW2" s="3">
        <v>25436000</v>
      </c>
      <c r="EX2" s="3">
        <v>0</v>
      </c>
      <c r="EY2" s="3">
        <v>45606000</v>
      </c>
      <c r="EZ2" s="3">
        <v>20170000</v>
      </c>
      <c r="FA2" s="3">
        <v>25436000</v>
      </c>
      <c r="FB2" s="3">
        <v>0</v>
      </c>
      <c r="FC2" s="3">
        <v>45606000</v>
      </c>
      <c r="FD2" s="3">
        <v>21411196.73</v>
      </c>
      <c r="FE2" s="3">
        <v>26702200.890000001</v>
      </c>
      <c r="FF2" s="3">
        <v>0</v>
      </c>
      <c r="FG2" s="3">
        <v>48113397.619999997</v>
      </c>
      <c r="FH2" s="3">
        <v>21411196.73</v>
      </c>
      <c r="FI2" s="3">
        <v>26702200.890000001</v>
      </c>
      <c r="FJ2" s="3">
        <v>0</v>
      </c>
      <c r="FK2" s="3">
        <v>48113397.619999997</v>
      </c>
      <c r="FL2" s="3">
        <v>21410293.620000001</v>
      </c>
      <c r="FM2" s="3">
        <v>26635347.640000001</v>
      </c>
      <c r="FN2" s="3">
        <v>0</v>
      </c>
      <c r="FO2" s="3">
        <v>48045641.259999998</v>
      </c>
      <c r="FP2" s="3">
        <v>21040478.579999998</v>
      </c>
      <c r="FQ2" s="3">
        <v>24249648.399999999</v>
      </c>
      <c r="FR2" s="3">
        <v>0</v>
      </c>
      <c r="FS2" s="3">
        <v>45290126.979999997</v>
      </c>
      <c r="FT2" s="3">
        <v>20205000</v>
      </c>
      <c r="FU2" s="3">
        <v>37580000</v>
      </c>
      <c r="FV2" s="3">
        <v>1800000</v>
      </c>
      <c r="FW2" s="3">
        <v>59585000</v>
      </c>
      <c r="FX2" s="3">
        <v>20205000</v>
      </c>
      <c r="FY2" s="3">
        <v>37580000</v>
      </c>
      <c r="FZ2" s="3">
        <v>1800000</v>
      </c>
      <c r="GA2" s="3">
        <v>59585000</v>
      </c>
      <c r="GB2" s="3">
        <v>20205000</v>
      </c>
      <c r="GC2" s="3">
        <v>37580000</v>
      </c>
      <c r="GD2" s="3">
        <v>1800000</v>
      </c>
      <c r="GE2" s="3">
        <v>59585000</v>
      </c>
      <c r="GF2" s="3">
        <v>19137558.48</v>
      </c>
      <c r="GG2" s="3">
        <v>38838787.020000003</v>
      </c>
      <c r="GH2" s="3">
        <v>1800000</v>
      </c>
      <c r="GI2" s="3">
        <v>59776345.5</v>
      </c>
      <c r="GJ2" s="3">
        <v>19137558.48</v>
      </c>
      <c r="GK2" s="3">
        <v>38838787.020000003</v>
      </c>
      <c r="GL2" s="3">
        <v>1800000</v>
      </c>
      <c r="GM2" s="3">
        <v>59776345.5</v>
      </c>
      <c r="GN2" s="3">
        <v>18855503.969999999</v>
      </c>
      <c r="GO2" s="3">
        <v>38712142.369999997</v>
      </c>
      <c r="GP2" s="3">
        <v>1798375</v>
      </c>
      <c r="GQ2" s="3">
        <v>59366021.340000004</v>
      </c>
      <c r="GR2" s="3">
        <v>18598061.93</v>
      </c>
      <c r="GS2" s="3">
        <v>32795798.18</v>
      </c>
      <c r="GT2" s="3">
        <v>1798375</v>
      </c>
      <c r="GU2" s="3">
        <v>53192235.109999999</v>
      </c>
      <c r="GV2" s="3">
        <v>18877000</v>
      </c>
      <c r="GW2" s="3">
        <v>31532000</v>
      </c>
      <c r="GX2" s="3">
        <v>6770000</v>
      </c>
      <c r="GY2" s="3">
        <v>57179000</v>
      </c>
      <c r="GZ2" s="3">
        <v>18877000</v>
      </c>
      <c r="HA2" s="3">
        <v>31532000</v>
      </c>
      <c r="HB2" s="3">
        <v>6770000</v>
      </c>
      <c r="HC2" s="3">
        <v>57179000</v>
      </c>
      <c r="HD2" s="3">
        <v>18877000</v>
      </c>
      <c r="HE2" s="3">
        <v>31532000</v>
      </c>
      <c r="HF2" s="3">
        <v>6770000</v>
      </c>
      <c r="HG2" s="3">
        <v>57179000</v>
      </c>
      <c r="HH2" s="3">
        <v>20876929.449999999</v>
      </c>
      <c r="HI2" s="3">
        <v>29532070.550000001</v>
      </c>
      <c r="HJ2" s="3">
        <v>6770000</v>
      </c>
      <c r="HK2" s="3">
        <v>57179000</v>
      </c>
      <c r="HL2" s="3">
        <v>20876929.449999999</v>
      </c>
      <c r="HM2" s="3">
        <v>29532070.550000001</v>
      </c>
      <c r="HN2" s="3">
        <v>6770000</v>
      </c>
      <c r="HO2" s="3">
        <v>57179000</v>
      </c>
      <c r="HP2" s="3">
        <v>20876929.449999999</v>
      </c>
      <c r="HQ2" s="3">
        <v>25709460.100000001</v>
      </c>
      <c r="HR2" s="3">
        <v>1800990</v>
      </c>
      <c r="HS2" s="3">
        <v>48387379.549999997</v>
      </c>
      <c r="HT2" s="3">
        <v>20136244.260000002</v>
      </c>
      <c r="HU2" s="3">
        <v>23636389.710000001</v>
      </c>
      <c r="HV2" s="3">
        <v>795000</v>
      </c>
      <c r="HW2" s="3">
        <v>44567633.969999999</v>
      </c>
      <c r="HX2" s="3">
        <v>21260000</v>
      </c>
      <c r="HY2" s="3">
        <v>33001000</v>
      </c>
      <c r="HZ2" s="3">
        <v>3385000</v>
      </c>
      <c r="IA2" s="3">
        <v>57646000</v>
      </c>
      <c r="IB2" s="3">
        <v>21260000</v>
      </c>
      <c r="IC2" s="3">
        <v>33001000</v>
      </c>
      <c r="ID2" s="3">
        <v>3385000</v>
      </c>
      <c r="IE2" s="3">
        <v>57646000</v>
      </c>
    </row>
    <row r="3" spans="1:239" x14ac:dyDescent="0.25">
      <c r="A3" t="s">
        <v>1290</v>
      </c>
      <c r="B3" t="s">
        <v>1291</v>
      </c>
      <c r="C3" t="s">
        <v>735</v>
      </c>
      <c r="D3" t="s">
        <v>1292</v>
      </c>
      <c r="E3" t="s">
        <v>201</v>
      </c>
      <c r="F3" t="s">
        <v>204</v>
      </c>
      <c r="G3" t="s">
        <v>205</v>
      </c>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v>1733000</v>
      </c>
      <c r="AO3" s="3">
        <v>0</v>
      </c>
      <c r="AP3" s="3">
        <v>0</v>
      </c>
      <c r="AQ3" s="3">
        <v>1733000</v>
      </c>
      <c r="AR3" s="3">
        <v>1733000</v>
      </c>
      <c r="AS3" s="3">
        <v>0</v>
      </c>
      <c r="AT3" s="3">
        <v>0</v>
      </c>
      <c r="AU3" s="3">
        <v>1733000</v>
      </c>
      <c r="AV3" s="3">
        <v>1672824.92</v>
      </c>
      <c r="AW3" s="3">
        <v>0</v>
      </c>
      <c r="AX3" s="3">
        <v>0</v>
      </c>
      <c r="AY3" s="3">
        <v>1672824.92</v>
      </c>
      <c r="AZ3" s="3">
        <v>1672824.92</v>
      </c>
      <c r="BA3" s="3">
        <v>0</v>
      </c>
      <c r="BB3" s="3">
        <v>0</v>
      </c>
      <c r="BC3" s="3">
        <v>1672824.92</v>
      </c>
      <c r="BD3" s="3">
        <v>1672824.92</v>
      </c>
      <c r="BE3" s="3">
        <v>0</v>
      </c>
      <c r="BF3" s="3">
        <v>0</v>
      </c>
      <c r="BG3" s="3">
        <v>1672824.92</v>
      </c>
      <c r="BH3" s="3">
        <v>1672824.92</v>
      </c>
      <c r="BI3" s="3">
        <v>0</v>
      </c>
      <c r="BJ3" s="3">
        <v>0</v>
      </c>
      <c r="BK3" s="3">
        <v>1672824.92</v>
      </c>
      <c r="BL3" s="3">
        <v>48000</v>
      </c>
      <c r="BM3" s="3">
        <v>0</v>
      </c>
      <c r="BN3" s="3">
        <v>0</v>
      </c>
      <c r="BO3" s="3">
        <v>48000</v>
      </c>
      <c r="BP3" s="3">
        <v>48000</v>
      </c>
      <c r="BQ3" s="3">
        <v>0</v>
      </c>
      <c r="BR3" s="3">
        <v>0</v>
      </c>
      <c r="BS3" s="3">
        <v>48000</v>
      </c>
      <c r="BT3" s="3">
        <v>48000</v>
      </c>
      <c r="BU3" s="3">
        <v>0</v>
      </c>
      <c r="BV3" s="3">
        <v>0</v>
      </c>
      <c r="BW3" s="3">
        <v>48000</v>
      </c>
      <c r="BX3" s="6">
        <v>0</v>
      </c>
      <c r="BY3" s="6">
        <v>0</v>
      </c>
      <c r="BZ3" s="3">
        <v>0</v>
      </c>
      <c r="CA3" s="3">
        <v>0</v>
      </c>
      <c r="CB3" s="6">
        <v>0</v>
      </c>
      <c r="CC3" s="6">
        <v>0</v>
      </c>
      <c r="CD3" s="3">
        <v>0</v>
      </c>
      <c r="CE3" s="3">
        <v>0</v>
      </c>
      <c r="CF3" s="3">
        <v>0</v>
      </c>
      <c r="CG3" s="3">
        <v>0</v>
      </c>
      <c r="CH3" s="3">
        <v>0</v>
      </c>
      <c r="CI3" s="3">
        <v>0</v>
      </c>
      <c r="CJ3" s="3">
        <v>0</v>
      </c>
      <c r="CK3" s="3">
        <v>0</v>
      </c>
      <c r="CL3" s="3">
        <v>0</v>
      </c>
      <c r="CM3" s="3">
        <v>0</v>
      </c>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v>0</v>
      </c>
      <c r="ES3" s="3">
        <v>0</v>
      </c>
      <c r="ET3" s="3">
        <v>0</v>
      </c>
      <c r="EU3" s="3">
        <v>0</v>
      </c>
      <c r="EV3" s="3"/>
      <c r="EW3" s="3"/>
      <c r="EX3" s="3"/>
      <c r="EY3" s="3"/>
      <c r="EZ3" s="3"/>
      <c r="FA3" s="3"/>
      <c r="FB3" s="3"/>
      <c r="FC3" s="3"/>
      <c r="FD3" s="3"/>
      <c r="FE3" s="3"/>
      <c r="FF3" s="3"/>
      <c r="FG3" s="3"/>
      <c r="FH3" s="3"/>
      <c r="FI3" s="3"/>
      <c r="FJ3" s="3"/>
      <c r="FK3" s="3"/>
      <c r="FL3" s="3"/>
      <c r="FM3" s="3"/>
      <c r="FN3" s="3"/>
      <c r="FO3" s="3"/>
      <c r="FP3" s="3"/>
      <c r="FQ3" s="3"/>
      <c r="FR3" s="3"/>
      <c r="FS3" s="3"/>
      <c r="FT3" s="3">
        <v>808000</v>
      </c>
      <c r="FU3" s="3">
        <v>0</v>
      </c>
      <c r="FV3" s="3">
        <v>0</v>
      </c>
      <c r="FW3" s="3">
        <v>808000</v>
      </c>
      <c r="FX3" s="3">
        <v>808000</v>
      </c>
      <c r="FY3" s="3">
        <v>0</v>
      </c>
      <c r="FZ3" s="3">
        <v>0</v>
      </c>
      <c r="GA3" s="3">
        <v>808000</v>
      </c>
      <c r="GB3" s="3">
        <v>808000</v>
      </c>
      <c r="GC3" s="3">
        <v>0</v>
      </c>
      <c r="GD3" s="3">
        <v>0</v>
      </c>
      <c r="GE3" s="3">
        <v>808000</v>
      </c>
      <c r="GF3" s="3">
        <v>808000</v>
      </c>
      <c r="GG3" s="3">
        <v>0</v>
      </c>
      <c r="GH3" s="3">
        <v>0</v>
      </c>
      <c r="GI3" s="3">
        <v>808000</v>
      </c>
      <c r="GJ3" s="3">
        <v>808000</v>
      </c>
      <c r="GK3" s="3">
        <v>0</v>
      </c>
      <c r="GL3" s="3">
        <v>0</v>
      </c>
      <c r="GM3" s="3">
        <v>808000</v>
      </c>
      <c r="GN3" s="3">
        <v>808000</v>
      </c>
      <c r="GO3" s="3">
        <v>0</v>
      </c>
      <c r="GP3" s="3">
        <v>0</v>
      </c>
      <c r="GQ3" s="3">
        <v>808000</v>
      </c>
      <c r="GR3" s="3">
        <v>808000</v>
      </c>
      <c r="GS3" s="3">
        <v>0</v>
      </c>
      <c r="GT3" s="3">
        <v>0</v>
      </c>
      <c r="GU3" s="3">
        <v>808000</v>
      </c>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row>
    <row r="4" spans="1:239" x14ac:dyDescent="0.25">
      <c r="A4" t="s">
        <v>1290</v>
      </c>
      <c r="B4" t="s">
        <v>1291</v>
      </c>
      <c r="C4" t="s">
        <v>735</v>
      </c>
      <c r="D4" t="s">
        <v>1292</v>
      </c>
      <c r="E4" t="s">
        <v>217</v>
      </c>
      <c r="F4" t="s">
        <v>218</v>
      </c>
      <c r="G4" t="s">
        <v>1296</v>
      </c>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v>7214000</v>
      </c>
      <c r="AO4" s="3">
        <v>14409000</v>
      </c>
      <c r="AP4" s="3">
        <v>0</v>
      </c>
      <c r="AQ4" s="3">
        <v>21623000</v>
      </c>
      <c r="AR4" s="3">
        <v>7214000</v>
      </c>
      <c r="AS4" s="3">
        <v>14409000</v>
      </c>
      <c r="AT4" s="3">
        <v>0</v>
      </c>
      <c r="AU4" s="3">
        <v>21623000</v>
      </c>
      <c r="AV4" s="3">
        <v>6297752.2800000003</v>
      </c>
      <c r="AW4" s="3">
        <v>14409000</v>
      </c>
      <c r="AX4" s="3">
        <v>0</v>
      </c>
      <c r="AY4" s="3">
        <v>20706752.280000001</v>
      </c>
      <c r="AZ4" s="3">
        <v>6297752.2800000003</v>
      </c>
      <c r="BA4" s="3">
        <v>14409000</v>
      </c>
      <c r="BB4" s="3">
        <v>0</v>
      </c>
      <c r="BC4" s="3">
        <v>20706752.280000001</v>
      </c>
      <c r="BD4" s="3">
        <v>6297752.2800000003</v>
      </c>
      <c r="BE4" s="3">
        <v>10502317.939999999</v>
      </c>
      <c r="BF4" s="3">
        <v>0</v>
      </c>
      <c r="BG4" s="3">
        <v>16800070.219999999</v>
      </c>
      <c r="BH4" s="3">
        <v>5551646.5899999999</v>
      </c>
      <c r="BI4" s="3">
        <v>10502317.939999999</v>
      </c>
      <c r="BJ4" s="3">
        <v>0</v>
      </c>
      <c r="BK4" s="3">
        <v>16053964.529999999</v>
      </c>
      <c r="BL4" s="3">
        <v>7218000</v>
      </c>
      <c r="BM4" s="3">
        <v>7620000</v>
      </c>
      <c r="BN4" s="3">
        <v>5225000</v>
      </c>
      <c r="BO4" s="3">
        <v>20063000</v>
      </c>
      <c r="BP4" s="3">
        <v>7218000</v>
      </c>
      <c r="BQ4" s="3">
        <v>7620000</v>
      </c>
      <c r="BR4" s="3">
        <v>5225000</v>
      </c>
      <c r="BS4" s="3">
        <v>20063000</v>
      </c>
      <c r="BT4" s="3">
        <v>7218000</v>
      </c>
      <c r="BU4" s="3">
        <v>7620000</v>
      </c>
      <c r="BV4" s="3">
        <v>5225000</v>
      </c>
      <c r="BW4" s="3">
        <v>20063000</v>
      </c>
      <c r="BX4" s="6">
        <v>5455063.4100000001</v>
      </c>
      <c r="BY4" s="6">
        <v>7994013.5599999996</v>
      </c>
      <c r="BZ4" s="3">
        <v>4702000</v>
      </c>
      <c r="CA4" s="3">
        <v>18151076.969999999</v>
      </c>
      <c r="CB4" s="6">
        <v>5455063.4100000001</v>
      </c>
      <c r="CC4" s="6">
        <v>7994013.5599999996</v>
      </c>
      <c r="CD4" s="3">
        <v>4702000</v>
      </c>
      <c r="CE4" s="3">
        <v>18151076.969999999</v>
      </c>
      <c r="CF4" s="3">
        <v>5455063.4100000001</v>
      </c>
      <c r="CG4" s="3">
        <v>7994013.46</v>
      </c>
      <c r="CH4" s="3">
        <v>4702000</v>
      </c>
      <c r="CI4" s="3">
        <v>18151076.870000001</v>
      </c>
      <c r="CJ4" s="3">
        <v>5345668.29</v>
      </c>
      <c r="CK4" s="3">
        <v>6767660.79</v>
      </c>
      <c r="CL4" s="3">
        <v>4382542.34</v>
      </c>
      <c r="CM4" s="3">
        <v>16495871.42</v>
      </c>
      <c r="CN4" s="3">
        <v>5415000</v>
      </c>
      <c r="CO4" s="3">
        <v>14683000</v>
      </c>
      <c r="CP4" s="3">
        <v>0</v>
      </c>
      <c r="CQ4" s="3">
        <v>20098000</v>
      </c>
      <c r="CR4" s="3">
        <v>5415000</v>
      </c>
      <c r="CS4" s="3">
        <v>14683000</v>
      </c>
      <c r="CT4" s="3">
        <v>0</v>
      </c>
      <c r="CU4" s="3">
        <v>20098000</v>
      </c>
      <c r="CV4" s="3">
        <v>5415000</v>
      </c>
      <c r="CW4" s="3">
        <v>14683000</v>
      </c>
      <c r="CX4" s="3">
        <v>0</v>
      </c>
      <c r="CY4" s="3">
        <v>20098000</v>
      </c>
      <c r="CZ4" s="3">
        <v>7632772.1900000004</v>
      </c>
      <c r="DA4" s="3">
        <v>13903000</v>
      </c>
      <c r="DB4" s="3">
        <v>650000</v>
      </c>
      <c r="DC4" s="3">
        <v>22185772.190000001</v>
      </c>
      <c r="DD4" s="3">
        <v>7632772.1900000004</v>
      </c>
      <c r="DE4" s="3">
        <v>13903000</v>
      </c>
      <c r="DF4" s="3">
        <v>650000</v>
      </c>
      <c r="DG4" s="3">
        <v>22185772.190000001</v>
      </c>
      <c r="DH4" s="3">
        <v>7632772.1900000004</v>
      </c>
      <c r="DI4" s="3">
        <v>11966521.17</v>
      </c>
      <c r="DJ4" s="3">
        <v>497555</v>
      </c>
      <c r="DK4" s="3">
        <v>20096848.359999999</v>
      </c>
      <c r="DL4" s="3">
        <v>7525617.1600000001</v>
      </c>
      <c r="DM4" s="3">
        <v>10572028.59</v>
      </c>
      <c r="DN4" s="3">
        <v>475071.18</v>
      </c>
      <c r="DO4" s="3">
        <v>18572716.93</v>
      </c>
      <c r="DP4" s="3">
        <v>6858000</v>
      </c>
      <c r="DQ4" s="3">
        <v>6657000</v>
      </c>
      <c r="DR4" s="3">
        <v>0</v>
      </c>
      <c r="DS4" s="3">
        <v>13515000</v>
      </c>
      <c r="DT4" s="3">
        <v>6858000</v>
      </c>
      <c r="DU4" s="3">
        <v>6657000</v>
      </c>
      <c r="DV4" s="3">
        <v>0</v>
      </c>
      <c r="DW4" s="3">
        <v>13515000</v>
      </c>
      <c r="DX4" s="3">
        <v>6858000</v>
      </c>
      <c r="DY4" s="3">
        <v>6657000</v>
      </c>
      <c r="DZ4" s="3">
        <v>0</v>
      </c>
      <c r="EA4" s="3">
        <v>13515000</v>
      </c>
      <c r="EB4" s="3">
        <v>7913584.0899999999</v>
      </c>
      <c r="EC4" s="3">
        <v>6445000</v>
      </c>
      <c r="ED4" s="3">
        <v>0</v>
      </c>
      <c r="EE4" s="3">
        <v>14358584.09</v>
      </c>
      <c r="EF4" s="3">
        <v>7913584.0899999999</v>
      </c>
      <c r="EG4" s="3">
        <v>6445000</v>
      </c>
      <c r="EH4" s="3">
        <v>0</v>
      </c>
      <c r="EI4" s="3">
        <v>14358584.09</v>
      </c>
      <c r="EJ4" s="3">
        <v>7913584.0899999999</v>
      </c>
      <c r="EK4" s="3">
        <v>6433871.7400000002</v>
      </c>
      <c r="EL4" s="3">
        <v>0</v>
      </c>
      <c r="EM4" s="3">
        <v>14347455.83</v>
      </c>
      <c r="EN4" s="3">
        <v>7316718.46</v>
      </c>
      <c r="EO4" s="3">
        <v>5711611.7199999997</v>
      </c>
      <c r="EP4" s="3">
        <v>0</v>
      </c>
      <c r="EQ4" s="3">
        <v>13028330.18</v>
      </c>
      <c r="ER4" s="3">
        <v>7109000</v>
      </c>
      <c r="ES4" s="3">
        <v>11123000</v>
      </c>
      <c r="ET4" s="3">
        <v>1975000</v>
      </c>
      <c r="EU4" s="3">
        <v>20207000</v>
      </c>
      <c r="EV4" s="3">
        <v>7109000</v>
      </c>
      <c r="EW4" s="3">
        <v>11123000</v>
      </c>
      <c r="EX4" s="3">
        <v>1975000</v>
      </c>
      <c r="EY4" s="3">
        <v>20207000</v>
      </c>
      <c r="EZ4" s="3">
        <v>7109000</v>
      </c>
      <c r="FA4" s="3">
        <v>11123000</v>
      </c>
      <c r="FB4" s="3">
        <v>1975000</v>
      </c>
      <c r="FC4" s="3">
        <v>20207000</v>
      </c>
      <c r="FD4" s="3">
        <v>8434478.7200000007</v>
      </c>
      <c r="FE4" s="3">
        <v>9144861.3499999996</v>
      </c>
      <c r="FF4" s="3">
        <v>1975000</v>
      </c>
      <c r="FG4" s="3">
        <v>19554340.07</v>
      </c>
      <c r="FH4" s="3">
        <v>8434478.7200000007</v>
      </c>
      <c r="FI4" s="3">
        <v>9144861.3499999996</v>
      </c>
      <c r="FJ4" s="3">
        <v>1975000</v>
      </c>
      <c r="FK4" s="3">
        <v>19554340.07</v>
      </c>
      <c r="FL4" s="3">
        <v>8434478.7200000007</v>
      </c>
      <c r="FM4" s="3">
        <v>9144861.3499999996</v>
      </c>
      <c r="FN4" s="3">
        <v>1946764.6</v>
      </c>
      <c r="FO4" s="3">
        <v>19526104.670000002</v>
      </c>
      <c r="FP4" s="3">
        <v>8341299.6900000004</v>
      </c>
      <c r="FQ4" s="3">
        <v>8891803.8100000005</v>
      </c>
      <c r="FR4" s="3">
        <v>1867545.8</v>
      </c>
      <c r="FS4" s="3">
        <v>19100649.300000001</v>
      </c>
      <c r="FT4" s="3">
        <v>7109000</v>
      </c>
      <c r="FU4" s="3">
        <v>11252000</v>
      </c>
      <c r="FV4" s="3">
        <v>0</v>
      </c>
      <c r="FW4" s="3">
        <v>18361000</v>
      </c>
      <c r="FX4" s="3">
        <v>7109000</v>
      </c>
      <c r="FY4" s="3">
        <v>12832000</v>
      </c>
      <c r="FZ4" s="3">
        <v>0</v>
      </c>
      <c r="GA4" s="3">
        <v>19941000</v>
      </c>
      <c r="GB4" s="3">
        <v>7109000</v>
      </c>
      <c r="GC4" s="3">
        <v>12832000</v>
      </c>
      <c r="GD4" s="3">
        <v>0</v>
      </c>
      <c r="GE4" s="3">
        <v>19941000</v>
      </c>
      <c r="GF4" s="3">
        <v>9821378.9700000007</v>
      </c>
      <c r="GG4" s="3">
        <v>16320648.48</v>
      </c>
      <c r="GH4" s="3">
        <v>0</v>
      </c>
      <c r="GI4" s="3">
        <v>26142027.449999999</v>
      </c>
      <c r="GJ4" s="3">
        <v>9821378.9700000007</v>
      </c>
      <c r="GK4" s="3">
        <v>16320648.48</v>
      </c>
      <c r="GL4" s="3">
        <v>0</v>
      </c>
      <c r="GM4" s="3">
        <v>26142027.449999999</v>
      </c>
      <c r="GN4" s="3">
        <v>9791101.8100000005</v>
      </c>
      <c r="GO4" s="3">
        <v>16320648.48</v>
      </c>
      <c r="GP4" s="3">
        <v>0</v>
      </c>
      <c r="GQ4" s="3">
        <v>26111750.289999999</v>
      </c>
      <c r="GR4" s="3">
        <v>9071631.6500000004</v>
      </c>
      <c r="GS4" s="3">
        <v>14215346.16</v>
      </c>
      <c r="GT4" s="3">
        <v>0</v>
      </c>
      <c r="GU4" s="3">
        <v>23286977.809999999</v>
      </c>
      <c r="GV4" s="3">
        <v>8006000</v>
      </c>
      <c r="GW4" s="3">
        <v>15928000</v>
      </c>
      <c r="GX4" s="3">
        <v>0</v>
      </c>
      <c r="GY4" s="3">
        <v>23934000</v>
      </c>
      <c r="GZ4" s="3">
        <v>8006000</v>
      </c>
      <c r="HA4" s="3">
        <v>15928000</v>
      </c>
      <c r="HB4" s="3">
        <v>0</v>
      </c>
      <c r="HC4" s="3">
        <v>23934000</v>
      </c>
      <c r="HD4" s="3">
        <v>8006000</v>
      </c>
      <c r="HE4" s="3">
        <v>15928000</v>
      </c>
      <c r="HF4" s="3">
        <v>0</v>
      </c>
      <c r="HG4" s="3">
        <v>23934000</v>
      </c>
      <c r="HH4" s="3">
        <v>8498558.9000000004</v>
      </c>
      <c r="HI4" s="3">
        <v>15435441.1</v>
      </c>
      <c r="HJ4" s="3">
        <v>0</v>
      </c>
      <c r="HK4" s="3">
        <v>23934000</v>
      </c>
      <c r="HL4" s="3">
        <v>8498558.9000000004</v>
      </c>
      <c r="HM4" s="3">
        <v>15435441.1</v>
      </c>
      <c r="HN4" s="3">
        <v>0</v>
      </c>
      <c r="HO4" s="3">
        <v>23934000</v>
      </c>
      <c r="HP4" s="3">
        <v>8498558.9000000004</v>
      </c>
      <c r="HQ4" s="3">
        <v>11187704.23</v>
      </c>
      <c r="HR4" s="3">
        <v>0</v>
      </c>
      <c r="HS4" s="3">
        <v>19686263.129999999</v>
      </c>
      <c r="HT4" s="3">
        <v>8495058.9000000004</v>
      </c>
      <c r="HU4" s="3">
        <v>10669183.41</v>
      </c>
      <c r="HV4" s="3">
        <v>0</v>
      </c>
      <c r="HW4" s="3">
        <v>19164242.309999999</v>
      </c>
      <c r="HX4" s="3">
        <v>8265000</v>
      </c>
      <c r="HY4" s="3">
        <v>11523000</v>
      </c>
      <c r="HZ4" s="3">
        <v>0</v>
      </c>
      <c r="IA4" s="3">
        <v>19788000</v>
      </c>
      <c r="IB4" s="3">
        <v>8265000</v>
      </c>
      <c r="IC4" s="3">
        <v>11523000</v>
      </c>
      <c r="ID4" s="3">
        <v>0</v>
      </c>
      <c r="IE4" s="3">
        <v>19788000</v>
      </c>
    </row>
    <row r="5" spans="1:239" x14ac:dyDescent="0.25">
      <c r="A5" t="s">
        <v>1290</v>
      </c>
      <c r="B5" t="s">
        <v>1291</v>
      </c>
      <c r="C5" t="s">
        <v>735</v>
      </c>
      <c r="D5" t="s">
        <v>1292</v>
      </c>
      <c r="E5" t="s">
        <v>217</v>
      </c>
      <c r="F5" t="s">
        <v>220</v>
      </c>
      <c r="G5" t="s">
        <v>1297</v>
      </c>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v>8255000</v>
      </c>
      <c r="AO5" s="3">
        <v>33306000</v>
      </c>
      <c r="AP5" s="3">
        <v>0</v>
      </c>
      <c r="AQ5" s="3">
        <v>41561000</v>
      </c>
      <c r="AR5" s="3">
        <v>8255000</v>
      </c>
      <c r="AS5" s="3">
        <v>19631000</v>
      </c>
      <c r="AT5" s="3">
        <v>0</v>
      </c>
      <c r="AU5" s="3">
        <v>27886000</v>
      </c>
      <c r="AV5" s="3">
        <v>9462340.5700000003</v>
      </c>
      <c r="AW5" s="3">
        <v>31333500</v>
      </c>
      <c r="AX5" s="3">
        <v>0</v>
      </c>
      <c r="AY5" s="3">
        <v>40795840.57</v>
      </c>
      <c r="AZ5" s="3">
        <v>9462340.5700000003</v>
      </c>
      <c r="BA5" s="3">
        <v>31333500</v>
      </c>
      <c r="BB5" s="3">
        <v>0</v>
      </c>
      <c r="BC5" s="3">
        <v>40795840.57</v>
      </c>
      <c r="BD5" s="3">
        <v>9462340.5700000003</v>
      </c>
      <c r="BE5" s="3">
        <v>28597156.73</v>
      </c>
      <c r="BF5" s="3">
        <v>0</v>
      </c>
      <c r="BG5" s="3">
        <v>38059497.299999997</v>
      </c>
      <c r="BH5" s="3">
        <v>9462340.5700000003</v>
      </c>
      <c r="BI5" s="3">
        <v>27628159.780000001</v>
      </c>
      <c r="BJ5" s="3">
        <v>0</v>
      </c>
      <c r="BK5" s="3">
        <v>37090500.350000001</v>
      </c>
      <c r="BL5" s="3">
        <v>9208000</v>
      </c>
      <c r="BM5" s="3">
        <v>17586000</v>
      </c>
      <c r="BN5" s="3">
        <v>0</v>
      </c>
      <c r="BO5" s="3">
        <v>26794000</v>
      </c>
      <c r="BP5" s="3">
        <v>9208000</v>
      </c>
      <c r="BQ5" s="3">
        <v>17586000</v>
      </c>
      <c r="BR5" s="3">
        <v>0</v>
      </c>
      <c r="BS5" s="3">
        <v>26794000</v>
      </c>
      <c r="BT5" s="3">
        <v>9208000</v>
      </c>
      <c r="BU5" s="3">
        <v>17586000</v>
      </c>
      <c r="BV5" s="3">
        <v>0</v>
      </c>
      <c r="BW5" s="3">
        <v>26794000</v>
      </c>
      <c r="BX5" s="6">
        <v>10495497.16</v>
      </c>
      <c r="BY5" s="6">
        <v>10403490.51</v>
      </c>
      <c r="BZ5" s="3">
        <v>0</v>
      </c>
      <c r="CA5" s="3">
        <v>20898987.670000002</v>
      </c>
      <c r="CB5" s="6">
        <v>10495497.16</v>
      </c>
      <c r="CC5" s="6">
        <v>10403490.51</v>
      </c>
      <c r="CD5" s="3">
        <v>0</v>
      </c>
      <c r="CE5" s="3">
        <v>20898987.670000002</v>
      </c>
      <c r="CF5" s="3">
        <v>10052950.439999999</v>
      </c>
      <c r="CG5" s="3">
        <v>3522896.7</v>
      </c>
      <c r="CH5" s="3">
        <v>0</v>
      </c>
      <c r="CI5" s="3">
        <v>13575847.140000001</v>
      </c>
      <c r="CJ5" s="3">
        <v>9802823.6799999997</v>
      </c>
      <c r="CK5" s="3">
        <v>3261848.49</v>
      </c>
      <c r="CL5" s="3">
        <v>0</v>
      </c>
      <c r="CM5" s="3">
        <v>13064672.17</v>
      </c>
      <c r="CN5" s="3">
        <v>8376000</v>
      </c>
      <c r="CO5" s="3">
        <v>17903000</v>
      </c>
      <c r="CP5" s="3">
        <v>0</v>
      </c>
      <c r="CQ5" s="3">
        <v>26279000</v>
      </c>
      <c r="CR5" s="3">
        <v>8376000</v>
      </c>
      <c r="CS5" s="3">
        <v>17903000</v>
      </c>
      <c r="CT5" s="3">
        <v>0</v>
      </c>
      <c r="CU5" s="3">
        <v>26279000</v>
      </c>
      <c r="CV5" s="3">
        <v>8376000</v>
      </c>
      <c r="CW5" s="3">
        <v>17903000</v>
      </c>
      <c r="CX5" s="3">
        <v>0</v>
      </c>
      <c r="CY5" s="3">
        <v>26279000</v>
      </c>
      <c r="CZ5" s="3">
        <v>11061203.720000001</v>
      </c>
      <c r="DA5" s="3">
        <v>12625246.289999999</v>
      </c>
      <c r="DB5" s="3">
        <v>0</v>
      </c>
      <c r="DC5" s="3">
        <v>23686450.010000002</v>
      </c>
      <c r="DD5" s="3">
        <v>11061203.720000001</v>
      </c>
      <c r="DE5" s="3">
        <v>12625246.289999999</v>
      </c>
      <c r="DF5" s="3">
        <v>0</v>
      </c>
      <c r="DG5" s="3">
        <v>23686450.010000002</v>
      </c>
      <c r="DH5" s="3">
        <v>11061203.720000001</v>
      </c>
      <c r="DI5" s="3">
        <v>8478469.5199999996</v>
      </c>
      <c r="DJ5" s="3">
        <v>0</v>
      </c>
      <c r="DK5" s="3">
        <v>19539673.239999998</v>
      </c>
      <c r="DL5" s="3">
        <v>10953289.74</v>
      </c>
      <c r="DM5" s="3">
        <v>6493169.7999999998</v>
      </c>
      <c r="DN5" s="3">
        <v>0</v>
      </c>
      <c r="DO5" s="3">
        <v>17446459.539999999</v>
      </c>
      <c r="DP5" s="3">
        <v>9698000</v>
      </c>
      <c r="DQ5" s="3">
        <v>17903000</v>
      </c>
      <c r="DR5" s="3">
        <v>0</v>
      </c>
      <c r="DS5" s="3">
        <v>27601000</v>
      </c>
      <c r="DT5" s="3">
        <v>9698000</v>
      </c>
      <c r="DU5" s="3">
        <v>17903000</v>
      </c>
      <c r="DV5" s="3">
        <v>0</v>
      </c>
      <c r="DW5" s="3">
        <v>27601000</v>
      </c>
      <c r="DX5" s="3">
        <v>9698000</v>
      </c>
      <c r="DY5" s="3">
        <v>17903000</v>
      </c>
      <c r="DZ5" s="3">
        <v>0</v>
      </c>
      <c r="EA5" s="3">
        <v>27601000</v>
      </c>
      <c r="EB5" s="3">
        <v>11767959.310000001</v>
      </c>
      <c r="EC5" s="3">
        <v>14856163.18</v>
      </c>
      <c r="ED5" s="3">
        <v>0</v>
      </c>
      <c r="EE5" s="3">
        <v>26624122.489999998</v>
      </c>
      <c r="EF5" s="3">
        <v>11767959.310000001</v>
      </c>
      <c r="EG5" s="3">
        <v>14856163.18</v>
      </c>
      <c r="EH5" s="3">
        <v>0</v>
      </c>
      <c r="EI5" s="3">
        <v>26624122.489999998</v>
      </c>
      <c r="EJ5" s="3">
        <v>11729471.060000001</v>
      </c>
      <c r="EK5" s="3">
        <v>12339069.710000001</v>
      </c>
      <c r="EL5" s="3">
        <v>0</v>
      </c>
      <c r="EM5" s="3">
        <v>24068540.77</v>
      </c>
      <c r="EN5" s="3">
        <v>10172765.810000001</v>
      </c>
      <c r="EO5" s="3">
        <v>9001073.9399999995</v>
      </c>
      <c r="EP5" s="3">
        <v>0</v>
      </c>
      <c r="EQ5" s="3">
        <v>19173839.75</v>
      </c>
      <c r="ER5" s="3">
        <v>10026000</v>
      </c>
      <c r="ES5" s="3">
        <v>6763000</v>
      </c>
      <c r="ET5" s="3">
        <v>0</v>
      </c>
      <c r="EU5" s="3">
        <v>16789000</v>
      </c>
      <c r="EV5" s="3">
        <v>10026000</v>
      </c>
      <c r="EW5" s="3">
        <v>12558000</v>
      </c>
      <c r="EX5" s="3">
        <v>0</v>
      </c>
      <c r="EY5" s="3">
        <v>22584000</v>
      </c>
      <c r="EZ5" s="3">
        <v>10026000</v>
      </c>
      <c r="FA5" s="3">
        <v>12558000</v>
      </c>
      <c r="FB5" s="3">
        <v>0</v>
      </c>
      <c r="FC5" s="3">
        <v>22584000</v>
      </c>
      <c r="FD5" s="3">
        <v>9582805.5199999996</v>
      </c>
      <c r="FE5" s="3">
        <v>11765742.210000001</v>
      </c>
      <c r="FF5" s="3">
        <v>0</v>
      </c>
      <c r="FG5" s="3">
        <v>21348547.73</v>
      </c>
      <c r="FH5" s="3">
        <v>9582805.5199999996</v>
      </c>
      <c r="FI5" s="3">
        <v>11765742.210000001</v>
      </c>
      <c r="FJ5" s="3">
        <v>0</v>
      </c>
      <c r="FK5" s="3">
        <v>21348547.73</v>
      </c>
      <c r="FL5" s="3">
        <v>9582805.5199999996</v>
      </c>
      <c r="FM5" s="3">
        <v>11719442.210000001</v>
      </c>
      <c r="FN5" s="3">
        <v>0</v>
      </c>
      <c r="FO5" s="3">
        <v>21302247.73</v>
      </c>
      <c r="FP5" s="3">
        <v>9489382.8300000001</v>
      </c>
      <c r="FQ5" s="3">
        <v>11339319.34</v>
      </c>
      <c r="FR5" s="3">
        <v>0</v>
      </c>
      <c r="FS5" s="3">
        <v>20828702.170000002</v>
      </c>
      <c r="FT5" s="3">
        <v>10026000</v>
      </c>
      <c r="FU5" s="3">
        <v>6571000</v>
      </c>
      <c r="FV5" s="3">
        <v>0</v>
      </c>
      <c r="FW5" s="3">
        <v>16597000</v>
      </c>
      <c r="FX5" s="3">
        <v>10026000</v>
      </c>
      <c r="FY5" s="3">
        <v>16232000</v>
      </c>
      <c r="FZ5" s="3">
        <v>0</v>
      </c>
      <c r="GA5" s="3">
        <v>26258000</v>
      </c>
      <c r="GB5" s="3">
        <v>10026000</v>
      </c>
      <c r="GC5" s="3">
        <v>16232000</v>
      </c>
      <c r="GD5" s="3">
        <v>0</v>
      </c>
      <c r="GE5" s="3">
        <v>26258000</v>
      </c>
      <c r="GF5" s="3">
        <v>10778000</v>
      </c>
      <c r="GG5" s="3">
        <v>15480000</v>
      </c>
      <c r="GH5" s="3">
        <v>0</v>
      </c>
      <c r="GI5" s="3">
        <v>26258000</v>
      </c>
      <c r="GJ5" s="3">
        <v>10778000</v>
      </c>
      <c r="GK5" s="3">
        <v>15480000</v>
      </c>
      <c r="GL5" s="3">
        <v>0</v>
      </c>
      <c r="GM5" s="3">
        <v>26258000</v>
      </c>
      <c r="GN5" s="3">
        <v>10343893.300000001</v>
      </c>
      <c r="GO5" s="3">
        <v>14566839.85</v>
      </c>
      <c r="GP5" s="3">
        <v>0</v>
      </c>
      <c r="GQ5" s="3">
        <v>24910733.149999999</v>
      </c>
      <c r="GR5" s="3">
        <v>10241291.43</v>
      </c>
      <c r="GS5" s="3">
        <v>13828340.380000001</v>
      </c>
      <c r="GT5" s="3">
        <v>0</v>
      </c>
      <c r="GU5" s="3">
        <v>24069631.809999999</v>
      </c>
      <c r="GV5" s="3">
        <v>10055000</v>
      </c>
      <c r="GW5" s="3">
        <v>11746000</v>
      </c>
      <c r="GX5" s="3">
        <v>0</v>
      </c>
      <c r="GY5" s="3">
        <v>21801000</v>
      </c>
      <c r="GZ5" s="3">
        <v>10055000</v>
      </c>
      <c r="HA5" s="3">
        <v>11746000</v>
      </c>
      <c r="HB5" s="3">
        <v>0</v>
      </c>
      <c r="HC5" s="3">
        <v>21801000</v>
      </c>
      <c r="HD5" s="3">
        <v>10055000</v>
      </c>
      <c r="HE5" s="3">
        <v>11746000</v>
      </c>
      <c r="HF5" s="3">
        <v>0</v>
      </c>
      <c r="HG5" s="3">
        <v>21801000</v>
      </c>
      <c r="HH5" s="3">
        <v>10712710.630000001</v>
      </c>
      <c r="HI5" s="3">
        <v>11088289.369999999</v>
      </c>
      <c r="HJ5" s="3">
        <v>0</v>
      </c>
      <c r="HK5" s="3">
        <v>21801000</v>
      </c>
      <c r="HL5" s="3">
        <v>10712710.630000001</v>
      </c>
      <c r="HM5" s="3">
        <v>11088289.369999999</v>
      </c>
      <c r="HN5" s="3">
        <v>0</v>
      </c>
      <c r="HO5" s="3">
        <v>21801000</v>
      </c>
      <c r="HP5" s="3">
        <v>10708537.67</v>
      </c>
      <c r="HQ5" s="3">
        <v>9582939.3399999999</v>
      </c>
      <c r="HR5" s="3">
        <v>0</v>
      </c>
      <c r="HS5" s="3">
        <v>20291477.010000002</v>
      </c>
      <c r="HT5" s="3">
        <v>10679537.67</v>
      </c>
      <c r="HU5" s="3">
        <v>8531905.5999999996</v>
      </c>
      <c r="HV5" s="3">
        <v>0</v>
      </c>
      <c r="HW5" s="3">
        <v>19211443.27</v>
      </c>
      <c r="HX5" s="3">
        <v>7878000</v>
      </c>
      <c r="HY5" s="3">
        <v>14484000</v>
      </c>
      <c r="HZ5" s="3">
        <v>0</v>
      </c>
      <c r="IA5" s="3">
        <v>22362000</v>
      </c>
      <c r="IB5" s="3">
        <v>7878000</v>
      </c>
      <c r="IC5" s="3">
        <v>14484000</v>
      </c>
      <c r="ID5" s="3">
        <v>0</v>
      </c>
      <c r="IE5" s="3">
        <v>22362000</v>
      </c>
    </row>
    <row r="6" spans="1:239" x14ac:dyDescent="0.25">
      <c r="A6" t="s">
        <v>1290</v>
      </c>
      <c r="B6" t="s">
        <v>1291</v>
      </c>
      <c r="C6" t="s">
        <v>735</v>
      </c>
      <c r="D6" t="s">
        <v>1292</v>
      </c>
      <c r="E6" t="s">
        <v>217</v>
      </c>
      <c r="F6" t="s">
        <v>222</v>
      </c>
      <c r="G6" t="s">
        <v>1298</v>
      </c>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v>7460000</v>
      </c>
      <c r="AO6" s="3">
        <v>2596000</v>
      </c>
      <c r="AP6" s="3">
        <v>0</v>
      </c>
      <c r="AQ6" s="3">
        <v>10056000</v>
      </c>
      <c r="AR6" s="3">
        <v>7460000</v>
      </c>
      <c r="AS6" s="3">
        <v>2596000</v>
      </c>
      <c r="AT6" s="3">
        <v>0</v>
      </c>
      <c r="AU6" s="3">
        <v>10056000</v>
      </c>
      <c r="AV6" s="3">
        <v>9189956.6699999999</v>
      </c>
      <c r="AW6" s="3">
        <v>2596000</v>
      </c>
      <c r="AX6" s="3">
        <v>0</v>
      </c>
      <c r="AY6" s="3">
        <v>11785956.67</v>
      </c>
      <c r="AZ6" s="3">
        <v>9189956.6699999999</v>
      </c>
      <c r="BA6" s="3">
        <v>2596000</v>
      </c>
      <c r="BB6" s="3">
        <v>0</v>
      </c>
      <c r="BC6" s="3">
        <v>11785956.67</v>
      </c>
      <c r="BD6" s="3">
        <v>9189956.6699999999</v>
      </c>
      <c r="BE6" s="3">
        <v>2596000</v>
      </c>
      <c r="BF6" s="3">
        <v>0</v>
      </c>
      <c r="BG6" s="3">
        <v>11785956.67</v>
      </c>
      <c r="BH6" s="3">
        <v>8201788.6600000001</v>
      </c>
      <c r="BI6" s="3">
        <v>2533342.7999999998</v>
      </c>
      <c r="BJ6" s="3">
        <v>0</v>
      </c>
      <c r="BK6" s="3">
        <v>10735131.460000001</v>
      </c>
      <c r="BL6" s="3">
        <v>7460000</v>
      </c>
      <c r="BM6" s="3">
        <v>2325000</v>
      </c>
      <c r="BN6" s="3">
        <v>0</v>
      </c>
      <c r="BO6" s="3">
        <v>9785000</v>
      </c>
      <c r="BP6" s="3">
        <v>7460000</v>
      </c>
      <c r="BQ6" s="3">
        <v>2325000</v>
      </c>
      <c r="BR6" s="3">
        <v>0</v>
      </c>
      <c r="BS6" s="3">
        <v>9785000</v>
      </c>
      <c r="BT6" s="3">
        <v>7460000</v>
      </c>
      <c r="BU6" s="3">
        <v>2325000</v>
      </c>
      <c r="BV6" s="3">
        <v>0</v>
      </c>
      <c r="BW6" s="3">
        <v>9785000</v>
      </c>
      <c r="BX6" s="6">
        <v>7757510.7000000002</v>
      </c>
      <c r="BY6" s="6">
        <v>2325000</v>
      </c>
      <c r="BZ6" s="3">
        <v>0</v>
      </c>
      <c r="CA6" s="3">
        <v>10082510.699999999</v>
      </c>
      <c r="CB6" s="6">
        <v>7757510.7000000002</v>
      </c>
      <c r="CC6" s="6">
        <v>2325000</v>
      </c>
      <c r="CD6" s="3">
        <v>0</v>
      </c>
      <c r="CE6" s="3">
        <v>10082510.699999999</v>
      </c>
      <c r="CF6" s="3">
        <v>7757510.7000000002</v>
      </c>
      <c r="CG6" s="3">
        <v>1484285.89</v>
      </c>
      <c r="CH6" s="3">
        <v>0</v>
      </c>
      <c r="CI6" s="3">
        <v>9241796.5899999999</v>
      </c>
      <c r="CJ6" s="3">
        <v>6614472.1600000001</v>
      </c>
      <c r="CK6" s="3">
        <v>1040895.73</v>
      </c>
      <c r="CL6" s="3">
        <v>0</v>
      </c>
      <c r="CM6" s="3">
        <v>7655367.8899999997</v>
      </c>
      <c r="CN6" s="3">
        <v>6900000</v>
      </c>
      <c r="CO6" s="3">
        <v>2367000</v>
      </c>
      <c r="CP6" s="3">
        <v>0</v>
      </c>
      <c r="CQ6" s="3">
        <v>9267000</v>
      </c>
      <c r="CR6" s="3">
        <v>6900000</v>
      </c>
      <c r="CS6" s="3">
        <v>7367000</v>
      </c>
      <c r="CT6" s="3">
        <v>0</v>
      </c>
      <c r="CU6" s="3">
        <v>14267000</v>
      </c>
      <c r="CV6" s="3">
        <v>6900000</v>
      </c>
      <c r="CW6" s="3">
        <v>7367000</v>
      </c>
      <c r="CX6" s="3">
        <v>0</v>
      </c>
      <c r="CY6" s="3">
        <v>14267000</v>
      </c>
      <c r="CZ6" s="3">
        <v>6989909.2699999996</v>
      </c>
      <c r="DA6" s="3">
        <v>7284000</v>
      </c>
      <c r="DB6" s="3">
        <v>0</v>
      </c>
      <c r="DC6" s="3">
        <v>14273909.27</v>
      </c>
      <c r="DD6" s="3">
        <v>6989909.2699999996</v>
      </c>
      <c r="DE6" s="3">
        <v>7284000</v>
      </c>
      <c r="DF6" s="3">
        <v>0</v>
      </c>
      <c r="DG6" s="3">
        <v>14273909.27</v>
      </c>
      <c r="DH6" s="3">
        <v>6987931.96</v>
      </c>
      <c r="DI6" s="3">
        <v>1744126.25</v>
      </c>
      <c r="DJ6" s="3">
        <v>0</v>
      </c>
      <c r="DK6" s="3">
        <v>8732058.2100000009</v>
      </c>
      <c r="DL6" s="3">
        <v>6857844.25</v>
      </c>
      <c r="DM6" s="3">
        <v>1493874.66</v>
      </c>
      <c r="DN6" s="3">
        <v>0</v>
      </c>
      <c r="DO6" s="3">
        <v>8351718.9100000001</v>
      </c>
      <c r="DP6" s="3">
        <v>7649000</v>
      </c>
      <c r="DQ6" s="3">
        <v>2367000</v>
      </c>
      <c r="DR6" s="3">
        <v>0</v>
      </c>
      <c r="DS6" s="3">
        <v>10016000</v>
      </c>
      <c r="DT6" s="3">
        <v>7649000</v>
      </c>
      <c r="DU6" s="3">
        <v>2367000</v>
      </c>
      <c r="DV6" s="3">
        <v>0</v>
      </c>
      <c r="DW6" s="3">
        <v>10016000</v>
      </c>
      <c r="DX6" s="3">
        <v>7649000</v>
      </c>
      <c r="DY6" s="3">
        <v>2367000</v>
      </c>
      <c r="DZ6" s="3">
        <v>0</v>
      </c>
      <c r="EA6" s="3">
        <v>10016000</v>
      </c>
      <c r="EB6" s="3">
        <v>7712772.0499999998</v>
      </c>
      <c r="EC6" s="3">
        <v>2367000</v>
      </c>
      <c r="ED6" s="3">
        <v>0</v>
      </c>
      <c r="EE6" s="3">
        <v>10079772.050000001</v>
      </c>
      <c r="EF6" s="3">
        <v>7712772.0499999998</v>
      </c>
      <c r="EG6" s="3">
        <v>2367000</v>
      </c>
      <c r="EH6" s="3">
        <v>0</v>
      </c>
      <c r="EI6" s="3">
        <v>10079772.050000001</v>
      </c>
      <c r="EJ6" s="3">
        <v>7712772.0499999998</v>
      </c>
      <c r="EK6" s="3">
        <v>2305721.7999999998</v>
      </c>
      <c r="EL6" s="3">
        <v>0</v>
      </c>
      <c r="EM6" s="3">
        <v>10018493.85</v>
      </c>
      <c r="EN6" s="3">
        <v>7104456.21</v>
      </c>
      <c r="EO6" s="3">
        <v>2274150.85</v>
      </c>
      <c r="EP6" s="3">
        <v>0</v>
      </c>
      <c r="EQ6" s="3">
        <v>9378607.0600000005</v>
      </c>
      <c r="ER6" s="3">
        <v>7892000</v>
      </c>
      <c r="ES6" s="3">
        <v>5019000</v>
      </c>
      <c r="ET6" s="3">
        <v>0</v>
      </c>
      <c r="EU6" s="3">
        <v>12911000</v>
      </c>
      <c r="EV6" s="3">
        <v>7892000</v>
      </c>
      <c r="EW6" s="3">
        <v>10019000</v>
      </c>
      <c r="EX6" s="3">
        <v>0</v>
      </c>
      <c r="EY6" s="3">
        <v>17911000</v>
      </c>
      <c r="EZ6" s="3">
        <v>7892000</v>
      </c>
      <c r="FA6" s="3">
        <v>10019000</v>
      </c>
      <c r="FB6" s="3">
        <v>0</v>
      </c>
      <c r="FC6" s="3">
        <v>17911000</v>
      </c>
      <c r="FD6" s="3">
        <v>8777103.8100000005</v>
      </c>
      <c r="FE6" s="3">
        <v>9581695.5500000007</v>
      </c>
      <c r="FF6" s="3">
        <v>0</v>
      </c>
      <c r="FG6" s="3">
        <v>18358799.359999999</v>
      </c>
      <c r="FH6" s="3">
        <v>8777103.8100000005</v>
      </c>
      <c r="FI6" s="3">
        <v>9581695.5500000007</v>
      </c>
      <c r="FJ6" s="3">
        <v>0</v>
      </c>
      <c r="FK6" s="3">
        <v>18358799.359999999</v>
      </c>
      <c r="FL6" s="3">
        <v>8777103.8100000005</v>
      </c>
      <c r="FM6" s="3">
        <v>7771110.5700000003</v>
      </c>
      <c r="FN6" s="3">
        <v>0</v>
      </c>
      <c r="FO6" s="3">
        <v>16548214.380000001</v>
      </c>
      <c r="FP6" s="3">
        <v>8407720.3000000007</v>
      </c>
      <c r="FQ6" s="3">
        <v>7625472.5899999999</v>
      </c>
      <c r="FR6" s="3">
        <v>0</v>
      </c>
      <c r="FS6" s="3">
        <v>16033192.890000001</v>
      </c>
      <c r="FT6" s="3">
        <v>7892000</v>
      </c>
      <c r="FU6" s="3">
        <v>26513000</v>
      </c>
      <c r="FV6" s="3">
        <v>0</v>
      </c>
      <c r="FW6" s="3">
        <v>34405000</v>
      </c>
      <c r="FX6" s="3">
        <v>7892000</v>
      </c>
      <c r="FY6" s="3">
        <v>26513000</v>
      </c>
      <c r="FZ6" s="3">
        <v>0</v>
      </c>
      <c r="GA6" s="3">
        <v>34405000</v>
      </c>
      <c r="GB6" s="3">
        <v>7892000</v>
      </c>
      <c r="GC6" s="3">
        <v>26513000</v>
      </c>
      <c r="GD6" s="3">
        <v>0</v>
      </c>
      <c r="GE6" s="3">
        <v>34405000</v>
      </c>
      <c r="GF6" s="3">
        <v>8062000</v>
      </c>
      <c r="GG6" s="3">
        <v>23851939.329999998</v>
      </c>
      <c r="GH6" s="3">
        <v>0</v>
      </c>
      <c r="GI6" s="3">
        <v>31913939.329999998</v>
      </c>
      <c r="GJ6" s="3">
        <v>8062000</v>
      </c>
      <c r="GK6" s="3">
        <v>23851939.329999998</v>
      </c>
      <c r="GL6" s="3">
        <v>0</v>
      </c>
      <c r="GM6" s="3">
        <v>31913939.329999998</v>
      </c>
      <c r="GN6" s="3">
        <v>7817403.1399999997</v>
      </c>
      <c r="GO6" s="3">
        <v>14214983.43</v>
      </c>
      <c r="GP6" s="3">
        <v>0</v>
      </c>
      <c r="GQ6" s="3">
        <v>22032386.57</v>
      </c>
      <c r="GR6" s="3">
        <v>7647834.5300000003</v>
      </c>
      <c r="GS6" s="3">
        <v>13473999.17</v>
      </c>
      <c r="GT6" s="3">
        <v>0</v>
      </c>
      <c r="GU6" s="3">
        <v>21121833.699999999</v>
      </c>
      <c r="GV6" s="3">
        <v>7248000</v>
      </c>
      <c r="GW6" s="3">
        <v>27216000</v>
      </c>
      <c r="GX6" s="3">
        <v>0</v>
      </c>
      <c r="GY6" s="3">
        <v>34464000</v>
      </c>
      <c r="GZ6" s="3">
        <v>7248000</v>
      </c>
      <c r="HA6" s="3">
        <v>27216000</v>
      </c>
      <c r="HB6" s="3">
        <v>0</v>
      </c>
      <c r="HC6" s="3">
        <v>34464000</v>
      </c>
      <c r="HD6" s="3">
        <v>7248000</v>
      </c>
      <c r="HE6" s="3">
        <v>27216000</v>
      </c>
      <c r="HF6" s="3">
        <v>0</v>
      </c>
      <c r="HG6" s="3">
        <v>34464000</v>
      </c>
      <c r="HH6" s="3">
        <v>7652801.0199999996</v>
      </c>
      <c r="HI6" s="3">
        <v>26811198.98</v>
      </c>
      <c r="HJ6" s="3">
        <v>0</v>
      </c>
      <c r="HK6" s="3">
        <v>34464000</v>
      </c>
      <c r="HL6" s="3">
        <v>7652801.0199999996</v>
      </c>
      <c r="HM6" s="3">
        <v>26811198.98</v>
      </c>
      <c r="HN6" s="3">
        <v>0</v>
      </c>
      <c r="HO6" s="3">
        <v>34464000</v>
      </c>
      <c r="HP6" s="3">
        <v>7652801.0199999996</v>
      </c>
      <c r="HQ6" s="3">
        <v>18724319.890000001</v>
      </c>
      <c r="HR6" s="3">
        <v>0</v>
      </c>
      <c r="HS6" s="3">
        <v>26377120.91</v>
      </c>
      <c r="HT6" s="3">
        <v>7620601.0199999996</v>
      </c>
      <c r="HU6" s="3">
        <v>14358205.76</v>
      </c>
      <c r="HV6" s="3">
        <v>0</v>
      </c>
      <c r="HW6" s="3">
        <v>21978806.780000001</v>
      </c>
      <c r="HX6" s="3">
        <v>8446000</v>
      </c>
      <c r="HY6" s="3">
        <v>27941000</v>
      </c>
      <c r="HZ6" s="3">
        <v>0</v>
      </c>
      <c r="IA6" s="3">
        <v>36387000</v>
      </c>
      <c r="IB6" s="3">
        <v>8446000</v>
      </c>
      <c r="IC6" s="3">
        <v>56941000</v>
      </c>
      <c r="ID6" s="3">
        <v>0</v>
      </c>
      <c r="IE6" s="3">
        <v>65387000</v>
      </c>
    </row>
    <row r="7" spans="1:239" x14ac:dyDescent="0.25">
      <c r="A7" t="s">
        <v>1290</v>
      </c>
      <c r="B7" t="s">
        <v>1291</v>
      </c>
      <c r="C7" t="s">
        <v>735</v>
      </c>
      <c r="D7" t="s">
        <v>1292</v>
      </c>
      <c r="E7" t="s">
        <v>217</v>
      </c>
      <c r="F7" t="s">
        <v>516</v>
      </c>
      <c r="G7" t="s">
        <v>1299</v>
      </c>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v>5955000</v>
      </c>
      <c r="AO7" s="3">
        <v>6155000</v>
      </c>
      <c r="AP7" s="3">
        <v>0</v>
      </c>
      <c r="AQ7" s="3">
        <v>12110000</v>
      </c>
      <c r="AR7" s="3">
        <v>5955000</v>
      </c>
      <c r="AS7" s="3">
        <v>6155000</v>
      </c>
      <c r="AT7" s="3">
        <v>0</v>
      </c>
      <c r="AU7" s="3">
        <v>12110000</v>
      </c>
      <c r="AV7" s="3">
        <v>7300005.0999999996</v>
      </c>
      <c r="AW7" s="3">
        <v>6155000</v>
      </c>
      <c r="AX7" s="3"/>
      <c r="AY7" s="3">
        <v>13455005.1</v>
      </c>
      <c r="AZ7" s="3">
        <v>7300005.0999999996</v>
      </c>
      <c r="BA7" s="3">
        <v>6155000</v>
      </c>
      <c r="BB7" s="3">
        <v>0</v>
      </c>
      <c r="BC7" s="3">
        <v>13455005.1</v>
      </c>
      <c r="BD7" s="3">
        <v>7300005.0999999996</v>
      </c>
      <c r="BE7" s="3">
        <v>6135800.5700000003</v>
      </c>
      <c r="BF7" s="3">
        <v>0</v>
      </c>
      <c r="BG7" s="3">
        <v>13435805.67</v>
      </c>
      <c r="BH7" s="3">
        <v>6462627.4900000002</v>
      </c>
      <c r="BI7" s="3">
        <v>4799791.38</v>
      </c>
      <c r="BJ7" s="3">
        <v>0</v>
      </c>
      <c r="BK7" s="3">
        <v>11262418.869999999</v>
      </c>
      <c r="BL7" s="3">
        <v>5955000</v>
      </c>
      <c r="BM7" s="3">
        <v>6381000</v>
      </c>
      <c r="BN7" s="3">
        <v>0</v>
      </c>
      <c r="BO7" s="3">
        <v>12336000</v>
      </c>
      <c r="BP7" s="3">
        <v>5955000</v>
      </c>
      <c r="BQ7" s="3">
        <v>6381000</v>
      </c>
      <c r="BR7" s="3">
        <v>0</v>
      </c>
      <c r="BS7" s="3">
        <v>12336000</v>
      </c>
      <c r="BT7" s="3">
        <v>5955000</v>
      </c>
      <c r="BU7" s="3">
        <v>6381000</v>
      </c>
      <c r="BV7" s="3">
        <v>0</v>
      </c>
      <c r="BW7" s="3">
        <v>12336000</v>
      </c>
      <c r="BX7" s="6">
        <v>6985831.2800000003</v>
      </c>
      <c r="BY7" s="6">
        <v>3664000</v>
      </c>
      <c r="BZ7" s="3">
        <v>0</v>
      </c>
      <c r="CA7" s="3">
        <v>10649831.279999999</v>
      </c>
      <c r="CB7" s="6">
        <v>6985831.2800000003</v>
      </c>
      <c r="CC7" s="6">
        <v>3664000</v>
      </c>
      <c r="CD7" s="3">
        <v>0</v>
      </c>
      <c r="CE7" s="3">
        <v>10649831.279999999</v>
      </c>
      <c r="CF7" s="3">
        <v>6960831.2800000003</v>
      </c>
      <c r="CG7" s="3">
        <v>2131310.46</v>
      </c>
      <c r="CH7" s="3">
        <v>0</v>
      </c>
      <c r="CI7" s="3">
        <v>9092141.7400000002</v>
      </c>
      <c r="CJ7" s="3">
        <v>6612469.3300000001</v>
      </c>
      <c r="CK7" s="3">
        <v>2131310.46</v>
      </c>
      <c r="CL7" s="3">
        <v>0</v>
      </c>
      <c r="CM7" s="3">
        <v>8743779.7899999991</v>
      </c>
      <c r="CN7" s="3">
        <v>5662000</v>
      </c>
      <c r="CO7" s="3">
        <v>5613000</v>
      </c>
      <c r="CP7" s="3">
        <v>0</v>
      </c>
      <c r="CQ7" s="3">
        <v>11275000</v>
      </c>
      <c r="CR7" s="3">
        <v>5662000</v>
      </c>
      <c r="CS7" s="3">
        <v>15613000</v>
      </c>
      <c r="CT7" s="3">
        <v>5000000</v>
      </c>
      <c r="CU7" s="3">
        <v>26275000</v>
      </c>
      <c r="CV7" s="3">
        <v>5662000</v>
      </c>
      <c r="CW7" s="3">
        <v>15613000</v>
      </c>
      <c r="CX7" s="3">
        <v>5000000</v>
      </c>
      <c r="CY7" s="3">
        <v>26275000</v>
      </c>
      <c r="CZ7" s="3">
        <v>7006886.3399999999</v>
      </c>
      <c r="DA7" s="3">
        <v>15503000</v>
      </c>
      <c r="DB7" s="3">
        <v>5000000</v>
      </c>
      <c r="DC7" s="3">
        <v>27509886.34</v>
      </c>
      <c r="DD7" s="3">
        <v>7006886.3399999999</v>
      </c>
      <c r="DE7" s="3">
        <v>15503000</v>
      </c>
      <c r="DF7" s="3">
        <v>0</v>
      </c>
      <c r="DG7" s="3">
        <v>22509886.34</v>
      </c>
      <c r="DH7" s="3">
        <v>7006886.3399999999</v>
      </c>
      <c r="DI7" s="3">
        <v>2223768.1800000002</v>
      </c>
      <c r="DJ7" s="3">
        <v>0</v>
      </c>
      <c r="DK7" s="3">
        <v>9230654.5199999996</v>
      </c>
      <c r="DL7" s="3">
        <v>6819561.5700000003</v>
      </c>
      <c r="DM7" s="3">
        <v>1312088.3400000001</v>
      </c>
      <c r="DN7" s="3">
        <v>0</v>
      </c>
      <c r="DO7" s="3">
        <v>8131649.9100000001</v>
      </c>
      <c r="DP7" s="3">
        <v>7120000</v>
      </c>
      <c r="DQ7" s="3">
        <v>5613000</v>
      </c>
      <c r="DR7" s="3">
        <v>0</v>
      </c>
      <c r="DS7" s="3">
        <v>12733000</v>
      </c>
      <c r="DT7" s="3">
        <v>7120000</v>
      </c>
      <c r="DU7" s="3">
        <v>5613000</v>
      </c>
      <c r="DV7" s="3">
        <v>0</v>
      </c>
      <c r="DW7" s="3">
        <v>12733000</v>
      </c>
      <c r="DX7" s="3">
        <v>7120000</v>
      </c>
      <c r="DY7" s="3">
        <v>5613000</v>
      </c>
      <c r="DZ7" s="3">
        <v>0</v>
      </c>
      <c r="EA7" s="3">
        <v>12733000</v>
      </c>
      <c r="EB7" s="3">
        <v>8034033.21</v>
      </c>
      <c r="EC7" s="3">
        <v>5832450.9400000004</v>
      </c>
      <c r="ED7" s="3">
        <v>0</v>
      </c>
      <c r="EE7" s="3">
        <v>13866484.15</v>
      </c>
      <c r="EF7" s="3">
        <v>8034033.21</v>
      </c>
      <c r="EG7" s="3">
        <v>5832450.9400000004</v>
      </c>
      <c r="EH7" s="3">
        <v>0</v>
      </c>
      <c r="EI7" s="3">
        <v>13866484.15</v>
      </c>
      <c r="EJ7" s="3">
        <v>8034033.2300000004</v>
      </c>
      <c r="EK7" s="3">
        <v>5363110.2699999996</v>
      </c>
      <c r="EL7" s="3">
        <v>0</v>
      </c>
      <c r="EM7" s="3">
        <v>13397143.5</v>
      </c>
      <c r="EN7" s="3">
        <v>7252713.7599999998</v>
      </c>
      <c r="EO7" s="3">
        <v>4128323.12</v>
      </c>
      <c r="EP7" s="3"/>
      <c r="EQ7" s="3">
        <v>11381036.880000001</v>
      </c>
      <c r="ER7" s="3">
        <v>7351000</v>
      </c>
      <c r="ES7" s="3">
        <v>6163000</v>
      </c>
      <c r="ET7" s="3">
        <v>0</v>
      </c>
      <c r="EU7" s="3">
        <v>13514000</v>
      </c>
      <c r="EV7" s="3">
        <v>7351000</v>
      </c>
      <c r="EW7" s="3">
        <v>11163000</v>
      </c>
      <c r="EX7" s="3">
        <v>0</v>
      </c>
      <c r="EY7" s="3">
        <v>18514000</v>
      </c>
      <c r="EZ7" s="3">
        <v>7351000</v>
      </c>
      <c r="FA7" s="3">
        <v>11163000</v>
      </c>
      <c r="FB7" s="3">
        <v>0</v>
      </c>
      <c r="FC7" s="3">
        <v>18514000</v>
      </c>
      <c r="FD7" s="3">
        <v>6683915.2199999997</v>
      </c>
      <c r="FE7" s="3">
        <v>10763000</v>
      </c>
      <c r="FF7" s="3">
        <v>0</v>
      </c>
      <c r="FG7" s="3">
        <v>17446915.219999999</v>
      </c>
      <c r="FH7" s="3">
        <v>6683915.2199999997</v>
      </c>
      <c r="FI7" s="3">
        <v>10763000</v>
      </c>
      <c r="FJ7" s="3">
        <v>0</v>
      </c>
      <c r="FK7" s="3">
        <v>17446915.219999999</v>
      </c>
      <c r="FL7" s="3">
        <v>6671461.2000000002</v>
      </c>
      <c r="FM7" s="3">
        <v>9304224.6899999995</v>
      </c>
      <c r="FN7" s="3">
        <v>0</v>
      </c>
      <c r="FO7" s="3">
        <v>15975685.890000001</v>
      </c>
      <c r="FP7" s="3">
        <v>6655458.2800000003</v>
      </c>
      <c r="FQ7" s="3">
        <v>7878866.79</v>
      </c>
      <c r="FR7" s="3">
        <v>0</v>
      </c>
      <c r="FS7" s="3">
        <v>14534325.07</v>
      </c>
      <c r="FT7" s="3">
        <v>7351000</v>
      </c>
      <c r="FU7" s="3">
        <v>6213000</v>
      </c>
      <c r="FV7" s="3">
        <v>0</v>
      </c>
      <c r="FW7" s="3">
        <v>13564000</v>
      </c>
      <c r="FX7" s="3">
        <v>7351000</v>
      </c>
      <c r="FY7" s="3">
        <v>18270000</v>
      </c>
      <c r="FZ7" s="3">
        <v>0</v>
      </c>
      <c r="GA7" s="3">
        <v>25621000</v>
      </c>
      <c r="GB7" s="3">
        <v>7351000</v>
      </c>
      <c r="GC7" s="3">
        <v>18270000</v>
      </c>
      <c r="GD7" s="3">
        <v>0</v>
      </c>
      <c r="GE7" s="3">
        <v>25621000</v>
      </c>
      <c r="GF7" s="3">
        <v>8391062.5500000007</v>
      </c>
      <c r="GG7" s="3">
        <v>14764212.98</v>
      </c>
      <c r="GH7" s="3">
        <v>0</v>
      </c>
      <c r="GI7" s="3">
        <v>23155275.530000001</v>
      </c>
      <c r="GJ7" s="3">
        <v>8391062.5500000007</v>
      </c>
      <c r="GK7" s="3">
        <v>14764212.98</v>
      </c>
      <c r="GL7" s="3">
        <v>0</v>
      </c>
      <c r="GM7" s="3">
        <v>23155275.530000001</v>
      </c>
      <c r="GN7" s="3">
        <v>8391062.5500000007</v>
      </c>
      <c r="GO7" s="3">
        <v>7154441.5700000003</v>
      </c>
      <c r="GP7" s="3">
        <v>0</v>
      </c>
      <c r="GQ7" s="3">
        <v>15545504.119999999</v>
      </c>
      <c r="GR7" s="3">
        <v>8365387.3899999997</v>
      </c>
      <c r="GS7" s="3">
        <v>6134899.6200000001</v>
      </c>
      <c r="GT7" s="3">
        <v>0</v>
      </c>
      <c r="GU7" s="3">
        <v>14500287.01</v>
      </c>
      <c r="GV7" s="3">
        <v>7669000</v>
      </c>
      <c r="GW7" s="3">
        <v>18142000</v>
      </c>
      <c r="GX7" s="3">
        <v>0</v>
      </c>
      <c r="GY7" s="3">
        <v>25811000</v>
      </c>
      <c r="GZ7" s="3">
        <v>7669000</v>
      </c>
      <c r="HA7" s="3">
        <v>18142000</v>
      </c>
      <c r="HB7" s="3">
        <v>0</v>
      </c>
      <c r="HC7" s="3">
        <v>25811000</v>
      </c>
      <c r="HD7" s="3">
        <v>7669000</v>
      </c>
      <c r="HE7" s="3">
        <v>18142000</v>
      </c>
      <c r="HF7" s="3">
        <v>0</v>
      </c>
      <c r="HG7" s="3">
        <v>25811000</v>
      </c>
      <c r="HH7" s="3">
        <v>7813000</v>
      </c>
      <c r="HI7" s="3">
        <v>17998000</v>
      </c>
      <c r="HJ7" s="3">
        <v>0</v>
      </c>
      <c r="HK7" s="3">
        <v>25811000</v>
      </c>
      <c r="HL7" s="3">
        <v>7813000</v>
      </c>
      <c r="HM7" s="3">
        <v>17998000</v>
      </c>
      <c r="HN7" s="3">
        <v>0</v>
      </c>
      <c r="HO7" s="3">
        <v>25811000</v>
      </c>
      <c r="HP7" s="3">
        <v>7809306.0999999996</v>
      </c>
      <c r="HQ7" s="3">
        <v>11508693.91</v>
      </c>
      <c r="HR7" s="3">
        <v>0</v>
      </c>
      <c r="HS7" s="3">
        <v>19318000.010000002</v>
      </c>
      <c r="HT7" s="3">
        <v>7797706.0999999996</v>
      </c>
      <c r="HU7" s="3">
        <v>8246530.9699999997</v>
      </c>
      <c r="HV7" s="3">
        <v>0</v>
      </c>
      <c r="HW7" s="3">
        <v>16044237.07</v>
      </c>
      <c r="HX7" s="3">
        <v>8079000</v>
      </c>
      <c r="HY7" s="3">
        <v>23276000</v>
      </c>
      <c r="HZ7" s="3">
        <v>0</v>
      </c>
      <c r="IA7" s="3">
        <v>31355000</v>
      </c>
      <c r="IB7" s="3">
        <v>8079000</v>
      </c>
      <c r="IC7" s="3">
        <v>23276000</v>
      </c>
      <c r="ID7" s="3">
        <v>0</v>
      </c>
      <c r="IE7" s="3">
        <v>31355000</v>
      </c>
    </row>
    <row r="8" spans="1:239" x14ac:dyDescent="0.25">
      <c r="A8" t="s">
        <v>1290</v>
      </c>
      <c r="B8" t="s">
        <v>1291</v>
      </c>
      <c r="C8" t="s">
        <v>735</v>
      </c>
      <c r="D8" t="s">
        <v>1292</v>
      </c>
      <c r="E8" t="s">
        <v>217</v>
      </c>
      <c r="F8" t="s">
        <v>618</v>
      </c>
      <c r="G8" t="s">
        <v>1300</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v>0</v>
      </c>
      <c r="AO8" s="3">
        <v>1850000</v>
      </c>
      <c r="AP8" s="3">
        <v>3575000</v>
      </c>
      <c r="AQ8" s="3">
        <v>5425000</v>
      </c>
      <c r="AR8" s="3">
        <v>0</v>
      </c>
      <c r="AS8" s="3">
        <v>1850000</v>
      </c>
      <c r="AT8" s="3">
        <v>3575000</v>
      </c>
      <c r="AU8" s="3">
        <v>5425000</v>
      </c>
      <c r="AV8" s="3">
        <v>0</v>
      </c>
      <c r="AW8" s="3">
        <v>1850000</v>
      </c>
      <c r="AX8" s="3">
        <v>3575000</v>
      </c>
      <c r="AY8" s="3">
        <v>5425000</v>
      </c>
      <c r="AZ8" s="3">
        <v>0</v>
      </c>
      <c r="BA8" s="3">
        <v>1850000</v>
      </c>
      <c r="BB8" s="3">
        <v>3575000</v>
      </c>
      <c r="BC8" s="3">
        <v>5425000</v>
      </c>
      <c r="BD8" s="3">
        <v>0</v>
      </c>
      <c r="BE8" s="3">
        <v>1648909.3</v>
      </c>
      <c r="BF8" s="3">
        <v>3519337.39</v>
      </c>
      <c r="BG8" s="3">
        <v>5168246.6900000004</v>
      </c>
      <c r="BH8" s="3">
        <v>0</v>
      </c>
      <c r="BI8" s="3">
        <v>1648909.3</v>
      </c>
      <c r="BJ8" s="3">
        <v>2066639.34</v>
      </c>
      <c r="BK8" s="3">
        <v>3715548.64</v>
      </c>
      <c r="BL8" s="3">
        <v>0</v>
      </c>
      <c r="BM8" s="3">
        <v>1225000</v>
      </c>
      <c r="BN8" s="3">
        <v>3490000</v>
      </c>
      <c r="BO8" s="3">
        <v>4715000</v>
      </c>
      <c r="BP8" s="3">
        <v>0</v>
      </c>
      <c r="BQ8" s="3">
        <v>1225000</v>
      </c>
      <c r="BR8" s="3">
        <v>3490000</v>
      </c>
      <c r="BS8" s="3">
        <v>4715000</v>
      </c>
      <c r="BT8" s="3">
        <v>0</v>
      </c>
      <c r="BU8" s="3">
        <v>1225000</v>
      </c>
      <c r="BV8" s="3">
        <v>3490000</v>
      </c>
      <c r="BW8" s="3">
        <v>4715000</v>
      </c>
      <c r="BX8" s="6">
        <v>0</v>
      </c>
      <c r="BY8" s="6">
        <v>1102000</v>
      </c>
      <c r="BZ8" s="3">
        <v>3141000</v>
      </c>
      <c r="CA8" s="3">
        <v>4243000</v>
      </c>
      <c r="CB8" s="6">
        <v>0</v>
      </c>
      <c r="CC8" s="6">
        <v>1102000</v>
      </c>
      <c r="CD8" s="3">
        <v>3141000</v>
      </c>
      <c r="CE8" s="3">
        <v>4243000</v>
      </c>
      <c r="CF8" s="3">
        <v>0</v>
      </c>
      <c r="CG8" s="3">
        <v>4599</v>
      </c>
      <c r="CH8" s="3">
        <v>3141000</v>
      </c>
      <c r="CI8" s="3">
        <v>3145599</v>
      </c>
      <c r="CJ8" s="3">
        <v>0</v>
      </c>
      <c r="CK8" s="3">
        <v>4599</v>
      </c>
      <c r="CL8" s="3">
        <v>2607113.23</v>
      </c>
      <c r="CM8" s="3">
        <v>2611712.23</v>
      </c>
      <c r="CN8" s="3">
        <v>0</v>
      </c>
      <c r="CO8" s="3">
        <v>1247000</v>
      </c>
      <c r="CP8" s="3">
        <v>0</v>
      </c>
      <c r="CQ8" s="3">
        <v>1247000</v>
      </c>
      <c r="CR8" s="3">
        <v>0</v>
      </c>
      <c r="CS8" s="3">
        <v>1247000</v>
      </c>
      <c r="CT8" s="3">
        <v>0</v>
      </c>
      <c r="CU8" s="3">
        <v>1247000</v>
      </c>
      <c r="CV8" s="3">
        <v>0</v>
      </c>
      <c r="CW8" s="3">
        <v>1247000</v>
      </c>
      <c r="CX8" s="3">
        <v>0</v>
      </c>
      <c r="CY8" s="3">
        <v>1247000</v>
      </c>
      <c r="CZ8" s="3">
        <v>0</v>
      </c>
      <c r="DA8" s="3">
        <v>1247000</v>
      </c>
      <c r="DB8" s="3">
        <v>0</v>
      </c>
      <c r="DC8" s="3">
        <v>1247000</v>
      </c>
      <c r="DD8" s="3">
        <v>0</v>
      </c>
      <c r="DE8" s="3">
        <v>1247000</v>
      </c>
      <c r="DF8" s="3">
        <v>0</v>
      </c>
      <c r="DG8" s="3">
        <v>1247000</v>
      </c>
      <c r="DH8" s="3">
        <v>0</v>
      </c>
      <c r="DI8" s="3">
        <v>0</v>
      </c>
      <c r="DJ8" s="3">
        <v>0</v>
      </c>
      <c r="DK8" s="3">
        <v>0</v>
      </c>
      <c r="DL8" s="3">
        <v>0</v>
      </c>
      <c r="DM8" s="3">
        <v>0</v>
      </c>
      <c r="DN8" s="3">
        <v>0</v>
      </c>
      <c r="DO8" s="3">
        <v>0</v>
      </c>
      <c r="DP8" s="3">
        <v>0</v>
      </c>
      <c r="DQ8" s="3">
        <v>1247000</v>
      </c>
      <c r="DR8" s="3">
        <v>0</v>
      </c>
      <c r="DS8" s="3">
        <v>1247000</v>
      </c>
      <c r="DT8" s="3">
        <v>0</v>
      </c>
      <c r="DU8" s="3">
        <v>1247000</v>
      </c>
      <c r="DV8" s="3">
        <v>0</v>
      </c>
      <c r="DW8" s="3">
        <v>1247000</v>
      </c>
      <c r="DX8" s="3">
        <v>0</v>
      </c>
      <c r="DY8" s="3">
        <v>1247000</v>
      </c>
      <c r="DZ8" s="3">
        <v>0</v>
      </c>
      <c r="EA8" s="3">
        <v>1247000</v>
      </c>
      <c r="EB8" s="3">
        <v>0</v>
      </c>
      <c r="EC8" s="3">
        <v>1247000</v>
      </c>
      <c r="ED8" s="3">
        <v>0</v>
      </c>
      <c r="EE8" s="3">
        <v>1247000</v>
      </c>
      <c r="EF8" s="3">
        <v>0</v>
      </c>
      <c r="EG8" s="3">
        <v>1247000</v>
      </c>
      <c r="EH8" s="3">
        <v>0</v>
      </c>
      <c r="EI8" s="3">
        <v>1247000</v>
      </c>
      <c r="EJ8" s="3">
        <v>0</v>
      </c>
      <c r="EK8" s="3">
        <v>0</v>
      </c>
      <c r="EL8" s="3">
        <v>0</v>
      </c>
      <c r="EM8" s="3">
        <v>0</v>
      </c>
      <c r="EN8" s="3">
        <v>0</v>
      </c>
      <c r="EO8" s="3">
        <v>0</v>
      </c>
      <c r="EP8" s="3">
        <v>0</v>
      </c>
      <c r="EQ8" s="3">
        <v>0</v>
      </c>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row>
    <row r="9" spans="1:239" x14ac:dyDescent="0.25">
      <c r="A9" t="s">
        <v>1290</v>
      </c>
      <c r="B9" t="s">
        <v>1291</v>
      </c>
      <c r="C9" t="s">
        <v>735</v>
      </c>
      <c r="D9" t="s">
        <v>1292</v>
      </c>
      <c r="E9" t="s">
        <v>217</v>
      </c>
      <c r="F9" t="s">
        <v>642</v>
      </c>
      <c r="G9" t="s">
        <v>1301</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6"/>
      <c r="BY9" s="6"/>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v>0</v>
      </c>
      <c r="DQ9" s="3">
        <v>4781000</v>
      </c>
      <c r="DR9" s="3">
        <v>1960000</v>
      </c>
      <c r="DS9" s="3">
        <v>6741000</v>
      </c>
      <c r="DT9" s="3">
        <v>0</v>
      </c>
      <c r="DU9" s="3">
        <v>4781000</v>
      </c>
      <c r="DV9" s="3">
        <v>1960000</v>
      </c>
      <c r="DW9" s="3">
        <v>6741000</v>
      </c>
      <c r="DX9" s="3">
        <v>0</v>
      </c>
      <c r="DY9" s="3">
        <v>4781000</v>
      </c>
      <c r="DZ9" s="3">
        <v>1960000</v>
      </c>
      <c r="EA9" s="3">
        <v>6741000</v>
      </c>
      <c r="EB9" s="3">
        <v>0</v>
      </c>
      <c r="EC9" s="3">
        <v>4781000</v>
      </c>
      <c r="ED9" s="3">
        <v>1960000</v>
      </c>
      <c r="EE9" s="3">
        <v>6741000</v>
      </c>
      <c r="EF9" s="3">
        <v>0</v>
      </c>
      <c r="EG9" s="3">
        <v>4781000</v>
      </c>
      <c r="EH9" s="3">
        <v>1960000</v>
      </c>
      <c r="EI9" s="3">
        <v>6741000</v>
      </c>
      <c r="EJ9" s="3">
        <v>0</v>
      </c>
      <c r="EK9" s="3">
        <v>1913049.99</v>
      </c>
      <c r="EL9" s="3">
        <v>1139218.8</v>
      </c>
      <c r="EM9" s="3">
        <v>3052268.79</v>
      </c>
      <c r="EN9" s="3">
        <v>0</v>
      </c>
      <c r="EO9" s="3">
        <v>1237760.67</v>
      </c>
      <c r="EP9" s="3">
        <v>1130808.6200000001</v>
      </c>
      <c r="EQ9" s="3">
        <v>2368569.29</v>
      </c>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v>0</v>
      </c>
      <c r="FU9" s="3">
        <v>3602000</v>
      </c>
      <c r="FV9" s="3">
        <v>0</v>
      </c>
      <c r="FW9" s="3">
        <v>3602000</v>
      </c>
      <c r="FX9" s="3">
        <v>0</v>
      </c>
      <c r="FY9" s="3">
        <v>3602000</v>
      </c>
      <c r="FZ9" s="3">
        <v>0</v>
      </c>
      <c r="GA9" s="3">
        <v>3602000</v>
      </c>
      <c r="GB9" s="3">
        <v>0</v>
      </c>
      <c r="GC9" s="3">
        <v>3602000</v>
      </c>
      <c r="GD9" s="3">
        <v>0</v>
      </c>
      <c r="GE9" s="3">
        <v>3602000</v>
      </c>
      <c r="GF9" s="3">
        <v>0</v>
      </c>
      <c r="GG9" s="3">
        <v>2166412.19</v>
      </c>
      <c r="GH9" s="3">
        <v>0</v>
      </c>
      <c r="GI9" s="3">
        <v>2166412.19</v>
      </c>
      <c r="GJ9" s="3">
        <v>0</v>
      </c>
      <c r="GK9" s="3">
        <v>2166412.19</v>
      </c>
      <c r="GL9" s="3">
        <v>0</v>
      </c>
      <c r="GM9" s="3">
        <v>2166412.19</v>
      </c>
      <c r="GN9" s="3">
        <v>0</v>
      </c>
      <c r="GO9" s="3">
        <v>191801.05</v>
      </c>
      <c r="GP9" s="3">
        <v>0</v>
      </c>
      <c r="GQ9" s="3">
        <v>191801.05</v>
      </c>
      <c r="GR9" s="3">
        <v>0</v>
      </c>
      <c r="GS9" s="3">
        <v>191801.05</v>
      </c>
      <c r="GT9" s="3">
        <v>0</v>
      </c>
      <c r="GU9" s="3">
        <v>191801.05</v>
      </c>
      <c r="GV9" s="3">
        <v>0</v>
      </c>
      <c r="GW9" s="3">
        <v>8234000</v>
      </c>
      <c r="GX9" s="3">
        <v>1610000</v>
      </c>
      <c r="GY9" s="3">
        <v>9844000</v>
      </c>
      <c r="GZ9" s="3">
        <v>0</v>
      </c>
      <c r="HA9" s="3">
        <v>8234000</v>
      </c>
      <c r="HB9" s="3">
        <v>1610000</v>
      </c>
      <c r="HC9" s="3">
        <v>9844000</v>
      </c>
      <c r="HD9" s="3">
        <v>0</v>
      </c>
      <c r="HE9" s="3">
        <v>8234000</v>
      </c>
      <c r="HF9" s="3">
        <v>1610000</v>
      </c>
      <c r="HG9" s="3">
        <v>9844000</v>
      </c>
      <c r="HH9" s="3">
        <v>0</v>
      </c>
      <c r="HI9" s="3">
        <v>8234000</v>
      </c>
      <c r="HJ9" s="3">
        <v>1610000</v>
      </c>
      <c r="HK9" s="3">
        <v>9844000</v>
      </c>
      <c r="HL9" s="3">
        <v>0</v>
      </c>
      <c r="HM9" s="3">
        <v>8234000</v>
      </c>
      <c r="HN9" s="3">
        <v>1610000</v>
      </c>
      <c r="HO9" s="3">
        <v>9844000</v>
      </c>
      <c r="HP9" s="3">
        <v>0</v>
      </c>
      <c r="HQ9" s="3">
        <v>7582493.2699999996</v>
      </c>
      <c r="HR9" s="3">
        <v>983785</v>
      </c>
      <c r="HS9" s="3">
        <v>8566278.2699999996</v>
      </c>
      <c r="HT9" s="3">
        <v>0</v>
      </c>
      <c r="HU9" s="3">
        <v>7582493.2699999996</v>
      </c>
      <c r="HV9" s="3">
        <v>983785</v>
      </c>
      <c r="HW9" s="3">
        <v>8566278.2699999996</v>
      </c>
      <c r="HX9" s="3">
        <v>0</v>
      </c>
      <c r="HY9" s="3">
        <v>8276000</v>
      </c>
      <c r="HZ9" s="3">
        <v>80000</v>
      </c>
      <c r="IA9" s="3">
        <v>8356000</v>
      </c>
      <c r="IB9" s="3">
        <v>0</v>
      </c>
      <c r="IC9" s="3">
        <v>8276000</v>
      </c>
      <c r="ID9" s="3">
        <v>80000</v>
      </c>
      <c r="IE9" s="3">
        <v>8356000</v>
      </c>
    </row>
    <row r="10" spans="1:239" x14ac:dyDescent="0.25">
      <c r="A10" t="s">
        <v>1290</v>
      </c>
      <c r="B10" t="s">
        <v>1291</v>
      </c>
      <c r="C10" t="s">
        <v>735</v>
      </c>
      <c r="D10" t="s">
        <v>1292</v>
      </c>
      <c r="E10" t="s">
        <v>217</v>
      </c>
      <c r="F10" t="s">
        <v>641</v>
      </c>
      <c r="G10" t="s">
        <v>1302</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6"/>
      <c r="BY10" s="6"/>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v>0</v>
      </c>
      <c r="DQ10" s="3">
        <v>800000</v>
      </c>
      <c r="DR10" s="3">
        <v>0</v>
      </c>
      <c r="DS10" s="3">
        <v>800000</v>
      </c>
      <c r="DT10" s="3">
        <v>0</v>
      </c>
      <c r="DU10" s="3">
        <v>800000</v>
      </c>
      <c r="DV10" s="3">
        <v>0</v>
      </c>
      <c r="DW10" s="3">
        <v>800000</v>
      </c>
      <c r="DX10" s="3">
        <v>0</v>
      </c>
      <c r="DY10" s="3">
        <v>800000</v>
      </c>
      <c r="DZ10" s="3">
        <v>0</v>
      </c>
      <c r="EA10" s="3">
        <v>800000</v>
      </c>
      <c r="EB10" s="3">
        <v>0</v>
      </c>
      <c r="EC10" s="3">
        <v>800000</v>
      </c>
      <c r="ED10" s="3">
        <v>0</v>
      </c>
      <c r="EE10" s="3">
        <v>800000</v>
      </c>
      <c r="EF10" s="3">
        <v>0</v>
      </c>
      <c r="EG10" s="3">
        <v>800000</v>
      </c>
      <c r="EH10" s="3">
        <v>0</v>
      </c>
      <c r="EI10" s="3">
        <v>800000</v>
      </c>
      <c r="EJ10" s="3">
        <v>0</v>
      </c>
      <c r="EK10" s="3">
        <v>0</v>
      </c>
      <c r="EL10" s="3">
        <v>0</v>
      </c>
      <c r="EM10" s="3">
        <v>0</v>
      </c>
      <c r="EN10" s="3">
        <v>0</v>
      </c>
      <c r="EO10" s="3">
        <v>0</v>
      </c>
      <c r="EP10" s="3">
        <v>0</v>
      </c>
      <c r="EQ10" s="3">
        <v>0</v>
      </c>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row>
    <row r="11" spans="1:239" x14ac:dyDescent="0.25">
      <c r="A11" t="s">
        <v>1290</v>
      </c>
      <c r="B11" t="s">
        <v>1291</v>
      </c>
      <c r="C11" t="s">
        <v>735</v>
      </c>
      <c r="D11" t="s">
        <v>1292</v>
      </c>
      <c r="E11" t="s">
        <v>217</v>
      </c>
      <c r="F11" t="s">
        <v>640</v>
      </c>
      <c r="G11" t="s">
        <v>1303</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6"/>
      <c r="BY11" s="6"/>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v>0</v>
      </c>
      <c r="DQ11" s="3">
        <v>0</v>
      </c>
      <c r="DR11" s="3">
        <v>0</v>
      </c>
      <c r="DS11" s="3">
        <v>0</v>
      </c>
      <c r="DT11" s="3">
        <v>0</v>
      </c>
      <c r="DU11" s="3">
        <v>5000000</v>
      </c>
      <c r="DV11" s="3">
        <v>0</v>
      </c>
      <c r="DW11" s="3">
        <v>5000000</v>
      </c>
      <c r="DX11" s="3">
        <v>0</v>
      </c>
      <c r="DY11" s="3">
        <v>5000000</v>
      </c>
      <c r="DZ11" s="3">
        <v>0</v>
      </c>
      <c r="EA11" s="3">
        <v>5000000</v>
      </c>
      <c r="EB11" s="3">
        <v>0</v>
      </c>
      <c r="EC11" s="3">
        <v>5000000</v>
      </c>
      <c r="ED11" s="3">
        <v>0</v>
      </c>
      <c r="EE11" s="3">
        <v>5000000</v>
      </c>
      <c r="EF11" s="3">
        <v>0</v>
      </c>
      <c r="EG11" s="3">
        <v>0</v>
      </c>
      <c r="EH11" s="3">
        <v>0</v>
      </c>
      <c r="EI11" s="3">
        <v>0</v>
      </c>
      <c r="EJ11" s="3">
        <v>0</v>
      </c>
      <c r="EK11" s="3">
        <v>0</v>
      </c>
      <c r="EL11" s="3">
        <v>0</v>
      </c>
      <c r="EM11" s="3">
        <v>0</v>
      </c>
      <c r="EN11" s="3">
        <v>0</v>
      </c>
      <c r="EO11" s="3">
        <v>0</v>
      </c>
      <c r="EP11" s="3">
        <v>0</v>
      </c>
      <c r="EQ11" s="3">
        <v>0</v>
      </c>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row>
    <row r="12" spans="1:239" x14ac:dyDescent="0.25">
      <c r="A12" t="s">
        <v>1290</v>
      </c>
      <c r="B12" t="s">
        <v>1291</v>
      </c>
      <c r="C12" t="s">
        <v>735</v>
      </c>
      <c r="D12" t="s">
        <v>1292</v>
      </c>
      <c r="E12" t="s">
        <v>217</v>
      </c>
      <c r="F12" t="s">
        <v>639</v>
      </c>
      <c r="G12" t="s">
        <v>1304</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6"/>
      <c r="BY12" s="6"/>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v>0</v>
      </c>
      <c r="DQ12" s="3">
        <v>0</v>
      </c>
      <c r="DR12" s="3">
        <v>0</v>
      </c>
      <c r="DS12" s="3">
        <v>0</v>
      </c>
      <c r="DT12" s="3">
        <v>0</v>
      </c>
      <c r="DU12" s="3">
        <v>5000000</v>
      </c>
      <c r="DV12" s="3">
        <v>0</v>
      </c>
      <c r="DW12" s="3">
        <v>5000000</v>
      </c>
      <c r="DX12" s="3">
        <v>0</v>
      </c>
      <c r="DY12" s="3">
        <v>5000000</v>
      </c>
      <c r="DZ12" s="3">
        <v>0</v>
      </c>
      <c r="EA12" s="3">
        <v>5000000</v>
      </c>
      <c r="EB12" s="3">
        <v>0</v>
      </c>
      <c r="EC12" s="3">
        <v>5000000</v>
      </c>
      <c r="ED12" s="3">
        <v>0</v>
      </c>
      <c r="EE12" s="3">
        <v>5000000</v>
      </c>
      <c r="EF12" s="3">
        <v>0</v>
      </c>
      <c r="EG12" s="3">
        <v>0</v>
      </c>
      <c r="EH12" s="3">
        <v>0</v>
      </c>
      <c r="EI12" s="3">
        <v>0</v>
      </c>
      <c r="EJ12" s="3">
        <v>0</v>
      </c>
      <c r="EK12" s="3">
        <v>0</v>
      </c>
      <c r="EL12" s="3">
        <v>0</v>
      </c>
      <c r="EM12" s="3">
        <v>0</v>
      </c>
      <c r="EN12" s="3">
        <v>0</v>
      </c>
      <c r="EO12" s="3">
        <v>0</v>
      </c>
      <c r="EP12" s="3">
        <v>0</v>
      </c>
      <c r="EQ12" s="3">
        <v>0</v>
      </c>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row>
    <row r="13" spans="1:239" x14ac:dyDescent="0.25">
      <c r="A13" t="s">
        <v>1290</v>
      </c>
      <c r="B13" t="s">
        <v>1291</v>
      </c>
      <c r="C13" t="s">
        <v>735</v>
      </c>
      <c r="D13" t="s">
        <v>1292</v>
      </c>
      <c r="E13" t="s">
        <v>217</v>
      </c>
      <c r="F13" t="s">
        <v>638</v>
      </c>
      <c r="G13" t="s">
        <v>1305</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6"/>
      <c r="BY13" s="6"/>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v>0</v>
      </c>
      <c r="DQ13" s="3">
        <v>0</v>
      </c>
      <c r="DR13" s="3">
        <v>0</v>
      </c>
      <c r="DS13" s="3">
        <v>0</v>
      </c>
      <c r="DT13" s="3">
        <v>0</v>
      </c>
      <c r="DU13" s="3">
        <v>5000000</v>
      </c>
      <c r="DV13" s="3">
        <v>0</v>
      </c>
      <c r="DW13" s="3">
        <v>5000000</v>
      </c>
      <c r="DX13" s="3">
        <v>0</v>
      </c>
      <c r="DY13" s="3">
        <v>5000000</v>
      </c>
      <c r="DZ13" s="3">
        <v>0</v>
      </c>
      <c r="EA13" s="3">
        <v>5000000</v>
      </c>
      <c r="EB13" s="3">
        <v>0</v>
      </c>
      <c r="EC13" s="3">
        <v>5000000</v>
      </c>
      <c r="ED13" s="3">
        <v>0</v>
      </c>
      <c r="EE13" s="3">
        <v>5000000</v>
      </c>
      <c r="EF13" s="3">
        <v>0</v>
      </c>
      <c r="EG13" s="3">
        <v>0</v>
      </c>
      <c r="EH13" s="3">
        <v>0</v>
      </c>
      <c r="EI13" s="3">
        <v>0</v>
      </c>
      <c r="EJ13" s="3">
        <v>0</v>
      </c>
      <c r="EK13" s="3">
        <v>0</v>
      </c>
      <c r="EL13" s="3">
        <v>0</v>
      </c>
      <c r="EM13" s="3">
        <v>0</v>
      </c>
      <c r="EN13" s="3">
        <v>0</v>
      </c>
      <c r="EO13" s="3">
        <v>0</v>
      </c>
      <c r="EP13" s="3">
        <v>0</v>
      </c>
      <c r="EQ13" s="3">
        <v>0</v>
      </c>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row>
    <row r="14" spans="1:239" x14ac:dyDescent="0.25">
      <c r="A14" t="s">
        <v>1290</v>
      </c>
      <c r="B14" t="s">
        <v>1291</v>
      </c>
      <c r="C14" t="s">
        <v>735</v>
      </c>
      <c r="D14" t="s">
        <v>1292</v>
      </c>
      <c r="E14" t="s">
        <v>217</v>
      </c>
      <c r="F14" t="s">
        <v>632</v>
      </c>
      <c r="G14" t="s">
        <v>1306</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6"/>
      <c r="BY14" s="6"/>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v>0</v>
      </c>
      <c r="ES14" s="3">
        <v>0</v>
      </c>
      <c r="ET14" s="3">
        <v>0</v>
      </c>
      <c r="EU14" s="3">
        <v>0</v>
      </c>
      <c r="EV14" s="3">
        <v>0</v>
      </c>
      <c r="EW14" s="3">
        <v>15500000</v>
      </c>
      <c r="EX14" s="3">
        <v>0</v>
      </c>
      <c r="EY14" s="3">
        <v>15500000</v>
      </c>
      <c r="EZ14" s="3">
        <v>0</v>
      </c>
      <c r="FA14" s="3">
        <v>15500000</v>
      </c>
      <c r="FB14" s="3">
        <v>0</v>
      </c>
      <c r="FC14" s="3">
        <v>15500000</v>
      </c>
      <c r="FD14" s="3">
        <v>0</v>
      </c>
      <c r="FE14" s="3">
        <v>15500000</v>
      </c>
      <c r="FF14" s="3">
        <v>0</v>
      </c>
      <c r="FG14" s="3">
        <v>15500000</v>
      </c>
      <c r="FH14" s="3">
        <v>0</v>
      </c>
      <c r="FI14" s="3">
        <v>15500000</v>
      </c>
      <c r="FJ14" s="3">
        <v>0</v>
      </c>
      <c r="FK14" s="3">
        <v>15500000</v>
      </c>
      <c r="FL14" s="3">
        <v>0</v>
      </c>
      <c r="FM14" s="3">
        <v>11595877.17</v>
      </c>
      <c r="FN14" s="3">
        <v>0</v>
      </c>
      <c r="FO14" s="3">
        <v>11595877.17</v>
      </c>
      <c r="FP14" s="3">
        <v>0</v>
      </c>
      <c r="FQ14" s="3">
        <v>11563364.550000001</v>
      </c>
      <c r="FR14" s="3">
        <v>0</v>
      </c>
      <c r="FS14" s="3">
        <v>11563364.550000001</v>
      </c>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row>
    <row r="15" spans="1:239" x14ac:dyDescent="0.25">
      <c r="A15" t="s">
        <v>1290</v>
      </c>
      <c r="B15" t="s">
        <v>1291</v>
      </c>
      <c r="C15" t="s">
        <v>735</v>
      </c>
      <c r="D15" t="s">
        <v>1292</v>
      </c>
      <c r="E15" t="s">
        <v>217</v>
      </c>
      <c r="F15" t="s">
        <v>992</v>
      </c>
      <c r="G15" t="s">
        <v>1307</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6"/>
      <c r="BY15" s="6"/>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v>0</v>
      </c>
      <c r="FU15" s="3">
        <v>539000</v>
      </c>
      <c r="FV15" s="3">
        <v>0</v>
      </c>
      <c r="FW15" s="3">
        <v>539000</v>
      </c>
      <c r="FX15" s="3">
        <v>0</v>
      </c>
      <c r="FY15" s="3">
        <v>539000</v>
      </c>
      <c r="FZ15" s="3">
        <v>0</v>
      </c>
      <c r="GA15" s="3">
        <v>539000</v>
      </c>
      <c r="GB15" s="3">
        <v>0</v>
      </c>
      <c r="GC15" s="3">
        <v>539000</v>
      </c>
      <c r="GD15" s="3">
        <v>0</v>
      </c>
      <c r="GE15" s="3">
        <v>539000</v>
      </c>
      <c r="GF15" s="3">
        <v>0</v>
      </c>
      <c r="GG15" s="3">
        <v>539000</v>
      </c>
      <c r="GH15" s="3">
        <v>0</v>
      </c>
      <c r="GI15" s="3">
        <v>539000</v>
      </c>
      <c r="GJ15" s="3">
        <v>0</v>
      </c>
      <c r="GK15" s="3">
        <v>539000</v>
      </c>
      <c r="GL15" s="3">
        <v>0</v>
      </c>
      <c r="GM15" s="3">
        <v>539000</v>
      </c>
      <c r="GN15" s="3">
        <v>0</v>
      </c>
      <c r="GO15" s="3">
        <v>0</v>
      </c>
      <c r="GP15" s="3">
        <v>0</v>
      </c>
      <c r="GQ15" s="3">
        <v>0</v>
      </c>
      <c r="GR15" s="3">
        <v>0</v>
      </c>
      <c r="GS15" s="3">
        <v>0</v>
      </c>
      <c r="GT15" s="3">
        <v>0</v>
      </c>
      <c r="GU15" s="3">
        <v>0</v>
      </c>
      <c r="GV15" s="3">
        <v>0</v>
      </c>
      <c r="GW15" s="3">
        <v>1123000</v>
      </c>
      <c r="GX15" s="3">
        <v>0</v>
      </c>
      <c r="GY15" s="3">
        <v>1123000</v>
      </c>
      <c r="GZ15" s="3">
        <v>0</v>
      </c>
      <c r="HA15" s="3">
        <v>1123000</v>
      </c>
      <c r="HB15" s="3">
        <v>0</v>
      </c>
      <c r="HC15" s="3">
        <v>1123000</v>
      </c>
      <c r="HD15" s="3">
        <v>0</v>
      </c>
      <c r="HE15" s="3">
        <v>1123000</v>
      </c>
      <c r="HF15" s="3">
        <v>0</v>
      </c>
      <c r="HG15" s="3">
        <v>1123000</v>
      </c>
      <c r="HH15" s="3">
        <v>0</v>
      </c>
      <c r="HI15" s="3">
        <v>1123000</v>
      </c>
      <c r="HJ15" s="3">
        <v>0</v>
      </c>
      <c r="HK15" s="3">
        <v>1123000</v>
      </c>
      <c r="HL15" s="3">
        <v>0</v>
      </c>
      <c r="HM15" s="3">
        <v>1123000</v>
      </c>
      <c r="HN15" s="3">
        <v>0</v>
      </c>
      <c r="HO15" s="3">
        <v>1123000</v>
      </c>
      <c r="HP15" s="3">
        <v>0</v>
      </c>
      <c r="HQ15" s="3">
        <v>787032.42</v>
      </c>
      <c r="HR15" s="3">
        <v>0</v>
      </c>
      <c r="HS15" s="3">
        <v>787032.42</v>
      </c>
      <c r="HT15" s="3">
        <v>0</v>
      </c>
      <c r="HU15" s="3">
        <v>787032.42</v>
      </c>
      <c r="HV15" s="3">
        <v>0</v>
      </c>
      <c r="HW15" s="3">
        <v>787032.42</v>
      </c>
      <c r="HX15" s="3"/>
      <c r="HY15" s="3"/>
      <c r="HZ15" s="3"/>
      <c r="IA15" s="3"/>
      <c r="IB15" s="3"/>
      <c r="IC15" s="3"/>
      <c r="ID15" s="3"/>
      <c r="IE15" s="3"/>
    </row>
    <row r="16" spans="1:239" x14ac:dyDescent="0.25">
      <c r="A16" t="s">
        <v>1290</v>
      </c>
      <c r="B16" t="s">
        <v>1291</v>
      </c>
      <c r="C16" t="s">
        <v>735</v>
      </c>
      <c r="D16" t="s">
        <v>1292</v>
      </c>
      <c r="E16" s="4" t="s">
        <v>217</v>
      </c>
      <c r="F16" s="4" t="s">
        <v>1293</v>
      </c>
      <c r="G16" t="s">
        <v>1308</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6"/>
      <c r="BY16" s="6"/>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v>0</v>
      </c>
      <c r="GW16" s="3">
        <v>1726000</v>
      </c>
      <c r="GX16" s="3">
        <v>0</v>
      </c>
      <c r="GY16" s="3">
        <v>1726000</v>
      </c>
      <c r="GZ16" s="3">
        <v>0</v>
      </c>
      <c r="HA16" s="3">
        <v>1726000</v>
      </c>
      <c r="HB16" s="3">
        <v>0</v>
      </c>
      <c r="HC16" s="3">
        <v>1726000</v>
      </c>
      <c r="HD16" s="3">
        <v>0</v>
      </c>
      <c r="HE16" s="3">
        <v>1726000</v>
      </c>
      <c r="HF16" s="3">
        <v>0</v>
      </c>
      <c r="HG16" s="3">
        <v>1726000</v>
      </c>
      <c r="HH16" s="3">
        <v>0</v>
      </c>
      <c r="HI16" s="3">
        <v>1726000</v>
      </c>
      <c r="HJ16" s="3">
        <v>0</v>
      </c>
      <c r="HK16" s="3">
        <v>1726000</v>
      </c>
      <c r="HL16" s="3">
        <v>0</v>
      </c>
      <c r="HM16" s="3">
        <v>1726000</v>
      </c>
      <c r="HN16" s="3">
        <v>0</v>
      </c>
      <c r="HO16" s="3">
        <v>1726000</v>
      </c>
      <c r="HP16" s="3">
        <v>0</v>
      </c>
      <c r="HQ16" s="3">
        <v>741630.66</v>
      </c>
      <c r="HR16" s="3">
        <v>0</v>
      </c>
      <c r="HS16" s="3">
        <v>741630.66</v>
      </c>
      <c r="HT16" s="3">
        <v>0</v>
      </c>
      <c r="HU16" s="3">
        <v>741630.66</v>
      </c>
      <c r="HV16" s="3">
        <v>0</v>
      </c>
      <c r="HW16" s="3">
        <v>741630.66</v>
      </c>
      <c r="HX16" s="3"/>
      <c r="HY16" s="3"/>
      <c r="HZ16" s="3"/>
      <c r="IA16" s="3"/>
      <c r="IB16" s="3"/>
      <c r="IC16" s="3"/>
      <c r="ID16" s="3"/>
      <c r="IE16" s="3"/>
    </row>
    <row r="17" spans="1:239" x14ac:dyDescent="0.25">
      <c r="A17" t="s">
        <v>841</v>
      </c>
      <c r="B17" t="s">
        <v>1294</v>
      </c>
      <c r="C17" t="s">
        <v>1295</v>
      </c>
      <c r="D17" t="s">
        <v>1292</v>
      </c>
      <c r="E17" t="s">
        <v>201</v>
      </c>
      <c r="F17" t="s">
        <v>202</v>
      </c>
      <c r="G17" t="s">
        <v>203</v>
      </c>
      <c r="H17" s="3">
        <v>13788000</v>
      </c>
      <c r="I17" s="3">
        <v>17308000</v>
      </c>
      <c r="J17" s="3">
        <v>0</v>
      </c>
      <c r="K17" s="3">
        <v>31096000</v>
      </c>
      <c r="L17" s="3">
        <v>13788000</v>
      </c>
      <c r="M17" s="3">
        <v>18128000</v>
      </c>
      <c r="N17" s="3">
        <v>0</v>
      </c>
      <c r="O17" s="3">
        <v>31916000</v>
      </c>
      <c r="P17" s="3">
        <v>13788000</v>
      </c>
      <c r="Q17" s="3">
        <v>18128000</v>
      </c>
      <c r="R17" s="3">
        <v>0</v>
      </c>
      <c r="S17" s="3">
        <v>31916000</v>
      </c>
      <c r="T17" s="3">
        <v>6085171.2400000002</v>
      </c>
      <c r="U17" s="3">
        <v>16568000</v>
      </c>
      <c r="V17" s="3">
        <v>260000</v>
      </c>
      <c r="W17" s="3">
        <v>22913171.239999998</v>
      </c>
      <c r="X17" s="3">
        <v>6085171.2400000002</v>
      </c>
      <c r="Y17" s="3">
        <v>16568000</v>
      </c>
      <c r="Z17" s="3">
        <v>260000</v>
      </c>
      <c r="AA17" s="3">
        <v>22913171.239999998</v>
      </c>
      <c r="AB17" s="3">
        <v>6085170.79</v>
      </c>
      <c r="AC17" s="3">
        <v>16408119.439999999</v>
      </c>
      <c r="AD17" s="3">
        <v>260000</v>
      </c>
      <c r="AE17" s="3">
        <v>22753290.23</v>
      </c>
      <c r="AF17" s="3">
        <v>3275148.89</v>
      </c>
      <c r="AG17" s="3">
        <v>15187865.640000001</v>
      </c>
      <c r="AH17" s="3">
        <v>216700</v>
      </c>
      <c r="AI17" s="3">
        <v>18679714.530000001</v>
      </c>
      <c r="AJ17" s="3">
        <v>17316000</v>
      </c>
      <c r="AK17" s="3">
        <v>14977000</v>
      </c>
      <c r="AL17" s="3">
        <v>365000</v>
      </c>
      <c r="AM17" s="3">
        <v>32658000</v>
      </c>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6"/>
      <c r="BY17" s="6"/>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row>
    <row r="18" spans="1:239" x14ac:dyDescent="0.25">
      <c r="A18" t="s">
        <v>841</v>
      </c>
      <c r="B18" t="s">
        <v>1294</v>
      </c>
      <c r="C18" t="s">
        <v>1295</v>
      </c>
      <c r="D18" t="s">
        <v>1292</v>
      </c>
      <c r="E18" t="s">
        <v>201</v>
      </c>
      <c r="F18" t="s">
        <v>204</v>
      </c>
      <c r="G18" t="s">
        <v>205</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v>1733000</v>
      </c>
      <c r="AK18" s="3">
        <v>0</v>
      </c>
      <c r="AL18" s="3">
        <v>0</v>
      </c>
      <c r="AM18" s="3">
        <v>1733000</v>
      </c>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6"/>
      <c r="BY18" s="6"/>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row>
    <row r="19" spans="1:239" x14ac:dyDescent="0.25">
      <c r="A19" t="s">
        <v>841</v>
      </c>
      <c r="B19" t="s">
        <v>1294</v>
      </c>
      <c r="C19" t="s">
        <v>1295</v>
      </c>
      <c r="D19" t="s">
        <v>1292</v>
      </c>
      <c r="E19" t="s">
        <v>217</v>
      </c>
      <c r="F19" t="s">
        <v>218</v>
      </c>
      <c r="G19" t="s">
        <v>1296</v>
      </c>
      <c r="H19" s="3">
        <v>6065000</v>
      </c>
      <c r="I19" s="3">
        <v>3330000</v>
      </c>
      <c r="J19" s="3">
        <v>0</v>
      </c>
      <c r="K19" s="3">
        <v>9395000</v>
      </c>
      <c r="L19" s="3">
        <v>6065000</v>
      </c>
      <c r="M19" s="3">
        <v>4651000</v>
      </c>
      <c r="N19" s="3">
        <v>0</v>
      </c>
      <c r="O19" s="3">
        <v>10716000</v>
      </c>
      <c r="P19" s="3">
        <v>6065000</v>
      </c>
      <c r="Q19" s="3">
        <v>4651000</v>
      </c>
      <c r="R19" s="3">
        <v>0</v>
      </c>
      <c r="S19" s="3">
        <v>10716000</v>
      </c>
      <c r="T19" s="3">
        <v>7051811.71</v>
      </c>
      <c r="U19" s="3">
        <v>4651000</v>
      </c>
      <c r="V19" s="3">
        <v>0</v>
      </c>
      <c r="W19" s="3">
        <v>11702811.710000001</v>
      </c>
      <c r="X19" s="3">
        <v>7051811.71</v>
      </c>
      <c r="Y19" s="3">
        <v>4651000</v>
      </c>
      <c r="Z19" s="3">
        <v>0</v>
      </c>
      <c r="AA19" s="3">
        <v>11702811.710000001</v>
      </c>
      <c r="AB19" s="3">
        <v>7051693.4000000004</v>
      </c>
      <c r="AC19" s="3">
        <v>4626644.33</v>
      </c>
      <c r="AD19" s="3">
        <v>0</v>
      </c>
      <c r="AE19" s="3">
        <v>11678337.73</v>
      </c>
      <c r="AF19" s="3">
        <v>6656328.2599999998</v>
      </c>
      <c r="AG19" s="3">
        <v>3483139.66</v>
      </c>
      <c r="AH19" s="3">
        <v>0</v>
      </c>
      <c r="AI19" s="3">
        <v>10139467.92</v>
      </c>
      <c r="AJ19" s="3">
        <v>7214000</v>
      </c>
      <c r="AK19" s="3">
        <v>14409000</v>
      </c>
      <c r="AL19" s="3">
        <v>0</v>
      </c>
      <c r="AM19" s="3">
        <v>21623000</v>
      </c>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6"/>
      <c r="BY19" s="6"/>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row>
    <row r="20" spans="1:239" x14ac:dyDescent="0.25">
      <c r="A20" t="s">
        <v>841</v>
      </c>
      <c r="B20" t="s">
        <v>1294</v>
      </c>
      <c r="C20" t="s">
        <v>1295</v>
      </c>
      <c r="D20" t="s">
        <v>1292</v>
      </c>
      <c r="E20" t="s">
        <v>217</v>
      </c>
      <c r="F20" t="s">
        <v>220</v>
      </c>
      <c r="G20" t="s">
        <v>1297</v>
      </c>
      <c r="H20" s="3">
        <v>7488000</v>
      </c>
      <c r="I20" s="3">
        <v>22688000</v>
      </c>
      <c r="J20" s="3">
        <v>0</v>
      </c>
      <c r="K20" s="3">
        <v>30176000</v>
      </c>
      <c r="L20" s="3">
        <v>7488000</v>
      </c>
      <c r="M20" s="3">
        <v>40547000</v>
      </c>
      <c r="N20" s="3">
        <v>0</v>
      </c>
      <c r="O20" s="3">
        <v>48035000</v>
      </c>
      <c r="P20" s="3">
        <v>7488000</v>
      </c>
      <c r="Q20" s="3">
        <v>40547000</v>
      </c>
      <c r="R20" s="3">
        <v>0</v>
      </c>
      <c r="S20" s="3">
        <v>48035000</v>
      </c>
      <c r="T20" s="3">
        <v>8066378.8499999996</v>
      </c>
      <c r="U20" s="3">
        <v>39989500</v>
      </c>
      <c r="V20" s="3">
        <v>0</v>
      </c>
      <c r="W20" s="3">
        <v>48055878.850000001</v>
      </c>
      <c r="X20" s="3">
        <v>8066378.8499999996</v>
      </c>
      <c r="Y20" s="3">
        <v>39989500</v>
      </c>
      <c r="Z20" s="3">
        <v>0</v>
      </c>
      <c r="AA20" s="3">
        <v>48055878.850000001</v>
      </c>
      <c r="AB20" s="3">
        <v>8066378.8499999996</v>
      </c>
      <c r="AC20" s="3">
        <v>31928525.02</v>
      </c>
      <c r="AD20" s="3">
        <v>0</v>
      </c>
      <c r="AE20" s="3">
        <v>39994903.869999997</v>
      </c>
      <c r="AF20" s="3">
        <v>7527186.7000000002</v>
      </c>
      <c r="AG20" s="3">
        <v>28566918.789999999</v>
      </c>
      <c r="AH20" s="3">
        <v>0</v>
      </c>
      <c r="AI20" s="3">
        <v>36094105.490000002</v>
      </c>
      <c r="AJ20" s="3">
        <v>8255000</v>
      </c>
      <c r="AK20" s="3">
        <v>19631000</v>
      </c>
      <c r="AL20" s="3">
        <v>0</v>
      </c>
      <c r="AM20" s="3">
        <v>27886000</v>
      </c>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6"/>
      <c r="BY20" s="6"/>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row>
    <row r="21" spans="1:239" x14ac:dyDescent="0.25">
      <c r="A21" t="s">
        <v>841</v>
      </c>
      <c r="B21" t="s">
        <v>1294</v>
      </c>
      <c r="C21" t="s">
        <v>1295</v>
      </c>
      <c r="D21" t="s">
        <v>1292</v>
      </c>
      <c r="E21" t="s">
        <v>217</v>
      </c>
      <c r="F21" t="s">
        <v>222</v>
      </c>
      <c r="G21" t="s">
        <v>1298</v>
      </c>
      <c r="H21" s="3">
        <v>4404000</v>
      </c>
      <c r="I21" s="3">
        <v>3000000</v>
      </c>
      <c r="J21" s="3">
        <v>0</v>
      </c>
      <c r="K21" s="3">
        <v>7404000</v>
      </c>
      <c r="L21" s="3">
        <v>4404000</v>
      </c>
      <c r="M21" s="3">
        <v>3000000</v>
      </c>
      <c r="N21" s="3">
        <v>0</v>
      </c>
      <c r="O21" s="3">
        <v>7404000</v>
      </c>
      <c r="P21" s="3">
        <v>4404000</v>
      </c>
      <c r="Q21" s="3">
        <v>3000000</v>
      </c>
      <c r="R21" s="3">
        <v>0</v>
      </c>
      <c r="S21" s="3">
        <v>7404000</v>
      </c>
      <c r="T21" s="3">
        <v>7859237.1500000004</v>
      </c>
      <c r="U21" s="3">
        <v>3000000</v>
      </c>
      <c r="V21" s="3">
        <v>0</v>
      </c>
      <c r="W21" s="3">
        <v>10859237.15</v>
      </c>
      <c r="X21" s="3">
        <v>7859237.1500000004</v>
      </c>
      <c r="Y21" s="3">
        <v>3000000</v>
      </c>
      <c r="Z21" s="3">
        <v>0</v>
      </c>
      <c r="AA21" s="3">
        <v>10859237.15</v>
      </c>
      <c r="AB21" s="3">
        <v>7859237.1500000004</v>
      </c>
      <c r="AC21" s="3">
        <v>2976200.95</v>
      </c>
      <c r="AD21" s="3">
        <v>0</v>
      </c>
      <c r="AE21" s="3">
        <v>10835438.1</v>
      </c>
      <c r="AF21" s="3">
        <v>7078466.75</v>
      </c>
      <c r="AG21" s="3">
        <v>2706939.74</v>
      </c>
      <c r="AH21" s="3">
        <v>0</v>
      </c>
      <c r="AI21" s="3">
        <v>9785406.4900000002</v>
      </c>
      <c r="AJ21" s="3">
        <v>7460000</v>
      </c>
      <c r="AK21" s="3">
        <v>2596000</v>
      </c>
      <c r="AL21" s="3">
        <v>0</v>
      </c>
      <c r="AM21" s="3">
        <v>10056000</v>
      </c>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row>
    <row r="22" spans="1:239" x14ac:dyDescent="0.25">
      <c r="A22" t="s">
        <v>841</v>
      </c>
      <c r="B22" t="s">
        <v>1294</v>
      </c>
      <c r="C22" t="s">
        <v>1295</v>
      </c>
      <c r="D22" t="s">
        <v>1292</v>
      </c>
      <c r="E22" t="s">
        <v>217</v>
      </c>
      <c r="F22" t="s">
        <v>516</v>
      </c>
      <c r="G22" t="s">
        <v>1299</v>
      </c>
      <c r="H22" s="3">
        <v>1430000</v>
      </c>
      <c r="I22" s="3">
        <v>7113000</v>
      </c>
      <c r="J22" s="3">
        <v>2505000</v>
      </c>
      <c r="K22" s="3">
        <v>11048000</v>
      </c>
      <c r="L22" s="3">
        <v>1430000</v>
      </c>
      <c r="M22" s="3">
        <v>7113000</v>
      </c>
      <c r="N22" s="3">
        <v>2505000</v>
      </c>
      <c r="O22" s="3">
        <v>11048000</v>
      </c>
      <c r="P22" s="3">
        <v>1430000</v>
      </c>
      <c r="Q22" s="3">
        <v>7113000</v>
      </c>
      <c r="R22" s="3">
        <v>2505000</v>
      </c>
      <c r="S22" s="3">
        <v>11048000</v>
      </c>
      <c r="T22" s="3">
        <v>5978217.0499999998</v>
      </c>
      <c r="U22" s="3">
        <v>7113000</v>
      </c>
      <c r="V22" s="3">
        <v>2395829.37</v>
      </c>
      <c r="W22" s="3">
        <v>15487046.42</v>
      </c>
      <c r="X22" s="3">
        <v>5978217.0499999998</v>
      </c>
      <c r="Y22" s="3">
        <v>7113000</v>
      </c>
      <c r="Z22" s="3">
        <v>2395829.37</v>
      </c>
      <c r="AA22" s="3">
        <v>15487046.42</v>
      </c>
      <c r="AB22" s="3">
        <v>5978217.0499999998</v>
      </c>
      <c r="AC22" s="3">
        <v>5792206.1399999997</v>
      </c>
      <c r="AD22" s="3">
        <v>2225434.9500000002</v>
      </c>
      <c r="AE22" s="3">
        <v>13995858.140000001</v>
      </c>
      <c r="AF22" s="3">
        <v>5719947.3300000001</v>
      </c>
      <c r="AG22" s="3">
        <v>3259792.5</v>
      </c>
      <c r="AH22" s="3">
        <v>1276250.23</v>
      </c>
      <c r="AI22" s="3">
        <v>10255990.060000001</v>
      </c>
      <c r="AJ22" s="3">
        <v>5955000</v>
      </c>
      <c r="AK22" s="3">
        <v>6155000</v>
      </c>
      <c r="AL22" s="3">
        <v>0</v>
      </c>
      <c r="AM22" s="3">
        <v>12110000</v>
      </c>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row>
    <row r="23" spans="1:239" x14ac:dyDescent="0.25">
      <c r="A23" t="s">
        <v>841</v>
      </c>
      <c r="B23" t="s">
        <v>1294</v>
      </c>
      <c r="C23" t="s">
        <v>1295</v>
      </c>
      <c r="D23" t="s">
        <v>1292</v>
      </c>
      <c r="E23" t="s">
        <v>217</v>
      </c>
      <c r="F23" t="s">
        <v>618</v>
      </c>
      <c r="G23" t="s">
        <v>1300</v>
      </c>
      <c r="H23" s="3">
        <v>0</v>
      </c>
      <c r="I23" s="3">
        <v>1156000</v>
      </c>
      <c r="J23" s="3">
        <v>1540000</v>
      </c>
      <c r="K23" s="3">
        <v>2696000</v>
      </c>
      <c r="L23" s="3">
        <v>0</v>
      </c>
      <c r="M23" s="3">
        <v>1156000</v>
      </c>
      <c r="N23" s="3">
        <v>1540000</v>
      </c>
      <c r="O23" s="3">
        <v>2696000</v>
      </c>
      <c r="P23" s="3">
        <v>0</v>
      </c>
      <c r="Q23" s="3">
        <v>1156000</v>
      </c>
      <c r="R23" s="3">
        <v>1540000</v>
      </c>
      <c r="S23" s="3">
        <v>2696000</v>
      </c>
      <c r="T23" s="3">
        <v>0</v>
      </c>
      <c r="U23" s="3">
        <v>781000</v>
      </c>
      <c r="V23" s="3">
        <v>2024170.63</v>
      </c>
      <c r="W23" s="3">
        <v>2805170.63</v>
      </c>
      <c r="X23" s="3">
        <v>0</v>
      </c>
      <c r="Y23" s="3">
        <v>781000</v>
      </c>
      <c r="Z23" s="3">
        <v>2024170.63</v>
      </c>
      <c r="AA23" s="3">
        <v>2805170.63</v>
      </c>
      <c r="AB23" s="3">
        <v>0</v>
      </c>
      <c r="AC23" s="3">
        <v>744993.4</v>
      </c>
      <c r="AD23" s="3">
        <v>2024170.63</v>
      </c>
      <c r="AE23" s="3">
        <v>2769164.03</v>
      </c>
      <c r="AF23" s="3">
        <v>0</v>
      </c>
      <c r="AG23" s="3">
        <v>744993.4</v>
      </c>
      <c r="AH23" s="3">
        <v>1789675.63</v>
      </c>
      <c r="AI23" s="3">
        <v>2534669.0299999998</v>
      </c>
      <c r="AJ23" s="3">
        <v>0</v>
      </c>
      <c r="AK23" s="3">
        <v>1850000</v>
      </c>
      <c r="AL23" s="3">
        <v>3575000</v>
      </c>
      <c r="AM23" s="3">
        <v>5425000</v>
      </c>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row>
    <row r="24" spans="1:239" x14ac:dyDescent="0.25">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row>
    <row r="25" spans="1:239" x14ac:dyDescent="0.25">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row>
    <row r="26" spans="1:239" x14ac:dyDescent="0.25">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row>
    <row r="27" spans="1:239" x14ac:dyDescent="0.25">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row>
    <row r="28" spans="1:239" x14ac:dyDescent="0.25">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row>
    <row r="29" spans="1:239" x14ac:dyDescent="0.25">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row>
    <row r="30" spans="1:239" x14ac:dyDescent="0.25">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row>
    <row r="31" spans="1:239" x14ac:dyDescent="0.25">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row>
    <row r="32" spans="1:239" x14ac:dyDescent="0.25">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row>
    <row r="33" spans="8:239" x14ac:dyDescent="0.25">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row>
    <row r="34" spans="8:239" x14ac:dyDescent="0.25">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row>
    <row r="35" spans="8:239" x14ac:dyDescent="0.25">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row>
    <row r="36" spans="8:239" x14ac:dyDescent="0.25">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row>
    <row r="37" spans="8:239" x14ac:dyDescent="0.25">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row>
    <row r="38" spans="8:239" x14ac:dyDescent="0.25">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row>
    <row r="39" spans="8:239" x14ac:dyDescent="0.25">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row>
    <row r="40" spans="8:239" x14ac:dyDescent="0.25">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row>
    <row r="41" spans="8:239" x14ac:dyDescent="0.25">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row>
    <row r="42" spans="8:239" x14ac:dyDescent="0.25">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row>
    <row r="43" spans="8:239" x14ac:dyDescent="0.25">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row>
    <row r="44" spans="8:239" x14ac:dyDescent="0.25">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row>
    <row r="45" spans="8:239" x14ac:dyDescent="0.25">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row>
    <row r="46" spans="8:239" x14ac:dyDescent="0.25">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row>
    <row r="47" spans="8:239" x14ac:dyDescent="0.25">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row>
    <row r="48" spans="8:239" x14ac:dyDescent="0.25">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row>
    <row r="49" spans="8:239" x14ac:dyDescent="0.25">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row>
    <row r="50" spans="8:239" x14ac:dyDescent="0.25">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row>
    <row r="51" spans="8:239" x14ac:dyDescent="0.25">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row>
    <row r="52" spans="8:239" x14ac:dyDescent="0.25">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row>
    <row r="53" spans="8:239" x14ac:dyDescent="0.25">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row>
    <row r="54" spans="8:239" x14ac:dyDescent="0.25">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row>
    <row r="55" spans="8:239" x14ac:dyDescent="0.25">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row>
    <row r="56" spans="8:239" x14ac:dyDescent="0.25">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row>
    <row r="57" spans="8:239" x14ac:dyDescent="0.25">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row>
    <row r="58" spans="8:239" x14ac:dyDescent="0.25">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row>
    <row r="59" spans="8:239" x14ac:dyDescent="0.25">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row>
    <row r="60" spans="8:239" x14ac:dyDescent="0.25">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row>
    <row r="61" spans="8:239" x14ac:dyDescent="0.25">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row>
    <row r="62" spans="8:239" x14ac:dyDescent="0.25">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row>
    <row r="63" spans="8:239" x14ac:dyDescent="0.25">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row>
    <row r="64" spans="8:239" x14ac:dyDescent="0.25">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row>
    <row r="65" spans="8:239" x14ac:dyDescent="0.25">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row>
    <row r="66" spans="8:239" x14ac:dyDescent="0.25">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row>
    <row r="67" spans="8:239" x14ac:dyDescent="0.25">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row>
    <row r="68" spans="8:239" x14ac:dyDescent="0.25">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row>
    <row r="69" spans="8:239" x14ac:dyDescent="0.25">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row>
    <row r="70" spans="8:239" x14ac:dyDescent="0.25">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row>
    <row r="71" spans="8:239" x14ac:dyDescent="0.25">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row>
    <row r="72" spans="8:239" x14ac:dyDescent="0.25">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row>
    <row r="73" spans="8:239" x14ac:dyDescent="0.25">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row>
    <row r="74" spans="8:239" x14ac:dyDescent="0.25">
      <c r="AR74" s="3"/>
      <c r="AS74" s="3"/>
      <c r="AT74" s="3"/>
      <c r="AU74" s="3"/>
      <c r="AV74" s="3"/>
      <c r="AW74" s="3"/>
      <c r="AX74" s="3"/>
      <c r="AY74" s="3"/>
      <c r="AZ74" s="3"/>
      <c r="BA74" s="3"/>
      <c r="BB74" s="3"/>
      <c r="BC74" s="3"/>
      <c r="BD74" s="3"/>
      <c r="BE74" s="3"/>
      <c r="BF74" s="3"/>
      <c r="BG74" s="3"/>
      <c r="BH74" s="3"/>
      <c r="BI74" s="3"/>
      <c r="BJ74" s="3"/>
      <c r="BK74" s="3"/>
    </row>
    <row r="75" spans="8:239" x14ac:dyDescent="0.25">
      <c r="AR75" s="3"/>
      <c r="AS75" s="3"/>
      <c r="AT75" s="3"/>
      <c r="AU75" s="3"/>
      <c r="AV75" s="3"/>
      <c r="AW75" s="3"/>
      <c r="AX75" s="3"/>
      <c r="AY75" s="3"/>
      <c r="AZ75" s="3"/>
      <c r="BA75" s="3"/>
      <c r="BB75" s="3"/>
      <c r="BC75" s="3"/>
      <c r="BD75" s="3"/>
      <c r="BE75" s="3"/>
      <c r="BF75" s="3"/>
      <c r="BG75" s="3"/>
      <c r="BH75" s="3"/>
      <c r="BI75" s="3"/>
      <c r="BJ75" s="3"/>
      <c r="BK75" s="3"/>
    </row>
    <row r="76" spans="8:239" x14ac:dyDescent="0.25">
      <c r="AR76" s="3"/>
      <c r="AS76" s="3"/>
      <c r="AT76" s="3"/>
      <c r="AU76" s="3"/>
      <c r="AV76" s="3"/>
      <c r="AW76" s="3"/>
      <c r="AX76" s="3"/>
      <c r="AY76" s="3"/>
      <c r="AZ76" s="3"/>
      <c r="BA76" s="3"/>
      <c r="BB76" s="3"/>
      <c r="BC76" s="3"/>
      <c r="BD76" s="3"/>
      <c r="BE76" s="3"/>
      <c r="BF76" s="3"/>
      <c r="BG76" s="3"/>
      <c r="BH76" s="3"/>
      <c r="BI76" s="3"/>
      <c r="BJ76" s="3"/>
      <c r="BK76" s="3"/>
    </row>
    <row r="77" spans="8:239" x14ac:dyDescent="0.25">
      <c r="AR77" s="3"/>
      <c r="AS77" s="3"/>
      <c r="AT77" s="3"/>
      <c r="AU77" s="3"/>
      <c r="AV77" s="3"/>
      <c r="AW77" s="3"/>
      <c r="AX77" s="3"/>
      <c r="AY77" s="3"/>
      <c r="AZ77" s="3"/>
      <c r="BA77" s="3"/>
      <c r="BB77" s="3"/>
      <c r="BC77" s="3"/>
      <c r="BD77" s="3"/>
      <c r="BE77" s="3"/>
      <c r="BF77" s="3"/>
      <c r="BG77" s="3"/>
      <c r="BH77" s="3"/>
      <c r="BI77" s="3"/>
      <c r="BJ77" s="3"/>
      <c r="BK77" s="3"/>
    </row>
    <row r="78" spans="8:239" x14ac:dyDescent="0.25">
      <c r="AR78" s="3"/>
      <c r="AS78" s="3"/>
      <c r="AT78" s="3"/>
      <c r="AU78" s="3"/>
      <c r="AV78" s="3"/>
      <c r="AW78" s="3"/>
      <c r="AX78" s="3"/>
      <c r="AY78" s="3"/>
      <c r="AZ78" s="3"/>
      <c r="BA78" s="3"/>
      <c r="BB78" s="3"/>
      <c r="BC78" s="3"/>
      <c r="BD78" s="3"/>
      <c r="BE78" s="3"/>
      <c r="BF78" s="3"/>
      <c r="BG78" s="3"/>
      <c r="BH78" s="3"/>
      <c r="BI78" s="3"/>
      <c r="BJ78" s="3"/>
      <c r="BK78" s="3"/>
    </row>
    <row r="79" spans="8:239" x14ac:dyDescent="0.25">
      <c r="AR79" s="3"/>
      <c r="AS79" s="3"/>
      <c r="AT79" s="3"/>
      <c r="AU79" s="3"/>
      <c r="AV79" s="3"/>
      <c r="AW79" s="3"/>
      <c r="AX79" s="3"/>
      <c r="AY79" s="3"/>
      <c r="AZ79" s="3"/>
      <c r="BA79" s="3"/>
      <c r="BB79" s="3"/>
      <c r="BC79" s="3"/>
      <c r="BD79" s="3"/>
      <c r="BE79" s="3"/>
      <c r="BF79" s="3"/>
      <c r="BG79" s="3"/>
      <c r="BH79" s="3"/>
      <c r="BI79" s="3"/>
      <c r="BJ79" s="3"/>
      <c r="BK79" s="3"/>
    </row>
    <row r="80" spans="8:239" x14ac:dyDescent="0.25">
      <c r="AR80" s="3"/>
      <c r="AS80" s="3"/>
      <c r="AT80" s="3"/>
      <c r="AU80" s="3"/>
      <c r="AV80" s="3"/>
      <c r="AW80" s="3"/>
      <c r="AX80" s="3"/>
      <c r="AY80" s="3"/>
      <c r="AZ80" s="3"/>
      <c r="BA80" s="3"/>
      <c r="BB80" s="3"/>
      <c r="BC80" s="3"/>
      <c r="BD80" s="3"/>
      <c r="BE80" s="3"/>
      <c r="BF80" s="3"/>
      <c r="BG80" s="3"/>
      <c r="BH80" s="3"/>
      <c r="BI80" s="3"/>
      <c r="BJ80" s="3"/>
      <c r="BK80" s="3"/>
    </row>
    <row r="81" spans="44:63" x14ac:dyDescent="0.25">
      <c r="AR81" s="3"/>
      <c r="AS81" s="3"/>
      <c r="AT81" s="3"/>
      <c r="AU81" s="3"/>
      <c r="AV81" s="3"/>
      <c r="AW81" s="3"/>
      <c r="AX81" s="3"/>
      <c r="AY81" s="3"/>
      <c r="AZ81" s="3"/>
      <c r="BA81" s="3"/>
      <c r="BB81" s="3"/>
      <c r="BC81" s="3"/>
      <c r="BD81" s="3"/>
      <c r="BE81" s="3"/>
      <c r="BF81" s="3"/>
      <c r="BG81" s="3"/>
      <c r="BH81" s="3"/>
      <c r="BI81" s="3"/>
      <c r="BJ81" s="3"/>
      <c r="BK81" s="3"/>
    </row>
    <row r="82" spans="44:63" x14ac:dyDescent="0.25">
      <c r="AR82" s="3"/>
      <c r="AS82" s="3"/>
      <c r="AT82" s="3"/>
      <c r="AU82" s="3"/>
      <c r="AV82" s="3"/>
      <c r="AW82" s="3"/>
      <c r="AX82" s="3"/>
      <c r="AY82" s="3"/>
      <c r="AZ82" s="3"/>
      <c r="BA82" s="3"/>
      <c r="BB82" s="3"/>
      <c r="BC82" s="3"/>
      <c r="BD82" s="3"/>
      <c r="BE82" s="3"/>
      <c r="BF82" s="3"/>
      <c r="BG82" s="3"/>
      <c r="BH82" s="3"/>
      <c r="BI82" s="3"/>
      <c r="BJ82" s="3"/>
      <c r="BK82" s="3"/>
    </row>
    <row r="83" spans="44:63" x14ac:dyDescent="0.25">
      <c r="AR83" s="3"/>
      <c r="AS83" s="3"/>
      <c r="AT83" s="3"/>
      <c r="AU83" s="3"/>
      <c r="AV83" s="3"/>
      <c r="AW83" s="3"/>
      <c r="AX83" s="3"/>
      <c r="AY83" s="3"/>
      <c r="AZ83" s="3"/>
      <c r="BA83" s="3"/>
      <c r="BB83" s="3"/>
      <c r="BC83" s="3"/>
      <c r="BD83" s="3"/>
      <c r="BE83" s="3"/>
      <c r="BF83" s="3"/>
      <c r="BG83" s="3"/>
      <c r="BH83" s="3"/>
      <c r="BI83" s="3"/>
      <c r="BJ83" s="3"/>
      <c r="BK83" s="3"/>
    </row>
    <row r="84" spans="44:63" x14ac:dyDescent="0.25">
      <c r="AR84" s="3"/>
      <c r="AS84" s="3"/>
      <c r="AT84" s="3"/>
      <c r="AU84" s="3"/>
      <c r="AV84" s="3"/>
      <c r="AW84" s="3"/>
      <c r="AX84" s="3"/>
      <c r="AY84" s="3"/>
      <c r="AZ84" s="3"/>
      <c r="BA84" s="3"/>
      <c r="BB84" s="3"/>
      <c r="BC84" s="3"/>
      <c r="BD84" s="3"/>
      <c r="BE84" s="3"/>
      <c r="BF84" s="3"/>
      <c r="BG84" s="3"/>
      <c r="BH84" s="3"/>
      <c r="BI84" s="3"/>
      <c r="BJ84" s="3"/>
      <c r="BK84" s="3"/>
    </row>
    <row r="85" spans="44:63" x14ac:dyDescent="0.25">
      <c r="AR85" s="3"/>
      <c r="AS85" s="3"/>
      <c r="AT85" s="3"/>
      <c r="AU85" s="3"/>
      <c r="AV85" s="3"/>
      <c r="AW85" s="3"/>
      <c r="AX85" s="3"/>
      <c r="AY85" s="3"/>
      <c r="AZ85" s="3"/>
      <c r="BA85" s="3"/>
      <c r="BB85" s="3"/>
      <c r="BC85" s="3"/>
      <c r="BD85" s="3"/>
      <c r="BE85" s="3"/>
      <c r="BF85" s="3"/>
      <c r="BG85" s="3"/>
      <c r="BH85" s="3"/>
      <c r="BI85" s="3"/>
      <c r="BJ85" s="3"/>
      <c r="BK85" s="3"/>
    </row>
    <row r="86" spans="44:63" x14ac:dyDescent="0.25">
      <c r="AR86" s="3"/>
      <c r="AS86" s="3"/>
      <c r="AT86" s="3"/>
      <c r="AU86" s="3"/>
      <c r="AV86" s="3"/>
      <c r="AW86" s="3"/>
      <c r="AX86" s="3"/>
      <c r="AY86" s="3"/>
      <c r="AZ86" s="3"/>
      <c r="BA86" s="3"/>
      <c r="BB86" s="3"/>
      <c r="BC86" s="3"/>
      <c r="BD86" s="3"/>
      <c r="BE86" s="3"/>
      <c r="BF86" s="3"/>
      <c r="BG86" s="3"/>
      <c r="BH86" s="3"/>
      <c r="BI86" s="3"/>
      <c r="BJ86" s="3"/>
      <c r="BK86" s="3"/>
    </row>
    <row r="87" spans="44:63" x14ac:dyDescent="0.25">
      <c r="AR87" s="3"/>
      <c r="AS87" s="3"/>
      <c r="AT87" s="3"/>
      <c r="AU87" s="3"/>
      <c r="AV87" s="3"/>
      <c r="AW87" s="3"/>
      <c r="AX87" s="3"/>
      <c r="AY87" s="3"/>
      <c r="AZ87" s="3"/>
      <c r="BA87" s="3"/>
      <c r="BB87" s="3"/>
      <c r="BC87" s="3"/>
      <c r="BD87" s="3"/>
      <c r="BE87" s="3"/>
      <c r="BF87" s="3"/>
      <c r="BG87" s="3"/>
      <c r="BH87" s="3"/>
      <c r="BI87" s="3"/>
      <c r="BJ87" s="3"/>
      <c r="BK87" s="3"/>
    </row>
    <row r="88" spans="44:63" x14ac:dyDescent="0.25">
      <c r="AR88" s="3"/>
      <c r="AS88" s="3"/>
      <c r="AT88" s="3"/>
      <c r="AU88" s="3"/>
      <c r="AV88" s="3"/>
      <c r="AW88" s="3"/>
      <c r="AX88" s="3"/>
      <c r="AY88" s="3"/>
      <c r="AZ88" s="3"/>
      <c r="BA88" s="3"/>
      <c r="BB88" s="3"/>
      <c r="BC88" s="3"/>
      <c r="BD88" s="3"/>
      <c r="BE88" s="3"/>
      <c r="BF88" s="3"/>
      <c r="BG88" s="3"/>
      <c r="BH88" s="3"/>
      <c r="BI88" s="3"/>
      <c r="BJ88" s="3"/>
      <c r="BK88" s="3"/>
    </row>
    <row r="89" spans="44:63" x14ac:dyDescent="0.25">
      <c r="AR89" s="3"/>
      <c r="AS89" s="3"/>
      <c r="AT89" s="3"/>
      <c r="AU89" s="3"/>
      <c r="AV89" s="3"/>
      <c r="AW89" s="3"/>
      <c r="AX89" s="3"/>
      <c r="AY89" s="3"/>
      <c r="AZ89" s="3"/>
      <c r="BA89" s="3"/>
      <c r="BB89" s="3"/>
      <c r="BC89" s="3"/>
      <c r="BD89" s="3"/>
      <c r="BE89" s="3"/>
      <c r="BF89" s="3"/>
      <c r="BG89" s="3"/>
      <c r="BH89" s="3"/>
      <c r="BI89" s="3"/>
      <c r="BJ89" s="3"/>
      <c r="BK89" s="3"/>
    </row>
    <row r="90" spans="44:63" x14ac:dyDescent="0.25">
      <c r="AR90" s="3"/>
      <c r="AS90" s="3"/>
      <c r="AT90" s="3"/>
      <c r="AU90" s="3"/>
      <c r="AV90" s="3"/>
      <c r="AW90" s="3"/>
      <c r="AX90" s="3"/>
      <c r="AY90" s="3"/>
      <c r="AZ90" s="3"/>
      <c r="BA90" s="3"/>
      <c r="BB90" s="3"/>
      <c r="BC90" s="3"/>
      <c r="BD90" s="3"/>
      <c r="BE90" s="3"/>
      <c r="BF90" s="3"/>
      <c r="BG90" s="3"/>
      <c r="BH90" s="3"/>
      <c r="BI90" s="3"/>
      <c r="BJ90" s="3"/>
      <c r="BK90" s="3"/>
    </row>
    <row r="91" spans="44:63" x14ac:dyDescent="0.25">
      <c r="AR91" s="3"/>
      <c r="AS91" s="3"/>
      <c r="AT91" s="3"/>
      <c r="AU91" s="3"/>
      <c r="AV91" s="3"/>
      <c r="AW91" s="3"/>
      <c r="AX91" s="3"/>
      <c r="AY91" s="3"/>
      <c r="AZ91" s="3"/>
      <c r="BA91" s="3"/>
      <c r="BB91" s="3"/>
      <c r="BC91" s="3"/>
      <c r="BD91" s="3"/>
      <c r="BE91" s="3"/>
      <c r="BF91" s="3"/>
      <c r="BG91" s="3"/>
      <c r="BH91" s="3"/>
      <c r="BI91" s="3"/>
      <c r="BJ91" s="3"/>
      <c r="BK91" s="3"/>
    </row>
    <row r="92" spans="44:63" x14ac:dyDescent="0.25">
      <c r="AR92" s="3"/>
      <c r="AS92" s="3"/>
      <c r="AT92" s="3"/>
      <c r="AU92" s="3"/>
      <c r="AV92" s="3"/>
      <c r="AW92" s="3"/>
      <c r="AX92" s="3"/>
      <c r="AY92" s="3"/>
      <c r="AZ92" s="3"/>
      <c r="BA92" s="3"/>
      <c r="BB92" s="3"/>
      <c r="BC92" s="3"/>
      <c r="BD92" s="3"/>
      <c r="BE92" s="3"/>
      <c r="BF92" s="3"/>
      <c r="BG92" s="3"/>
      <c r="BH92" s="3"/>
      <c r="BI92" s="3"/>
      <c r="BJ92" s="3"/>
      <c r="BK92" s="3"/>
    </row>
    <row r="93" spans="44:63" x14ac:dyDescent="0.25">
      <c r="AR93" s="3"/>
      <c r="AS93" s="3"/>
      <c r="AT93" s="3"/>
      <c r="AU93" s="3"/>
      <c r="AV93" s="3"/>
      <c r="AW93" s="3"/>
      <c r="AX93" s="3"/>
      <c r="AY93" s="3"/>
      <c r="AZ93" s="3"/>
      <c r="BA93" s="3"/>
      <c r="BB93" s="3"/>
      <c r="BC93" s="3"/>
      <c r="BD93" s="3"/>
      <c r="BE93" s="3"/>
      <c r="BF93" s="3"/>
      <c r="BG93" s="3"/>
      <c r="BH93" s="3"/>
      <c r="BI93" s="3"/>
      <c r="BJ93" s="3"/>
      <c r="BK93" s="3"/>
    </row>
    <row r="94" spans="44:63" x14ac:dyDescent="0.25">
      <c r="AR94" s="3"/>
      <c r="AS94" s="3"/>
      <c r="AT94" s="3"/>
      <c r="AU94" s="3"/>
      <c r="AV94" s="3"/>
      <c r="AW94" s="3"/>
      <c r="AX94" s="3"/>
      <c r="AY94" s="3"/>
      <c r="AZ94" s="3"/>
      <c r="BA94" s="3"/>
      <c r="BB94" s="3"/>
      <c r="BC94" s="3"/>
      <c r="BD94" s="3"/>
      <c r="BE94" s="3"/>
      <c r="BF94" s="3"/>
      <c r="BG94" s="3"/>
      <c r="BH94" s="3"/>
      <c r="BI94" s="3"/>
      <c r="BJ94" s="3"/>
      <c r="BK94" s="3"/>
    </row>
    <row r="95" spans="44:63" x14ac:dyDescent="0.25">
      <c r="AR95" s="3"/>
      <c r="AS95" s="3"/>
      <c r="AT95" s="3"/>
      <c r="AU95" s="3"/>
      <c r="AV95" s="3"/>
      <c r="AW95" s="3"/>
      <c r="AX95" s="3"/>
      <c r="AY95" s="3"/>
      <c r="AZ95" s="3"/>
      <c r="BA95" s="3"/>
      <c r="BB95" s="3"/>
      <c r="BC95" s="3"/>
      <c r="BD95" s="3"/>
      <c r="BE95" s="3"/>
      <c r="BF95" s="3"/>
      <c r="BG95" s="3"/>
      <c r="BH95" s="3"/>
      <c r="BI95" s="3"/>
      <c r="BJ95" s="3"/>
      <c r="BK95" s="3"/>
    </row>
    <row r="96" spans="44:63" x14ac:dyDescent="0.25">
      <c r="AR96" s="3"/>
      <c r="AS96" s="3"/>
      <c r="AT96" s="3"/>
      <c r="AU96" s="3"/>
      <c r="AV96" s="3"/>
      <c r="AW96" s="3"/>
      <c r="AX96" s="3"/>
      <c r="AY96" s="3"/>
      <c r="AZ96" s="3"/>
      <c r="BA96" s="3"/>
      <c r="BB96" s="3"/>
      <c r="BC96" s="3"/>
      <c r="BD96" s="3"/>
      <c r="BE96" s="3"/>
      <c r="BF96" s="3"/>
      <c r="BG96" s="3"/>
      <c r="BH96" s="3"/>
      <c r="BI96" s="3"/>
      <c r="BJ96" s="3"/>
      <c r="BK96" s="3"/>
    </row>
    <row r="97" spans="44:63" x14ac:dyDescent="0.25">
      <c r="AR97" s="3"/>
      <c r="AS97" s="3"/>
      <c r="AT97" s="3"/>
      <c r="AU97" s="3"/>
      <c r="AV97" s="3"/>
      <c r="AW97" s="3"/>
      <c r="AX97" s="3"/>
      <c r="AY97" s="3"/>
      <c r="AZ97" s="3"/>
      <c r="BA97" s="3"/>
      <c r="BB97" s="3"/>
      <c r="BC97" s="3"/>
      <c r="BD97" s="3"/>
      <c r="BE97" s="3"/>
      <c r="BF97" s="3"/>
      <c r="BG97" s="3"/>
      <c r="BH97" s="3"/>
      <c r="BI97" s="3"/>
      <c r="BJ97" s="3"/>
      <c r="BK97"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B41BC-946F-40FA-B257-0FC7812BEE68}">
  <dimension ref="A1:II44"/>
  <sheetViews>
    <sheetView zoomScale="85" zoomScaleNormal="85" workbookViewId="0">
      <pane xSplit="7" ySplit="1" topLeftCell="DT4" activePane="bottomRight" state="frozen"/>
      <selection pane="topRight" activeCell="H1" sqref="H1"/>
      <selection pane="bottomLeft" activeCell="A2" sqref="A2"/>
      <selection pane="bottomRight" activeCell="DX26" sqref="DX26"/>
    </sheetView>
  </sheetViews>
  <sheetFormatPr defaultRowHeight="15" x14ac:dyDescent="0.25"/>
  <cols>
    <col min="1" max="5" width="9.140625" hidden="1" customWidth="1"/>
    <col min="6" max="6" width="9.140625" customWidth="1"/>
    <col min="7" max="243" width="15.7109375" customWidth="1"/>
  </cols>
  <sheetData>
    <row r="1" spans="1:243" s="1" customFormat="1" x14ac:dyDescent="0.25">
      <c r="A1" s="1" t="s">
        <v>0</v>
      </c>
      <c r="B1" s="1" t="s">
        <v>1</v>
      </c>
      <c r="C1" s="1" t="s">
        <v>2</v>
      </c>
      <c r="D1" s="1" t="s">
        <v>3</v>
      </c>
      <c r="E1" s="1" t="s">
        <v>4</v>
      </c>
      <c r="F1" s="7" t="s">
        <v>5</v>
      </c>
      <c r="G1" s="7" t="s">
        <v>6</v>
      </c>
      <c r="H1" s="7" t="s">
        <v>610</v>
      </c>
      <c r="I1" s="7" t="s">
        <v>611</v>
      </c>
      <c r="J1" s="7" t="s">
        <v>612</v>
      </c>
      <c r="K1" s="7" t="s">
        <v>7</v>
      </c>
      <c r="L1" s="7" t="s">
        <v>613</v>
      </c>
      <c r="M1" s="7" t="s">
        <v>614</v>
      </c>
      <c r="N1" s="7" t="s">
        <v>615</v>
      </c>
      <c r="O1" s="7" t="s">
        <v>8</v>
      </c>
      <c r="P1" s="8" t="s">
        <v>649</v>
      </c>
      <c r="Q1" s="8" t="s">
        <v>650</v>
      </c>
      <c r="R1" s="8" t="s">
        <v>651</v>
      </c>
      <c r="S1" s="8" t="s">
        <v>9</v>
      </c>
      <c r="T1" s="8" t="s">
        <v>652</v>
      </c>
      <c r="U1" s="8" t="s">
        <v>653</v>
      </c>
      <c r="V1" s="8" t="s">
        <v>654</v>
      </c>
      <c r="W1" s="8" t="s">
        <v>10</v>
      </c>
      <c r="X1" s="8" t="s">
        <v>655</v>
      </c>
      <c r="Y1" s="8" t="s">
        <v>656</v>
      </c>
      <c r="Z1" s="8" t="s">
        <v>657</v>
      </c>
      <c r="AA1" s="8" t="s">
        <v>11</v>
      </c>
      <c r="AB1" s="8" t="s">
        <v>658</v>
      </c>
      <c r="AC1" s="8" t="s">
        <v>659</v>
      </c>
      <c r="AD1" s="8" t="s">
        <v>660</v>
      </c>
      <c r="AE1" s="8" t="s">
        <v>12</v>
      </c>
      <c r="AF1" s="8" t="s">
        <v>661</v>
      </c>
      <c r="AG1" s="8" t="s">
        <v>662</v>
      </c>
      <c r="AH1" s="8" t="s">
        <v>663</v>
      </c>
      <c r="AI1" s="8" t="s">
        <v>13</v>
      </c>
      <c r="AJ1" s="1" t="s">
        <v>604</v>
      </c>
      <c r="AK1" s="1" t="s">
        <v>605</v>
      </c>
      <c r="AL1" s="1" t="s">
        <v>606</v>
      </c>
      <c r="AM1" s="1" t="s">
        <v>14</v>
      </c>
      <c r="AN1" s="1" t="s">
        <v>607</v>
      </c>
      <c r="AO1" s="1" t="s">
        <v>608</v>
      </c>
      <c r="AP1" s="1" t="s">
        <v>609</v>
      </c>
      <c r="AQ1" s="1" t="s">
        <v>15</v>
      </c>
      <c r="AR1" s="2" t="s">
        <v>664</v>
      </c>
      <c r="AS1" s="2" t="s">
        <v>665</v>
      </c>
      <c r="AT1" s="2" t="s">
        <v>666</v>
      </c>
      <c r="AU1" s="2" t="s">
        <v>16</v>
      </c>
      <c r="AV1" s="2" t="s">
        <v>667</v>
      </c>
      <c r="AW1" s="2" t="s">
        <v>668</v>
      </c>
      <c r="AX1" s="2" t="s">
        <v>669</v>
      </c>
      <c r="AY1" s="2" t="s">
        <v>17</v>
      </c>
      <c r="AZ1" s="2" t="s">
        <v>670</v>
      </c>
      <c r="BA1" s="2" t="s">
        <v>671</v>
      </c>
      <c r="BB1" s="2" t="s">
        <v>672</v>
      </c>
      <c r="BC1" s="2" t="s">
        <v>18</v>
      </c>
      <c r="BD1" s="2" t="s">
        <v>673</v>
      </c>
      <c r="BE1" s="2" t="s">
        <v>674</v>
      </c>
      <c r="BF1" s="2" t="s">
        <v>675</v>
      </c>
      <c r="BG1" s="2" t="s">
        <v>19</v>
      </c>
      <c r="BH1" s="2" t="s">
        <v>676</v>
      </c>
      <c r="BI1" s="2" t="s">
        <v>677</v>
      </c>
      <c r="BJ1" s="2" t="s">
        <v>678</v>
      </c>
      <c r="BK1" s="2" t="s">
        <v>20</v>
      </c>
      <c r="BL1" s="1" t="s">
        <v>21</v>
      </c>
      <c r="BM1" s="1" t="s">
        <v>22</v>
      </c>
      <c r="BN1" s="1" t="s">
        <v>23</v>
      </c>
      <c r="BO1" s="1" t="s">
        <v>24</v>
      </c>
      <c r="BP1" s="1" t="s">
        <v>25</v>
      </c>
      <c r="BQ1" s="1" t="s">
        <v>26</v>
      </c>
      <c r="BR1" s="1" t="s">
        <v>27</v>
      </c>
      <c r="BS1" s="1" t="s">
        <v>28</v>
      </c>
      <c r="BT1" s="2" t="s">
        <v>29</v>
      </c>
      <c r="BU1" s="2" t="s">
        <v>30</v>
      </c>
      <c r="BV1" s="2" t="s">
        <v>31</v>
      </c>
      <c r="BW1" s="2" t="s">
        <v>32</v>
      </c>
      <c r="BX1" s="2" t="s">
        <v>33</v>
      </c>
      <c r="BY1" s="2" t="s">
        <v>34</v>
      </c>
      <c r="BZ1" s="2" t="s">
        <v>35</v>
      </c>
      <c r="CA1" s="2" t="s">
        <v>36</v>
      </c>
      <c r="CB1" s="2" t="s">
        <v>37</v>
      </c>
      <c r="CC1" s="2" t="s">
        <v>38</v>
      </c>
      <c r="CD1" s="2" t="s">
        <v>39</v>
      </c>
      <c r="CE1" s="2" t="s">
        <v>40</v>
      </c>
      <c r="CF1" s="2" t="s">
        <v>41</v>
      </c>
      <c r="CG1" s="2" t="s">
        <v>42</v>
      </c>
      <c r="CH1" s="2" t="s">
        <v>43</v>
      </c>
      <c r="CI1" s="2" t="s">
        <v>44</v>
      </c>
      <c r="CJ1" s="2" t="s">
        <v>45</v>
      </c>
      <c r="CK1" s="2" t="s">
        <v>46</v>
      </c>
      <c r="CL1" s="2" t="s">
        <v>47</v>
      </c>
      <c r="CM1" s="2" t="s">
        <v>48</v>
      </c>
      <c r="CN1" s="1" t="s">
        <v>49</v>
      </c>
      <c r="CO1" s="1" t="s">
        <v>50</v>
      </c>
      <c r="CP1" s="1" t="s">
        <v>51</v>
      </c>
      <c r="CQ1" s="1" t="s">
        <v>52</v>
      </c>
      <c r="CR1" s="1" t="s">
        <v>53</v>
      </c>
      <c r="CS1" s="1" t="s">
        <v>54</v>
      </c>
      <c r="CT1" s="1" t="s">
        <v>55</v>
      </c>
      <c r="CU1" s="1" t="s">
        <v>56</v>
      </c>
      <c r="CV1" s="2" t="s">
        <v>57</v>
      </c>
      <c r="CW1" s="2" t="s">
        <v>58</v>
      </c>
      <c r="CX1" s="2" t="s">
        <v>59</v>
      </c>
      <c r="CY1" s="2" t="s">
        <v>60</v>
      </c>
      <c r="CZ1" s="2" t="s">
        <v>61</v>
      </c>
      <c r="DA1" s="2" t="s">
        <v>62</v>
      </c>
      <c r="DB1" s="2" t="s">
        <v>63</v>
      </c>
      <c r="DC1" s="2" t="s">
        <v>64</v>
      </c>
      <c r="DD1" s="2" t="s">
        <v>65</v>
      </c>
      <c r="DE1" s="2" t="s">
        <v>66</v>
      </c>
      <c r="DF1" s="2" t="s">
        <v>67</v>
      </c>
      <c r="DG1" s="2" t="s">
        <v>68</v>
      </c>
      <c r="DH1" s="2" t="s">
        <v>69</v>
      </c>
      <c r="DI1" s="2" t="s">
        <v>70</v>
      </c>
      <c r="DJ1" s="2" t="s">
        <v>71</v>
      </c>
      <c r="DK1" s="2" t="s">
        <v>72</v>
      </c>
      <c r="DL1" s="2" t="s">
        <v>73</v>
      </c>
      <c r="DM1" s="2" t="s">
        <v>74</v>
      </c>
      <c r="DN1" s="2" t="s">
        <v>75</v>
      </c>
      <c r="DO1" s="2" t="s">
        <v>76</v>
      </c>
      <c r="DP1" s="1" t="s">
        <v>77</v>
      </c>
      <c r="DQ1" s="1" t="s">
        <v>78</v>
      </c>
      <c r="DR1" s="1" t="s">
        <v>79</v>
      </c>
      <c r="DS1" s="1" t="s">
        <v>80</v>
      </c>
      <c r="DT1" s="1" t="s">
        <v>81</v>
      </c>
      <c r="DU1" s="1" t="s">
        <v>82</v>
      </c>
      <c r="DV1" s="1" t="s">
        <v>83</v>
      </c>
      <c r="DW1" s="1" t="s">
        <v>84</v>
      </c>
      <c r="DX1" s="2" t="s">
        <v>85</v>
      </c>
      <c r="DY1" s="2" t="s">
        <v>86</v>
      </c>
      <c r="DZ1" s="2" t="s">
        <v>87</v>
      </c>
      <c r="EA1" s="2" t="s">
        <v>88</v>
      </c>
      <c r="EB1" s="2" t="s">
        <v>89</v>
      </c>
      <c r="EC1" s="2" t="s">
        <v>90</v>
      </c>
      <c r="ED1" s="2" t="s">
        <v>91</v>
      </c>
      <c r="EE1" s="2" t="s">
        <v>92</v>
      </c>
      <c r="EF1" s="2"/>
      <c r="EG1" s="2" t="s">
        <v>93</v>
      </c>
      <c r="EH1" s="2" t="s">
        <v>94</v>
      </c>
      <c r="EI1" s="2" t="s">
        <v>95</v>
      </c>
      <c r="EJ1" s="2" t="s">
        <v>96</v>
      </c>
      <c r="EK1" s="2"/>
      <c r="EL1" s="2" t="s">
        <v>97</v>
      </c>
      <c r="EM1" s="2" t="s">
        <v>98</v>
      </c>
      <c r="EN1" s="2" t="s">
        <v>99</v>
      </c>
      <c r="EO1" s="2" t="s">
        <v>100</v>
      </c>
      <c r="EP1" s="2"/>
      <c r="EQ1" s="2" t="s">
        <v>101</v>
      </c>
      <c r="ER1" s="2" t="s">
        <v>102</v>
      </c>
      <c r="ES1" s="2" t="s">
        <v>103</v>
      </c>
      <c r="ET1" s="2" t="s">
        <v>104</v>
      </c>
      <c r="EU1" s="2"/>
      <c r="EV1" s="1" t="s">
        <v>105</v>
      </c>
      <c r="EW1" s="1" t="s">
        <v>106</v>
      </c>
      <c r="EX1" s="1" t="s">
        <v>107</v>
      </c>
      <c r="EY1" s="1" t="s">
        <v>108</v>
      </c>
      <c r="EZ1" s="1" t="s">
        <v>109</v>
      </c>
      <c r="FA1" s="1" t="s">
        <v>110</v>
      </c>
      <c r="FB1" s="1" t="s">
        <v>111</v>
      </c>
      <c r="FC1" s="1" t="s">
        <v>112</v>
      </c>
      <c r="FD1" s="2" t="s">
        <v>113</v>
      </c>
      <c r="FE1" s="2" t="s">
        <v>114</v>
      </c>
      <c r="FF1" s="2" t="s">
        <v>115</v>
      </c>
      <c r="FG1" s="2" t="s">
        <v>116</v>
      </c>
      <c r="FH1" s="2" t="s">
        <v>117</v>
      </c>
      <c r="FI1" s="2" t="s">
        <v>118</v>
      </c>
      <c r="FJ1" s="2" t="s">
        <v>119</v>
      </c>
      <c r="FK1" s="2" t="s">
        <v>120</v>
      </c>
      <c r="FL1" s="2" t="s">
        <v>121</v>
      </c>
      <c r="FM1" s="2" t="s">
        <v>122</v>
      </c>
      <c r="FN1" s="2" t="s">
        <v>123</v>
      </c>
      <c r="FO1" s="2" t="s">
        <v>124</v>
      </c>
      <c r="FP1" s="2" t="s">
        <v>125</v>
      </c>
      <c r="FQ1" s="2" t="s">
        <v>126</v>
      </c>
      <c r="FR1" s="2" t="s">
        <v>127</v>
      </c>
      <c r="FS1" s="2" t="s">
        <v>128</v>
      </c>
      <c r="FT1" s="2" t="s">
        <v>129</v>
      </c>
      <c r="FU1" s="2" t="s">
        <v>130</v>
      </c>
      <c r="FV1" s="2" t="s">
        <v>131</v>
      </c>
      <c r="FW1" s="2" t="s">
        <v>132</v>
      </c>
      <c r="FX1" s="1" t="s">
        <v>133</v>
      </c>
      <c r="FY1" s="1" t="s">
        <v>134</v>
      </c>
      <c r="FZ1" s="1" t="s">
        <v>135</v>
      </c>
      <c r="GA1" s="1" t="s">
        <v>136</v>
      </c>
      <c r="GB1" s="1" t="s">
        <v>137</v>
      </c>
      <c r="GC1" s="1" t="s">
        <v>138</v>
      </c>
      <c r="GD1" s="1" t="s">
        <v>139</v>
      </c>
      <c r="GE1" s="1" t="s">
        <v>140</v>
      </c>
      <c r="GF1" s="2" t="s">
        <v>141</v>
      </c>
      <c r="GG1" s="2" t="s">
        <v>142</v>
      </c>
      <c r="GH1" s="2" t="s">
        <v>143</v>
      </c>
      <c r="GI1" s="2" t="s">
        <v>144</v>
      </c>
      <c r="GJ1" s="2" t="s">
        <v>145</v>
      </c>
      <c r="GK1" s="2" t="s">
        <v>146</v>
      </c>
      <c r="GL1" s="2" t="s">
        <v>147</v>
      </c>
      <c r="GM1" s="2" t="s">
        <v>148</v>
      </c>
      <c r="GN1" s="2" t="s">
        <v>149</v>
      </c>
      <c r="GO1" s="2" t="s">
        <v>150</v>
      </c>
      <c r="GP1" s="2" t="s">
        <v>151</v>
      </c>
      <c r="GQ1" s="2" t="s">
        <v>152</v>
      </c>
      <c r="GR1" s="2" t="s">
        <v>153</v>
      </c>
      <c r="GS1" s="2" t="s">
        <v>154</v>
      </c>
      <c r="GT1" s="2" t="s">
        <v>155</v>
      </c>
      <c r="GU1" s="2" t="s">
        <v>156</v>
      </c>
      <c r="GV1" s="2" t="s">
        <v>157</v>
      </c>
      <c r="GW1" s="2" t="s">
        <v>158</v>
      </c>
      <c r="GX1" s="2" t="s">
        <v>159</v>
      </c>
      <c r="GY1" s="2" t="s">
        <v>160</v>
      </c>
      <c r="GZ1" s="1" t="s">
        <v>161</v>
      </c>
      <c r="HA1" s="1" t="s">
        <v>162</v>
      </c>
      <c r="HB1" s="1" t="s">
        <v>163</v>
      </c>
      <c r="HC1" s="1" t="s">
        <v>164</v>
      </c>
      <c r="HD1" s="1" t="s">
        <v>165</v>
      </c>
      <c r="HE1" s="1" t="s">
        <v>166</v>
      </c>
      <c r="HF1" s="1" t="s">
        <v>167</v>
      </c>
      <c r="HG1" s="1" t="s">
        <v>168</v>
      </c>
      <c r="HH1" s="2" t="s">
        <v>169</v>
      </c>
      <c r="HI1" s="2" t="s">
        <v>170</v>
      </c>
      <c r="HJ1" s="2" t="s">
        <v>171</v>
      </c>
      <c r="HK1" s="2" t="s">
        <v>172</v>
      </c>
      <c r="HL1" s="2" t="s">
        <v>173</v>
      </c>
      <c r="HM1" s="2" t="s">
        <v>174</v>
      </c>
      <c r="HN1" s="2" t="s">
        <v>175</v>
      </c>
      <c r="HO1" s="2" t="s">
        <v>176</v>
      </c>
      <c r="HP1" s="2" t="s">
        <v>177</v>
      </c>
      <c r="HQ1" s="2" t="s">
        <v>178</v>
      </c>
      <c r="HR1" s="2" t="s">
        <v>179</v>
      </c>
      <c r="HS1" s="2" t="s">
        <v>180</v>
      </c>
      <c r="HT1" s="2" t="s">
        <v>181</v>
      </c>
      <c r="HU1" s="2" t="s">
        <v>182</v>
      </c>
      <c r="HV1" s="2" t="s">
        <v>183</v>
      </c>
      <c r="HW1" s="2" t="s">
        <v>184</v>
      </c>
      <c r="HX1" s="2" t="s">
        <v>185</v>
      </c>
      <c r="HY1" s="2" t="s">
        <v>186</v>
      </c>
      <c r="HZ1" s="2" t="s">
        <v>187</v>
      </c>
      <c r="IA1" s="2" t="s">
        <v>188</v>
      </c>
      <c r="IB1" s="1" t="s">
        <v>189</v>
      </c>
      <c r="IC1" s="1" t="s">
        <v>190</v>
      </c>
      <c r="ID1" s="1" t="s">
        <v>191</v>
      </c>
      <c r="IE1" s="1" t="s">
        <v>192</v>
      </c>
      <c r="IF1" s="1" t="s">
        <v>193</v>
      </c>
      <c r="IG1" s="1" t="s">
        <v>194</v>
      </c>
      <c r="IH1" s="1" t="s">
        <v>195</v>
      </c>
      <c r="II1" s="1" t="s">
        <v>196</v>
      </c>
    </row>
    <row r="2" spans="1:243" x14ac:dyDescent="0.25">
      <c r="A2" t="s">
        <v>823</v>
      </c>
      <c r="B2" t="s">
        <v>824</v>
      </c>
      <c r="C2" t="s">
        <v>733</v>
      </c>
      <c r="D2" t="s">
        <v>825</v>
      </c>
      <c r="E2" t="s">
        <v>201</v>
      </c>
      <c r="F2" t="s">
        <v>202</v>
      </c>
      <c r="G2" t="s">
        <v>203</v>
      </c>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v>194580000</v>
      </c>
      <c r="FA2" s="3">
        <v>87036000</v>
      </c>
      <c r="FB2" s="3">
        <v>0</v>
      </c>
      <c r="FC2" s="3">
        <v>281616000</v>
      </c>
      <c r="FD2" s="3">
        <v>194580000</v>
      </c>
      <c r="FE2" s="3">
        <v>87036000</v>
      </c>
      <c r="FF2" s="3">
        <v>0</v>
      </c>
      <c r="FG2" s="3">
        <f>SUM(FD2:FF2)</f>
        <v>281616000</v>
      </c>
      <c r="FH2" s="3">
        <v>194005208.96000001</v>
      </c>
      <c r="FI2" s="3">
        <v>87140900</v>
      </c>
      <c r="FJ2" s="3">
        <v>0</v>
      </c>
      <c r="FK2" s="3">
        <f>SUM(FH2:FJ2)</f>
        <v>281146108.96000004</v>
      </c>
      <c r="FL2" s="3">
        <v>194005208.96000001</v>
      </c>
      <c r="FM2" s="3">
        <v>87140900</v>
      </c>
      <c r="FN2" s="3">
        <v>0</v>
      </c>
      <c r="FO2" s="3">
        <f>SUM(FL2:FN2)</f>
        <v>281146108.96000004</v>
      </c>
      <c r="FP2" s="3">
        <v>176218730.65000001</v>
      </c>
      <c r="FQ2" s="3">
        <v>86167156.319999993</v>
      </c>
      <c r="FR2" s="3">
        <v>0</v>
      </c>
      <c r="FS2" s="3">
        <f>SUM(FP2:FR2)</f>
        <v>262385886.97</v>
      </c>
      <c r="FT2" s="3">
        <v>175825991.00999999</v>
      </c>
      <c r="FU2" s="3">
        <v>83379667.950000003</v>
      </c>
      <c r="FV2" s="3">
        <v>0</v>
      </c>
      <c r="FW2" s="3">
        <f>SUM(FT2:FV2)</f>
        <v>259205658.95999998</v>
      </c>
      <c r="FX2" s="3">
        <v>196537000</v>
      </c>
      <c r="FY2" s="3">
        <v>88603000</v>
      </c>
      <c r="FZ2" s="3">
        <v>0</v>
      </c>
      <c r="GA2" s="3">
        <v>285140000</v>
      </c>
      <c r="GB2" s="3">
        <v>196537000</v>
      </c>
      <c r="GC2" s="3">
        <v>127928000</v>
      </c>
      <c r="GD2" s="3">
        <v>0</v>
      </c>
      <c r="GE2" s="3">
        <v>324465000</v>
      </c>
      <c r="GF2" s="3">
        <v>196537000</v>
      </c>
      <c r="GG2" s="3">
        <v>127928000</v>
      </c>
      <c r="GH2" s="3">
        <v>0</v>
      </c>
      <c r="GI2" s="3">
        <v>324465000</v>
      </c>
      <c r="GJ2" s="3">
        <v>195328247.09</v>
      </c>
      <c r="GK2" s="3">
        <v>127928000</v>
      </c>
      <c r="GL2" s="3">
        <v>0</v>
      </c>
      <c r="GM2" s="3">
        <v>323256247.08999997</v>
      </c>
      <c r="GN2" s="3">
        <v>195328247.09</v>
      </c>
      <c r="GO2" s="3">
        <v>127928000</v>
      </c>
      <c r="GP2" s="3">
        <v>0</v>
      </c>
      <c r="GQ2" s="3">
        <v>323256247.08999997</v>
      </c>
      <c r="GR2" s="3">
        <v>190222150.80000001</v>
      </c>
      <c r="GS2" s="3">
        <v>98054712.930000007</v>
      </c>
      <c r="GT2" s="3">
        <v>0</v>
      </c>
      <c r="GU2" s="3">
        <v>288276863.73000002</v>
      </c>
      <c r="GV2" s="3">
        <v>185959645.75999999</v>
      </c>
      <c r="GW2" s="3">
        <v>93374179.049999997</v>
      </c>
      <c r="GX2" s="3">
        <v>0</v>
      </c>
      <c r="GY2" s="3">
        <v>279333824.81</v>
      </c>
      <c r="GZ2" s="3">
        <v>186335000</v>
      </c>
      <c r="HA2" s="3">
        <v>90197000</v>
      </c>
      <c r="HB2" s="3">
        <v>17800000</v>
      </c>
      <c r="HC2" s="3">
        <v>294332000</v>
      </c>
      <c r="HD2" s="3">
        <v>186335000</v>
      </c>
      <c r="HE2" s="3">
        <v>90197000</v>
      </c>
      <c r="HF2" s="3">
        <v>17800000</v>
      </c>
      <c r="HG2" s="3">
        <v>294332000</v>
      </c>
      <c r="HH2" s="3"/>
      <c r="HI2" s="3"/>
      <c r="HJ2" s="3"/>
      <c r="HK2" s="3"/>
      <c r="HL2" s="3"/>
      <c r="HM2" s="3"/>
      <c r="HN2" s="3"/>
      <c r="HO2" s="3"/>
      <c r="HP2" s="3"/>
      <c r="HQ2" s="3"/>
      <c r="HR2" s="3"/>
      <c r="HS2" s="3"/>
      <c r="HT2" s="3"/>
      <c r="HU2" s="3"/>
      <c r="HV2" s="3"/>
      <c r="HW2" s="3"/>
      <c r="HX2" s="3"/>
      <c r="HY2" s="3"/>
      <c r="HZ2" s="3"/>
      <c r="IA2" s="3"/>
      <c r="IB2" s="3">
        <v>202595000</v>
      </c>
      <c r="IC2" s="3">
        <v>91821000</v>
      </c>
      <c r="ID2" s="3">
        <v>65950000</v>
      </c>
      <c r="IE2" s="3">
        <v>360366000</v>
      </c>
      <c r="IF2" s="3">
        <v>202595000</v>
      </c>
      <c r="IG2" s="3">
        <v>91821000</v>
      </c>
      <c r="IH2" s="3">
        <v>65950000</v>
      </c>
      <c r="II2" s="3">
        <v>360366000</v>
      </c>
    </row>
    <row r="3" spans="1:243" x14ac:dyDescent="0.25">
      <c r="A3" t="s">
        <v>823</v>
      </c>
      <c r="B3" t="s">
        <v>824</v>
      </c>
      <c r="C3" t="s">
        <v>733</v>
      </c>
      <c r="D3" t="s">
        <v>825</v>
      </c>
      <c r="E3" t="s">
        <v>201</v>
      </c>
      <c r="F3" t="s">
        <v>204</v>
      </c>
      <c r="G3" t="s">
        <v>205</v>
      </c>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v>235978000</v>
      </c>
      <c r="FA3" s="3">
        <v>0</v>
      </c>
      <c r="FB3" s="3">
        <v>0</v>
      </c>
      <c r="FC3" s="3">
        <v>235978000</v>
      </c>
      <c r="FD3" s="3">
        <v>235978000</v>
      </c>
      <c r="FE3" s="3">
        <v>0</v>
      </c>
      <c r="FF3" s="3">
        <v>0</v>
      </c>
      <c r="FG3" s="3">
        <f t="shared" ref="FG3:FG10" si="0">SUM(FD3:FF3)</f>
        <v>235978000</v>
      </c>
      <c r="FH3" s="3">
        <v>226653734.19000003</v>
      </c>
      <c r="FI3" s="3">
        <v>0</v>
      </c>
      <c r="FJ3" s="3">
        <v>0</v>
      </c>
      <c r="FK3" s="3">
        <f t="shared" ref="FK3:FK10" si="1">SUM(FH3:FJ3)</f>
        <v>226653734.19000003</v>
      </c>
      <c r="FL3" s="3">
        <v>163366032.19</v>
      </c>
      <c r="FM3" s="3">
        <v>0</v>
      </c>
      <c r="FN3" s="3">
        <v>0</v>
      </c>
      <c r="FO3" s="3">
        <f t="shared" ref="FO3:FO10" si="2">SUM(FL3:FN3)</f>
        <v>163366032.19</v>
      </c>
      <c r="FP3" s="3">
        <v>153701403</v>
      </c>
      <c r="FQ3" s="3">
        <v>0</v>
      </c>
      <c r="FR3" s="3">
        <v>0</v>
      </c>
      <c r="FS3" s="3">
        <f t="shared" ref="FS3:FS10" si="3">SUM(FP3:FR3)</f>
        <v>153701403</v>
      </c>
      <c r="FT3" s="3">
        <v>153424448.72999999</v>
      </c>
      <c r="FU3" s="3">
        <v>0</v>
      </c>
      <c r="FV3" s="3">
        <v>0</v>
      </c>
      <c r="FW3" s="3">
        <f t="shared" ref="FW3:FW10" si="4">SUM(FT3:FV3)</f>
        <v>153424448.72999999</v>
      </c>
      <c r="FX3" s="3">
        <v>216728000</v>
      </c>
      <c r="FY3" s="3">
        <v>0</v>
      </c>
      <c r="FZ3" s="3">
        <v>0</v>
      </c>
      <c r="GA3" s="3">
        <v>216728000</v>
      </c>
      <c r="GB3" s="3">
        <v>216728000</v>
      </c>
      <c r="GC3" s="3">
        <v>0</v>
      </c>
      <c r="GD3" s="3">
        <v>0</v>
      </c>
      <c r="GE3" s="3">
        <v>216728000</v>
      </c>
      <c r="GF3" s="3">
        <v>216728000</v>
      </c>
      <c r="GG3" s="3">
        <v>0</v>
      </c>
      <c r="GH3" s="3">
        <v>0</v>
      </c>
      <c r="GI3" s="3">
        <v>216728000</v>
      </c>
      <c r="GJ3" s="3">
        <v>212533223.06</v>
      </c>
      <c r="GK3" s="3">
        <v>0</v>
      </c>
      <c r="GL3" s="3">
        <v>0</v>
      </c>
      <c r="GM3" s="3">
        <v>212533223.06</v>
      </c>
      <c r="GN3" s="3">
        <v>212533223.06</v>
      </c>
      <c r="GO3" s="3">
        <v>0</v>
      </c>
      <c r="GP3" s="3">
        <v>0</v>
      </c>
      <c r="GQ3" s="3">
        <v>212533223.06</v>
      </c>
      <c r="GR3" s="3">
        <v>197608228.72999999</v>
      </c>
      <c r="GS3" s="3">
        <v>0</v>
      </c>
      <c r="GT3" s="3">
        <v>0</v>
      </c>
      <c r="GU3" s="3">
        <v>197608228.72999999</v>
      </c>
      <c r="GV3" s="3">
        <v>188240032.12</v>
      </c>
      <c r="GW3" s="3">
        <v>0</v>
      </c>
      <c r="GX3" s="3">
        <v>0</v>
      </c>
      <c r="GY3" s="3">
        <v>188240032.12</v>
      </c>
      <c r="GZ3" s="3">
        <v>268967000</v>
      </c>
      <c r="HA3" s="3">
        <v>0</v>
      </c>
      <c r="HB3" s="3">
        <v>0</v>
      </c>
      <c r="HC3" s="3">
        <v>268967000</v>
      </c>
      <c r="HD3" s="3">
        <v>268967000</v>
      </c>
      <c r="HE3" s="3">
        <v>0</v>
      </c>
      <c r="HF3" s="3">
        <v>0</v>
      </c>
      <c r="HG3" s="3">
        <v>268967000</v>
      </c>
      <c r="HH3" s="3"/>
      <c r="HI3" s="3"/>
      <c r="HJ3" s="3"/>
      <c r="HK3" s="3"/>
      <c r="HL3" s="3"/>
      <c r="HM3" s="3"/>
      <c r="HN3" s="3"/>
      <c r="HO3" s="3"/>
      <c r="HP3" s="3"/>
      <c r="HQ3" s="3"/>
      <c r="HR3" s="3"/>
      <c r="HS3" s="3"/>
      <c r="HT3" s="3"/>
      <c r="HU3" s="3"/>
      <c r="HV3" s="3"/>
      <c r="HW3" s="3"/>
      <c r="HX3" s="3"/>
      <c r="HY3" s="3"/>
      <c r="HZ3" s="3"/>
      <c r="IA3" s="3"/>
      <c r="IB3" s="3">
        <v>265953000</v>
      </c>
      <c r="IC3" s="3">
        <v>0</v>
      </c>
      <c r="ID3" s="3">
        <v>0</v>
      </c>
      <c r="IE3" s="3">
        <v>265953000</v>
      </c>
      <c r="IF3" s="3">
        <v>265953000</v>
      </c>
      <c r="IG3" s="3">
        <v>0</v>
      </c>
      <c r="IH3" s="3">
        <v>0</v>
      </c>
      <c r="II3" s="3">
        <v>265953000</v>
      </c>
    </row>
    <row r="4" spans="1:243" x14ac:dyDescent="0.25">
      <c r="A4" t="s">
        <v>823</v>
      </c>
      <c r="B4" t="s">
        <v>824</v>
      </c>
      <c r="C4" t="s">
        <v>733</v>
      </c>
      <c r="D4" t="s">
        <v>825</v>
      </c>
      <c r="E4" t="s">
        <v>208</v>
      </c>
      <c r="F4" t="s">
        <v>209</v>
      </c>
      <c r="G4" t="s">
        <v>831</v>
      </c>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v>2367000</v>
      </c>
      <c r="FA4" s="3">
        <v>22590000</v>
      </c>
      <c r="FB4" s="3">
        <v>2600000</v>
      </c>
      <c r="FC4" s="3">
        <v>27557000</v>
      </c>
      <c r="FD4" s="3">
        <v>2367000</v>
      </c>
      <c r="FE4" s="3">
        <v>22590000</v>
      </c>
      <c r="FF4" s="3">
        <v>2600000</v>
      </c>
      <c r="FG4" s="3">
        <f t="shared" si="0"/>
        <v>27557000</v>
      </c>
      <c r="FH4" s="3">
        <v>2367000</v>
      </c>
      <c r="FI4" s="3">
        <v>22590000</v>
      </c>
      <c r="FJ4" s="3">
        <v>2600000</v>
      </c>
      <c r="FK4" s="3">
        <f t="shared" si="1"/>
        <v>27557000</v>
      </c>
      <c r="FL4" s="3">
        <v>2367000</v>
      </c>
      <c r="FM4" s="3">
        <v>22590000</v>
      </c>
      <c r="FN4" s="3">
        <v>2600000</v>
      </c>
      <c r="FO4" s="3">
        <f t="shared" si="2"/>
        <v>27557000</v>
      </c>
      <c r="FP4" s="3">
        <v>2366813.6300000004</v>
      </c>
      <c r="FQ4" s="3">
        <v>20763424.560000002</v>
      </c>
      <c r="FR4" s="3">
        <v>1951939.22</v>
      </c>
      <c r="FS4" s="3">
        <f t="shared" si="3"/>
        <v>25082177.41</v>
      </c>
      <c r="FT4" s="3">
        <v>2366813.6300000004</v>
      </c>
      <c r="FU4" s="3">
        <v>9635654.7300000004</v>
      </c>
      <c r="FV4" s="3">
        <v>0</v>
      </c>
      <c r="FW4" s="3">
        <f t="shared" si="4"/>
        <v>12002468.360000001</v>
      </c>
      <c r="FX4" s="3">
        <v>1099000</v>
      </c>
      <c r="FY4" s="3">
        <v>14488000</v>
      </c>
      <c r="FZ4" s="3">
        <v>2600000</v>
      </c>
      <c r="GA4" s="3">
        <v>18187000</v>
      </c>
      <c r="GB4" s="3">
        <v>1099000</v>
      </c>
      <c r="GC4" s="3">
        <v>112488000</v>
      </c>
      <c r="GD4" s="3">
        <v>2600000</v>
      </c>
      <c r="GE4" s="3">
        <v>116187000</v>
      </c>
      <c r="GF4" s="9">
        <v>1099000</v>
      </c>
      <c r="GG4" s="9">
        <v>112488000</v>
      </c>
      <c r="GH4" s="9">
        <v>2600000</v>
      </c>
      <c r="GI4" s="9">
        <v>116187000</v>
      </c>
      <c r="GJ4" s="9">
        <v>1099000</v>
      </c>
      <c r="GK4" s="9">
        <v>112488000</v>
      </c>
      <c r="GL4" s="9">
        <v>2600000</v>
      </c>
      <c r="GM4" s="9">
        <v>116187000</v>
      </c>
      <c r="GN4" s="9">
        <v>1099000</v>
      </c>
      <c r="GO4" s="9">
        <v>112488000</v>
      </c>
      <c r="GP4" s="9">
        <v>2600000</v>
      </c>
      <c r="GQ4" s="9">
        <v>116187000</v>
      </c>
      <c r="GR4" s="9">
        <v>1097344.44</v>
      </c>
      <c r="GS4" s="9">
        <v>9017022.7300000004</v>
      </c>
      <c r="GT4" s="9">
        <v>1054950</v>
      </c>
      <c r="GU4" s="9">
        <v>11169317.17</v>
      </c>
      <c r="GV4" s="9">
        <v>1097344.3600000001</v>
      </c>
      <c r="GW4" s="9">
        <v>5411256.5700000003</v>
      </c>
      <c r="GX4" s="9">
        <v>0</v>
      </c>
      <c r="GY4" s="9">
        <v>6508600.9299999997</v>
      </c>
      <c r="GZ4" s="3">
        <v>2070000</v>
      </c>
      <c r="HA4" s="3">
        <v>218411000</v>
      </c>
      <c r="HB4" s="3">
        <v>191870000</v>
      </c>
      <c r="HC4" s="3">
        <v>412351000</v>
      </c>
      <c r="HD4" s="3">
        <v>2070000</v>
      </c>
      <c r="HE4" s="3">
        <v>278411000</v>
      </c>
      <c r="HF4" s="3">
        <v>236538000</v>
      </c>
      <c r="HG4" s="3">
        <v>517019000</v>
      </c>
      <c r="HH4" s="3"/>
      <c r="HI4" s="3"/>
      <c r="HJ4" s="3"/>
      <c r="HK4" s="3"/>
      <c r="HL4" s="3"/>
      <c r="HM4" s="3"/>
      <c r="HN4" s="3"/>
      <c r="HO4" s="3"/>
      <c r="HP4" s="3"/>
      <c r="HQ4" s="3"/>
      <c r="HR4" s="3"/>
      <c r="HS4" s="3"/>
      <c r="HT4" s="3"/>
      <c r="HU4" s="3"/>
      <c r="HV4" s="3"/>
      <c r="HW4" s="3"/>
      <c r="HX4" s="3"/>
      <c r="HY4" s="3"/>
      <c r="HZ4" s="3"/>
      <c r="IA4" s="3"/>
      <c r="IB4" s="3">
        <v>2548000</v>
      </c>
      <c r="IC4" s="3">
        <v>211823000</v>
      </c>
      <c r="ID4" s="3">
        <v>93150000</v>
      </c>
      <c r="IE4" s="3">
        <v>307521000</v>
      </c>
      <c r="IF4" s="3">
        <v>2548000</v>
      </c>
      <c r="IG4" s="3">
        <v>211823000</v>
      </c>
      <c r="IH4" s="3">
        <v>93150000</v>
      </c>
      <c r="II4" s="3">
        <v>307521000</v>
      </c>
    </row>
    <row r="5" spans="1:243" x14ac:dyDescent="0.25">
      <c r="A5" t="s">
        <v>823</v>
      </c>
      <c r="B5" t="s">
        <v>824</v>
      </c>
      <c r="C5" t="s">
        <v>733</v>
      </c>
      <c r="D5" t="s">
        <v>825</v>
      </c>
      <c r="E5" t="s">
        <v>217</v>
      </c>
      <c r="F5" t="s">
        <v>218</v>
      </c>
      <c r="G5" t="s">
        <v>832</v>
      </c>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v>24712000</v>
      </c>
      <c r="FA5" s="3">
        <v>21966000</v>
      </c>
      <c r="FB5" s="3">
        <v>0</v>
      </c>
      <c r="FC5" s="3">
        <v>46678000</v>
      </c>
      <c r="FD5" s="3">
        <v>24712000</v>
      </c>
      <c r="FE5" s="3">
        <v>21966000</v>
      </c>
      <c r="FF5" s="3">
        <v>0</v>
      </c>
      <c r="FG5" s="3">
        <f t="shared" si="0"/>
        <v>46678000</v>
      </c>
      <c r="FH5" s="3">
        <v>24712000</v>
      </c>
      <c r="FI5" s="3">
        <v>22416267.949999999</v>
      </c>
      <c r="FJ5" s="3">
        <v>0</v>
      </c>
      <c r="FK5" s="3">
        <f t="shared" si="1"/>
        <v>47128267.950000003</v>
      </c>
      <c r="FL5" s="3">
        <v>24712000</v>
      </c>
      <c r="FM5" s="3">
        <v>22416267.949999999</v>
      </c>
      <c r="FN5" s="3">
        <v>0</v>
      </c>
      <c r="FO5" s="3">
        <f t="shared" si="2"/>
        <v>47128267.950000003</v>
      </c>
      <c r="FP5" s="3">
        <v>24708700.080000002</v>
      </c>
      <c r="FQ5" s="3">
        <v>16975440.990000002</v>
      </c>
      <c r="FR5" s="3">
        <v>0</v>
      </c>
      <c r="FS5" s="3">
        <f t="shared" si="3"/>
        <v>41684141.070000008</v>
      </c>
      <c r="FT5" s="3">
        <v>24708700.080000002</v>
      </c>
      <c r="FU5" s="3">
        <v>13099313.75</v>
      </c>
      <c r="FV5" s="3">
        <v>0</v>
      </c>
      <c r="FW5" s="3">
        <f t="shared" si="4"/>
        <v>37808013.829999998</v>
      </c>
      <c r="FX5" s="3">
        <v>18502000</v>
      </c>
      <c r="FY5" s="3">
        <v>22361000</v>
      </c>
      <c r="FZ5" s="3">
        <v>0</v>
      </c>
      <c r="GA5" s="3">
        <v>40863000</v>
      </c>
      <c r="GB5" s="3">
        <v>18502000</v>
      </c>
      <c r="GC5" s="3">
        <v>22361000</v>
      </c>
      <c r="GD5" s="3">
        <v>0</v>
      </c>
      <c r="GE5" s="3">
        <v>40863000</v>
      </c>
      <c r="GF5" s="9">
        <v>18502000</v>
      </c>
      <c r="GG5" s="9">
        <v>22361000</v>
      </c>
      <c r="GH5" s="3">
        <v>0</v>
      </c>
      <c r="GI5" s="9">
        <v>40863000</v>
      </c>
      <c r="GJ5" s="9">
        <v>18513838</v>
      </c>
      <c r="GK5" s="9">
        <v>22674031.5</v>
      </c>
      <c r="GL5" s="3">
        <v>0</v>
      </c>
      <c r="GM5" s="9">
        <v>41187869.5</v>
      </c>
      <c r="GN5" s="9">
        <v>18513838</v>
      </c>
      <c r="GO5" s="9">
        <v>22674031.5</v>
      </c>
      <c r="GP5" s="3">
        <v>0</v>
      </c>
      <c r="GQ5" s="9">
        <v>41187869.5</v>
      </c>
      <c r="GR5" s="9">
        <v>18501826.93</v>
      </c>
      <c r="GS5" s="9">
        <v>12730786.74</v>
      </c>
      <c r="GT5" s="3">
        <v>0</v>
      </c>
      <c r="GU5" s="9">
        <v>31232613.670000002</v>
      </c>
      <c r="GV5" s="9">
        <v>18497826.93</v>
      </c>
      <c r="GW5" s="9">
        <v>9065367.8200000003</v>
      </c>
      <c r="GX5" s="3">
        <v>0</v>
      </c>
      <c r="GY5" s="9">
        <v>27563194.75</v>
      </c>
      <c r="GZ5" s="3">
        <v>20516000</v>
      </c>
      <c r="HA5" s="3">
        <v>22764000</v>
      </c>
      <c r="HB5" s="3">
        <v>0</v>
      </c>
      <c r="HC5" s="3">
        <v>43280000</v>
      </c>
      <c r="HD5" s="3">
        <v>20516000</v>
      </c>
      <c r="HE5" s="3">
        <v>22764000</v>
      </c>
      <c r="HF5" s="3">
        <v>0</v>
      </c>
      <c r="HG5" s="3">
        <v>43280000</v>
      </c>
      <c r="HH5" s="3"/>
      <c r="HI5" s="3"/>
      <c r="HJ5" s="3"/>
      <c r="HK5" s="3"/>
      <c r="HL5" s="3"/>
      <c r="HM5" s="3"/>
      <c r="HN5" s="3"/>
      <c r="HO5" s="3"/>
      <c r="HP5" s="3"/>
      <c r="HQ5" s="3"/>
      <c r="HR5" s="3"/>
      <c r="HS5" s="3"/>
      <c r="HT5" s="3"/>
      <c r="HU5" s="3"/>
      <c r="HV5" s="3"/>
      <c r="HW5" s="3"/>
      <c r="HX5" s="3"/>
      <c r="HY5" s="3"/>
      <c r="HZ5" s="3"/>
      <c r="IA5" s="3"/>
      <c r="IB5" s="3">
        <v>24170000</v>
      </c>
      <c r="IC5" s="3">
        <v>23174000</v>
      </c>
      <c r="ID5" s="3">
        <v>0</v>
      </c>
      <c r="IE5" s="3">
        <v>47344000</v>
      </c>
      <c r="IF5" s="3">
        <v>24170000</v>
      </c>
      <c r="IG5" s="3">
        <v>23174000</v>
      </c>
      <c r="IH5" s="3">
        <v>0</v>
      </c>
      <c r="II5" s="3">
        <v>47344000</v>
      </c>
    </row>
    <row r="6" spans="1:243" x14ac:dyDescent="0.25">
      <c r="A6" t="s">
        <v>823</v>
      </c>
      <c r="B6" t="s">
        <v>824</v>
      </c>
      <c r="C6" t="s">
        <v>733</v>
      </c>
      <c r="D6" t="s">
        <v>825</v>
      </c>
      <c r="E6" t="s">
        <v>224</v>
      </c>
      <c r="F6" t="s">
        <v>520</v>
      </c>
      <c r="G6" t="s">
        <v>833</v>
      </c>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v>4566000</v>
      </c>
      <c r="FA6" s="3">
        <v>9319000</v>
      </c>
      <c r="FB6" s="3">
        <v>0</v>
      </c>
      <c r="FC6" s="3">
        <v>13885000</v>
      </c>
      <c r="FD6" s="3">
        <v>4566000</v>
      </c>
      <c r="FE6" s="3">
        <v>9319000</v>
      </c>
      <c r="FF6" s="3">
        <v>0</v>
      </c>
      <c r="FG6" s="3">
        <f t="shared" si="0"/>
        <v>13885000</v>
      </c>
      <c r="FH6" s="3">
        <v>4566000</v>
      </c>
      <c r="FI6" s="3">
        <v>9319000</v>
      </c>
      <c r="FJ6" s="3">
        <v>0</v>
      </c>
      <c r="FK6" s="3">
        <f t="shared" si="1"/>
        <v>13885000</v>
      </c>
      <c r="FL6" s="3">
        <v>4566000</v>
      </c>
      <c r="FM6" s="3">
        <v>9319000</v>
      </c>
      <c r="FN6" s="3">
        <v>0</v>
      </c>
      <c r="FO6" s="3">
        <f t="shared" si="2"/>
        <v>13885000</v>
      </c>
      <c r="FP6" s="3">
        <v>4558623.59</v>
      </c>
      <c r="FQ6" s="3">
        <v>4698669.59</v>
      </c>
      <c r="FR6" s="3">
        <v>0</v>
      </c>
      <c r="FS6" s="3">
        <f t="shared" si="3"/>
        <v>9257293.1799999997</v>
      </c>
      <c r="FT6" s="3">
        <v>4557350.78</v>
      </c>
      <c r="FU6" s="3">
        <v>4295371.3499999996</v>
      </c>
      <c r="FV6" s="3">
        <v>0</v>
      </c>
      <c r="FW6" s="3">
        <f t="shared" si="4"/>
        <v>8852722.129999999</v>
      </c>
      <c r="FX6" s="3">
        <v>4581000</v>
      </c>
      <c r="FY6" s="3">
        <v>9487000</v>
      </c>
      <c r="FZ6" s="3">
        <v>0</v>
      </c>
      <c r="GA6" s="3">
        <v>14068000</v>
      </c>
      <c r="GB6" s="3">
        <v>4581000</v>
      </c>
      <c r="GC6" s="3">
        <v>9487000</v>
      </c>
      <c r="GD6" s="3">
        <v>0</v>
      </c>
      <c r="GE6" s="3">
        <v>14068000</v>
      </c>
      <c r="GF6" s="9">
        <v>4581000</v>
      </c>
      <c r="GG6" s="9">
        <v>9487000</v>
      </c>
      <c r="GH6" s="3">
        <v>0</v>
      </c>
      <c r="GI6" s="9">
        <v>14068000</v>
      </c>
      <c r="GJ6" s="9">
        <v>4581000</v>
      </c>
      <c r="GK6" s="9">
        <v>9487000</v>
      </c>
      <c r="GL6" s="3">
        <v>0</v>
      </c>
      <c r="GM6" s="9">
        <v>14068000</v>
      </c>
      <c r="GN6" s="9">
        <v>4581000</v>
      </c>
      <c r="GO6" s="9">
        <v>9487000</v>
      </c>
      <c r="GP6" s="3">
        <v>0</v>
      </c>
      <c r="GQ6" s="9">
        <v>14068000</v>
      </c>
      <c r="GR6" s="9">
        <v>4580699.87</v>
      </c>
      <c r="GS6" s="9">
        <v>9279922.7599999998</v>
      </c>
      <c r="GT6" s="3">
        <v>0</v>
      </c>
      <c r="GU6" s="9">
        <v>13860622.630000001</v>
      </c>
      <c r="GV6" s="9">
        <v>4571199.58</v>
      </c>
      <c r="GW6" s="9">
        <v>7457318.5099999998</v>
      </c>
      <c r="GX6" s="3">
        <v>0</v>
      </c>
      <c r="GY6" s="9">
        <v>12028518.09</v>
      </c>
      <c r="GZ6" s="3">
        <v>4627000</v>
      </c>
      <c r="HA6" s="3">
        <v>9658000</v>
      </c>
      <c r="HB6" s="3">
        <v>0</v>
      </c>
      <c r="HC6" s="3">
        <v>14285000</v>
      </c>
      <c r="HD6" s="3">
        <v>4627000</v>
      </c>
      <c r="HE6" s="3">
        <v>9658000</v>
      </c>
      <c r="HF6" s="3">
        <v>0</v>
      </c>
      <c r="HG6" s="3">
        <v>14285000</v>
      </c>
      <c r="HH6" s="3"/>
      <c r="HI6" s="3"/>
      <c r="HJ6" s="3"/>
      <c r="HK6" s="3"/>
      <c r="HL6" s="3"/>
      <c r="HM6" s="3"/>
      <c r="HN6" s="3"/>
      <c r="HO6" s="3"/>
      <c r="HP6" s="3"/>
      <c r="HQ6" s="3"/>
      <c r="HR6" s="3"/>
      <c r="HS6" s="3"/>
      <c r="HT6" s="3"/>
      <c r="HU6" s="3"/>
      <c r="HV6" s="3"/>
      <c r="HW6" s="3"/>
      <c r="HX6" s="3"/>
      <c r="HY6" s="3"/>
      <c r="HZ6" s="3"/>
      <c r="IA6" s="3"/>
      <c r="IB6" s="3">
        <v>4631000</v>
      </c>
      <c r="IC6" s="3">
        <v>9831000</v>
      </c>
      <c r="ID6" s="3">
        <v>0</v>
      </c>
      <c r="IE6" s="3">
        <v>14462000</v>
      </c>
      <c r="IF6" s="3">
        <v>4631000</v>
      </c>
      <c r="IG6" s="3">
        <v>9831000</v>
      </c>
      <c r="IH6" s="3">
        <v>0</v>
      </c>
      <c r="II6" s="3">
        <v>14462000</v>
      </c>
    </row>
    <row r="7" spans="1:243" x14ac:dyDescent="0.25">
      <c r="A7" t="s">
        <v>823</v>
      </c>
      <c r="B7" t="s">
        <v>824</v>
      </c>
      <c r="C7" t="s">
        <v>733</v>
      </c>
      <c r="D7" t="s">
        <v>825</v>
      </c>
      <c r="E7" t="s">
        <v>224</v>
      </c>
      <c r="F7" t="s">
        <v>521</v>
      </c>
      <c r="G7" t="s">
        <v>834</v>
      </c>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v>20534000</v>
      </c>
      <c r="FA7" s="3">
        <v>7432000</v>
      </c>
      <c r="FB7" s="3">
        <v>0</v>
      </c>
      <c r="FC7" s="3">
        <v>27966000</v>
      </c>
      <c r="FD7" s="3">
        <v>20534000</v>
      </c>
      <c r="FE7" s="3">
        <v>7432000</v>
      </c>
      <c r="FF7" s="3">
        <v>0</v>
      </c>
      <c r="FG7" s="3">
        <f t="shared" si="0"/>
        <v>27966000</v>
      </c>
      <c r="FH7" s="3">
        <v>20534000</v>
      </c>
      <c r="FI7" s="3">
        <v>7327100</v>
      </c>
      <c r="FJ7" s="3">
        <v>0</v>
      </c>
      <c r="FK7" s="3">
        <f t="shared" si="1"/>
        <v>27861100</v>
      </c>
      <c r="FL7" s="3">
        <v>20534000</v>
      </c>
      <c r="FM7" s="3">
        <v>7327100</v>
      </c>
      <c r="FN7" s="3">
        <v>0</v>
      </c>
      <c r="FO7" s="3">
        <f t="shared" si="2"/>
        <v>27861100</v>
      </c>
      <c r="FP7" s="3">
        <v>20017066.039999999</v>
      </c>
      <c r="FQ7" s="3">
        <v>7223467.7999999998</v>
      </c>
      <c r="FR7" s="3">
        <v>0</v>
      </c>
      <c r="FS7" s="3">
        <f t="shared" si="3"/>
        <v>27240533.84</v>
      </c>
      <c r="FT7" s="3">
        <v>20008490.830000002</v>
      </c>
      <c r="FU7" s="3">
        <v>7223467.7999999998</v>
      </c>
      <c r="FV7" s="3">
        <v>0</v>
      </c>
      <c r="FW7" s="3">
        <f t="shared" si="4"/>
        <v>27231958.630000003</v>
      </c>
      <c r="FX7" s="3">
        <v>21816000</v>
      </c>
      <c r="FY7" s="3">
        <v>7566000</v>
      </c>
      <c r="FZ7" s="3">
        <v>0</v>
      </c>
      <c r="GA7" s="3">
        <v>29382000</v>
      </c>
      <c r="GB7" s="3">
        <v>21816000</v>
      </c>
      <c r="GC7" s="3">
        <v>495740000</v>
      </c>
      <c r="GD7" s="3">
        <v>0</v>
      </c>
      <c r="GE7" s="3">
        <v>517556000</v>
      </c>
      <c r="GF7" s="3">
        <v>21816000</v>
      </c>
      <c r="GG7" s="3">
        <v>495740000</v>
      </c>
      <c r="GH7" s="3">
        <v>0</v>
      </c>
      <c r="GI7" s="3">
        <v>517556000</v>
      </c>
      <c r="GJ7" s="3">
        <v>21816000</v>
      </c>
      <c r="GK7" s="3">
        <v>495740000</v>
      </c>
      <c r="GL7" s="3">
        <v>0</v>
      </c>
      <c r="GM7" s="3">
        <v>517556000</v>
      </c>
      <c r="GN7" s="3">
        <v>21816000</v>
      </c>
      <c r="GO7" s="3">
        <v>495740000</v>
      </c>
      <c r="GP7" s="3">
        <v>0</v>
      </c>
      <c r="GQ7" s="3">
        <v>517556000</v>
      </c>
      <c r="GR7" s="9">
        <v>21744745.77</v>
      </c>
      <c r="GS7" s="9">
        <v>339038924.13</v>
      </c>
      <c r="GT7" s="3">
        <v>0</v>
      </c>
      <c r="GU7" s="9">
        <v>360783669.89999998</v>
      </c>
      <c r="GV7" s="9">
        <v>20171561.75</v>
      </c>
      <c r="GW7" s="9">
        <v>337735354.62</v>
      </c>
      <c r="GX7" s="3">
        <v>0</v>
      </c>
      <c r="GY7" s="9">
        <v>357906916.37</v>
      </c>
      <c r="GZ7" s="3">
        <v>19433000</v>
      </c>
      <c r="HA7" s="3">
        <v>504663000</v>
      </c>
      <c r="HB7" s="3">
        <v>0</v>
      </c>
      <c r="HC7" s="3">
        <v>524096000</v>
      </c>
      <c r="HD7" s="3">
        <v>19433000</v>
      </c>
      <c r="HE7" s="3">
        <v>319995000</v>
      </c>
      <c r="HF7" s="3">
        <v>0</v>
      </c>
      <c r="HG7" s="3">
        <v>339428000</v>
      </c>
      <c r="HH7" s="3"/>
      <c r="HI7" s="3"/>
      <c r="HJ7" s="3"/>
      <c r="HK7" s="3"/>
      <c r="HL7" s="3"/>
      <c r="HM7" s="3"/>
      <c r="HN7" s="3"/>
      <c r="HO7" s="3"/>
      <c r="HP7" s="3"/>
      <c r="HQ7" s="3"/>
      <c r="HR7" s="3"/>
      <c r="HS7" s="3"/>
      <c r="HT7" s="3"/>
      <c r="HU7" s="3"/>
      <c r="HV7" s="3"/>
      <c r="HW7" s="3"/>
      <c r="HX7" s="3"/>
      <c r="HY7" s="3"/>
      <c r="HZ7" s="3"/>
      <c r="IA7" s="3"/>
      <c r="IB7" s="3">
        <v>21067000</v>
      </c>
      <c r="IC7" s="3">
        <v>513747000</v>
      </c>
      <c r="ID7" s="3">
        <v>0</v>
      </c>
      <c r="IE7" s="3">
        <v>534814000</v>
      </c>
      <c r="IF7" s="3">
        <v>21067000</v>
      </c>
      <c r="IG7" s="3">
        <v>513747000</v>
      </c>
      <c r="IH7" s="3">
        <v>0</v>
      </c>
      <c r="II7" s="3">
        <v>534814000</v>
      </c>
    </row>
    <row r="8" spans="1:243" x14ac:dyDescent="0.25">
      <c r="A8" t="s">
        <v>823</v>
      </c>
      <c r="B8" t="s">
        <v>824</v>
      </c>
      <c r="C8" t="s">
        <v>733</v>
      </c>
      <c r="D8" t="s">
        <v>825</v>
      </c>
      <c r="E8" t="s">
        <v>224</v>
      </c>
      <c r="F8" t="s">
        <v>522</v>
      </c>
      <c r="G8" t="s">
        <v>835</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v>21544000</v>
      </c>
      <c r="FA8" s="3">
        <v>16280000</v>
      </c>
      <c r="FB8" s="3">
        <v>0</v>
      </c>
      <c r="FC8" s="3">
        <v>37824000</v>
      </c>
      <c r="FD8" s="3">
        <v>21544000</v>
      </c>
      <c r="FE8" s="3">
        <v>16280000</v>
      </c>
      <c r="FF8" s="3">
        <v>0</v>
      </c>
      <c r="FG8" s="3">
        <f t="shared" si="0"/>
        <v>37824000</v>
      </c>
      <c r="FH8" s="3">
        <v>21544000</v>
      </c>
      <c r="FI8" s="3">
        <v>16250000</v>
      </c>
      <c r="FJ8" s="3">
        <v>0</v>
      </c>
      <c r="FK8" s="3">
        <f t="shared" si="1"/>
        <v>37794000</v>
      </c>
      <c r="FL8" s="3">
        <v>21544000</v>
      </c>
      <c r="FM8" s="3">
        <v>16250000</v>
      </c>
      <c r="FN8" s="3">
        <v>0</v>
      </c>
      <c r="FO8" s="3">
        <f t="shared" si="2"/>
        <v>37794000</v>
      </c>
      <c r="FP8" s="3">
        <v>21000874.030000001</v>
      </c>
      <c r="FQ8" s="3">
        <v>13856324.739999998</v>
      </c>
      <c r="FR8" s="3">
        <v>0</v>
      </c>
      <c r="FS8" s="3">
        <f t="shared" si="3"/>
        <v>34857198.769999996</v>
      </c>
      <c r="FT8" s="3">
        <v>20836050.380000003</v>
      </c>
      <c r="FU8" s="3">
        <v>8266635.5</v>
      </c>
      <c r="FV8" s="3">
        <v>0</v>
      </c>
      <c r="FW8" s="3">
        <f t="shared" si="4"/>
        <v>29102685.880000003</v>
      </c>
      <c r="FX8" s="3">
        <v>18116000</v>
      </c>
      <c r="FY8" s="3">
        <v>16573000</v>
      </c>
      <c r="FZ8" s="3">
        <v>0</v>
      </c>
      <c r="GA8" s="3">
        <v>34689000</v>
      </c>
      <c r="GB8" s="3">
        <v>18116000</v>
      </c>
      <c r="GC8" s="3">
        <v>16573000</v>
      </c>
      <c r="GD8" s="3">
        <v>0</v>
      </c>
      <c r="GE8" s="3">
        <v>34689000</v>
      </c>
      <c r="GF8" s="9">
        <v>18116000</v>
      </c>
      <c r="GG8" s="9">
        <v>16573000</v>
      </c>
      <c r="GH8" s="9">
        <v>0</v>
      </c>
      <c r="GI8" s="9">
        <v>34689000</v>
      </c>
      <c r="GJ8" s="9">
        <v>21869500</v>
      </c>
      <c r="GK8" s="9">
        <v>16573000</v>
      </c>
      <c r="GL8" s="9">
        <v>0</v>
      </c>
      <c r="GM8" s="9">
        <v>38442500</v>
      </c>
      <c r="GN8" s="9">
        <v>21869500</v>
      </c>
      <c r="GO8" s="9">
        <v>16573000</v>
      </c>
      <c r="GP8" s="9">
        <v>0</v>
      </c>
      <c r="GQ8" s="9">
        <v>38442500</v>
      </c>
      <c r="GR8" s="9">
        <v>21698347.649999999</v>
      </c>
      <c r="GS8" s="9">
        <v>8358779.2699999996</v>
      </c>
      <c r="GT8" s="9">
        <v>0</v>
      </c>
      <c r="GU8" s="9">
        <v>30057126.920000002</v>
      </c>
      <c r="GV8" s="9">
        <v>21187661.859999999</v>
      </c>
      <c r="GW8" s="9">
        <v>5416885.1399999997</v>
      </c>
      <c r="GX8" s="9">
        <v>0</v>
      </c>
      <c r="GY8" s="9">
        <v>26604547</v>
      </c>
      <c r="GZ8" s="3">
        <v>18363000</v>
      </c>
      <c r="HA8" s="3">
        <v>16871000</v>
      </c>
      <c r="HB8" s="3">
        <v>0</v>
      </c>
      <c r="HC8" s="3">
        <v>35234000</v>
      </c>
      <c r="HD8" s="3">
        <v>18363000</v>
      </c>
      <c r="HE8" s="3">
        <v>16871000</v>
      </c>
      <c r="HF8" s="3">
        <v>0</v>
      </c>
      <c r="HG8" s="3">
        <v>35234000</v>
      </c>
      <c r="HH8" s="3"/>
      <c r="HI8" s="3"/>
      <c r="HJ8" s="3"/>
      <c r="HK8" s="3"/>
      <c r="HL8" s="3"/>
      <c r="HM8" s="3"/>
      <c r="HN8" s="3"/>
      <c r="HO8" s="3"/>
      <c r="HP8" s="3"/>
      <c r="HQ8" s="3"/>
      <c r="HR8" s="3"/>
      <c r="HS8" s="3"/>
      <c r="HT8" s="3"/>
      <c r="HU8" s="3"/>
      <c r="HV8" s="3"/>
      <c r="HW8" s="3"/>
      <c r="HX8" s="3"/>
      <c r="HY8" s="3"/>
      <c r="HZ8" s="3"/>
      <c r="IA8" s="3"/>
      <c r="IB8" s="3">
        <v>21400000</v>
      </c>
      <c r="IC8" s="3">
        <v>17175000</v>
      </c>
      <c r="ID8" s="3">
        <v>0</v>
      </c>
      <c r="IE8" s="3">
        <v>38575000</v>
      </c>
      <c r="IF8" s="3">
        <v>21400000</v>
      </c>
      <c r="IG8" s="3">
        <v>17175000</v>
      </c>
      <c r="IH8" s="3">
        <v>0</v>
      </c>
      <c r="II8" s="3">
        <v>38575000</v>
      </c>
    </row>
    <row r="9" spans="1:243" x14ac:dyDescent="0.25">
      <c r="A9" t="s">
        <v>823</v>
      </c>
      <c r="B9" t="s">
        <v>824</v>
      </c>
      <c r="C9" t="s">
        <v>733</v>
      </c>
      <c r="D9" t="s">
        <v>825</v>
      </c>
      <c r="E9" t="s">
        <v>241</v>
      </c>
      <c r="F9" t="s">
        <v>532</v>
      </c>
      <c r="G9" t="s">
        <v>836</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v>1568294000</v>
      </c>
      <c r="FA9" s="3">
        <v>8404530000</v>
      </c>
      <c r="FB9" s="3">
        <v>716450000</v>
      </c>
      <c r="FC9" s="3">
        <v>10689274000</v>
      </c>
      <c r="FD9" s="3">
        <v>1568294000</v>
      </c>
      <c r="FE9" s="3">
        <v>8404530000</v>
      </c>
      <c r="FF9" s="3">
        <v>716450000</v>
      </c>
      <c r="FG9" s="3">
        <f t="shared" si="0"/>
        <v>10689274000</v>
      </c>
      <c r="FH9" s="3">
        <v>1676626580.5799999</v>
      </c>
      <c r="FI9" s="3">
        <v>8299037833.5200005</v>
      </c>
      <c r="FJ9" s="3">
        <v>716450000</v>
      </c>
      <c r="FK9" s="3">
        <f t="shared" si="1"/>
        <v>10692114414.1</v>
      </c>
      <c r="FL9" s="3">
        <v>1676626580.5799999</v>
      </c>
      <c r="FM9" s="3">
        <v>8299037833.5200005</v>
      </c>
      <c r="FN9" s="3">
        <v>716450000</v>
      </c>
      <c r="FO9" s="3">
        <f t="shared" si="2"/>
        <v>10692114414.1</v>
      </c>
      <c r="FP9" s="3">
        <v>1646742341.6799998</v>
      </c>
      <c r="FQ9" s="3">
        <v>7134691300.1200008</v>
      </c>
      <c r="FR9" s="3">
        <v>0</v>
      </c>
      <c r="FS9" s="3">
        <f t="shared" si="3"/>
        <v>8781433641.8000011</v>
      </c>
      <c r="FT9" s="3">
        <v>1637561671.8399999</v>
      </c>
      <c r="FU9" s="3">
        <v>6357586473.1400003</v>
      </c>
      <c r="FV9" s="3">
        <v>0</v>
      </c>
      <c r="FW9" s="3">
        <f t="shared" si="4"/>
        <v>7995148144.9800005</v>
      </c>
      <c r="FX9" s="3">
        <v>1572660000</v>
      </c>
      <c r="FY9" s="3">
        <v>6894861000</v>
      </c>
      <c r="FZ9" s="3">
        <v>5068000</v>
      </c>
      <c r="GA9" s="3">
        <v>8472589000</v>
      </c>
      <c r="GB9" s="3">
        <v>1572660000</v>
      </c>
      <c r="GC9" s="3">
        <v>7174361000</v>
      </c>
      <c r="GD9" s="3">
        <v>5068000</v>
      </c>
      <c r="GE9" s="3">
        <v>8752089000</v>
      </c>
      <c r="GF9" s="9">
        <v>1572660000</v>
      </c>
      <c r="GG9" s="9">
        <v>7174361000</v>
      </c>
      <c r="GH9" s="9">
        <v>5068000</v>
      </c>
      <c r="GI9" s="9">
        <v>8752089000</v>
      </c>
      <c r="GJ9" s="9">
        <v>1689341906.4200001</v>
      </c>
      <c r="GK9" s="9">
        <v>7057605450.1000004</v>
      </c>
      <c r="GL9" s="9">
        <v>5068000</v>
      </c>
      <c r="GM9" s="9">
        <v>8752015356.5200005</v>
      </c>
      <c r="GN9" s="9">
        <v>1689341906.4200001</v>
      </c>
      <c r="GO9" s="9">
        <v>7057605450.1000004</v>
      </c>
      <c r="GP9" s="9">
        <v>5068000</v>
      </c>
      <c r="GQ9" s="9">
        <v>8752015356.5200005</v>
      </c>
      <c r="GR9" s="9">
        <v>1679030322.74</v>
      </c>
      <c r="GS9" s="9">
        <v>6645468762</v>
      </c>
      <c r="GT9" s="9">
        <v>5068000</v>
      </c>
      <c r="GU9" s="9">
        <v>8329567084.7399998</v>
      </c>
      <c r="GV9" s="9">
        <v>1671840284.4300001</v>
      </c>
      <c r="GW9" s="9">
        <v>6140103789.9099998</v>
      </c>
      <c r="GX9" s="9">
        <v>4388000</v>
      </c>
      <c r="GY9" s="9">
        <v>7816332074.3400002</v>
      </c>
      <c r="GZ9" s="3">
        <v>1596212000</v>
      </c>
      <c r="HA9" s="3">
        <v>8079686000</v>
      </c>
      <c r="HB9" s="3">
        <v>12661000</v>
      </c>
      <c r="HC9" s="3">
        <v>9688559000</v>
      </c>
      <c r="HD9" s="3">
        <v>1596212000</v>
      </c>
      <c r="HE9" s="3">
        <v>8741186000</v>
      </c>
      <c r="HF9" s="3">
        <v>28026000</v>
      </c>
      <c r="HG9" s="3">
        <v>10365424000</v>
      </c>
      <c r="HH9" s="3"/>
      <c r="HI9" s="3"/>
      <c r="HJ9" s="3"/>
      <c r="HK9" s="3"/>
      <c r="HL9" s="3"/>
      <c r="HM9" s="3"/>
      <c r="HN9" s="3"/>
      <c r="HO9" s="3"/>
      <c r="HP9" s="3"/>
      <c r="HQ9" s="3"/>
      <c r="HR9" s="3"/>
      <c r="HS9" s="3"/>
      <c r="HT9" s="3"/>
      <c r="HU9" s="3"/>
      <c r="HV9" s="3"/>
      <c r="HW9" s="3"/>
      <c r="HX9" s="3"/>
      <c r="HY9" s="3"/>
      <c r="HZ9" s="3"/>
      <c r="IA9" s="3"/>
      <c r="IB9" s="3">
        <v>1841628000</v>
      </c>
      <c r="IC9" s="3">
        <v>10730093000</v>
      </c>
      <c r="ID9" s="3">
        <v>67922000</v>
      </c>
      <c r="IE9" s="3">
        <v>12639643000</v>
      </c>
      <c r="IF9" s="3">
        <v>1841628000</v>
      </c>
      <c r="IG9" s="3">
        <v>13109013000</v>
      </c>
      <c r="IH9" s="3">
        <v>67922000</v>
      </c>
      <c r="II9" s="3">
        <v>15018563000</v>
      </c>
    </row>
    <row r="10" spans="1:243" x14ac:dyDescent="0.25">
      <c r="A10" t="s">
        <v>823</v>
      </c>
      <c r="B10" t="s">
        <v>824</v>
      </c>
      <c r="C10" t="s">
        <v>733</v>
      </c>
      <c r="D10" t="s">
        <v>825</v>
      </c>
      <c r="E10" t="s">
        <v>241</v>
      </c>
      <c r="F10" t="s">
        <v>533</v>
      </c>
      <c r="G10" t="s">
        <v>837</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v>802798000</v>
      </c>
      <c r="FA10" s="3">
        <v>3846928000</v>
      </c>
      <c r="FB10" s="3">
        <v>0</v>
      </c>
      <c r="FC10" s="3">
        <v>4649726000</v>
      </c>
      <c r="FD10" s="3">
        <v>802798000</v>
      </c>
      <c r="FE10" s="3">
        <v>3846928000</v>
      </c>
      <c r="FF10" s="3">
        <v>0</v>
      </c>
      <c r="FG10" s="3">
        <f t="shared" si="0"/>
        <v>4649726000</v>
      </c>
      <c r="FH10" s="3">
        <v>809436374.79999995</v>
      </c>
      <c r="FI10" s="3">
        <v>3846928000</v>
      </c>
      <c r="FJ10" s="3">
        <v>0</v>
      </c>
      <c r="FK10" s="3">
        <f t="shared" si="1"/>
        <v>4656364374.8000002</v>
      </c>
      <c r="FL10" s="3">
        <v>809436374.79999995</v>
      </c>
      <c r="FM10" s="3">
        <v>3846928000</v>
      </c>
      <c r="FN10" s="3">
        <v>0</v>
      </c>
      <c r="FO10" s="3">
        <f t="shared" si="2"/>
        <v>4656364374.8000002</v>
      </c>
      <c r="FP10" s="3">
        <v>807744652.55999994</v>
      </c>
      <c r="FQ10" s="3">
        <v>3801403534.1499996</v>
      </c>
      <c r="FR10" s="3">
        <v>0</v>
      </c>
      <c r="FS10" s="3">
        <f t="shared" si="3"/>
        <v>4609148186.7099991</v>
      </c>
      <c r="FT10" s="3">
        <v>805726083.59000003</v>
      </c>
      <c r="FU10" s="3">
        <v>3620307538.1900001</v>
      </c>
      <c r="FV10" s="3">
        <v>0</v>
      </c>
      <c r="FW10" s="3">
        <f t="shared" si="4"/>
        <v>4426033621.7799997</v>
      </c>
      <c r="FX10" s="3">
        <v>857613000</v>
      </c>
      <c r="FY10" s="3">
        <v>3187178000</v>
      </c>
      <c r="FZ10" s="3">
        <v>0</v>
      </c>
      <c r="GA10" s="3">
        <v>4044791000</v>
      </c>
      <c r="GB10" s="3">
        <v>857613000</v>
      </c>
      <c r="GC10" s="3">
        <v>10366178000</v>
      </c>
      <c r="GD10" s="3">
        <v>0</v>
      </c>
      <c r="GE10" s="3">
        <v>11223791000</v>
      </c>
      <c r="GF10" s="9">
        <v>857613000</v>
      </c>
      <c r="GG10" s="9">
        <v>10366178000</v>
      </c>
      <c r="GH10" s="9">
        <v>0</v>
      </c>
      <c r="GI10" s="9">
        <v>11223791000</v>
      </c>
      <c r="GJ10" s="9">
        <v>857809002.07000005</v>
      </c>
      <c r="GK10" s="9">
        <v>10366380323.360001</v>
      </c>
      <c r="GL10" s="9">
        <v>0</v>
      </c>
      <c r="GM10" s="9">
        <v>11224189325.43</v>
      </c>
      <c r="GN10" s="9">
        <v>857809002.07000005</v>
      </c>
      <c r="GO10" s="9">
        <v>10366380323.360001</v>
      </c>
      <c r="GP10" s="9">
        <v>0</v>
      </c>
      <c r="GQ10" s="9">
        <v>11224189325.43</v>
      </c>
      <c r="GR10" s="9">
        <v>855222790.01999998</v>
      </c>
      <c r="GS10" s="9">
        <v>8880883547.5499992</v>
      </c>
      <c r="GT10" s="9">
        <v>0</v>
      </c>
      <c r="GU10" s="9">
        <v>9736106337.5699997</v>
      </c>
      <c r="GV10" s="9">
        <v>854413198.32000005</v>
      </c>
      <c r="GW10" s="9">
        <v>5857068267.75</v>
      </c>
      <c r="GX10" s="9">
        <v>0</v>
      </c>
      <c r="GY10" s="9">
        <v>6711481466.0699997</v>
      </c>
      <c r="GZ10" s="3">
        <v>857742000</v>
      </c>
      <c r="HA10" s="3">
        <v>3279928000</v>
      </c>
      <c r="HB10" s="3">
        <v>0</v>
      </c>
      <c r="HC10" s="3">
        <v>4137670000</v>
      </c>
      <c r="HD10" s="3">
        <v>857742000</v>
      </c>
      <c r="HE10" s="3">
        <v>4917428000</v>
      </c>
      <c r="HF10" s="3">
        <v>0</v>
      </c>
      <c r="HG10" s="3">
        <v>5775170000</v>
      </c>
      <c r="HH10" s="3"/>
      <c r="HI10" s="3"/>
      <c r="HJ10" s="3"/>
      <c r="HK10" s="3"/>
      <c r="HL10" s="3"/>
      <c r="HM10" s="3"/>
      <c r="HN10" s="3"/>
      <c r="HO10" s="3"/>
      <c r="HP10" s="3"/>
      <c r="HQ10" s="3"/>
      <c r="HR10" s="3"/>
      <c r="HS10" s="3"/>
      <c r="HT10" s="3"/>
      <c r="HU10" s="3"/>
      <c r="HV10" s="3"/>
      <c r="HW10" s="3"/>
      <c r="HX10" s="3"/>
      <c r="HY10" s="3"/>
      <c r="HZ10" s="3"/>
      <c r="IA10" s="3"/>
      <c r="IB10" s="3">
        <v>963586000</v>
      </c>
      <c r="IC10" s="3">
        <v>4340543000</v>
      </c>
      <c r="ID10" s="3">
        <v>0</v>
      </c>
      <c r="IE10" s="3">
        <v>5304129000</v>
      </c>
      <c r="IF10" s="3">
        <v>963586000</v>
      </c>
      <c r="IG10" s="3">
        <v>8061543000</v>
      </c>
      <c r="IH10" s="3">
        <v>0</v>
      </c>
      <c r="II10" s="3">
        <v>9025129000</v>
      </c>
    </row>
    <row r="11" spans="1:243" x14ac:dyDescent="0.25">
      <c r="A11" t="s">
        <v>823</v>
      </c>
      <c r="B11" t="s">
        <v>824</v>
      </c>
      <c r="C11" t="s">
        <v>733</v>
      </c>
      <c r="D11" t="s">
        <v>825</v>
      </c>
      <c r="E11" t="s">
        <v>241</v>
      </c>
      <c r="F11" t="s">
        <v>826</v>
      </c>
      <c r="G11" t="s">
        <v>838</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v>0</v>
      </c>
      <c r="FY11" s="3">
        <v>564629000</v>
      </c>
      <c r="FZ11" s="3">
        <v>1269600000</v>
      </c>
      <c r="GA11" s="3">
        <v>1834229000</v>
      </c>
      <c r="GB11" s="3">
        <v>0</v>
      </c>
      <c r="GC11" s="3">
        <v>0</v>
      </c>
      <c r="GD11" s="3">
        <v>0</v>
      </c>
      <c r="GE11" s="3">
        <v>0</v>
      </c>
      <c r="GF11" s="3">
        <v>0</v>
      </c>
      <c r="GG11" s="3">
        <v>0</v>
      </c>
      <c r="GH11" s="3">
        <v>0</v>
      </c>
      <c r="GI11" s="3">
        <v>0</v>
      </c>
      <c r="GJ11" s="3">
        <v>0</v>
      </c>
      <c r="GK11" s="3">
        <v>0</v>
      </c>
      <c r="GL11" s="3">
        <v>0</v>
      </c>
      <c r="GM11" s="3">
        <v>0</v>
      </c>
      <c r="GN11" s="3">
        <v>0</v>
      </c>
      <c r="GO11" s="3">
        <v>0</v>
      </c>
      <c r="GP11" s="3">
        <v>0</v>
      </c>
      <c r="GQ11" s="3">
        <v>0</v>
      </c>
      <c r="GR11" s="3">
        <v>0</v>
      </c>
      <c r="GS11" s="3">
        <v>0</v>
      </c>
      <c r="GT11" s="3">
        <v>0</v>
      </c>
      <c r="GU11" s="3">
        <v>0</v>
      </c>
      <c r="GV11" s="3">
        <v>0</v>
      </c>
      <c r="GW11" s="3">
        <v>0</v>
      </c>
      <c r="GX11" s="3">
        <v>0</v>
      </c>
      <c r="GY11" s="3">
        <v>0</v>
      </c>
      <c r="GZ11" s="3">
        <v>0</v>
      </c>
      <c r="HA11" s="3">
        <v>850317000</v>
      </c>
      <c r="HB11" s="3">
        <v>2231730000</v>
      </c>
      <c r="HC11" s="3">
        <v>3082047000</v>
      </c>
      <c r="HD11" s="3">
        <v>0</v>
      </c>
      <c r="HE11" s="3">
        <v>850317000</v>
      </c>
      <c r="HF11" s="3">
        <v>2231730000</v>
      </c>
      <c r="HG11" s="3">
        <v>3082047000</v>
      </c>
      <c r="HH11" s="3"/>
      <c r="HI11" s="3"/>
      <c r="HJ11" s="3"/>
      <c r="HK11" s="3"/>
      <c r="HL11" s="3"/>
      <c r="HM11" s="3"/>
      <c r="HN11" s="3"/>
      <c r="HO11" s="3"/>
      <c r="HP11" s="3"/>
      <c r="HQ11" s="3"/>
      <c r="HR11" s="3"/>
      <c r="HS11" s="3"/>
      <c r="HT11" s="3"/>
      <c r="HU11" s="3"/>
      <c r="HV11" s="3"/>
      <c r="HW11" s="3"/>
      <c r="HX11" s="3"/>
      <c r="HY11" s="3"/>
      <c r="HZ11" s="3"/>
      <c r="IA11" s="3"/>
      <c r="IB11" s="3">
        <v>0</v>
      </c>
      <c r="IC11" s="3">
        <v>378827000</v>
      </c>
      <c r="ID11" s="3">
        <v>69002000</v>
      </c>
      <c r="IE11" s="3">
        <v>447829000</v>
      </c>
      <c r="IF11" s="3">
        <v>0</v>
      </c>
      <c r="IG11" s="3">
        <v>378827000</v>
      </c>
      <c r="IH11" s="3">
        <v>69002000</v>
      </c>
      <c r="II11" s="3">
        <v>447829000</v>
      </c>
    </row>
    <row r="12" spans="1:243" x14ac:dyDescent="0.25">
      <c r="A12" t="s">
        <v>823</v>
      </c>
      <c r="B12" t="s">
        <v>824</v>
      </c>
      <c r="C12" t="s">
        <v>733</v>
      </c>
      <c r="D12" t="s">
        <v>825</v>
      </c>
      <c r="E12" t="s">
        <v>241</v>
      </c>
      <c r="F12" s="4" t="s">
        <v>242</v>
      </c>
      <c r="G12" t="s">
        <v>844</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row>
    <row r="13" spans="1:243" x14ac:dyDescent="0.25">
      <c r="A13" t="s">
        <v>823</v>
      </c>
      <c r="B13" t="s">
        <v>824</v>
      </c>
      <c r="C13" t="s">
        <v>733</v>
      </c>
      <c r="D13" t="s">
        <v>825</v>
      </c>
      <c r="E13" t="s">
        <v>241</v>
      </c>
      <c r="F13" s="4" t="s">
        <v>244</v>
      </c>
      <c r="G13" t="s">
        <v>845</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row>
    <row r="14" spans="1:243" x14ac:dyDescent="0.25">
      <c r="A14" t="s">
        <v>823</v>
      </c>
      <c r="B14" t="s">
        <v>824</v>
      </c>
      <c r="C14" t="s">
        <v>733</v>
      </c>
      <c r="D14" t="s">
        <v>825</v>
      </c>
      <c r="E14" t="s">
        <v>241</v>
      </c>
      <c r="F14" s="4" t="s">
        <v>246</v>
      </c>
      <c r="G14" t="s">
        <v>846</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row>
    <row r="15" spans="1:243" x14ac:dyDescent="0.25">
      <c r="A15" t="s">
        <v>823</v>
      </c>
      <c r="B15" t="s">
        <v>824</v>
      </c>
      <c r="C15" t="s">
        <v>733</v>
      </c>
      <c r="D15" t="s">
        <v>825</v>
      </c>
      <c r="E15" t="s">
        <v>241</v>
      </c>
      <c r="F15" t="s">
        <v>829</v>
      </c>
      <c r="G15" t="s">
        <v>840</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row>
    <row r="16" spans="1:243" x14ac:dyDescent="0.25">
      <c r="A16" t="s">
        <v>823</v>
      </c>
      <c r="B16" t="s">
        <v>824</v>
      </c>
      <c r="C16" t="s">
        <v>733</v>
      </c>
      <c r="D16" t="s">
        <v>825</v>
      </c>
      <c r="E16" t="s">
        <v>241</v>
      </c>
      <c r="F16" t="s">
        <v>830</v>
      </c>
      <c r="G16" t="s">
        <v>839</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row>
    <row r="17" spans="1:243" x14ac:dyDescent="0.25">
      <c r="A17" t="s">
        <v>827</v>
      </c>
      <c r="B17" t="s">
        <v>828</v>
      </c>
      <c r="C17" t="s">
        <v>733</v>
      </c>
      <c r="D17" t="s">
        <v>825</v>
      </c>
      <c r="E17" t="s">
        <v>201</v>
      </c>
      <c r="F17" t="s">
        <v>202</v>
      </c>
      <c r="G17" t="s">
        <v>203</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v>134848000</v>
      </c>
      <c r="AO17" s="3">
        <v>124438000</v>
      </c>
      <c r="AP17" s="3">
        <v>0</v>
      </c>
      <c r="AQ17" s="3">
        <v>259286000</v>
      </c>
      <c r="AR17" s="3">
        <v>134848000</v>
      </c>
      <c r="AS17" s="3">
        <v>124438000</v>
      </c>
      <c r="AT17" s="3">
        <v>0</v>
      </c>
      <c r="AU17" s="3">
        <v>259286000</v>
      </c>
      <c r="AV17" s="3">
        <v>90255349.099999994</v>
      </c>
      <c r="AW17" s="3">
        <v>117540631.79000001</v>
      </c>
      <c r="AX17" s="3">
        <v>0</v>
      </c>
      <c r="AY17" s="3">
        <v>207795980.88999999</v>
      </c>
      <c r="AZ17" s="3">
        <v>90255349.099999994</v>
      </c>
      <c r="BA17" s="3">
        <v>117540631.79000001</v>
      </c>
      <c r="BB17" s="3">
        <v>0</v>
      </c>
      <c r="BC17" s="3">
        <v>207795980.88999999</v>
      </c>
      <c r="BD17" s="3">
        <v>84525074.180000007</v>
      </c>
      <c r="BE17" s="3">
        <v>117240631.79000001</v>
      </c>
      <c r="BF17" s="3">
        <v>0</v>
      </c>
      <c r="BG17" s="3">
        <v>201765705.97000003</v>
      </c>
      <c r="BH17" s="3">
        <v>84342903.349999994</v>
      </c>
      <c r="BI17" s="3">
        <v>109137258.95999999</v>
      </c>
      <c r="BJ17" s="3">
        <v>0</v>
      </c>
      <c r="BK17" s="3">
        <v>193480162.31</v>
      </c>
      <c r="BL17" s="3">
        <v>126218000</v>
      </c>
      <c r="BM17" s="3">
        <v>114909000</v>
      </c>
      <c r="BN17" s="3">
        <v>38864000</v>
      </c>
      <c r="BO17" s="3">
        <v>279991000</v>
      </c>
      <c r="BP17" s="3">
        <v>126218000</v>
      </c>
      <c r="BQ17" s="3">
        <v>114909000</v>
      </c>
      <c r="BR17" s="3">
        <v>58864000</v>
      </c>
      <c r="BS17" s="3">
        <v>299991000</v>
      </c>
      <c r="BT17" s="3">
        <v>126218000</v>
      </c>
      <c r="BU17" s="3">
        <v>114909000</v>
      </c>
      <c r="BV17" s="3">
        <v>58864000</v>
      </c>
      <c r="BW17" s="3">
        <v>299991000</v>
      </c>
      <c r="BX17" s="3">
        <v>81570522.290000007</v>
      </c>
      <c r="BY17" s="3">
        <v>109874000</v>
      </c>
      <c r="BZ17" s="3">
        <v>23164000</v>
      </c>
      <c r="CA17" s="3">
        <v>214608522.29000002</v>
      </c>
      <c r="CB17" s="3">
        <v>81570522.290000007</v>
      </c>
      <c r="CC17" s="3">
        <v>109874000</v>
      </c>
      <c r="CD17" s="3">
        <v>23164000</v>
      </c>
      <c r="CE17" s="3">
        <v>214608522.29000002</v>
      </c>
      <c r="CF17" s="3">
        <v>77234036.390000001</v>
      </c>
      <c r="CG17" s="3">
        <v>102858000</v>
      </c>
      <c r="CH17" s="3">
        <v>2030825.4</v>
      </c>
      <c r="CI17" s="3">
        <v>182122861.78999999</v>
      </c>
      <c r="CJ17" s="3">
        <v>155645471.22</v>
      </c>
      <c r="CK17" s="3">
        <v>174926322.12</v>
      </c>
      <c r="CL17" s="3">
        <v>0</v>
      </c>
      <c r="CM17" s="3">
        <v>330571793.34000003</v>
      </c>
      <c r="CN17" s="3">
        <v>139290000</v>
      </c>
      <c r="CO17" s="3">
        <v>109835000</v>
      </c>
      <c r="CP17" s="3">
        <v>0</v>
      </c>
      <c r="CQ17" s="3">
        <v>249125000</v>
      </c>
      <c r="CR17" s="3">
        <v>139290000</v>
      </c>
      <c r="CS17" s="3">
        <v>109835000</v>
      </c>
      <c r="CT17" s="3">
        <v>20000000</v>
      </c>
      <c r="CU17" s="3">
        <v>269125000</v>
      </c>
      <c r="CV17" s="3">
        <v>139290000</v>
      </c>
      <c r="CW17" s="3">
        <v>109835000</v>
      </c>
      <c r="CX17" s="3">
        <v>20000000</v>
      </c>
      <c r="CY17" s="3">
        <v>269125000</v>
      </c>
      <c r="CZ17" s="3">
        <v>138625346.63999999</v>
      </c>
      <c r="DA17" s="3">
        <v>109835000</v>
      </c>
      <c r="DB17" s="3">
        <v>20000000</v>
      </c>
      <c r="DC17" s="3">
        <v>268460346.63999999</v>
      </c>
      <c r="DD17" s="3">
        <v>138625346.63999999</v>
      </c>
      <c r="DE17" s="3">
        <v>109835000</v>
      </c>
      <c r="DF17" s="3">
        <v>20000000</v>
      </c>
      <c r="DG17" s="3">
        <v>268460346.63999999</v>
      </c>
      <c r="DH17" s="3">
        <v>127131050.18000001</v>
      </c>
      <c r="DI17" s="3">
        <v>107866711.56999999</v>
      </c>
      <c r="DJ17" s="3">
        <v>20000000</v>
      </c>
      <c r="DK17" s="3">
        <v>254997761.75</v>
      </c>
      <c r="DL17" s="3">
        <v>127029050.18000001</v>
      </c>
      <c r="DM17" s="3">
        <v>107866711.56999999</v>
      </c>
      <c r="DN17" s="3">
        <v>20000000</v>
      </c>
      <c r="DO17" s="3">
        <v>254895761.75</v>
      </c>
      <c r="DP17" s="3">
        <v>142181000</v>
      </c>
      <c r="DQ17" s="3">
        <v>109835000</v>
      </c>
      <c r="DR17" s="3">
        <v>0</v>
      </c>
      <c r="DS17" s="3">
        <v>252016000</v>
      </c>
      <c r="DT17" s="3">
        <v>142181000</v>
      </c>
      <c r="DU17" s="3">
        <v>109835000</v>
      </c>
      <c r="DV17" s="3">
        <v>0</v>
      </c>
      <c r="DW17" s="3">
        <v>252016000</v>
      </c>
      <c r="DX17" s="3">
        <v>142181000</v>
      </c>
      <c r="DY17" s="3">
        <v>109835000</v>
      </c>
      <c r="DZ17" s="3">
        <v>0</v>
      </c>
      <c r="EA17" s="3">
        <v>252016000</v>
      </c>
      <c r="EB17" s="3"/>
      <c r="EC17" s="3"/>
      <c r="ED17" s="3"/>
      <c r="EE17" s="3"/>
      <c r="EF17" s="10">
        <f>EE17-SUM(EB17:ED17)</f>
        <v>0</v>
      </c>
      <c r="EG17" s="3"/>
      <c r="EH17" s="3"/>
      <c r="EI17" s="3">
        <v>0</v>
      </c>
      <c r="EJ17" s="3"/>
      <c r="EK17" s="10">
        <f>EJ17-SUM(EG17:EI17)</f>
        <v>0</v>
      </c>
      <c r="EL17" s="3"/>
      <c r="EM17" s="3"/>
      <c r="EN17" s="3">
        <v>0</v>
      </c>
      <c r="EO17" s="3"/>
      <c r="EP17" s="10">
        <f>EO17-SUM(EL17:EN17)</f>
        <v>0</v>
      </c>
      <c r="EQ17" s="3"/>
      <c r="ER17" s="3"/>
      <c r="ES17" s="3">
        <v>0</v>
      </c>
      <c r="ET17" s="3"/>
      <c r="EU17" s="10">
        <f>ET17-SUM(EQ17:ES17)</f>
        <v>0</v>
      </c>
      <c r="EV17" s="3">
        <v>194580000</v>
      </c>
      <c r="EW17" s="3">
        <v>87036000</v>
      </c>
      <c r="EX17" s="3">
        <v>0</v>
      </c>
      <c r="EY17" s="3">
        <v>281616000</v>
      </c>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row>
    <row r="18" spans="1:243" x14ac:dyDescent="0.25">
      <c r="A18" t="s">
        <v>827</v>
      </c>
      <c r="B18" t="s">
        <v>828</v>
      </c>
      <c r="C18" t="s">
        <v>733</v>
      </c>
      <c r="D18" t="s">
        <v>825</v>
      </c>
      <c r="E18" t="s">
        <v>201</v>
      </c>
      <c r="F18" t="s">
        <v>204</v>
      </c>
      <c r="G18" t="s">
        <v>205</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v>29193000</v>
      </c>
      <c r="AO18" s="3">
        <v>0</v>
      </c>
      <c r="AP18" s="3">
        <v>0</v>
      </c>
      <c r="AQ18" s="3">
        <v>29193000</v>
      </c>
      <c r="AR18" s="3">
        <v>29193000</v>
      </c>
      <c r="AS18" s="3">
        <v>0</v>
      </c>
      <c r="AT18" s="3">
        <v>0</v>
      </c>
      <c r="AU18" s="3">
        <v>29193000</v>
      </c>
      <c r="AV18" s="3">
        <v>24967061.370000001</v>
      </c>
      <c r="AW18" s="3">
        <v>0</v>
      </c>
      <c r="AX18" s="3">
        <v>0</v>
      </c>
      <c r="AY18" s="3">
        <v>24967061.370000001</v>
      </c>
      <c r="AZ18" s="3">
        <v>24967061.370000001</v>
      </c>
      <c r="BA18" s="3">
        <v>0</v>
      </c>
      <c r="BB18" s="3">
        <v>0</v>
      </c>
      <c r="BC18" s="3">
        <v>24967061.370000001</v>
      </c>
      <c r="BD18" s="3">
        <v>9501971.3699999992</v>
      </c>
      <c r="BE18" s="3">
        <v>0</v>
      </c>
      <c r="BF18" s="3">
        <v>0</v>
      </c>
      <c r="BG18" s="3">
        <v>9501971.3699999992</v>
      </c>
      <c r="BH18" s="3">
        <v>9501971.3699999992</v>
      </c>
      <c r="BI18" s="3">
        <v>0</v>
      </c>
      <c r="BJ18" s="3">
        <v>0</v>
      </c>
      <c r="BK18" s="3">
        <v>9501971.3699999992</v>
      </c>
      <c r="BL18" s="3">
        <v>66869000</v>
      </c>
      <c r="BM18" s="3">
        <v>0</v>
      </c>
      <c r="BN18" s="3">
        <v>0</v>
      </c>
      <c r="BO18" s="3">
        <v>66869000</v>
      </c>
      <c r="BP18" s="3">
        <v>66869000</v>
      </c>
      <c r="BQ18" s="3">
        <v>0</v>
      </c>
      <c r="BR18" s="3">
        <v>0</v>
      </c>
      <c r="BS18" s="3">
        <v>66869000</v>
      </c>
      <c r="BT18" s="3">
        <v>66869000</v>
      </c>
      <c r="BU18" s="3">
        <v>0</v>
      </c>
      <c r="BV18" s="3">
        <v>0</v>
      </c>
      <c r="BW18" s="3">
        <v>66869000</v>
      </c>
      <c r="BX18" s="3">
        <v>58301846.460000001</v>
      </c>
      <c r="BY18" s="3">
        <v>0</v>
      </c>
      <c r="BZ18" s="3">
        <v>0</v>
      </c>
      <c r="CA18" s="3">
        <v>58301846.460000001</v>
      </c>
      <c r="CB18" s="3">
        <v>4066541.46</v>
      </c>
      <c r="CC18" s="3">
        <v>0</v>
      </c>
      <c r="CD18" s="3">
        <v>0</v>
      </c>
      <c r="CE18" s="3">
        <v>4066541.46</v>
      </c>
      <c r="CF18" s="3">
        <v>3973636.35</v>
      </c>
      <c r="CG18" s="3">
        <v>0</v>
      </c>
      <c r="CH18" s="3">
        <v>0</v>
      </c>
      <c r="CI18" s="3">
        <v>3973636.35</v>
      </c>
      <c r="CJ18" s="3">
        <v>3103301.7</v>
      </c>
      <c r="CK18" s="3">
        <v>0</v>
      </c>
      <c r="CL18" s="3">
        <v>0</v>
      </c>
      <c r="CM18" s="3">
        <v>3103301.7</v>
      </c>
      <c r="CN18" s="3">
        <v>118283000</v>
      </c>
      <c r="CO18" s="3">
        <v>0</v>
      </c>
      <c r="CP18" s="3">
        <v>0</v>
      </c>
      <c r="CQ18" s="3">
        <v>118283000</v>
      </c>
      <c r="CR18" s="3">
        <v>118283000</v>
      </c>
      <c r="CS18" s="3">
        <v>0</v>
      </c>
      <c r="CT18" s="3">
        <v>0</v>
      </c>
      <c r="CU18" s="3">
        <v>118283000</v>
      </c>
      <c r="CV18" s="3">
        <v>118283000</v>
      </c>
      <c r="CW18" s="3">
        <v>0</v>
      </c>
      <c r="CX18" s="3">
        <v>0</v>
      </c>
      <c r="CY18" s="3">
        <v>118283000</v>
      </c>
      <c r="CZ18" s="3">
        <v>185998223.88</v>
      </c>
      <c r="DA18" s="3">
        <v>0</v>
      </c>
      <c r="DB18" s="3">
        <v>0</v>
      </c>
      <c r="DC18" s="3">
        <v>185998223.88</v>
      </c>
      <c r="DD18" s="3">
        <v>80224223.879999995</v>
      </c>
      <c r="DE18" s="3">
        <v>0</v>
      </c>
      <c r="DF18" s="3">
        <v>0</v>
      </c>
      <c r="DG18" s="3">
        <v>80224223.879999995</v>
      </c>
      <c r="DH18" s="3">
        <v>82735276.140000001</v>
      </c>
      <c r="DI18" s="3">
        <v>0</v>
      </c>
      <c r="DJ18" s="3">
        <v>0</v>
      </c>
      <c r="DK18" s="3">
        <v>82735276.140000001</v>
      </c>
      <c r="DL18" s="3">
        <v>66949369.619999997</v>
      </c>
      <c r="DM18" s="3">
        <v>0</v>
      </c>
      <c r="DN18" s="3">
        <v>0</v>
      </c>
      <c r="DO18" s="3">
        <v>66949369.619999997</v>
      </c>
      <c r="DP18" s="3">
        <v>138308000</v>
      </c>
      <c r="DQ18" s="3">
        <v>0</v>
      </c>
      <c r="DR18" s="3">
        <v>0</v>
      </c>
      <c r="DS18" s="3">
        <v>138308000</v>
      </c>
      <c r="DT18" s="3">
        <v>138308000</v>
      </c>
      <c r="DU18" s="3">
        <v>0</v>
      </c>
      <c r="DV18" s="3">
        <v>0</v>
      </c>
      <c r="DW18" s="3">
        <v>138308000</v>
      </c>
      <c r="DX18" s="3">
        <v>138308000</v>
      </c>
      <c r="DY18" s="3">
        <v>0</v>
      </c>
      <c r="DZ18" s="3">
        <v>0</v>
      </c>
      <c r="EA18" s="3">
        <v>138308000</v>
      </c>
      <c r="EB18" s="3"/>
      <c r="EC18" s="3">
        <v>0</v>
      </c>
      <c r="ED18" s="3">
        <v>0</v>
      </c>
      <c r="EE18" s="3"/>
      <c r="EF18" s="10">
        <f t="shared" ref="EF18:EF25" si="5">EE18-SUM(EB18:ED18)</f>
        <v>0</v>
      </c>
      <c r="EG18" s="3"/>
      <c r="EH18" s="3">
        <v>0</v>
      </c>
      <c r="EI18" s="3">
        <v>0</v>
      </c>
      <c r="EJ18" s="3"/>
      <c r="EK18" s="10">
        <f t="shared" ref="EK18:EK25" si="6">EJ18-SUM(EG18:EI18)</f>
        <v>0</v>
      </c>
      <c r="EL18" s="3"/>
      <c r="EM18" s="3">
        <v>0</v>
      </c>
      <c r="EN18" s="3">
        <v>0</v>
      </c>
      <c r="EO18" s="3"/>
      <c r="EP18" s="10">
        <f t="shared" ref="EP18:EP25" si="7">EO18-SUM(EL18:EN18)</f>
        <v>0</v>
      </c>
      <c r="EQ18" s="3"/>
      <c r="ER18" s="3">
        <v>0</v>
      </c>
      <c r="ES18" s="3">
        <v>0</v>
      </c>
      <c r="ET18" s="3"/>
      <c r="EU18" s="10">
        <f t="shared" ref="EU18:EU25" si="8">ET18-SUM(EQ18:ES18)</f>
        <v>0</v>
      </c>
      <c r="EV18" s="3">
        <v>235978000</v>
      </c>
      <c r="EW18" s="3">
        <v>0</v>
      </c>
      <c r="EX18" s="3">
        <v>0</v>
      </c>
      <c r="EY18" s="3">
        <v>235978000</v>
      </c>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row>
    <row r="19" spans="1:243" x14ac:dyDescent="0.25">
      <c r="A19" t="s">
        <v>827</v>
      </c>
      <c r="B19" t="s">
        <v>828</v>
      </c>
      <c r="C19" t="s">
        <v>733</v>
      </c>
      <c r="D19" t="s">
        <v>825</v>
      </c>
      <c r="E19" t="s">
        <v>208</v>
      </c>
      <c r="F19" t="s">
        <v>209</v>
      </c>
      <c r="G19" t="s">
        <v>831</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v>6456000</v>
      </c>
      <c r="AO19" s="3">
        <v>7909000</v>
      </c>
      <c r="AP19" s="3">
        <v>40748000</v>
      </c>
      <c r="AQ19" s="3">
        <v>55113000</v>
      </c>
      <c r="AR19" s="3">
        <v>6456000</v>
      </c>
      <c r="AS19" s="3">
        <v>7909000</v>
      </c>
      <c r="AT19" s="3">
        <v>40748000</v>
      </c>
      <c r="AU19" s="3">
        <v>55113000</v>
      </c>
      <c r="AV19" s="3">
        <v>6495783</v>
      </c>
      <c r="AW19" s="3">
        <v>7655269</v>
      </c>
      <c r="AX19" s="3">
        <v>40748000</v>
      </c>
      <c r="AY19" s="3">
        <v>54899052</v>
      </c>
      <c r="AZ19" s="3">
        <v>6495783</v>
      </c>
      <c r="BA19" s="3">
        <v>7655269</v>
      </c>
      <c r="BB19" s="3">
        <v>40748000</v>
      </c>
      <c r="BC19" s="3">
        <v>54899052</v>
      </c>
      <c r="BD19" s="3">
        <v>6378231.0499999998</v>
      </c>
      <c r="BE19" s="3">
        <v>7539269</v>
      </c>
      <c r="BF19" s="3">
        <v>40741553.770000003</v>
      </c>
      <c r="BG19" s="3">
        <v>54659053.820000008</v>
      </c>
      <c r="BH19" s="3">
        <v>6376514.9400000004</v>
      </c>
      <c r="BI19" s="3">
        <v>7203176.4400000004</v>
      </c>
      <c r="BJ19" s="3">
        <v>35131987.619999997</v>
      </c>
      <c r="BK19" s="3">
        <v>48711679</v>
      </c>
      <c r="BL19" s="3">
        <v>6997000</v>
      </c>
      <c r="BM19" s="3">
        <v>11924000</v>
      </c>
      <c r="BN19" s="3">
        <v>49265000</v>
      </c>
      <c r="BO19" s="3">
        <v>68186000</v>
      </c>
      <c r="BP19" s="3">
        <v>6997000</v>
      </c>
      <c r="BQ19" s="3">
        <v>11924000</v>
      </c>
      <c r="BR19" s="3">
        <v>49265000</v>
      </c>
      <c r="BS19" s="3">
        <v>68186000</v>
      </c>
      <c r="BT19" s="3">
        <v>6997000</v>
      </c>
      <c r="BU19" s="3">
        <v>11924000</v>
      </c>
      <c r="BV19" s="3">
        <v>49265000</v>
      </c>
      <c r="BW19" s="3">
        <v>68186000</v>
      </c>
      <c r="BX19" s="3">
        <v>6997000</v>
      </c>
      <c r="BY19" s="3">
        <v>10158400</v>
      </c>
      <c r="BZ19" s="3">
        <v>47985000</v>
      </c>
      <c r="CA19" s="3">
        <v>65140400</v>
      </c>
      <c r="CB19" s="3">
        <v>6997000</v>
      </c>
      <c r="CC19" s="3">
        <v>10158400</v>
      </c>
      <c r="CD19" s="3">
        <v>47985000</v>
      </c>
      <c r="CE19" s="3">
        <v>65140400</v>
      </c>
      <c r="CF19" s="3">
        <v>6997000</v>
      </c>
      <c r="CG19" s="3">
        <v>5436241</v>
      </c>
      <c r="CH19" s="3">
        <v>1012415</v>
      </c>
      <c r="CI19" s="3">
        <v>13445656</v>
      </c>
      <c r="CJ19" s="3">
        <v>3475302.76</v>
      </c>
      <c r="CK19" s="3">
        <v>306227.28999999998</v>
      </c>
      <c r="CL19" s="3">
        <v>0</v>
      </c>
      <c r="CM19" s="3">
        <v>3781530.05</v>
      </c>
      <c r="CN19" s="3">
        <v>7435000</v>
      </c>
      <c r="CO19" s="3">
        <v>28720000</v>
      </c>
      <c r="CP19" s="3">
        <v>33851000</v>
      </c>
      <c r="CQ19" s="3">
        <v>70006000</v>
      </c>
      <c r="CR19" s="3">
        <v>7435000</v>
      </c>
      <c r="CS19" s="3">
        <v>28720000</v>
      </c>
      <c r="CT19" s="3">
        <v>33851000</v>
      </c>
      <c r="CU19" s="3">
        <v>70006000</v>
      </c>
      <c r="CV19" s="3">
        <v>7435000</v>
      </c>
      <c r="CW19" s="3">
        <v>28720000</v>
      </c>
      <c r="CX19" s="3">
        <v>33851000</v>
      </c>
      <c r="CY19" s="3">
        <v>70006000</v>
      </c>
      <c r="CZ19" s="3">
        <v>7435000</v>
      </c>
      <c r="DA19" s="3">
        <v>28720000</v>
      </c>
      <c r="DB19" s="3">
        <v>33851000</v>
      </c>
      <c r="DC19" s="3">
        <v>70006000</v>
      </c>
      <c r="DD19" s="3">
        <v>7435000</v>
      </c>
      <c r="DE19" s="3">
        <v>28720000</v>
      </c>
      <c r="DF19" s="3">
        <v>33851000</v>
      </c>
      <c r="DG19" s="3">
        <v>70006000</v>
      </c>
      <c r="DH19" s="3">
        <v>7435000</v>
      </c>
      <c r="DI19" s="3">
        <v>11279718.880000001</v>
      </c>
      <c r="DJ19" s="3">
        <v>9157518</v>
      </c>
      <c r="DK19" s="3">
        <v>27872236.879999999</v>
      </c>
      <c r="DL19" s="3">
        <v>7435000</v>
      </c>
      <c r="DM19" s="3">
        <v>1215929.6299999999</v>
      </c>
      <c r="DN19" s="3">
        <v>5300171.5999999996</v>
      </c>
      <c r="DO19" s="3">
        <v>13951101.23</v>
      </c>
      <c r="DP19" s="3">
        <v>7119000</v>
      </c>
      <c r="DQ19" s="3">
        <v>23091000</v>
      </c>
      <c r="DR19" s="3">
        <v>10400000</v>
      </c>
      <c r="DS19" s="3">
        <v>40610000</v>
      </c>
      <c r="DT19" s="3">
        <v>7119000</v>
      </c>
      <c r="DU19" s="3">
        <v>23091000</v>
      </c>
      <c r="DV19" s="3">
        <v>10400000</v>
      </c>
      <c r="DW19" s="3">
        <v>40610000</v>
      </c>
      <c r="DX19" s="3">
        <v>7119000</v>
      </c>
      <c r="DY19" s="3">
        <v>23091000</v>
      </c>
      <c r="DZ19" s="3">
        <v>10400000</v>
      </c>
      <c r="EA19" s="3">
        <v>40610000</v>
      </c>
      <c r="EB19" s="3"/>
      <c r="EC19" s="3"/>
      <c r="ED19" s="3"/>
      <c r="EE19" s="3"/>
      <c r="EF19" s="10">
        <f t="shared" si="5"/>
        <v>0</v>
      </c>
      <c r="EG19" s="3"/>
      <c r="EH19" s="3"/>
      <c r="EI19" s="3"/>
      <c r="EJ19" s="3"/>
      <c r="EK19" s="10">
        <f t="shared" si="6"/>
        <v>0</v>
      </c>
      <c r="EL19" s="3"/>
      <c r="EM19" s="3"/>
      <c r="EN19" s="3"/>
      <c r="EO19" s="3"/>
      <c r="EP19" s="10">
        <f t="shared" si="7"/>
        <v>0</v>
      </c>
      <c r="EQ19" s="3"/>
      <c r="ER19" s="3"/>
      <c r="ES19" s="3"/>
      <c r="ET19" s="3"/>
      <c r="EU19" s="10">
        <f t="shared" si="8"/>
        <v>0</v>
      </c>
      <c r="EV19" s="3">
        <v>2367000</v>
      </c>
      <c r="EW19" s="3">
        <v>22590000</v>
      </c>
      <c r="EX19" s="3">
        <v>2600000</v>
      </c>
      <c r="EY19" s="3">
        <v>27557000</v>
      </c>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row>
    <row r="20" spans="1:243" x14ac:dyDescent="0.25">
      <c r="A20" t="s">
        <v>827</v>
      </c>
      <c r="B20" t="s">
        <v>828</v>
      </c>
      <c r="C20" t="s">
        <v>733</v>
      </c>
      <c r="D20" t="s">
        <v>825</v>
      </c>
      <c r="E20" t="s">
        <v>217</v>
      </c>
      <c r="F20" t="s">
        <v>218</v>
      </c>
      <c r="G20" t="s">
        <v>832</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v>19552000</v>
      </c>
      <c r="AO20" s="3">
        <v>26748000</v>
      </c>
      <c r="AP20" s="3">
        <v>0</v>
      </c>
      <c r="AQ20" s="3">
        <v>46300000</v>
      </c>
      <c r="AR20" s="3">
        <v>19552000</v>
      </c>
      <c r="AS20" s="3">
        <v>26748000</v>
      </c>
      <c r="AT20" s="3">
        <v>0</v>
      </c>
      <c r="AU20" s="3">
        <v>46300000</v>
      </c>
      <c r="AV20" s="3">
        <v>22552000</v>
      </c>
      <c r="AW20" s="3">
        <v>22335137.140000001</v>
      </c>
      <c r="AX20" s="3">
        <v>0</v>
      </c>
      <c r="AY20" s="3">
        <v>44887137.140000001</v>
      </c>
      <c r="AZ20" s="3">
        <v>22552000</v>
      </c>
      <c r="BA20" s="3">
        <v>22335137.140000001</v>
      </c>
      <c r="BB20" s="3">
        <v>0</v>
      </c>
      <c r="BC20" s="3">
        <v>44887137.140000001</v>
      </c>
      <c r="BD20" s="3">
        <v>22552000</v>
      </c>
      <c r="BE20" s="3">
        <v>11832792.82</v>
      </c>
      <c r="BF20" s="3">
        <v>0</v>
      </c>
      <c r="BG20" s="3">
        <v>34384792.82</v>
      </c>
      <c r="BH20" s="3">
        <v>22550028.550000001</v>
      </c>
      <c r="BI20" s="3">
        <v>11090639.59</v>
      </c>
      <c r="BJ20" s="3">
        <v>0</v>
      </c>
      <c r="BK20" s="3">
        <v>33640668.140000001</v>
      </c>
      <c r="BL20" s="3">
        <v>22528000</v>
      </c>
      <c r="BM20" s="3">
        <v>27229000</v>
      </c>
      <c r="BN20" s="3">
        <v>0</v>
      </c>
      <c r="BO20" s="3">
        <v>49757000</v>
      </c>
      <c r="BP20" s="3">
        <v>22528000</v>
      </c>
      <c r="BQ20" s="3">
        <v>27229000</v>
      </c>
      <c r="BR20" s="3">
        <v>0</v>
      </c>
      <c r="BS20" s="3">
        <v>49757000</v>
      </c>
      <c r="BT20" s="3">
        <v>22528000</v>
      </c>
      <c r="BU20" s="3">
        <v>27229000</v>
      </c>
      <c r="BV20" s="3">
        <v>0</v>
      </c>
      <c r="BW20" s="3">
        <v>49757000</v>
      </c>
      <c r="BX20" s="3">
        <v>25028000</v>
      </c>
      <c r="BY20" s="3">
        <v>22714000</v>
      </c>
      <c r="BZ20" s="3">
        <v>0</v>
      </c>
      <c r="CA20" s="3">
        <v>47742000</v>
      </c>
      <c r="CB20" s="3">
        <v>25028000</v>
      </c>
      <c r="CC20" s="3">
        <v>22714000</v>
      </c>
      <c r="CD20" s="3">
        <v>0</v>
      </c>
      <c r="CE20" s="3">
        <v>47742000</v>
      </c>
      <c r="CF20" s="3">
        <v>25028000</v>
      </c>
      <c r="CG20" s="3">
        <v>19746857.109999999</v>
      </c>
      <c r="CH20" s="3">
        <v>0</v>
      </c>
      <c r="CI20" s="3">
        <v>44774857.109999999</v>
      </c>
      <c r="CJ20" s="3">
        <v>6598335.3099999996</v>
      </c>
      <c r="CK20" s="3">
        <v>1195732.74</v>
      </c>
      <c r="CL20" s="3">
        <v>0</v>
      </c>
      <c r="CM20" s="3">
        <v>7794068.0499999998</v>
      </c>
      <c r="CN20" s="3">
        <v>24579000</v>
      </c>
      <c r="CO20" s="3">
        <v>27719000</v>
      </c>
      <c r="CP20" s="3">
        <v>0</v>
      </c>
      <c r="CQ20" s="3">
        <v>52298000</v>
      </c>
      <c r="CR20" s="3">
        <v>24579000</v>
      </c>
      <c r="CS20" s="3">
        <v>27719000</v>
      </c>
      <c r="CT20" s="3">
        <v>0</v>
      </c>
      <c r="CU20" s="3">
        <v>52298000</v>
      </c>
      <c r="CV20" s="3">
        <v>24579000</v>
      </c>
      <c r="CW20" s="3">
        <v>27719000</v>
      </c>
      <c r="CX20" s="3">
        <v>0</v>
      </c>
      <c r="CY20" s="3">
        <v>52298000</v>
      </c>
      <c r="CZ20" s="3">
        <v>31290178.98</v>
      </c>
      <c r="DA20" s="3">
        <v>34357868</v>
      </c>
      <c r="DB20" s="3">
        <v>0</v>
      </c>
      <c r="DC20" s="3">
        <v>65648046.979999997</v>
      </c>
      <c r="DD20" s="3">
        <v>31290178.98</v>
      </c>
      <c r="DE20" s="3">
        <v>34357868</v>
      </c>
      <c r="DF20" s="3">
        <v>0</v>
      </c>
      <c r="DG20" s="3">
        <v>65648046.979999997</v>
      </c>
      <c r="DH20" s="3">
        <v>27070921.079999998</v>
      </c>
      <c r="DI20" s="3">
        <v>20926496.510000002</v>
      </c>
      <c r="DJ20" s="3">
        <v>0</v>
      </c>
      <c r="DK20" s="3">
        <v>47997417.590000004</v>
      </c>
      <c r="DL20" s="3">
        <v>27059467.52</v>
      </c>
      <c r="DM20" s="3">
        <v>20891496.510000002</v>
      </c>
      <c r="DN20" s="3">
        <v>0</v>
      </c>
      <c r="DO20" s="3">
        <v>47950964.030000001</v>
      </c>
      <c r="DP20" s="3">
        <v>26490000</v>
      </c>
      <c r="DQ20" s="3">
        <v>27719000</v>
      </c>
      <c r="DR20" s="3">
        <v>0</v>
      </c>
      <c r="DS20" s="3">
        <v>54209000</v>
      </c>
      <c r="DT20" s="3">
        <v>26490000</v>
      </c>
      <c r="DU20" s="3">
        <v>27719000</v>
      </c>
      <c r="DV20" s="3">
        <v>0</v>
      </c>
      <c r="DW20" s="3">
        <v>54209000</v>
      </c>
      <c r="DX20" s="3">
        <v>26490000</v>
      </c>
      <c r="DY20" s="3">
        <v>27719000</v>
      </c>
      <c r="DZ20" s="3">
        <v>0</v>
      </c>
      <c r="EA20" s="3">
        <v>54209000</v>
      </c>
      <c r="EB20" s="3"/>
      <c r="EC20" s="3"/>
      <c r="ED20" s="3">
        <v>0</v>
      </c>
      <c r="EE20" s="3"/>
      <c r="EF20" s="10">
        <f t="shared" si="5"/>
        <v>0</v>
      </c>
      <c r="EG20" s="3"/>
      <c r="EH20" s="3"/>
      <c r="EI20" s="3">
        <v>0</v>
      </c>
      <c r="EJ20" s="3"/>
      <c r="EK20" s="10">
        <f t="shared" si="6"/>
        <v>0</v>
      </c>
      <c r="EL20" s="3"/>
      <c r="EM20" s="3"/>
      <c r="EN20" s="3">
        <v>0</v>
      </c>
      <c r="EO20" s="3"/>
      <c r="EP20" s="10">
        <f t="shared" si="7"/>
        <v>0</v>
      </c>
      <c r="EQ20" s="3"/>
      <c r="ER20" s="3"/>
      <c r="ES20" s="3">
        <v>0</v>
      </c>
      <c r="ET20" s="3"/>
      <c r="EU20" s="10">
        <f t="shared" si="8"/>
        <v>0</v>
      </c>
      <c r="EV20" s="3">
        <v>24712000</v>
      </c>
      <c r="EW20" s="3">
        <v>21966000</v>
      </c>
      <c r="EX20" s="3">
        <v>0</v>
      </c>
      <c r="EY20" s="3">
        <v>46678000</v>
      </c>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row>
    <row r="21" spans="1:243" x14ac:dyDescent="0.25">
      <c r="A21" t="s">
        <v>827</v>
      </c>
      <c r="B21" t="s">
        <v>828</v>
      </c>
      <c r="C21" t="s">
        <v>733</v>
      </c>
      <c r="D21" t="s">
        <v>825</v>
      </c>
      <c r="E21" t="s">
        <v>224</v>
      </c>
      <c r="F21" t="s">
        <v>520</v>
      </c>
      <c r="G21" t="s">
        <v>833</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v>4523000</v>
      </c>
      <c r="AO21" s="3">
        <v>11349000</v>
      </c>
      <c r="AP21" s="3">
        <v>0</v>
      </c>
      <c r="AQ21" s="3">
        <v>15872000</v>
      </c>
      <c r="AR21" s="3">
        <v>4523000</v>
      </c>
      <c r="AS21" s="3">
        <v>11349000</v>
      </c>
      <c r="AT21" s="3">
        <v>0</v>
      </c>
      <c r="AU21" s="3">
        <v>15872000</v>
      </c>
      <c r="AV21" s="3">
        <v>4523000</v>
      </c>
      <c r="AW21" s="3">
        <v>11349000</v>
      </c>
      <c r="AX21" s="3">
        <v>0</v>
      </c>
      <c r="AY21" s="3">
        <v>15872000</v>
      </c>
      <c r="AZ21" s="3">
        <v>4523000</v>
      </c>
      <c r="BA21" s="3">
        <v>11349000</v>
      </c>
      <c r="BB21" s="3">
        <v>0</v>
      </c>
      <c r="BC21" s="3">
        <v>15872000</v>
      </c>
      <c r="BD21" s="3">
        <v>4523000</v>
      </c>
      <c r="BE21" s="3">
        <v>11349000</v>
      </c>
      <c r="BF21" s="3">
        <v>0</v>
      </c>
      <c r="BG21" s="3">
        <v>15872000</v>
      </c>
      <c r="BH21" s="3">
        <v>4523000</v>
      </c>
      <c r="BI21" s="3">
        <v>11253614.48</v>
      </c>
      <c r="BJ21" s="3">
        <v>0</v>
      </c>
      <c r="BK21" s="3">
        <v>15776614.48</v>
      </c>
      <c r="BL21" s="3">
        <v>4531000</v>
      </c>
      <c r="BM21" s="3">
        <v>11553000</v>
      </c>
      <c r="BN21" s="3">
        <v>0</v>
      </c>
      <c r="BO21" s="3">
        <v>16084000</v>
      </c>
      <c r="BP21" s="3">
        <v>4531000</v>
      </c>
      <c r="BQ21" s="3">
        <v>11553000</v>
      </c>
      <c r="BR21" s="3">
        <v>0</v>
      </c>
      <c r="BS21" s="3">
        <v>16084000</v>
      </c>
      <c r="BT21" s="3">
        <v>4531000</v>
      </c>
      <c r="BU21" s="3">
        <v>11553000</v>
      </c>
      <c r="BV21" s="3">
        <v>0</v>
      </c>
      <c r="BW21" s="3">
        <v>16084000</v>
      </c>
      <c r="BX21" s="3">
        <v>5031000</v>
      </c>
      <c r="BY21" s="3">
        <v>9664700</v>
      </c>
      <c r="BZ21" s="3">
        <v>0</v>
      </c>
      <c r="CA21" s="3">
        <v>14695700</v>
      </c>
      <c r="CB21" s="3">
        <v>5031000</v>
      </c>
      <c r="CC21" s="3">
        <v>9664700</v>
      </c>
      <c r="CD21" s="3">
        <v>0</v>
      </c>
      <c r="CE21" s="3">
        <v>14695700</v>
      </c>
      <c r="CF21" s="3">
        <v>5031000</v>
      </c>
      <c r="CG21" s="3">
        <v>9664700</v>
      </c>
      <c r="CH21" s="3">
        <v>0</v>
      </c>
      <c r="CI21" s="3">
        <v>14695700</v>
      </c>
      <c r="CJ21" s="3">
        <v>8637834.1699999999</v>
      </c>
      <c r="CK21" s="3">
        <v>8197</v>
      </c>
      <c r="CL21" s="3">
        <v>0</v>
      </c>
      <c r="CM21" s="3">
        <v>8646031.1699999999</v>
      </c>
      <c r="CN21" s="3">
        <v>3027000</v>
      </c>
      <c r="CO21" s="3">
        <v>11761000</v>
      </c>
      <c r="CP21" s="3">
        <v>0</v>
      </c>
      <c r="CQ21" s="3">
        <v>14788000</v>
      </c>
      <c r="CR21" s="3">
        <v>3027000</v>
      </c>
      <c r="CS21" s="3">
        <v>11761000</v>
      </c>
      <c r="CT21" s="3">
        <v>0</v>
      </c>
      <c r="CU21" s="3">
        <v>14788000</v>
      </c>
      <c r="CV21" s="3">
        <v>3027000</v>
      </c>
      <c r="CW21" s="3">
        <v>11761000</v>
      </c>
      <c r="CX21" s="3">
        <v>0</v>
      </c>
      <c r="CY21" s="3">
        <v>14788000</v>
      </c>
      <c r="CZ21" s="3">
        <v>4477000</v>
      </c>
      <c r="DA21" s="3">
        <v>11780654</v>
      </c>
      <c r="DB21" s="3">
        <v>0</v>
      </c>
      <c r="DC21" s="3">
        <v>16257654</v>
      </c>
      <c r="DD21" s="3">
        <v>4477000</v>
      </c>
      <c r="DE21" s="3">
        <v>11780654</v>
      </c>
      <c r="DF21" s="3">
        <v>0</v>
      </c>
      <c r="DG21" s="3">
        <v>16257654</v>
      </c>
      <c r="DH21" s="3">
        <v>3052000</v>
      </c>
      <c r="DI21" s="3">
        <v>9602200</v>
      </c>
      <c r="DJ21" s="3">
        <v>0</v>
      </c>
      <c r="DK21" s="3">
        <v>12654200</v>
      </c>
      <c r="DL21" s="3">
        <v>3052000</v>
      </c>
      <c r="DM21" s="3">
        <v>9602200</v>
      </c>
      <c r="DN21" s="3">
        <v>0</v>
      </c>
      <c r="DO21" s="3">
        <v>12654200</v>
      </c>
      <c r="DP21" s="3">
        <v>3883000</v>
      </c>
      <c r="DQ21" s="3">
        <v>11761000</v>
      </c>
      <c r="DR21" s="3">
        <v>0</v>
      </c>
      <c r="DS21" s="3">
        <v>15644000</v>
      </c>
      <c r="DT21" s="3">
        <v>3883000</v>
      </c>
      <c r="DU21" s="3">
        <v>11761000</v>
      </c>
      <c r="DV21" s="3">
        <v>0</v>
      </c>
      <c r="DW21" s="3">
        <v>15644000</v>
      </c>
      <c r="DX21" s="3">
        <v>3883000</v>
      </c>
      <c r="DY21" s="3">
        <v>11761000</v>
      </c>
      <c r="DZ21" s="3">
        <v>0</v>
      </c>
      <c r="EA21" s="3">
        <v>15644000</v>
      </c>
      <c r="EB21" s="3"/>
      <c r="EC21" s="3"/>
      <c r="ED21" s="3">
        <v>0</v>
      </c>
      <c r="EE21" s="3"/>
      <c r="EF21" s="10">
        <f t="shared" si="5"/>
        <v>0</v>
      </c>
      <c r="EG21" s="3"/>
      <c r="EH21" s="3"/>
      <c r="EI21" s="3">
        <v>0</v>
      </c>
      <c r="EJ21" s="3"/>
      <c r="EK21" s="10">
        <f t="shared" si="6"/>
        <v>0</v>
      </c>
      <c r="EL21" s="3"/>
      <c r="EM21" s="3"/>
      <c r="EN21" s="3">
        <v>0</v>
      </c>
      <c r="EO21" s="3"/>
      <c r="EP21" s="10">
        <f t="shared" si="7"/>
        <v>0</v>
      </c>
      <c r="EQ21" s="3"/>
      <c r="ER21" s="3"/>
      <c r="ES21" s="3">
        <v>0</v>
      </c>
      <c r="ET21" s="3"/>
      <c r="EU21" s="10">
        <f t="shared" si="8"/>
        <v>0</v>
      </c>
      <c r="EV21" s="3">
        <v>4566000</v>
      </c>
      <c r="EW21" s="3">
        <v>9319000</v>
      </c>
      <c r="EX21" s="3">
        <v>0</v>
      </c>
      <c r="EY21" s="3">
        <v>13885000</v>
      </c>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row>
    <row r="22" spans="1:243" x14ac:dyDescent="0.25">
      <c r="A22" t="s">
        <v>827</v>
      </c>
      <c r="B22" t="s">
        <v>828</v>
      </c>
      <c r="C22" t="s">
        <v>733</v>
      </c>
      <c r="D22" t="s">
        <v>825</v>
      </c>
      <c r="E22" t="s">
        <v>224</v>
      </c>
      <c r="F22" t="s">
        <v>521</v>
      </c>
      <c r="G22" t="s">
        <v>834</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v>20564000</v>
      </c>
      <c r="AO22" s="3">
        <v>9050000</v>
      </c>
      <c r="AP22" s="3">
        <v>0</v>
      </c>
      <c r="AQ22" s="3">
        <v>29614000</v>
      </c>
      <c r="AR22" s="3">
        <v>20564000</v>
      </c>
      <c r="AS22" s="3">
        <v>9050000</v>
      </c>
      <c r="AT22" s="3">
        <v>0</v>
      </c>
      <c r="AU22" s="3">
        <v>29614000</v>
      </c>
      <c r="AV22" s="3">
        <v>20564000</v>
      </c>
      <c r="AW22" s="3">
        <v>7981462</v>
      </c>
      <c r="AX22" s="3">
        <v>0</v>
      </c>
      <c r="AY22" s="3">
        <v>28545462</v>
      </c>
      <c r="AZ22" s="3">
        <v>20564000</v>
      </c>
      <c r="BA22" s="3">
        <v>7981462</v>
      </c>
      <c r="BB22" s="3">
        <v>0</v>
      </c>
      <c r="BC22" s="3">
        <v>28545462</v>
      </c>
      <c r="BD22" s="3">
        <v>20315719.210000001</v>
      </c>
      <c r="BE22" s="3">
        <v>7981462</v>
      </c>
      <c r="BF22" s="3">
        <v>0</v>
      </c>
      <c r="BG22" s="3">
        <v>28297181.210000001</v>
      </c>
      <c r="BH22" s="3">
        <v>20433287.93</v>
      </c>
      <c r="BI22" s="3">
        <v>7787632.0700000003</v>
      </c>
      <c r="BJ22" s="3">
        <v>0</v>
      </c>
      <c r="BK22" s="3">
        <v>28220920</v>
      </c>
      <c r="BL22" s="3">
        <v>19931000</v>
      </c>
      <c r="BM22" s="3">
        <v>9213000</v>
      </c>
      <c r="BN22" s="3">
        <v>0</v>
      </c>
      <c r="BO22" s="3">
        <v>29144000</v>
      </c>
      <c r="BP22" s="3">
        <v>19931000</v>
      </c>
      <c r="BQ22" s="3">
        <v>9213000</v>
      </c>
      <c r="BR22" s="3">
        <v>0</v>
      </c>
      <c r="BS22" s="3">
        <v>29144000</v>
      </c>
      <c r="BT22" s="3">
        <v>19931000</v>
      </c>
      <c r="BU22" s="3">
        <v>9213000</v>
      </c>
      <c r="BV22" s="3">
        <v>0</v>
      </c>
      <c r="BW22" s="3">
        <v>29144000</v>
      </c>
      <c r="BX22" s="3">
        <v>21931000</v>
      </c>
      <c r="BY22" s="3">
        <v>6435000</v>
      </c>
      <c r="BZ22" s="3">
        <v>0</v>
      </c>
      <c r="CA22" s="3">
        <v>28366000</v>
      </c>
      <c r="CB22" s="3">
        <v>21931000</v>
      </c>
      <c r="CC22" s="3">
        <v>6435000</v>
      </c>
      <c r="CD22" s="3">
        <v>0</v>
      </c>
      <c r="CE22" s="3">
        <v>28366000</v>
      </c>
      <c r="CF22" s="3">
        <v>21931000</v>
      </c>
      <c r="CG22" s="3">
        <v>6435000</v>
      </c>
      <c r="CH22" s="3">
        <v>0</v>
      </c>
      <c r="CI22" s="3">
        <v>28366000</v>
      </c>
      <c r="CJ22" s="3">
        <v>4998491.6900000004</v>
      </c>
      <c r="CK22" s="3">
        <v>0</v>
      </c>
      <c r="CL22" s="3">
        <v>0</v>
      </c>
      <c r="CM22" s="3">
        <v>4998491.6900000004</v>
      </c>
      <c r="CN22" s="3">
        <v>18326000</v>
      </c>
      <c r="CO22" s="3">
        <v>9379000</v>
      </c>
      <c r="CP22" s="3">
        <v>0</v>
      </c>
      <c r="CQ22" s="3">
        <v>27705000</v>
      </c>
      <c r="CR22" s="3">
        <v>18326000</v>
      </c>
      <c r="CS22" s="3">
        <v>9379000</v>
      </c>
      <c r="CT22" s="3">
        <v>0</v>
      </c>
      <c r="CU22" s="3">
        <v>27705000</v>
      </c>
      <c r="CV22" s="3">
        <v>18326000</v>
      </c>
      <c r="CW22" s="3">
        <v>9379000</v>
      </c>
      <c r="CX22" s="3">
        <v>0</v>
      </c>
      <c r="CY22" s="3">
        <v>27705000</v>
      </c>
      <c r="CZ22" s="3">
        <v>18326000</v>
      </c>
      <c r="DA22" s="3">
        <v>9379000</v>
      </c>
      <c r="DB22" s="3">
        <v>0</v>
      </c>
      <c r="DC22" s="3">
        <v>27705000</v>
      </c>
      <c r="DD22" s="3">
        <v>18326000</v>
      </c>
      <c r="DE22" s="3">
        <v>9379000</v>
      </c>
      <c r="DF22" s="3">
        <v>0</v>
      </c>
      <c r="DG22" s="3">
        <v>27705000</v>
      </c>
      <c r="DH22" s="3">
        <v>18326000</v>
      </c>
      <c r="DI22" s="3">
        <v>9275618</v>
      </c>
      <c r="DJ22" s="3">
        <v>0</v>
      </c>
      <c r="DK22" s="3">
        <v>27601618</v>
      </c>
      <c r="DL22" s="3">
        <v>18326000</v>
      </c>
      <c r="DM22" s="3">
        <v>9275618</v>
      </c>
      <c r="DN22" s="3">
        <v>0</v>
      </c>
      <c r="DO22" s="3">
        <v>27601618</v>
      </c>
      <c r="DP22" s="3">
        <v>17995000</v>
      </c>
      <c r="DQ22" s="3">
        <v>9379000</v>
      </c>
      <c r="DR22" s="3">
        <v>0</v>
      </c>
      <c r="DS22" s="3">
        <v>27374000</v>
      </c>
      <c r="DT22" s="3">
        <v>17995000</v>
      </c>
      <c r="DU22" s="3">
        <v>9379000</v>
      </c>
      <c r="DV22" s="3">
        <v>0</v>
      </c>
      <c r="DW22" s="3">
        <v>27374000</v>
      </c>
      <c r="DX22" s="3">
        <v>17995000</v>
      </c>
      <c r="DY22" s="3">
        <v>9379000</v>
      </c>
      <c r="DZ22" s="3">
        <v>0</v>
      </c>
      <c r="EA22" s="3">
        <v>27374000</v>
      </c>
      <c r="EB22" s="3"/>
      <c r="EC22" s="3"/>
      <c r="ED22" s="3">
        <v>0</v>
      </c>
      <c r="EE22" s="3"/>
      <c r="EF22" s="10">
        <f t="shared" si="5"/>
        <v>0</v>
      </c>
      <c r="EG22" s="3"/>
      <c r="EH22" s="3"/>
      <c r="EI22" s="3">
        <v>0</v>
      </c>
      <c r="EJ22" s="3"/>
      <c r="EK22" s="10">
        <f t="shared" si="6"/>
        <v>0</v>
      </c>
      <c r="EL22" s="3"/>
      <c r="EM22" s="3"/>
      <c r="EN22" s="3">
        <v>0</v>
      </c>
      <c r="EO22" s="3"/>
      <c r="EP22" s="10">
        <f t="shared" si="7"/>
        <v>0</v>
      </c>
      <c r="EQ22" s="3"/>
      <c r="ER22" s="3"/>
      <c r="ES22" s="3">
        <v>0</v>
      </c>
      <c r="ET22" s="3"/>
      <c r="EU22" s="10">
        <f t="shared" si="8"/>
        <v>0</v>
      </c>
      <c r="EV22" s="3">
        <v>20534000</v>
      </c>
      <c r="EW22" s="3">
        <v>7432000</v>
      </c>
      <c r="EX22" s="3">
        <v>0</v>
      </c>
      <c r="EY22" s="3">
        <v>27966000</v>
      </c>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row>
    <row r="23" spans="1:243" x14ac:dyDescent="0.25">
      <c r="A23" t="s">
        <v>827</v>
      </c>
      <c r="B23" t="s">
        <v>828</v>
      </c>
      <c r="C23" t="s">
        <v>733</v>
      </c>
      <c r="D23" t="s">
        <v>825</v>
      </c>
      <c r="E23" t="s">
        <v>224</v>
      </c>
      <c r="F23" t="s">
        <v>522</v>
      </c>
      <c r="G23" t="s">
        <v>835</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v>18377000</v>
      </c>
      <c r="AO23" s="3">
        <v>19824000</v>
      </c>
      <c r="AP23" s="3">
        <v>0</v>
      </c>
      <c r="AQ23" s="3">
        <v>38201000</v>
      </c>
      <c r="AR23" s="3">
        <v>18377000</v>
      </c>
      <c r="AS23" s="3">
        <v>19824000</v>
      </c>
      <c r="AT23" s="3">
        <v>0</v>
      </c>
      <c r="AU23" s="3">
        <v>38201000</v>
      </c>
      <c r="AV23" s="3">
        <v>19877000</v>
      </c>
      <c r="AW23" s="3">
        <v>75857912.040000007</v>
      </c>
      <c r="AX23" s="3">
        <v>0</v>
      </c>
      <c r="AY23" s="3">
        <v>95734912.040000007</v>
      </c>
      <c r="AZ23" s="3">
        <v>19877000</v>
      </c>
      <c r="BA23" s="3">
        <v>75857912.040000007</v>
      </c>
      <c r="BB23" s="3">
        <v>0</v>
      </c>
      <c r="BC23" s="3">
        <v>95734912.040000007</v>
      </c>
      <c r="BD23" s="3">
        <v>19822817.960000001</v>
      </c>
      <c r="BE23" s="3">
        <v>13029347</v>
      </c>
      <c r="BF23" s="3">
        <v>0</v>
      </c>
      <c r="BG23" s="3">
        <v>32852164.960000001</v>
      </c>
      <c r="BH23" s="3">
        <v>19785686.760000002</v>
      </c>
      <c r="BI23" s="3">
        <v>11817186.92</v>
      </c>
      <c r="BJ23" s="3">
        <v>0</v>
      </c>
      <c r="BK23" s="3">
        <v>31602873.68</v>
      </c>
      <c r="BL23" s="3">
        <v>18843000</v>
      </c>
      <c r="BM23" s="3">
        <v>20181000</v>
      </c>
      <c r="BN23" s="3">
        <v>0</v>
      </c>
      <c r="BO23" s="3">
        <v>39024000</v>
      </c>
      <c r="BP23" s="3">
        <v>18843000</v>
      </c>
      <c r="BQ23" s="3">
        <v>20181000</v>
      </c>
      <c r="BR23" s="3">
        <v>0</v>
      </c>
      <c r="BS23" s="3">
        <v>39024000</v>
      </c>
      <c r="BT23" s="3">
        <v>18843000</v>
      </c>
      <c r="BU23" s="3">
        <v>20181000</v>
      </c>
      <c r="BV23" s="3">
        <v>0</v>
      </c>
      <c r="BW23" s="3">
        <v>39024000</v>
      </c>
      <c r="BX23" s="3">
        <v>20743000</v>
      </c>
      <c r="BY23" s="3">
        <v>15684285</v>
      </c>
      <c r="BZ23" s="3">
        <v>0</v>
      </c>
      <c r="CA23" s="3">
        <v>36427285</v>
      </c>
      <c r="CB23" s="3">
        <v>20743000</v>
      </c>
      <c r="CC23" s="3">
        <v>15684285</v>
      </c>
      <c r="CD23" s="3">
        <v>0</v>
      </c>
      <c r="CE23" s="3">
        <v>36427285</v>
      </c>
      <c r="CF23" s="3">
        <v>20743000</v>
      </c>
      <c r="CG23" s="3">
        <v>15684285</v>
      </c>
      <c r="CH23" s="3">
        <v>0</v>
      </c>
      <c r="CI23" s="3">
        <v>36427285</v>
      </c>
      <c r="CJ23" s="3">
        <v>5174845.92</v>
      </c>
      <c r="CK23" s="3">
        <v>491850.44</v>
      </c>
      <c r="CL23" s="3">
        <v>0</v>
      </c>
      <c r="CM23" s="3">
        <v>5666696.3600000003</v>
      </c>
      <c r="CN23" s="3">
        <v>18989000</v>
      </c>
      <c r="CO23" s="3">
        <v>20544000</v>
      </c>
      <c r="CP23" s="3">
        <v>0</v>
      </c>
      <c r="CQ23" s="3">
        <v>39533000</v>
      </c>
      <c r="CR23" s="3">
        <v>18989000</v>
      </c>
      <c r="CS23" s="3">
        <v>20544000</v>
      </c>
      <c r="CT23" s="3">
        <v>0</v>
      </c>
      <c r="CU23" s="3">
        <v>39533000</v>
      </c>
      <c r="CV23" s="3">
        <v>18989000</v>
      </c>
      <c r="CW23" s="3">
        <v>20544000</v>
      </c>
      <c r="CX23" s="3">
        <v>0</v>
      </c>
      <c r="CY23" s="3">
        <v>39533000</v>
      </c>
      <c r="CZ23" s="3">
        <v>19489000</v>
      </c>
      <c r="DA23" s="3">
        <v>20044000</v>
      </c>
      <c r="DB23" s="3">
        <v>0</v>
      </c>
      <c r="DC23" s="3">
        <v>39533000</v>
      </c>
      <c r="DD23" s="3">
        <v>19489000</v>
      </c>
      <c r="DE23" s="3">
        <v>20044000</v>
      </c>
      <c r="DF23" s="3">
        <v>0</v>
      </c>
      <c r="DG23" s="3">
        <v>39533000</v>
      </c>
      <c r="DH23" s="3">
        <v>19489000</v>
      </c>
      <c r="DI23" s="3">
        <v>16384446.5</v>
      </c>
      <c r="DJ23" s="3">
        <v>0</v>
      </c>
      <c r="DK23" s="3">
        <v>35873446.5</v>
      </c>
      <c r="DL23" s="3">
        <v>19489000</v>
      </c>
      <c r="DM23" s="3">
        <v>16384446.5</v>
      </c>
      <c r="DN23" s="3">
        <v>0</v>
      </c>
      <c r="DO23" s="3">
        <v>35873446.5</v>
      </c>
      <c r="DP23" s="3">
        <v>20730000</v>
      </c>
      <c r="DQ23" s="3">
        <v>20544000</v>
      </c>
      <c r="DR23" s="3">
        <v>0</v>
      </c>
      <c r="DS23" s="3">
        <v>41274000</v>
      </c>
      <c r="DT23" s="3">
        <v>20730000</v>
      </c>
      <c r="DU23" s="3">
        <v>20544000</v>
      </c>
      <c r="DV23" s="3">
        <v>0</v>
      </c>
      <c r="DW23" s="3">
        <v>41274000</v>
      </c>
      <c r="DX23" s="3">
        <v>20730000</v>
      </c>
      <c r="DY23" s="3">
        <v>20544000</v>
      </c>
      <c r="DZ23" s="3">
        <v>0</v>
      </c>
      <c r="EA23" s="3">
        <v>41274000</v>
      </c>
      <c r="EB23" s="3"/>
      <c r="EC23" s="3"/>
      <c r="ED23" s="3">
        <v>0</v>
      </c>
      <c r="EE23" s="3"/>
      <c r="EF23" s="10">
        <f t="shared" si="5"/>
        <v>0</v>
      </c>
      <c r="EG23" s="3"/>
      <c r="EH23" s="3"/>
      <c r="EI23" s="3">
        <v>0</v>
      </c>
      <c r="EJ23" s="3"/>
      <c r="EK23" s="10">
        <f t="shared" si="6"/>
        <v>0</v>
      </c>
      <c r="EL23" s="3"/>
      <c r="EM23" s="3"/>
      <c r="EN23" s="3">
        <v>0</v>
      </c>
      <c r="EO23" s="3"/>
      <c r="EP23" s="10">
        <f t="shared" si="7"/>
        <v>0</v>
      </c>
      <c r="EQ23" s="3"/>
      <c r="ER23" s="3"/>
      <c r="ES23" s="3">
        <v>0</v>
      </c>
      <c r="ET23" s="3"/>
      <c r="EU23" s="10">
        <f t="shared" si="8"/>
        <v>0</v>
      </c>
      <c r="EV23" s="3">
        <v>21544000</v>
      </c>
      <c r="EW23" s="3">
        <v>16280000</v>
      </c>
      <c r="EX23" s="3">
        <v>0</v>
      </c>
      <c r="EY23" s="3">
        <v>37824000</v>
      </c>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row>
    <row r="24" spans="1:243" x14ac:dyDescent="0.25">
      <c r="A24" t="s">
        <v>827</v>
      </c>
      <c r="B24" t="s">
        <v>828</v>
      </c>
      <c r="C24" t="s">
        <v>733</v>
      </c>
      <c r="D24" t="s">
        <v>825</v>
      </c>
      <c r="E24" t="s">
        <v>241</v>
      </c>
      <c r="F24" t="s">
        <v>532</v>
      </c>
      <c r="G24" t="s">
        <v>836</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v>1068250000</v>
      </c>
      <c r="AO24" s="3">
        <v>7263493000</v>
      </c>
      <c r="AP24" s="3">
        <v>279520000</v>
      </c>
      <c r="AQ24" s="3">
        <v>8611263000</v>
      </c>
      <c r="AR24" s="3">
        <v>1068214000</v>
      </c>
      <c r="AS24" s="3">
        <v>7268118592.3800001</v>
      </c>
      <c r="AT24" s="3">
        <v>279520000</v>
      </c>
      <c r="AU24" s="3">
        <v>8615852592.3799992</v>
      </c>
      <c r="AV24" s="3">
        <v>1183030199.1099999</v>
      </c>
      <c r="AW24" s="3">
        <v>7150249851.4399996</v>
      </c>
      <c r="AX24" s="3">
        <v>279520000</v>
      </c>
      <c r="AY24" s="3">
        <v>8612800050.5499992</v>
      </c>
      <c r="AZ24" s="3">
        <v>1183030199.1099999</v>
      </c>
      <c r="BA24" s="3">
        <v>7150249851.4399996</v>
      </c>
      <c r="BB24" s="3">
        <v>279520000</v>
      </c>
      <c r="BC24" s="3">
        <v>8612800050.5499992</v>
      </c>
      <c r="BD24" s="3">
        <v>1158552521.96</v>
      </c>
      <c r="BE24" s="3">
        <v>6400973498.4399996</v>
      </c>
      <c r="BF24" s="3">
        <v>279200239.93000001</v>
      </c>
      <c r="BG24" s="3">
        <v>7838726260.3299999</v>
      </c>
      <c r="BH24" s="3">
        <v>1153312806.9100001</v>
      </c>
      <c r="BI24" s="3">
        <v>5597626839.0799999</v>
      </c>
      <c r="BJ24" s="3">
        <v>100968266.03</v>
      </c>
      <c r="BK24" s="3">
        <v>6851907912.0199995</v>
      </c>
      <c r="BL24" s="3">
        <v>1077967000</v>
      </c>
      <c r="BM24" s="3">
        <v>6334798000</v>
      </c>
      <c r="BN24" s="3">
        <v>918000000</v>
      </c>
      <c r="BO24" s="3">
        <v>8330765000</v>
      </c>
      <c r="BP24" s="3">
        <v>1077967000</v>
      </c>
      <c r="BQ24" s="3">
        <v>6552798000</v>
      </c>
      <c r="BR24" s="3">
        <v>918000000</v>
      </c>
      <c r="BS24" s="3">
        <v>8548765000</v>
      </c>
      <c r="BT24" s="3">
        <v>1078719074.45</v>
      </c>
      <c r="BU24" s="3">
        <v>6552706663</v>
      </c>
      <c r="BV24" s="3">
        <v>918000000</v>
      </c>
      <c r="BW24" s="3">
        <v>8549425737.4499998</v>
      </c>
      <c r="BX24" s="3">
        <v>1213069295.0999999</v>
      </c>
      <c r="BY24" s="3">
        <v>5401605337.1700001</v>
      </c>
      <c r="BZ24" s="3">
        <v>186980000</v>
      </c>
      <c r="CA24" s="3">
        <v>6801654632.2700005</v>
      </c>
      <c r="CB24" s="3">
        <v>1213069295.0999999</v>
      </c>
      <c r="CC24" s="3">
        <v>5401605337.1700001</v>
      </c>
      <c r="CD24" s="3">
        <v>186980000</v>
      </c>
      <c r="CE24" s="3">
        <v>6801654632.2700005</v>
      </c>
      <c r="CF24" s="3">
        <v>1188958713.6900001</v>
      </c>
      <c r="CG24" s="3">
        <v>4516092895.7700005</v>
      </c>
      <c r="CH24" s="3">
        <v>14837284.439999999</v>
      </c>
      <c r="CI24" s="3">
        <v>5719888893.9000006</v>
      </c>
      <c r="CJ24" s="3">
        <v>1148363867.4200001</v>
      </c>
      <c r="CK24" s="3">
        <v>3643663385.73</v>
      </c>
      <c r="CL24" s="3">
        <v>11937349.83</v>
      </c>
      <c r="CM24" s="3">
        <v>4803964602.9799995</v>
      </c>
      <c r="CN24" s="3">
        <v>1221924000</v>
      </c>
      <c r="CO24" s="3">
        <v>6653525000</v>
      </c>
      <c r="CP24" s="3">
        <v>755000000</v>
      </c>
      <c r="CQ24" s="3">
        <v>8630449000</v>
      </c>
      <c r="CR24" s="3">
        <v>1221924000</v>
      </c>
      <c r="CS24" s="3">
        <v>7024525000</v>
      </c>
      <c r="CT24" s="3">
        <v>755000000</v>
      </c>
      <c r="CU24" s="3">
        <v>9001449000</v>
      </c>
      <c r="CV24" s="3">
        <v>1221924000</v>
      </c>
      <c r="CW24" s="3">
        <v>7024525000</v>
      </c>
      <c r="CX24" s="3">
        <v>755000000</v>
      </c>
      <c r="CY24" s="3">
        <v>9001449000</v>
      </c>
      <c r="CZ24" s="3">
        <v>1311464063.27</v>
      </c>
      <c r="DA24" s="3">
        <v>6920237606.04</v>
      </c>
      <c r="DB24" s="3">
        <v>755000000</v>
      </c>
      <c r="DC24" s="3">
        <v>8986701669.3099995</v>
      </c>
      <c r="DD24" s="3">
        <v>1311464063.27</v>
      </c>
      <c r="DE24" s="3">
        <v>6920237606.04</v>
      </c>
      <c r="DF24" s="3">
        <v>755000000</v>
      </c>
      <c r="DG24" s="3">
        <v>8986701669.3099995</v>
      </c>
      <c r="DH24" s="3">
        <v>1226164858.27</v>
      </c>
      <c r="DI24" s="3">
        <v>6035455773.2799997</v>
      </c>
      <c r="DJ24" s="3">
        <v>0</v>
      </c>
      <c r="DK24" s="3">
        <v>7261620631.5500002</v>
      </c>
      <c r="DL24" s="3"/>
      <c r="DM24" s="3"/>
      <c r="DN24" s="3"/>
      <c r="DO24" s="3"/>
      <c r="DP24" s="3">
        <v>1348107000</v>
      </c>
      <c r="DQ24" s="3">
        <v>7258525000</v>
      </c>
      <c r="DR24" s="3">
        <v>774450000</v>
      </c>
      <c r="DS24" s="3">
        <v>9381082000</v>
      </c>
      <c r="DT24" s="3">
        <v>1348107000</v>
      </c>
      <c r="DU24" s="3">
        <v>6847475000</v>
      </c>
      <c r="DV24" s="3">
        <v>739450000</v>
      </c>
      <c r="DW24" s="3">
        <v>8935032000</v>
      </c>
      <c r="DX24" s="3">
        <v>1348107000</v>
      </c>
      <c r="DY24" s="3">
        <v>6847475000</v>
      </c>
      <c r="DZ24" s="3">
        <v>739450000</v>
      </c>
      <c r="EA24" s="6">
        <v>8935032000</v>
      </c>
      <c r="EB24" s="3"/>
      <c r="EC24" s="3"/>
      <c r="ED24" s="3"/>
      <c r="EE24" s="3"/>
      <c r="EF24" s="10">
        <f t="shared" si="5"/>
        <v>0</v>
      </c>
      <c r="EG24" s="3"/>
      <c r="EH24" s="3"/>
      <c r="EI24" s="3"/>
      <c r="EJ24" s="3"/>
      <c r="EK24" s="10">
        <f t="shared" si="6"/>
        <v>0</v>
      </c>
      <c r="EL24" s="3"/>
      <c r="EM24" s="3"/>
      <c r="EN24" s="3"/>
      <c r="EO24" s="3"/>
      <c r="EP24" s="10">
        <f t="shared" si="7"/>
        <v>0</v>
      </c>
      <c r="EQ24" s="3"/>
      <c r="ER24" s="3"/>
      <c r="ES24" s="3"/>
      <c r="ET24" s="3"/>
      <c r="EU24" s="10">
        <f t="shared" si="8"/>
        <v>0</v>
      </c>
      <c r="EV24" s="3">
        <v>1568294000</v>
      </c>
      <c r="EW24" s="3">
        <v>7072980000</v>
      </c>
      <c r="EX24" s="3">
        <v>716450000</v>
      </c>
      <c r="EY24" s="3">
        <v>9357724000</v>
      </c>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row>
    <row r="25" spans="1:243" x14ac:dyDescent="0.25">
      <c r="A25" t="s">
        <v>827</v>
      </c>
      <c r="B25" t="s">
        <v>828</v>
      </c>
      <c r="C25" t="s">
        <v>733</v>
      </c>
      <c r="D25" t="s">
        <v>825</v>
      </c>
      <c r="E25" t="s">
        <v>241</v>
      </c>
      <c r="F25" t="s">
        <v>533</v>
      </c>
      <c r="G25" t="s">
        <v>837</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v>700556000</v>
      </c>
      <c r="AO25" s="3">
        <v>2720461000</v>
      </c>
      <c r="AP25" s="3">
        <v>0</v>
      </c>
      <c r="AQ25" s="3">
        <v>3421017000</v>
      </c>
      <c r="AR25" s="3">
        <v>700592000</v>
      </c>
      <c r="AS25" s="3">
        <v>2719587407.6199999</v>
      </c>
      <c r="AT25" s="3">
        <v>0</v>
      </c>
      <c r="AU25" s="3">
        <v>3420179407.6199999</v>
      </c>
      <c r="AV25" s="3">
        <v>717473532.75</v>
      </c>
      <c r="AW25" s="3">
        <v>2718282092.6199999</v>
      </c>
      <c r="AX25" s="3">
        <v>0</v>
      </c>
      <c r="AY25" s="3">
        <v>3435755625.3699999</v>
      </c>
      <c r="AZ25" s="3">
        <v>717473532.75</v>
      </c>
      <c r="BA25" s="3">
        <v>2718282092.6199999</v>
      </c>
      <c r="BB25" s="3">
        <v>0</v>
      </c>
      <c r="BC25" s="3">
        <v>3435755625.3699999</v>
      </c>
      <c r="BD25" s="3">
        <v>715645825.15999997</v>
      </c>
      <c r="BE25" s="3">
        <v>2675760722.5999999</v>
      </c>
      <c r="BF25" s="3">
        <v>0</v>
      </c>
      <c r="BG25" s="3">
        <v>3391406547.7599998</v>
      </c>
      <c r="BH25" s="3">
        <v>714987679.62</v>
      </c>
      <c r="BI25" s="3">
        <v>2389543094.2600002</v>
      </c>
      <c r="BJ25" s="3">
        <v>0</v>
      </c>
      <c r="BK25" s="3">
        <v>3104530773.8800001</v>
      </c>
      <c r="BL25" s="3">
        <v>704952000</v>
      </c>
      <c r="BM25" s="3">
        <v>2266241000</v>
      </c>
      <c r="BN25" s="3">
        <v>0</v>
      </c>
      <c r="BO25" s="3">
        <v>2971193000</v>
      </c>
      <c r="BP25" s="3">
        <v>704952000</v>
      </c>
      <c r="BQ25" s="3">
        <v>3141241000</v>
      </c>
      <c r="BR25" s="3">
        <v>0</v>
      </c>
      <c r="BS25" s="3">
        <v>3846193000</v>
      </c>
      <c r="BT25" s="3">
        <v>704875691.54999995</v>
      </c>
      <c r="BU25" s="3">
        <v>3141241000</v>
      </c>
      <c r="BV25" s="3">
        <v>0</v>
      </c>
      <c r="BW25" s="3">
        <v>3846116691.5500002</v>
      </c>
      <c r="BX25" s="3">
        <v>720839138.75999999</v>
      </c>
      <c r="BY25" s="3">
        <v>3266241000</v>
      </c>
      <c r="BZ25" s="3">
        <v>0</v>
      </c>
      <c r="CA25" s="3">
        <v>3987080138.7600002</v>
      </c>
      <c r="CB25" s="3">
        <v>720839138.75999999</v>
      </c>
      <c r="CC25" s="3">
        <v>3266241000</v>
      </c>
      <c r="CD25" s="3">
        <v>0</v>
      </c>
      <c r="CE25" s="3">
        <v>3987080138.7600002</v>
      </c>
      <c r="CF25" s="3">
        <v>728309237.71000004</v>
      </c>
      <c r="CG25" s="3">
        <v>2318104195.5799999</v>
      </c>
      <c r="CH25" s="3">
        <v>0</v>
      </c>
      <c r="CI25" s="3">
        <v>3046413433.29</v>
      </c>
      <c r="CJ25" s="3">
        <v>723184348.79999995</v>
      </c>
      <c r="CK25" s="3">
        <v>1894196873.73</v>
      </c>
      <c r="CL25" s="3">
        <v>0</v>
      </c>
      <c r="CM25" s="3">
        <v>2617381222.5299997</v>
      </c>
      <c r="CN25" s="3">
        <v>738052000</v>
      </c>
      <c r="CO25" s="3">
        <v>3558617000</v>
      </c>
      <c r="CP25" s="3">
        <v>0</v>
      </c>
      <c r="CQ25" s="3">
        <v>4296669000</v>
      </c>
      <c r="CR25" s="3">
        <v>738052000</v>
      </c>
      <c r="CS25" s="3">
        <v>4123117000</v>
      </c>
      <c r="CT25" s="3">
        <v>0</v>
      </c>
      <c r="CU25" s="3">
        <v>4861169000</v>
      </c>
      <c r="CV25" s="3">
        <v>738052000</v>
      </c>
      <c r="CW25" s="3">
        <v>4123117000</v>
      </c>
      <c r="CX25" s="3">
        <v>0</v>
      </c>
      <c r="CY25" s="3">
        <v>4861169000</v>
      </c>
      <c r="CZ25" s="3">
        <v>749040589.77999997</v>
      </c>
      <c r="DA25" s="3">
        <v>4133346590.4000001</v>
      </c>
      <c r="DB25" s="3">
        <v>0</v>
      </c>
      <c r="DC25" s="3">
        <v>4882387180.1800003</v>
      </c>
      <c r="DD25" s="3">
        <v>749040589.77999997</v>
      </c>
      <c r="DE25" s="3">
        <v>4133346590.4000001</v>
      </c>
      <c r="DF25" s="3">
        <v>0</v>
      </c>
      <c r="DG25" s="3">
        <v>4882387180.1800003</v>
      </c>
      <c r="DH25" s="3">
        <v>713470352.14999998</v>
      </c>
      <c r="DI25" s="3">
        <v>3857570631.1700001</v>
      </c>
      <c r="DJ25" s="3">
        <v>0</v>
      </c>
      <c r="DK25" s="3">
        <v>4571040983.3199997</v>
      </c>
      <c r="DL25" s="3">
        <v>1213600649.53</v>
      </c>
      <c r="DM25" s="3">
        <v>4968988477.5600004</v>
      </c>
      <c r="DN25" s="3">
        <v>0</v>
      </c>
      <c r="DO25" s="3">
        <v>6182589127.0900002</v>
      </c>
      <c r="DP25" s="3">
        <v>738009000</v>
      </c>
      <c r="DQ25" s="3">
        <v>3848567000</v>
      </c>
      <c r="DR25" s="3">
        <v>0</v>
      </c>
      <c r="DS25" s="3">
        <v>4586576000</v>
      </c>
      <c r="DT25" s="3">
        <v>738009000</v>
      </c>
      <c r="DU25" s="3">
        <v>3570317000</v>
      </c>
      <c r="DV25" s="3">
        <v>0</v>
      </c>
      <c r="DW25" s="3">
        <v>4308326000</v>
      </c>
      <c r="DX25" s="3">
        <v>738009000</v>
      </c>
      <c r="DY25" s="3">
        <v>3570317000</v>
      </c>
      <c r="DZ25" s="3">
        <v>0</v>
      </c>
      <c r="EA25" s="6">
        <v>4308326000</v>
      </c>
      <c r="EB25" s="3"/>
      <c r="EC25" s="3"/>
      <c r="ED25" s="3">
        <v>0</v>
      </c>
      <c r="EE25" s="3"/>
      <c r="EF25" s="10">
        <f t="shared" si="5"/>
        <v>0</v>
      </c>
      <c r="EG25" s="3"/>
      <c r="EH25" s="3"/>
      <c r="EI25" s="3">
        <v>0</v>
      </c>
      <c r="EJ25" s="3"/>
      <c r="EK25" s="10">
        <f t="shared" si="6"/>
        <v>0</v>
      </c>
      <c r="EL25" s="3"/>
      <c r="EM25" s="3"/>
      <c r="EN25" s="3">
        <v>0</v>
      </c>
      <c r="EO25" s="3"/>
      <c r="EP25" s="10">
        <f t="shared" si="7"/>
        <v>0</v>
      </c>
      <c r="EQ25" s="3"/>
      <c r="ER25" s="3"/>
      <c r="ES25" s="3">
        <v>0</v>
      </c>
      <c r="ET25" s="3"/>
      <c r="EU25" s="10">
        <f t="shared" si="8"/>
        <v>0</v>
      </c>
      <c r="EV25" s="3">
        <v>802798000</v>
      </c>
      <c r="EW25" s="3">
        <v>2638178000</v>
      </c>
      <c r="EX25" s="3">
        <v>0</v>
      </c>
      <c r="EY25" s="3">
        <v>3440976000</v>
      </c>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row>
    <row r="26" spans="1:243" x14ac:dyDescent="0.25">
      <c r="A26" t="s">
        <v>827</v>
      </c>
      <c r="B26" t="s">
        <v>828</v>
      </c>
      <c r="C26" t="s">
        <v>733</v>
      </c>
      <c r="D26" t="s">
        <v>825</v>
      </c>
      <c r="E26" t="s">
        <v>241</v>
      </c>
      <c r="F26" s="4" t="s">
        <v>242</v>
      </c>
      <c r="G26" t="s">
        <v>844</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v>705517795.88999999</v>
      </c>
      <c r="DM26" s="3">
        <v>2992181814.8600001</v>
      </c>
      <c r="DN26" s="3">
        <v>0</v>
      </c>
      <c r="DO26" s="3">
        <v>3697699610.75</v>
      </c>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row>
    <row r="27" spans="1:243" x14ac:dyDescent="0.25">
      <c r="A27" t="s">
        <v>827</v>
      </c>
      <c r="B27" t="s">
        <v>828</v>
      </c>
      <c r="C27" t="s">
        <v>733</v>
      </c>
      <c r="D27" t="s">
        <v>825</v>
      </c>
      <c r="E27" t="s">
        <v>241</v>
      </c>
      <c r="F27" s="4" t="s">
        <v>244</v>
      </c>
      <c r="G27" t="s">
        <v>845</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row>
    <row r="28" spans="1:243" x14ac:dyDescent="0.25">
      <c r="A28" t="s">
        <v>827</v>
      </c>
      <c r="B28" t="s">
        <v>828</v>
      </c>
      <c r="C28" t="s">
        <v>733</v>
      </c>
      <c r="D28" t="s">
        <v>825</v>
      </c>
      <c r="E28" t="s">
        <v>241</v>
      </c>
      <c r="F28" s="4" t="s">
        <v>246</v>
      </c>
      <c r="G28" t="s">
        <v>846</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row>
    <row r="29" spans="1:243" x14ac:dyDescent="0.25">
      <c r="A29" t="s">
        <v>827</v>
      </c>
      <c r="B29" t="s">
        <v>828</v>
      </c>
      <c r="C29" t="s">
        <v>733</v>
      </c>
      <c r="D29" t="s">
        <v>825</v>
      </c>
      <c r="E29" t="s">
        <v>241</v>
      </c>
      <c r="F29" t="s">
        <v>829</v>
      </c>
      <c r="G29" t="s">
        <v>840</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v>0</v>
      </c>
      <c r="AO29" s="3">
        <v>17804000</v>
      </c>
      <c r="AP29" s="3">
        <v>21000000</v>
      </c>
      <c r="AQ29" s="3">
        <v>38804000</v>
      </c>
      <c r="AR29" s="3">
        <v>0</v>
      </c>
      <c r="AS29" s="3">
        <v>17804000</v>
      </c>
      <c r="AT29" s="3">
        <v>21000000</v>
      </c>
      <c r="AU29" s="3">
        <v>38804000</v>
      </c>
      <c r="AV29" s="3">
        <v>0</v>
      </c>
      <c r="AW29" s="3">
        <v>17804000</v>
      </c>
      <c r="AX29" s="3">
        <v>21000000</v>
      </c>
      <c r="AY29" s="3">
        <v>38804000</v>
      </c>
      <c r="AZ29" s="3">
        <v>0</v>
      </c>
      <c r="BA29" s="3">
        <v>17804000</v>
      </c>
      <c r="BB29" s="3">
        <v>21000000</v>
      </c>
      <c r="BC29" s="3">
        <v>38804000</v>
      </c>
      <c r="BD29" s="3">
        <v>0</v>
      </c>
      <c r="BE29" s="3">
        <v>17804000</v>
      </c>
      <c r="BF29" s="3">
        <v>11000000</v>
      </c>
      <c r="BG29" s="3">
        <v>28804000</v>
      </c>
      <c r="BH29" s="3">
        <v>0</v>
      </c>
      <c r="BI29" s="3">
        <v>17804000</v>
      </c>
      <c r="BJ29" s="3">
        <v>11000000</v>
      </c>
      <c r="BK29" s="3">
        <v>28804000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row>
    <row r="30" spans="1:243" x14ac:dyDescent="0.25">
      <c r="A30" t="s">
        <v>827</v>
      </c>
      <c r="B30" t="s">
        <v>828</v>
      </c>
      <c r="C30" t="s">
        <v>733</v>
      </c>
      <c r="D30" t="s">
        <v>825</v>
      </c>
      <c r="E30" t="s">
        <v>241</v>
      </c>
      <c r="F30" t="s">
        <v>830</v>
      </c>
      <c r="G30" t="s">
        <v>839</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v>0</v>
      </c>
      <c r="AO30" s="3">
        <v>10000000</v>
      </c>
      <c r="AP30" s="3">
        <v>0</v>
      </c>
      <c r="AQ30" s="3">
        <v>10000000</v>
      </c>
      <c r="AR30" s="3">
        <v>0</v>
      </c>
      <c r="AS30" s="3">
        <v>10000000</v>
      </c>
      <c r="AT30" s="3">
        <v>0</v>
      </c>
      <c r="AU30" s="3">
        <v>10000000</v>
      </c>
      <c r="AV30" s="3">
        <v>0</v>
      </c>
      <c r="AW30" s="3">
        <v>2261</v>
      </c>
      <c r="AX30" s="3">
        <v>0</v>
      </c>
      <c r="AY30" s="3">
        <v>2261</v>
      </c>
      <c r="AZ30" s="3">
        <v>0</v>
      </c>
      <c r="BA30" s="3">
        <v>2261</v>
      </c>
      <c r="BB30" s="3">
        <v>0</v>
      </c>
      <c r="BC30" s="3">
        <v>2261</v>
      </c>
      <c r="BD30" s="3">
        <v>0</v>
      </c>
      <c r="BE30" s="3">
        <v>0</v>
      </c>
      <c r="BF30" s="3">
        <v>0</v>
      </c>
      <c r="BG30" s="3">
        <v>0</v>
      </c>
      <c r="BH30" s="3">
        <v>0</v>
      </c>
      <c r="BI30" s="3">
        <v>0</v>
      </c>
      <c r="BJ30" s="3">
        <v>0</v>
      </c>
      <c r="BK30" s="3">
        <v>0</v>
      </c>
      <c r="BL30">
        <v>0</v>
      </c>
      <c r="BM30">
        <v>0</v>
      </c>
      <c r="BN30">
        <v>0</v>
      </c>
      <c r="BO30">
        <v>0</v>
      </c>
      <c r="BP30">
        <v>0</v>
      </c>
      <c r="BQ30" s="3">
        <v>10000000</v>
      </c>
      <c r="BR30" s="3">
        <v>0</v>
      </c>
      <c r="BS30" s="3">
        <v>10000000</v>
      </c>
      <c r="BT30">
        <v>0</v>
      </c>
      <c r="BU30" s="3">
        <v>10000000</v>
      </c>
      <c r="BV30" s="3">
        <v>0</v>
      </c>
      <c r="BW30" s="3">
        <v>10000000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10000000</v>
      </c>
      <c r="CP30" s="3">
        <v>0</v>
      </c>
      <c r="CQ30" s="3">
        <v>10000000</v>
      </c>
      <c r="CR30" s="3">
        <v>0</v>
      </c>
      <c r="CS30" s="3">
        <v>10000000</v>
      </c>
      <c r="CT30" s="3">
        <v>0</v>
      </c>
      <c r="CU30" s="3">
        <v>10000000</v>
      </c>
      <c r="CV30" s="3">
        <v>0</v>
      </c>
      <c r="CW30" s="3">
        <v>10000000</v>
      </c>
      <c r="CX30" s="3">
        <v>0</v>
      </c>
      <c r="CY30" s="3">
        <v>10000000</v>
      </c>
      <c r="CZ30" s="3">
        <v>0</v>
      </c>
      <c r="DA30" s="3">
        <v>10000000</v>
      </c>
      <c r="DB30" s="3">
        <v>0</v>
      </c>
      <c r="DC30" s="3">
        <v>10000000</v>
      </c>
      <c r="DD30" s="3">
        <v>0</v>
      </c>
      <c r="DE30" s="3">
        <v>10000000</v>
      </c>
      <c r="DF30" s="3">
        <v>0</v>
      </c>
      <c r="DG30" s="3">
        <v>10000000</v>
      </c>
      <c r="DH30" s="3">
        <v>0</v>
      </c>
      <c r="DI30" s="3">
        <v>4939510.5999999996</v>
      </c>
      <c r="DJ30" s="3">
        <v>0</v>
      </c>
      <c r="DK30" s="3">
        <v>4939510.5999999996</v>
      </c>
      <c r="DL30" s="3">
        <v>0</v>
      </c>
      <c r="DM30" s="3">
        <v>0</v>
      </c>
      <c r="DN30" s="3">
        <v>0</v>
      </c>
      <c r="DO30" s="3">
        <v>0</v>
      </c>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row>
    <row r="31" spans="1:243" x14ac:dyDescent="0.25">
      <c r="A31" t="s">
        <v>841</v>
      </c>
      <c r="B31" t="s">
        <v>843</v>
      </c>
      <c r="C31" s="4" t="s">
        <v>842</v>
      </c>
      <c r="D31" t="s">
        <v>825</v>
      </c>
      <c r="E31" t="s">
        <v>201</v>
      </c>
      <c r="F31" t="s">
        <v>202</v>
      </c>
      <c r="G31" t="s">
        <v>203</v>
      </c>
      <c r="H31" s="3">
        <v>57668000</v>
      </c>
      <c r="I31" s="3">
        <v>128786000</v>
      </c>
      <c r="J31" s="3">
        <v>17600000</v>
      </c>
      <c r="K31" s="3">
        <v>204054000</v>
      </c>
      <c r="L31" s="3">
        <v>57668000</v>
      </c>
      <c r="M31" s="3">
        <v>128786000</v>
      </c>
      <c r="N31" s="3">
        <v>37600000</v>
      </c>
      <c r="O31" s="3">
        <v>224054000</v>
      </c>
      <c r="AJ31" s="3">
        <v>134848000</v>
      </c>
      <c r="AK31" s="3">
        <v>124438000</v>
      </c>
      <c r="AL31" s="3">
        <v>0</v>
      </c>
      <c r="AM31" s="3">
        <v>259286000</v>
      </c>
    </row>
    <row r="32" spans="1:243" x14ac:dyDescent="0.25">
      <c r="A32" t="s">
        <v>841</v>
      </c>
      <c r="B32" t="s">
        <v>843</v>
      </c>
      <c r="C32" s="4" t="s">
        <v>842</v>
      </c>
      <c r="D32" t="s">
        <v>825</v>
      </c>
      <c r="E32" t="s">
        <v>201</v>
      </c>
      <c r="F32" t="s">
        <v>204</v>
      </c>
      <c r="G32" t="s">
        <v>205</v>
      </c>
      <c r="H32" s="3">
        <v>126531000</v>
      </c>
      <c r="I32">
        <v>0</v>
      </c>
      <c r="J32">
        <v>0</v>
      </c>
      <c r="K32" s="3">
        <v>126531000</v>
      </c>
      <c r="L32" s="3">
        <v>126531000</v>
      </c>
      <c r="M32">
        <v>0</v>
      </c>
      <c r="N32">
        <v>0</v>
      </c>
      <c r="O32" s="3">
        <v>126531000</v>
      </c>
      <c r="AJ32" s="3">
        <v>29193000</v>
      </c>
      <c r="AK32" s="3">
        <v>0</v>
      </c>
      <c r="AL32" s="3">
        <v>0</v>
      </c>
      <c r="AM32" s="3">
        <v>29193000</v>
      </c>
    </row>
    <row r="33" spans="1:39" x14ac:dyDescent="0.25">
      <c r="A33" t="s">
        <v>841</v>
      </c>
      <c r="B33" t="s">
        <v>843</v>
      </c>
      <c r="C33" s="4" t="s">
        <v>842</v>
      </c>
      <c r="D33" t="s">
        <v>825</v>
      </c>
      <c r="E33" t="s">
        <v>208</v>
      </c>
      <c r="F33" t="s">
        <v>209</v>
      </c>
      <c r="G33" t="s">
        <v>831</v>
      </c>
      <c r="H33" s="3">
        <v>4840000</v>
      </c>
      <c r="I33" s="3">
        <v>11953000</v>
      </c>
      <c r="J33" s="3">
        <v>44219000</v>
      </c>
      <c r="K33" s="3">
        <v>61012000</v>
      </c>
      <c r="L33" s="3">
        <v>4840000</v>
      </c>
      <c r="M33" s="3">
        <v>11953000</v>
      </c>
      <c r="N33" s="3">
        <v>44219000</v>
      </c>
      <c r="O33" s="3">
        <v>61012000</v>
      </c>
      <c r="AJ33" s="3">
        <v>6456000</v>
      </c>
      <c r="AK33" s="3">
        <v>7909000</v>
      </c>
      <c r="AL33" s="3">
        <v>40748000</v>
      </c>
      <c r="AM33" s="3">
        <v>55113000</v>
      </c>
    </row>
    <row r="34" spans="1:39" x14ac:dyDescent="0.25">
      <c r="A34" t="s">
        <v>841</v>
      </c>
      <c r="B34" t="s">
        <v>843</v>
      </c>
      <c r="C34" s="4" t="s">
        <v>842</v>
      </c>
      <c r="D34" t="s">
        <v>825</v>
      </c>
      <c r="E34" t="s">
        <v>217</v>
      </c>
      <c r="F34" t="s">
        <v>218</v>
      </c>
      <c r="G34" t="s">
        <v>832</v>
      </c>
      <c r="H34" s="3">
        <v>18049000</v>
      </c>
      <c r="I34" s="3">
        <v>28560000</v>
      </c>
      <c r="J34">
        <v>0</v>
      </c>
      <c r="K34" s="3">
        <v>46609000</v>
      </c>
      <c r="L34" s="3">
        <v>18049000</v>
      </c>
      <c r="M34" s="3">
        <v>28560000</v>
      </c>
      <c r="N34">
        <v>0</v>
      </c>
      <c r="O34" s="3">
        <v>46609000</v>
      </c>
      <c r="AJ34" s="3">
        <v>19552000</v>
      </c>
      <c r="AK34" s="3">
        <v>26748000</v>
      </c>
      <c r="AL34" s="3">
        <v>0</v>
      </c>
      <c r="AM34" s="3">
        <v>46300000</v>
      </c>
    </row>
    <row r="35" spans="1:39" x14ac:dyDescent="0.25">
      <c r="A35" t="s">
        <v>841</v>
      </c>
      <c r="B35" t="s">
        <v>843</v>
      </c>
      <c r="C35" s="4" t="s">
        <v>842</v>
      </c>
      <c r="D35" t="s">
        <v>825</v>
      </c>
      <c r="E35" t="s">
        <v>224</v>
      </c>
      <c r="F35" t="s">
        <v>520</v>
      </c>
      <c r="G35" t="s">
        <v>833</v>
      </c>
      <c r="H35" s="3">
        <v>4158000</v>
      </c>
      <c r="I35" s="3">
        <v>11493000</v>
      </c>
      <c r="J35">
        <v>0</v>
      </c>
      <c r="K35" s="3">
        <v>15651000</v>
      </c>
      <c r="L35" s="3">
        <v>4158000</v>
      </c>
      <c r="M35" s="3">
        <v>11493000</v>
      </c>
      <c r="N35">
        <v>0</v>
      </c>
      <c r="O35" s="3">
        <v>15651000</v>
      </c>
      <c r="AJ35" s="3">
        <v>4523000</v>
      </c>
      <c r="AK35" s="3">
        <v>11349000</v>
      </c>
      <c r="AL35" s="3">
        <v>0</v>
      </c>
      <c r="AM35" s="3">
        <v>15872000</v>
      </c>
    </row>
    <row r="36" spans="1:39" x14ac:dyDescent="0.25">
      <c r="A36" t="s">
        <v>841</v>
      </c>
      <c r="B36" t="s">
        <v>843</v>
      </c>
      <c r="C36" s="4" t="s">
        <v>842</v>
      </c>
      <c r="D36" t="s">
        <v>825</v>
      </c>
      <c r="E36" t="s">
        <v>224</v>
      </c>
      <c r="F36" t="s">
        <v>521</v>
      </c>
      <c r="G36" t="s">
        <v>834</v>
      </c>
      <c r="H36" s="3">
        <v>19218000</v>
      </c>
      <c r="I36" s="3">
        <v>11253000</v>
      </c>
      <c r="J36">
        <v>0</v>
      </c>
      <c r="K36" s="3">
        <v>30471000</v>
      </c>
      <c r="L36" s="3">
        <v>19218000</v>
      </c>
      <c r="M36" s="3">
        <v>11253000</v>
      </c>
      <c r="N36">
        <v>0</v>
      </c>
      <c r="O36" s="3">
        <v>30471000</v>
      </c>
      <c r="AJ36" s="3">
        <v>20564000</v>
      </c>
      <c r="AK36" s="3">
        <v>9050000</v>
      </c>
      <c r="AL36" s="3">
        <v>0</v>
      </c>
      <c r="AM36" s="3">
        <v>29614000</v>
      </c>
    </row>
    <row r="37" spans="1:39" x14ac:dyDescent="0.25">
      <c r="A37" t="s">
        <v>841</v>
      </c>
      <c r="B37" t="s">
        <v>843</v>
      </c>
      <c r="C37" s="4" t="s">
        <v>842</v>
      </c>
      <c r="D37" t="s">
        <v>825</v>
      </c>
      <c r="E37" t="s">
        <v>224</v>
      </c>
      <c r="F37" t="s">
        <v>522</v>
      </c>
      <c r="G37" t="s">
        <v>835</v>
      </c>
      <c r="H37" s="3">
        <v>15982000</v>
      </c>
      <c r="I37" s="3">
        <v>24649000</v>
      </c>
      <c r="J37">
        <v>0</v>
      </c>
      <c r="K37" s="3">
        <v>40631000</v>
      </c>
      <c r="L37" s="3">
        <v>15982000</v>
      </c>
      <c r="M37" s="3">
        <v>24649000</v>
      </c>
      <c r="N37">
        <v>0</v>
      </c>
      <c r="O37" s="3">
        <v>40631000</v>
      </c>
      <c r="AJ37" s="3">
        <v>18377000</v>
      </c>
      <c r="AK37" s="3">
        <v>19824000</v>
      </c>
      <c r="AL37" s="3">
        <v>0</v>
      </c>
      <c r="AM37" s="3">
        <v>38201000</v>
      </c>
    </row>
    <row r="38" spans="1:39" x14ac:dyDescent="0.25">
      <c r="A38" t="s">
        <v>841</v>
      </c>
      <c r="B38" t="s">
        <v>843</v>
      </c>
      <c r="C38" s="4" t="s">
        <v>842</v>
      </c>
      <c r="D38" t="s">
        <v>825</v>
      </c>
      <c r="E38" t="s">
        <v>241</v>
      </c>
      <c r="F38" t="s">
        <v>532</v>
      </c>
      <c r="G38" t="s">
        <v>836</v>
      </c>
      <c r="H38" s="3">
        <v>1006407000</v>
      </c>
      <c r="I38" s="3">
        <v>1980467000</v>
      </c>
      <c r="J38" s="3">
        <v>60000000</v>
      </c>
      <c r="K38" s="3">
        <v>3046874000</v>
      </c>
      <c r="L38" s="3">
        <v>1006407000</v>
      </c>
      <c r="M38" s="3">
        <v>2232057000</v>
      </c>
      <c r="N38" s="3">
        <v>191000000</v>
      </c>
      <c r="O38" s="3">
        <v>3429464000</v>
      </c>
      <c r="AJ38" s="3">
        <v>1068250000</v>
      </c>
      <c r="AK38" s="3">
        <v>9946680000</v>
      </c>
      <c r="AL38" s="3">
        <v>191520000</v>
      </c>
      <c r="AM38" s="3">
        <v>11206450000</v>
      </c>
    </row>
    <row r="39" spans="1:39" x14ac:dyDescent="0.25">
      <c r="A39" t="s">
        <v>841</v>
      </c>
      <c r="B39" t="s">
        <v>843</v>
      </c>
      <c r="C39" s="4" t="s">
        <v>842</v>
      </c>
      <c r="D39" t="s">
        <v>825</v>
      </c>
      <c r="E39" t="s">
        <v>241</v>
      </c>
      <c r="F39" t="s">
        <v>533</v>
      </c>
      <c r="G39" t="s">
        <v>837</v>
      </c>
      <c r="H39" s="3">
        <v>626075000</v>
      </c>
      <c r="I39" s="3">
        <v>2597387000</v>
      </c>
      <c r="J39">
        <v>0</v>
      </c>
      <c r="K39" s="3">
        <v>3223462000</v>
      </c>
      <c r="L39" s="3">
        <v>626075000</v>
      </c>
      <c r="M39" s="3">
        <v>2784887000</v>
      </c>
      <c r="N39">
        <v>0</v>
      </c>
      <c r="O39" s="3">
        <v>3410962000</v>
      </c>
      <c r="AJ39" s="3">
        <v>700556000</v>
      </c>
      <c r="AK39" s="3">
        <v>2273961000</v>
      </c>
      <c r="AL39" s="3">
        <v>0</v>
      </c>
      <c r="AM39" s="3">
        <v>2974517000</v>
      </c>
    </row>
    <row r="40" spans="1:39" x14ac:dyDescent="0.25">
      <c r="A40" t="s">
        <v>841</v>
      </c>
      <c r="B40" t="s">
        <v>843</v>
      </c>
      <c r="C40" s="4" t="s">
        <v>842</v>
      </c>
      <c r="D40" t="s">
        <v>825</v>
      </c>
      <c r="E40" t="s">
        <v>241</v>
      </c>
      <c r="F40" s="4" t="s">
        <v>242</v>
      </c>
      <c r="G40" t="s">
        <v>844</v>
      </c>
      <c r="H40" s="3">
        <v>0</v>
      </c>
      <c r="I40" s="3">
        <v>0</v>
      </c>
      <c r="J40" s="3">
        <v>0</v>
      </c>
      <c r="K40" s="3">
        <v>0</v>
      </c>
      <c r="L40" s="3">
        <v>0</v>
      </c>
      <c r="M40" s="3">
        <v>25000000</v>
      </c>
      <c r="N40" s="3">
        <v>0</v>
      </c>
      <c r="O40" s="3">
        <v>25000000</v>
      </c>
      <c r="AJ40" s="3"/>
      <c r="AK40" s="3"/>
      <c r="AL40" s="3"/>
      <c r="AM40" s="3"/>
    </row>
    <row r="41" spans="1:39" x14ac:dyDescent="0.25">
      <c r="A41" t="s">
        <v>841</v>
      </c>
      <c r="B41" t="s">
        <v>843</v>
      </c>
      <c r="C41" s="4" t="s">
        <v>842</v>
      </c>
      <c r="D41" t="s">
        <v>825</v>
      </c>
      <c r="E41" t="s">
        <v>241</v>
      </c>
      <c r="F41" s="4" t="s">
        <v>244</v>
      </c>
      <c r="G41" t="s">
        <v>845</v>
      </c>
      <c r="H41" s="3">
        <v>0</v>
      </c>
      <c r="I41" s="3">
        <v>0</v>
      </c>
      <c r="J41" s="3">
        <v>0</v>
      </c>
      <c r="K41" s="3">
        <v>0</v>
      </c>
      <c r="L41" s="3">
        <v>0</v>
      </c>
      <c r="M41" s="3">
        <v>100000000</v>
      </c>
      <c r="N41" s="3">
        <v>0</v>
      </c>
      <c r="O41" s="3">
        <v>100000000</v>
      </c>
      <c r="AJ41" s="3"/>
      <c r="AK41" s="3"/>
      <c r="AL41" s="3"/>
      <c r="AM41" s="3"/>
    </row>
    <row r="42" spans="1:39" x14ac:dyDescent="0.25">
      <c r="A42" t="s">
        <v>841</v>
      </c>
      <c r="B42" t="s">
        <v>843</v>
      </c>
      <c r="C42" s="4" t="s">
        <v>842</v>
      </c>
      <c r="D42" t="s">
        <v>825</v>
      </c>
      <c r="E42" t="s">
        <v>241</v>
      </c>
      <c r="F42" s="4" t="s">
        <v>246</v>
      </c>
      <c r="G42" t="s">
        <v>846</v>
      </c>
      <c r="H42" s="3">
        <v>0</v>
      </c>
      <c r="I42" s="3">
        <v>0</v>
      </c>
      <c r="J42" s="3">
        <v>0</v>
      </c>
      <c r="K42" s="3">
        <v>0</v>
      </c>
      <c r="L42" s="3">
        <v>0</v>
      </c>
      <c r="M42" s="3">
        <v>11000000</v>
      </c>
      <c r="N42" s="3">
        <v>39000000</v>
      </c>
      <c r="O42" s="3">
        <v>50000000</v>
      </c>
      <c r="AJ42" s="3"/>
      <c r="AK42" s="3"/>
      <c r="AL42" s="3"/>
      <c r="AM42" s="3"/>
    </row>
    <row r="43" spans="1:39" x14ac:dyDescent="0.25">
      <c r="A43" t="s">
        <v>841</v>
      </c>
      <c r="B43" t="s">
        <v>843</v>
      </c>
      <c r="C43" s="4" t="s">
        <v>842</v>
      </c>
      <c r="D43" t="s">
        <v>825</v>
      </c>
      <c r="E43" t="s">
        <v>241</v>
      </c>
      <c r="F43" t="s">
        <v>829</v>
      </c>
      <c r="G43" t="s">
        <v>840</v>
      </c>
      <c r="AJ43" s="3">
        <v>0</v>
      </c>
      <c r="AK43" s="3">
        <v>0</v>
      </c>
      <c r="AL43" s="3">
        <v>0</v>
      </c>
      <c r="AM43" s="3">
        <v>0</v>
      </c>
    </row>
    <row r="44" spans="1:39" x14ac:dyDescent="0.25">
      <c r="A44" t="s">
        <v>841</v>
      </c>
      <c r="B44" t="s">
        <v>843</v>
      </c>
      <c r="C44" s="4" t="s">
        <v>842</v>
      </c>
      <c r="D44" t="s">
        <v>825</v>
      </c>
      <c r="E44" t="s">
        <v>241</v>
      </c>
      <c r="F44" t="s">
        <v>830</v>
      </c>
      <c r="G44" t="s">
        <v>839</v>
      </c>
      <c r="AJ44" s="3">
        <v>0</v>
      </c>
      <c r="AK44" s="3">
        <v>0</v>
      </c>
      <c r="AL44" s="3">
        <v>0</v>
      </c>
      <c r="AM44" s="3">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8973-0FFF-4F47-9867-992AD61B7F39}">
  <dimension ref="A1:IE52"/>
  <sheetViews>
    <sheetView zoomScale="85" zoomScaleNormal="85" workbookViewId="0">
      <pane xSplit="7" ySplit="1" topLeftCell="H2" activePane="bottomRight" state="frozen"/>
      <selection pane="topRight" activeCell="H1" sqref="H1"/>
      <selection pane="bottomLeft" activeCell="A2" sqref="A2"/>
      <selection pane="bottomRight" activeCell="H8" sqref="H8"/>
    </sheetView>
  </sheetViews>
  <sheetFormatPr defaultRowHeight="15" x14ac:dyDescent="0.25"/>
  <cols>
    <col min="1" max="6" width="9.140625" customWidth="1"/>
    <col min="7" max="23" width="15.7109375" customWidth="1"/>
    <col min="24" max="24" width="15.7109375" style="19" customWidth="1"/>
    <col min="25" max="82" width="15.7109375" customWidth="1"/>
    <col min="83" max="83" width="15.7109375" style="19" customWidth="1"/>
    <col min="84" max="163" width="15.7109375" customWidth="1"/>
    <col min="164" max="164" width="15.7109375" style="19" customWidth="1"/>
    <col min="165" max="200" width="15.7109375" customWidth="1"/>
    <col min="201" max="201" width="15.7109375" style="19" customWidth="1"/>
    <col min="202" max="239" width="15.7109375" customWidth="1"/>
  </cols>
  <sheetData>
    <row r="1" spans="1:239" s="1" customFormat="1" x14ac:dyDescent="0.25">
      <c r="A1" s="1" t="s">
        <v>0</v>
      </c>
      <c r="B1" s="1" t="s">
        <v>1</v>
      </c>
      <c r="C1" s="1" t="s">
        <v>2</v>
      </c>
      <c r="D1" s="1" t="s">
        <v>3</v>
      </c>
      <c r="E1" s="1" t="s">
        <v>4</v>
      </c>
      <c r="F1" s="7" t="s">
        <v>5</v>
      </c>
      <c r="G1" s="7" t="s">
        <v>6</v>
      </c>
      <c r="H1" s="7" t="s">
        <v>610</v>
      </c>
      <c r="I1" s="7" t="s">
        <v>611</v>
      </c>
      <c r="J1" s="7" t="s">
        <v>612</v>
      </c>
      <c r="K1" s="7" t="s">
        <v>7</v>
      </c>
      <c r="L1" s="7" t="s">
        <v>613</v>
      </c>
      <c r="M1" s="7" t="s">
        <v>614</v>
      </c>
      <c r="N1" s="7" t="s">
        <v>615</v>
      </c>
      <c r="O1" s="7" t="s">
        <v>8</v>
      </c>
      <c r="P1" s="8" t="s">
        <v>649</v>
      </c>
      <c r="Q1" s="8" t="s">
        <v>650</v>
      </c>
      <c r="R1" s="8" t="s">
        <v>651</v>
      </c>
      <c r="S1" s="8" t="s">
        <v>9</v>
      </c>
      <c r="T1" s="8" t="s">
        <v>652</v>
      </c>
      <c r="U1" s="8" t="s">
        <v>653</v>
      </c>
      <c r="V1" s="8" t="s">
        <v>654</v>
      </c>
      <c r="W1" s="8" t="s">
        <v>10</v>
      </c>
      <c r="X1" s="8" t="s">
        <v>655</v>
      </c>
      <c r="Y1" s="8" t="s">
        <v>656</v>
      </c>
      <c r="Z1" s="8" t="s">
        <v>657</v>
      </c>
      <c r="AA1" s="8" t="s">
        <v>11</v>
      </c>
      <c r="AB1" s="8" t="s">
        <v>658</v>
      </c>
      <c r="AC1" s="8" t="s">
        <v>659</v>
      </c>
      <c r="AD1" s="8" t="s">
        <v>660</v>
      </c>
      <c r="AE1" s="8" t="s">
        <v>12</v>
      </c>
      <c r="AF1" s="8" t="s">
        <v>661</v>
      </c>
      <c r="AG1" s="8" t="s">
        <v>662</v>
      </c>
      <c r="AH1" s="8" t="s">
        <v>663</v>
      </c>
      <c r="AI1" s="8" t="s">
        <v>13</v>
      </c>
      <c r="AJ1" s="1" t="s">
        <v>604</v>
      </c>
      <c r="AK1" s="1" t="s">
        <v>605</v>
      </c>
      <c r="AL1" s="1" t="s">
        <v>606</v>
      </c>
      <c r="AM1" s="1" t="s">
        <v>14</v>
      </c>
      <c r="AN1" s="1" t="s">
        <v>607</v>
      </c>
      <c r="AO1" s="1" t="s">
        <v>608</v>
      </c>
      <c r="AP1" s="1" t="s">
        <v>609</v>
      </c>
      <c r="AQ1" s="1" t="s">
        <v>15</v>
      </c>
      <c r="AR1" s="2" t="s">
        <v>664</v>
      </c>
      <c r="AS1" s="2" t="s">
        <v>665</v>
      </c>
      <c r="AT1" s="2" t="s">
        <v>666</v>
      </c>
      <c r="AU1" s="2" t="s">
        <v>16</v>
      </c>
      <c r="AV1" s="2" t="s">
        <v>667</v>
      </c>
      <c r="AW1" s="2" t="s">
        <v>668</v>
      </c>
      <c r="AX1" s="2" t="s">
        <v>669</v>
      </c>
      <c r="AY1" s="2" t="s">
        <v>17</v>
      </c>
      <c r="AZ1" s="2" t="s">
        <v>670</v>
      </c>
      <c r="BA1" s="2" t="s">
        <v>671</v>
      </c>
      <c r="BB1" s="2" t="s">
        <v>672</v>
      </c>
      <c r="BC1" s="2" t="s">
        <v>18</v>
      </c>
      <c r="BD1" s="2" t="s">
        <v>673</v>
      </c>
      <c r="BE1" s="2" t="s">
        <v>674</v>
      </c>
      <c r="BF1" s="2" t="s">
        <v>675</v>
      </c>
      <c r="BG1" s="2" t="s">
        <v>19</v>
      </c>
      <c r="BH1" s="2" t="s">
        <v>676</v>
      </c>
      <c r="BI1" s="2" t="s">
        <v>677</v>
      </c>
      <c r="BJ1" s="2" t="s">
        <v>678</v>
      </c>
      <c r="BK1" s="2" t="s">
        <v>20</v>
      </c>
      <c r="BL1" s="1" t="s">
        <v>21</v>
      </c>
      <c r="BM1" s="1" t="s">
        <v>22</v>
      </c>
      <c r="BN1" s="1" t="s">
        <v>23</v>
      </c>
      <c r="BO1" s="1" t="s">
        <v>24</v>
      </c>
      <c r="BP1" s="1" t="s">
        <v>25</v>
      </c>
      <c r="BQ1" s="1" t="s">
        <v>26</v>
      </c>
      <c r="BR1" s="1" t="s">
        <v>27</v>
      </c>
      <c r="BS1" s="1" t="s">
        <v>28</v>
      </c>
      <c r="BT1" s="2" t="s">
        <v>29</v>
      </c>
      <c r="BU1" s="2" t="s">
        <v>30</v>
      </c>
      <c r="BV1" s="2" t="s">
        <v>31</v>
      </c>
      <c r="BW1" s="2" t="s">
        <v>32</v>
      </c>
      <c r="BX1" s="2" t="s">
        <v>33</v>
      </c>
      <c r="BY1" s="2" t="s">
        <v>34</v>
      </c>
      <c r="BZ1" s="2" t="s">
        <v>35</v>
      </c>
      <c r="CA1" s="2" t="s">
        <v>36</v>
      </c>
      <c r="CB1" s="2" t="s">
        <v>37</v>
      </c>
      <c r="CC1" s="2" t="s">
        <v>38</v>
      </c>
      <c r="CD1" s="2" t="s">
        <v>39</v>
      </c>
      <c r="CE1" s="8" t="s">
        <v>40</v>
      </c>
      <c r="CF1" s="2" t="s">
        <v>41</v>
      </c>
      <c r="CG1" s="2" t="s">
        <v>42</v>
      </c>
      <c r="CH1" s="2" t="s">
        <v>43</v>
      </c>
      <c r="CI1" s="2" t="s">
        <v>44</v>
      </c>
      <c r="CJ1" s="2" t="s">
        <v>45</v>
      </c>
      <c r="CK1" s="2" t="s">
        <v>46</v>
      </c>
      <c r="CL1" s="2" t="s">
        <v>47</v>
      </c>
      <c r="CM1" s="2" t="s">
        <v>48</v>
      </c>
      <c r="CN1" s="1" t="s">
        <v>49</v>
      </c>
      <c r="CO1" s="1" t="s">
        <v>50</v>
      </c>
      <c r="CP1" s="1" t="s">
        <v>51</v>
      </c>
      <c r="CQ1" s="1" t="s">
        <v>52</v>
      </c>
      <c r="CR1" s="1" t="s">
        <v>53</v>
      </c>
      <c r="CS1" s="1" t="s">
        <v>54</v>
      </c>
      <c r="CT1" s="1" t="s">
        <v>55</v>
      </c>
      <c r="CU1" s="1" t="s">
        <v>56</v>
      </c>
      <c r="CV1" s="2" t="s">
        <v>57</v>
      </c>
      <c r="CW1" s="2" t="s">
        <v>58</v>
      </c>
      <c r="CX1" s="2" t="s">
        <v>59</v>
      </c>
      <c r="CY1" s="2" t="s">
        <v>60</v>
      </c>
      <c r="CZ1" s="2" t="s">
        <v>61</v>
      </c>
      <c r="DA1" s="2" t="s">
        <v>62</v>
      </c>
      <c r="DB1" s="2" t="s">
        <v>63</v>
      </c>
      <c r="DC1" s="2" t="s">
        <v>64</v>
      </c>
      <c r="DD1" s="2" t="s">
        <v>65</v>
      </c>
      <c r="DE1" s="2" t="s">
        <v>66</v>
      </c>
      <c r="DF1" s="2" t="s">
        <v>67</v>
      </c>
      <c r="DG1" s="2" t="s">
        <v>68</v>
      </c>
      <c r="DH1" s="2" t="s">
        <v>69</v>
      </c>
      <c r="DI1" s="2" t="s">
        <v>70</v>
      </c>
      <c r="DJ1" s="2" t="s">
        <v>71</v>
      </c>
      <c r="DK1" s="2" t="s">
        <v>72</v>
      </c>
      <c r="DL1" s="2" t="s">
        <v>73</v>
      </c>
      <c r="DM1" s="2" t="s">
        <v>74</v>
      </c>
      <c r="DN1" s="2" t="s">
        <v>75</v>
      </c>
      <c r="DO1" s="2" t="s">
        <v>76</v>
      </c>
      <c r="DP1" s="1" t="s">
        <v>77</v>
      </c>
      <c r="DQ1" s="1" t="s">
        <v>78</v>
      </c>
      <c r="DR1" s="1" t="s">
        <v>79</v>
      </c>
      <c r="DS1" s="1" t="s">
        <v>80</v>
      </c>
      <c r="DT1" s="1" t="s">
        <v>81</v>
      </c>
      <c r="DU1" s="1" t="s">
        <v>82</v>
      </c>
      <c r="DV1" s="1" t="s">
        <v>83</v>
      </c>
      <c r="DW1" s="1" t="s">
        <v>84</v>
      </c>
      <c r="DX1" s="2" t="s">
        <v>85</v>
      </c>
      <c r="DY1" s="2" t="s">
        <v>86</v>
      </c>
      <c r="DZ1" s="2" t="s">
        <v>87</v>
      </c>
      <c r="EA1" s="2" t="s">
        <v>88</v>
      </c>
      <c r="EB1" s="2" t="s">
        <v>89</v>
      </c>
      <c r="EC1" s="2" t="s">
        <v>90</v>
      </c>
      <c r="ED1" s="2" t="s">
        <v>91</v>
      </c>
      <c r="EE1" s="2" t="s">
        <v>92</v>
      </c>
      <c r="EF1" s="2" t="s">
        <v>93</v>
      </c>
      <c r="EG1" s="2" t="s">
        <v>94</v>
      </c>
      <c r="EH1" s="2" t="s">
        <v>95</v>
      </c>
      <c r="EI1" s="2" t="s">
        <v>96</v>
      </c>
      <c r="EJ1" s="2" t="s">
        <v>97</v>
      </c>
      <c r="EK1" s="2" t="s">
        <v>98</v>
      </c>
      <c r="EL1" s="2" t="s">
        <v>99</v>
      </c>
      <c r="EM1" s="2" t="s">
        <v>100</v>
      </c>
      <c r="EN1" s="2" t="s">
        <v>101</v>
      </c>
      <c r="EO1" s="2" t="s">
        <v>102</v>
      </c>
      <c r="EP1" s="2" t="s">
        <v>103</v>
      </c>
      <c r="EQ1" s="2" t="s">
        <v>104</v>
      </c>
      <c r="ER1" s="1" t="s">
        <v>105</v>
      </c>
      <c r="ES1" s="1" t="s">
        <v>106</v>
      </c>
      <c r="ET1" s="1" t="s">
        <v>107</v>
      </c>
      <c r="EU1" s="1" t="s">
        <v>108</v>
      </c>
      <c r="EV1" s="1" t="s">
        <v>109</v>
      </c>
      <c r="EW1" s="1" t="s">
        <v>110</v>
      </c>
      <c r="EX1" s="1" t="s">
        <v>111</v>
      </c>
      <c r="EY1" s="1" t="s">
        <v>112</v>
      </c>
      <c r="EZ1" s="2" t="s">
        <v>113</v>
      </c>
      <c r="FA1" s="2" t="s">
        <v>114</v>
      </c>
      <c r="FB1" s="2" t="s">
        <v>115</v>
      </c>
      <c r="FC1" s="2" t="s">
        <v>116</v>
      </c>
      <c r="FD1" s="2" t="s">
        <v>117</v>
      </c>
      <c r="FE1" s="2" t="s">
        <v>118</v>
      </c>
      <c r="FF1" s="2" t="s">
        <v>119</v>
      </c>
      <c r="FG1" s="2" t="s">
        <v>120</v>
      </c>
      <c r="FH1" s="8" t="s">
        <v>121</v>
      </c>
      <c r="FI1" s="2" t="s">
        <v>122</v>
      </c>
      <c r="FJ1" s="2" t="s">
        <v>123</v>
      </c>
      <c r="FK1" s="2" t="s">
        <v>124</v>
      </c>
      <c r="FL1" s="2" t="s">
        <v>125</v>
      </c>
      <c r="FM1" s="2" t="s">
        <v>126</v>
      </c>
      <c r="FN1" s="2" t="s">
        <v>127</v>
      </c>
      <c r="FO1" s="2" t="s">
        <v>128</v>
      </c>
      <c r="FP1" s="2" t="s">
        <v>129</v>
      </c>
      <c r="FQ1" s="2" t="s">
        <v>130</v>
      </c>
      <c r="FR1" s="2" t="s">
        <v>131</v>
      </c>
      <c r="FS1" s="2" t="s">
        <v>132</v>
      </c>
      <c r="FT1" s="1" t="s">
        <v>133</v>
      </c>
      <c r="FU1" s="1" t="s">
        <v>134</v>
      </c>
      <c r="FV1" s="1" t="s">
        <v>135</v>
      </c>
      <c r="FW1" s="1" t="s">
        <v>136</v>
      </c>
      <c r="FX1" s="1" t="s">
        <v>137</v>
      </c>
      <c r="FY1" s="1" t="s">
        <v>138</v>
      </c>
      <c r="FZ1" s="1" t="s">
        <v>139</v>
      </c>
      <c r="GA1" s="1" t="s">
        <v>140</v>
      </c>
      <c r="GB1" s="2" t="s">
        <v>141</v>
      </c>
      <c r="GC1" s="2" t="s">
        <v>142</v>
      </c>
      <c r="GD1" s="2" t="s">
        <v>143</v>
      </c>
      <c r="GE1" s="2" t="s">
        <v>144</v>
      </c>
      <c r="GF1" s="2" t="s">
        <v>145</v>
      </c>
      <c r="GG1" s="2" t="s">
        <v>146</v>
      </c>
      <c r="GH1" s="2" t="s">
        <v>147</v>
      </c>
      <c r="GI1" s="2" t="s">
        <v>148</v>
      </c>
      <c r="GJ1" s="2" t="s">
        <v>149</v>
      </c>
      <c r="GK1" s="2" t="s">
        <v>150</v>
      </c>
      <c r="GL1" s="2" t="s">
        <v>151</v>
      </c>
      <c r="GM1" s="2" t="s">
        <v>152</v>
      </c>
      <c r="GN1" s="2" t="s">
        <v>153</v>
      </c>
      <c r="GO1" s="2" t="s">
        <v>154</v>
      </c>
      <c r="GP1" s="2" t="s">
        <v>155</v>
      </c>
      <c r="GQ1" s="2" t="s">
        <v>156</v>
      </c>
      <c r="GR1" s="2" t="s">
        <v>157</v>
      </c>
      <c r="GS1" s="8" t="s">
        <v>158</v>
      </c>
      <c r="GT1" s="2" t="s">
        <v>159</v>
      </c>
      <c r="GU1" s="2" t="s">
        <v>160</v>
      </c>
      <c r="GV1" s="1" t="s">
        <v>161</v>
      </c>
      <c r="GW1" s="1" t="s">
        <v>162</v>
      </c>
      <c r="GX1" s="1" t="s">
        <v>163</v>
      </c>
      <c r="GY1" s="1" t="s">
        <v>164</v>
      </c>
      <c r="GZ1" s="1" t="s">
        <v>165</v>
      </c>
      <c r="HA1" s="1" t="s">
        <v>166</v>
      </c>
      <c r="HB1" s="1" t="s">
        <v>167</v>
      </c>
      <c r="HC1" s="1" t="s">
        <v>168</v>
      </c>
      <c r="HD1" s="2" t="s">
        <v>169</v>
      </c>
      <c r="HE1" s="2" t="s">
        <v>170</v>
      </c>
      <c r="HF1" s="2" t="s">
        <v>171</v>
      </c>
      <c r="HG1" s="2" t="s">
        <v>172</v>
      </c>
      <c r="HH1" s="2" t="s">
        <v>173</v>
      </c>
      <c r="HI1" s="2" t="s">
        <v>174</v>
      </c>
      <c r="HJ1" s="2" t="s">
        <v>175</v>
      </c>
      <c r="HK1" s="2" t="s">
        <v>176</v>
      </c>
      <c r="HL1" s="2" t="s">
        <v>177</v>
      </c>
      <c r="HM1" s="2" t="s">
        <v>178</v>
      </c>
      <c r="HN1" s="2" t="s">
        <v>179</v>
      </c>
      <c r="HO1" s="2" t="s">
        <v>180</v>
      </c>
      <c r="HP1" s="2" t="s">
        <v>181</v>
      </c>
      <c r="HQ1" s="2" t="s">
        <v>182</v>
      </c>
      <c r="HR1" s="2" t="s">
        <v>183</v>
      </c>
      <c r="HS1" s="2" t="s">
        <v>184</v>
      </c>
      <c r="HT1" s="2" t="s">
        <v>185</v>
      </c>
      <c r="HU1" s="2" t="s">
        <v>186</v>
      </c>
      <c r="HV1" s="2" t="s">
        <v>187</v>
      </c>
      <c r="HW1" s="2" t="s">
        <v>188</v>
      </c>
      <c r="HX1" s="1" t="s">
        <v>189</v>
      </c>
      <c r="HY1" s="1" t="s">
        <v>190</v>
      </c>
      <c r="HZ1" s="1" t="s">
        <v>191</v>
      </c>
      <c r="IA1" s="1" t="s">
        <v>192</v>
      </c>
      <c r="IB1" s="1" t="s">
        <v>193</v>
      </c>
      <c r="IC1" s="1" t="s">
        <v>194</v>
      </c>
      <c r="ID1" s="1" t="s">
        <v>195</v>
      </c>
      <c r="IE1" s="1" t="s">
        <v>196</v>
      </c>
    </row>
    <row r="2" spans="1:239" x14ac:dyDescent="0.25">
      <c r="A2" t="s">
        <v>1243</v>
      </c>
      <c r="B2" t="s">
        <v>1244</v>
      </c>
      <c r="C2" t="s">
        <v>199</v>
      </c>
      <c r="D2" t="s">
        <v>1245</v>
      </c>
      <c r="E2" t="s">
        <v>201</v>
      </c>
      <c r="F2" t="s">
        <v>202</v>
      </c>
      <c r="G2" t="s">
        <v>203</v>
      </c>
      <c r="H2" s="3">
        <v>345134000</v>
      </c>
      <c r="I2" s="3">
        <v>1583702000</v>
      </c>
      <c r="J2" s="3">
        <v>1466609000</v>
      </c>
      <c r="K2" s="3">
        <v>3395445000</v>
      </c>
      <c r="L2" s="3">
        <v>345134000</v>
      </c>
      <c r="M2" s="3">
        <v>1578202000</v>
      </c>
      <c r="N2" s="3">
        <v>1472109000</v>
      </c>
      <c r="O2" s="3">
        <v>3395445000</v>
      </c>
      <c r="P2" s="3"/>
      <c r="Q2" s="3"/>
      <c r="R2" s="3"/>
      <c r="S2" s="3"/>
      <c r="T2" s="3"/>
      <c r="U2" s="3"/>
      <c r="V2" s="3"/>
      <c r="W2" s="3"/>
      <c r="X2" s="6"/>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v>868896000</v>
      </c>
      <c r="BM2" s="3">
        <v>1706638000</v>
      </c>
      <c r="BN2" s="3">
        <v>3600000</v>
      </c>
      <c r="BO2" s="3">
        <v>2579134000</v>
      </c>
      <c r="BP2" s="3">
        <v>1012896000</v>
      </c>
      <c r="BQ2" s="3">
        <v>2751638000</v>
      </c>
      <c r="BR2" s="3">
        <v>165017000</v>
      </c>
      <c r="BS2" s="3">
        <v>3929551000</v>
      </c>
      <c r="BT2" s="3"/>
      <c r="BU2" s="3"/>
      <c r="BV2" s="3"/>
      <c r="BW2" s="3"/>
      <c r="BX2" s="3"/>
      <c r="BY2" s="3"/>
      <c r="BZ2" s="3"/>
      <c r="CA2" s="3"/>
      <c r="CB2" s="3"/>
      <c r="CC2" s="3"/>
      <c r="CD2" s="3"/>
      <c r="CE2" s="6"/>
      <c r="CF2" s="3"/>
      <c r="CG2" s="3"/>
      <c r="CH2" s="3"/>
      <c r="CI2" s="3"/>
      <c r="CJ2" s="3"/>
      <c r="CK2" s="3"/>
      <c r="CL2" s="3"/>
      <c r="CM2" s="3"/>
      <c r="CN2" s="3">
        <v>499977000</v>
      </c>
      <c r="CO2" s="3">
        <v>2747638000</v>
      </c>
      <c r="CP2" s="3">
        <v>8495000</v>
      </c>
      <c r="CQ2" s="3">
        <v>3256110000</v>
      </c>
      <c r="CR2" s="3">
        <v>509977000</v>
      </c>
      <c r="CS2" s="3">
        <v>2841549000</v>
      </c>
      <c r="CT2" s="3">
        <v>13995000</v>
      </c>
      <c r="CU2" s="3">
        <v>3365521000</v>
      </c>
      <c r="CV2" s="3"/>
      <c r="CW2" s="3"/>
      <c r="CX2" s="3"/>
      <c r="CY2" s="3"/>
      <c r="CZ2" s="3"/>
      <c r="DA2" s="3"/>
      <c r="DB2" s="3"/>
      <c r="DC2" s="3"/>
      <c r="DD2" s="3"/>
      <c r="DE2" s="3"/>
      <c r="DF2" s="3"/>
      <c r="DG2" s="3"/>
      <c r="DH2" s="3"/>
      <c r="DI2" s="3"/>
      <c r="DJ2" s="3"/>
      <c r="DK2" s="3"/>
      <c r="DL2" s="3"/>
      <c r="DM2" s="3"/>
      <c r="DN2" s="3"/>
      <c r="DO2" s="3"/>
      <c r="DP2" s="3">
        <v>423441000</v>
      </c>
      <c r="DQ2" s="3">
        <v>2879571000</v>
      </c>
      <c r="DR2" s="3">
        <v>45113000</v>
      </c>
      <c r="DS2" s="3">
        <v>3348125000</v>
      </c>
      <c r="DT2" s="3">
        <v>808793000</v>
      </c>
      <c r="DU2" s="3">
        <v>2950631000</v>
      </c>
      <c r="DV2" s="3">
        <v>47113000</v>
      </c>
      <c r="DW2" s="3">
        <v>3806537000</v>
      </c>
      <c r="DX2" s="3"/>
      <c r="DY2" s="3"/>
      <c r="DZ2" s="3"/>
      <c r="EA2" s="3"/>
      <c r="EB2" s="3"/>
      <c r="EC2" s="3"/>
      <c r="ED2" s="3"/>
      <c r="EE2" s="3"/>
      <c r="EF2" s="3"/>
      <c r="EG2" s="3"/>
      <c r="EH2" s="3"/>
      <c r="EI2" s="3"/>
      <c r="EJ2" s="3"/>
      <c r="EK2" s="3"/>
      <c r="EL2" s="3"/>
      <c r="EM2" s="3"/>
      <c r="EN2" s="3"/>
      <c r="EO2" s="3"/>
      <c r="EP2" s="3"/>
      <c r="EQ2" s="3"/>
      <c r="ER2" s="3">
        <v>446733000</v>
      </c>
      <c r="ES2" s="3">
        <v>3643700000</v>
      </c>
      <c r="ET2" s="3">
        <v>258642000</v>
      </c>
      <c r="EU2" s="3">
        <v>4349075000</v>
      </c>
      <c r="EV2" s="3">
        <v>446733000</v>
      </c>
      <c r="EW2" s="3">
        <v>3868700000</v>
      </c>
      <c r="EX2" s="3">
        <v>258642000</v>
      </c>
      <c r="EY2" s="3">
        <v>4574075000</v>
      </c>
      <c r="EZ2" s="3"/>
      <c r="FA2" s="3"/>
      <c r="FB2" s="3"/>
      <c r="FC2" s="3"/>
      <c r="FD2" s="3"/>
      <c r="FE2" s="3"/>
      <c r="FF2" s="3"/>
      <c r="FG2" s="3"/>
      <c r="FH2" s="6"/>
      <c r="FI2" s="3"/>
      <c r="FJ2" s="3"/>
      <c r="FK2" s="3"/>
      <c r="FL2" s="3"/>
      <c r="FM2" s="3"/>
      <c r="FN2" s="3"/>
      <c r="FO2" s="3"/>
      <c r="FP2" s="3"/>
      <c r="FQ2" s="3"/>
      <c r="FR2" s="3"/>
      <c r="FS2" s="3"/>
      <c r="FT2" s="3">
        <v>420173000</v>
      </c>
      <c r="FU2" s="3">
        <v>4421360000</v>
      </c>
      <c r="FV2" s="3">
        <v>305828000</v>
      </c>
      <c r="FW2" s="3">
        <v>5147361000</v>
      </c>
      <c r="FX2" s="3">
        <v>420173000</v>
      </c>
      <c r="FY2" s="3">
        <v>4421360000</v>
      </c>
      <c r="FZ2" s="3">
        <v>305828000</v>
      </c>
      <c r="GA2" s="3">
        <v>5147361000</v>
      </c>
      <c r="GB2" s="3"/>
      <c r="GC2" s="3"/>
      <c r="GD2" s="3"/>
      <c r="GE2" s="3"/>
      <c r="GF2" s="3"/>
      <c r="GG2" s="3"/>
      <c r="GH2" s="3"/>
      <c r="GI2" s="3"/>
      <c r="GJ2" s="3"/>
      <c r="GK2" s="3"/>
      <c r="GL2" s="3"/>
      <c r="GM2" s="3"/>
      <c r="GN2" s="3"/>
      <c r="GO2" s="3"/>
      <c r="GP2" s="3"/>
      <c r="GQ2" s="3"/>
      <c r="GR2" s="3"/>
      <c r="GS2" s="6"/>
      <c r="GT2" s="3"/>
      <c r="GU2" s="3"/>
      <c r="GV2" s="3">
        <v>511337000</v>
      </c>
      <c r="GW2" s="3">
        <v>3629995000</v>
      </c>
      <c r="GX2" s="3">
        <v>998828000</v>
      </c>
      <c r="GY2" s="3">
        <v>5140160000</v>
      </c>
      <c r="GZ2" s="3">
        <v>511337000</v>
      </c>
      <c r="HA2" s="3">
        <v>3629995000</v>
      </c>
      <c r="HB2" s="3">
        <v>998828000</v>
      </c>
      <c r="HC2" s="3">
        <v>5140160000</v>
      </c>
      <c r="HD2" s="3"/>
      <c r="HE2" s="3"/>
      <c r="HF2" s="3"/>
      <c r="HG2" s="3"/>
      <c r="HH2" s="3"/>
      <c r="HI2" s="3"/>
      <c r="HJ2" s="3"/>
      <c r="HK2" s="3"/>
      <c r="HL2" s="3"/>
      <c r="HM2" s="3"/>
      <c r="HN2" s="3"/>
      <c r="HO2" s="3"/>
      <c r="HP2" s="3"/>
      <c r="HQ2" s="3"/>
      <c r="HR2" s="3"/>
      <c r="HS2" s="3"/>
      <c r="HT2" s="3"/>
      <c r="HU2" s="3"/>
      <c r="HV2" s="3"/>
      <c r="HW2" s="3"/>
      <c r="HX2" s="3">
        <v>607078000</v>
      </c>
      <c r="HY2" s="3">
        <v>3674594000</v>
      </c>
      <c r="HZ2" s="3">
        <v>238725000</v>
      </c>
      <c r="IA2" s="3">
        <v>4520397000</v>
      </c>
      <c r="IB2" s="3">
        <v>607078000</v>
      </c>
      <c r="IC2" s="3">
        <v>3674594000</v>
      </c>
      <c r="ID2" s="3">
        <v>738725000</v>
      </c>
      <c r="IE2" s="3">
        <v>5020397000</v>
      </c>
    </row>
    <row r="3" spans="1:239" x14ac:dyDescent="0.25">
      <c r="A3" t="s">
        <v>1243</v>
      </c>
      <c r="B3" t="s">
        <v>1244</v>
      </c>
      <c r="C3" t="s">
        <v>199</v>
      </c>
      <c r="D3" t="s">
        <v>1245</v>
      </c>
      <c r="E3" t="s">
        <v>201</v>
      </c>
      <c r="F3" t="s">
        <v>204</v>
      </c>
      <c r="G3" t="s">
        <v>205</v>
      </c>
      <c r="H3" s="3">
        <v>7223582000</v>
      </c>
      <c r="I3" s="3">
        <v>0</v>
      </c>
      <c r="J3" s="3">
        <v>0</v>
      </c>
      <c r="K3" s="3">
        <v>7223582000</v>
      </c>
      <c r="L3" s="3">
        <v>7223582000</v>
      </c>
      <c r="M3" s="3">
        <v>0</v>
      </c>
      <c r="N3" s="3">
        <v>0</v>
      </c>
      <c r="O3" s="3">
        <v>7223582000</v>
      </c>
      <c r="P3" s="3"/>
      <c r="Q3" s="3"/>
      <c r="R3" s="3"/>
      <c r="S3" s="3"/>
      <c r="T3" s="3"/>
      <c r="U3" s="3"/>
      <c r="V3" s="3"/>
      <c r="W3" s="3"/>
      <c r="X3" s="6"/>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v>8557800000</v>
      </c>
      <c r="BM3" s="3">
        <v>0</v>
      </c>
      <c r="BN3" s="3">
        <v>0</v>
      </c>
      <c r="BO3" s="3">
        <v>8557800000</v>
      </c>
      <c r="BP3" s="3">
        <v>8557800000</v>
      </c>
      <c r="BQ3" s="3">
        <v>0</v>
      </c>
      <c r="BR3" s="3">
        <v>0</v>
      </c>
      <c r="BS3" s="3">
        <v>8557800000</v>
      </c>
      <c r="BT3" s="3"/>
      <c r="BU3" s="3"/>
      <c r="BV3" s="3"/>
      <c r="BW3" s="3"/>
      <c r="BX3" s="3"/>
      <c r="BY3" s="3"/>
      <c r="BZ3" s="3"/>
      <c r="CA3" s="3"/>
      <c r="CB3" s="3"/>
      <c r="CC3" s="3"/>
      <c r="CD3" s="3"/>
      <c r="CE3" s="6"/>
      <c r="CF3" s="3"/>
      <c r="CG3" s="3"/>
      <c r="CH3" s="3"/>
      <c r="CI3" s="3"/>
      <c r="CJ3" s="3"/>
      <c r="CK3" s="3"/>
      <c r="CL3" s="3"/>
      <c r="CM3" s="3"/>
      <c r="CN3" s="3">
        <v>10124202000</v>
      </c>
      <c r="CO3" s="3">
        <v>0</v>
      </c>
      <c r="CP3" s="3">
        <v>0</v>
      </c>
      <c r="CQ3" s="3">
        <v>10124202000</v>
      </c>
      <c r="CR3" s="3">
        <v>10124202000</v>
      </c>
      <c r="CS3" s="3">
        <v>0</v>
      </c>
      <c r="CT3" s="3">
        <v>0</v>
      </c>
      <c r="CU3" s="3">
        <v>10124202000</v>
      </c>
      <c r="CV3" s="3"/>
      <c r="CW3" s="3"/>
      <c r="CX3" s="3"/>
      <c r="CY3" s="3"/>
      <c r="CZ3" s="3"/>
      <c r="DA3" s="3"/>
      <c r="DB3" s="3"/>
      <c r="DC3" s="3"/>
      <c r="DD3" s="3"/>
      <c r="DE3" s="3"/>
      <c r="DF3" s="3"/>
      <c r="DG3" s="3"/>
      <c r="DH3" s="3"/>
      <c r="DI3" s="3"/>
      <c r="DJ3" s="3"/>
      <c r="DK3" s="3"/>
      <c r="DL3" s="3"/>
      <c r="DM3" s="3"/>
      <c r="DN3" s="3"/>
      <c r="DO3" s="3"/>
      <c r="DP3" s="3">
        <v>9569460000</v>
      </c>
      <c r="DQ3" s="3">
        <v>0</v>
      </c>
      <c r="DR3" s="3">
        <v>0</v>
      </c>
      <c r="DS3" s="3">
        <v>9569460000</v>
      </c>
      <c r="DT3" s="3">
        <v>9569460000</v>
      </c>
      <c r="DU3" s="3">
        <v>0</v>
      </c>
      <c r="DV3" s="3">
        <v>0</v>
      </c>
      <c r="DW3" s="3">
        <v>9569460000</v>
      </c>
      <c r="DX3" s="3"/>
      <c r="DY3" s="3"/>
      <c r="DZ3" s="3"/>
      <c r="EA3" s="3"/>
      <c r="EB3" s="3"/>
      <c r="EC3" s="3"/>
      <c r="ED3" s="3"/>
      <c r="EE3" s="3"/>
      <c r="EF3" s="3"/>
      <c r="EG3" s="3"/>
      <c r="EH3" s="3"/>
      <c r="EI3" s="3"/>
      <c r="EJ3" s="3"/>
      <c r="EK3" s="3"/>
      <c r="EL3" s="3"/>
      <c r="EM3" s="3"/>
      <c r="EN3" s="3"/>
      <c r="EO3" s="3"/>
      <c r="EP3" s="3"/>
      <c r="EQ3" s="3"/>
      <c r="ER3" s="3">
        <v>10625763000</v>
      </c>
      <c r="ES3" s="3">
        <v>0</v>
      </c>
      <c r="ET3" s="3">
        <v>0</v>
      </c>
      <c r="EU3" s="3">
        <v>10625763000</v>
      </c>
      <c r="EV3" s="3">
        <v>10625763000</v>
      </c>
      <c r="EW3" s="3">
        <v>0</v>
      </c>
      <c r="EX3" s="3">
        <v>0</v>
      </c>
      <c r="EY3" s="3">
        <v>10625763000</v>
      </c>
      <c r="EZ3" s="3"/>
      <c r="FA3" s="3"/>
      <c r="FB3" s="3"/>
      <c r="FC3" s="3"/>
      <c r="FD3" s="3"/>
      <c r="FE3" s="3"/>
      <c r="FF3" s="3"/>
      <c r="FG3" s="3"/>
      <c r="FH3" s="6"/>
      <c r="FI3" s="3"/>
      <c r="FJ3" s="3"/>
      <c r="FK3" s="3"/>
      <c r="FL3" s="3"/>
      <c r="FM3" s="3"/>
      <c r="FN3" s="3"/>
      <c r="FO3" s="3"/>
      <c r="FP3" s="3"/>
      <c r="FQ3" s="3"/>
      <c r="FR3" s="3"/>
      <c r="FS3" s="3"/>
      <c r="FT3" s="3">
        <v>12722134000</v>
      </c>
      <c r="FU3" s="3">
        <v>0</v>
      </c>
      <c r="FV3" s="3">
        <v>0</v>
      </c>
      <c r="FW3" s="3">
        <v>12722134000</v>
      </c>
      <c r="FX3" s="3">
        <v>12722134000</v>
      </c>
      <c r="FY3" s="3">
        <v>0</v>
      </c>
      <c r="FZ3" s="3">
        <v>0</v>
      </c>
      <c r="GA3" s="3">
        <v>12722134000</v>
      </c>
      <c r="GB3" s="3"/>
      <c r="GC3" s="3"/>
      <c r="GD3" s="3"/>
      <c r="GE3" s="3"/>
      <c r="GF3" s="3"/>
      <c r="GG3" s="3"/>
      <c r="GH3" s="3"/>
      <c r="GI3" s="3"/>
      <c r="GJ3" s="3"/>
      <c r="GK3" s="3"/>
      <c r="GL3" s="3"/>
      <c r="GM3" s="3"/>
      <c r="GN3" s="3"/>
      <c r="GO3" s="3"/>
      <c r="GP3" s="3"/>
      <c r="GQ3" s="3"/>
      <c r="GR3" s="3"/>
      <c r="GS3" s="6"/>
      <c r="GT3" s="3"/>
      <c r="GU3" s="3"/>
      <c r="GV3" s="3">
        <v>10578596000</v>
      </c>
      <c r="GW3" s="3">
        <v>0</v>
      </c>
      <c r="GX3" s="3">
        <v>0</v>
      </c>
      <c r="GY3" s="3">
        <v>10578596000</v>
      </c>
      <c r="GZ3" s="3">
        <v>10578596000</v>
      </c>
      <c r="HA3" s="3">
        <v>0</v>
      </c>
      <c r="HB3" s="3">
        <v>0</v>
      </c>
      <c r="HC3" s="3">
        <v>10578596000</v>
      </c>
      <c r="HD3" s="3"/>
      <c r="HE3" s="3"/>
      <c r="HF3" s="3"/>
      <c r="HG3" s="3"/>
      <c r="HH3" s="3"/>
      <c r="HI3" s="3"/>
      <c r="HJ3" s="3"/>
      <c r="HK3" s="3"/>
      <c r="HL3" s="3"/>
      <c r="HM3" s="3"/>
      <c r="HN3" s="3"/>
      <c r="HO3" s="3"/>
      <c r="HP3" s="3"/>
      <c r="HQ3" s="3"/>
      <c r="HR3" s="3"/>
      <c r="HS3" s="3"/>
      <c r="HT3" s="3"/>
      <c r="HU3" s="3"/>
      <c r="HV3" s="3"/>
      <c r="HW3" s="3"/>
      <c r="HX3" s="3">
        <v>9541335000</v>
      </c>
      <c r="HY3" s="3">
        <v>0</v>
      </c>
      <c r="HZ3" s="3">
        <v>0</v>
      </c>
      <c r="IA3" s="3">
        <v>9541335000</v>
      </c>
      <c r="IB3" s="3">
        <v>9541335000</v>
      </c>
      <c r="IC3" s="3">
        <v>0</v>
      </c>
      <c r="ID3" s="3">
        <v>0</v>
      </c>
      <c r="IE3" s="3">
        <v>9541335000</v>
      </c>
    </row>
    <row r="4" spans="1:239" x14ac:dyDescent="0.25">
      <c r="A4" t="s">
        <v>1243</v>
      </c>
      <c r="B4" t="s">
        <v>1244</v>
      </c>
      <c r="C4" t="s">
        <v>199</v>
      </c>
      <c r="D4" t="s">
        <v>1245</v>
      </c>
      <c r="E4" t="s">
        <v>201</v>
      </c>
      <c r="F4" t="s">
        <v>206</v>
      </c>
      <c r="G4" t="s">
        <v>1266</v>
      </c>
      <c r="H4" s="3">
        <v>310631000</v>
      </c>
      <c r="I4" s="3">
        <v>350169000</v>
      </c>
      <c r="J4" s="3">
        <v>0</v>
      </c>
      <c r="K4" s="3">
        <v>660800000</v>
      </c>
      <c r="L4" s="3">
        <v>310631000</v>
      </c>
      <c r="M4" s="3">
        <v>350169000</v>
      </c>
      <c r="N4" s="3">
        <v>0</v>
      </c>
      <c r="O4" s="3">
        <v>660800000</v>
      </c>
      <c r="P4" s="3"/>
      <c r="Q4" s="3"/>
      <c r="R4" s="3"/>
      <c r="S4" s="3"/>
      <c r="T4" s="3"/>
      <c r="U4" s="3"/>
      <c r="V4" s="3"/>
      <c r="W4" s="3"/>
      <c r="X4" s="6"/>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v>343043000</v>
      </c>
      <c r="BM4" s="3">
        <v>363803000</v>
      </c>
      <c r="BN4" s="3">
        <v>0</v>
      </c>
      <c r="BO4" s="3">
        <v>706846000</v>
      </c>
      <c r="BP4" s="3">
        <v>343043000</v>
      </c>
      <c r="BQ4" s="3">
        <v>363803000</v>
      </c>
      <c r="BR4" s="3">
        <v>0</v>
      </c>
      <c r="BS4" s="3">
        <v>706846000</v>
      </c>
      <c r="BT4" s="3"/>
      <c r="BU4" s="3"/>
      <c r="BV4" s="3"/>
      <c r="BW4" s="3"/>
      <c r="BX4" s="3"/>
      <c r="BY4" s="3"/>
      <c r="BZ4" s="3"/>
      <c r="CA4" s="3"/>
      <c r="CB4" s="3"/>
      <c r="CC4" s="3"/>
      <c r="CD4" s="3"/>
      <c r="CE4" s="6"/>
      <c r="CF4" s="3"/>
      <c r="CG4" s="3"/>
      <c r="CH4" s="3"/>
      <c r="CI4" s="3"/>
      <c r="CJ4" s="3"/>
      <c r="CK4" s="3"/>
      <c r="CL4" s="3"/>
      <c r="CM4" s="3"/>
      <c r="CN4" s="3">
        <v>359959000</v>
      </c>
      <c r="CO4" s="3">
        <v>363803000</v>
      </c>
      <c r="CP4" s="3">
        <v>18052000</v>
      </c>
      <c r="CQ4" s="3">
        <v>741814000</v>
      </c>
      <c r="CR4" s="3">
        <v>359959000</v>
      </c>
      <c r="CS4" s="3">
        <v>363803000</v>
      </c>
      <c r="CT4" s="3">
        <v>18052000</v>
      </c>
      <c r="CU4" s="3">
        <v>741814000</v>
      </c>
      <c r="CV4" s="3"/>
      <c r="CW4" s="3"/>
      <c r="CX4" s="3"/>
      <c r="CY4" s="3"/>
      <c r="CZ4" s="3"/>
      <c r="DA4" s="3"/>
      <c r="DB4" s="3"/>
      <c r="DC4" s="3"/>
      <c r="DD4" s="3"/>
      <c r="DE4" s="3"/>
      <c r="DF4" s="3"/>
      <c r="DG4" s="3"/>
      <c r="DH4" s="3"/>
      <c r="DI4" s="3"/>
      <c r="DJ4" s="3"/>
      <c r="DK4" s="3"/>
      <c r="DL4" s="3"/>
      <c r="DM4" s="3"/>
      <c r="DN4" s="3"/>
      <c r="DO4" s="3"/>
      <c r="DP4" s="3">
        <v>371507000</v>
      </c>
      <c r="DQ4" s="3">
        <v>428421000</v>
      </c>
      <c r="DR4" s="3">
        <v>68365000</v>
      </c>
      <c r="DS4" s="3">
        <v>868293000</v>
      </c>
      <c r="DT4" s="3">
        <v>371507000</v>
      </c>
      <c r="DU4" s="3">
        <v>428421000</v>
      </c>
      <c r="DV4" s="3">
        <v>68365000</v>
      </c>
      <c r="DW4" s="3">
        <v>868293000</v>
      </c>
      <c r="DX4" s="3"/>
      <c r="DY4" s="3"/>
      <c r="DZ4" s="3"/>
      <c r="EA4" s="3"/>
      <c r="EB4" s="3"/>
      <c r="EC4" s="3"/>
      <c r="ED4" s="3"/>
      <c r="EE4" s="3"/>
      <c r="EF4" s="3"/>
      <c r="EG4" s="3"/>
      <c r="EH4" s="3"/>
      <c r="EI4" s="3"/>
      <c r="EJ4" s="3"/>
      <c r="EK4" s="3"/>
      <c r="EL4" s="3"/>
      <c r="EM4" s="3"/>
      <c r="EN4" s="3"/>
      <c r="EO4" s="3"/>
      <c r="EP4" s="3"/>
      <c r="EQ4" s="3"/>
      <c r="ER4" s="3">
        <v>381174000</v>
      </c>
      <c r="ES4" s="3">
        <v>435865000</v>
      </c>
      <c r="ET4" s="3">
        <v>47402000</v>
      </c>
      <c r="EU4" s="3">
        <v>864441000</v>
      </c>
      <c r="EV4" s="3">
        <v>381174000</v>
      </c>
      <c r="EW4" s="3">
        <v>435865000</v>
      </c>
      <c r="EX4" s="3">
        <v>47402000</v>
      </c>
      <c r="EY4" s="3">
        <v>864441000</v>
      </c>
      <c r="EZ4" s="3"/>
      <c r="FA4" s="3"/>
      <c r="FB4" s="3"/>
      <c r="FC4" s="3"/>
      <c r="FD4" s="3"/>
      <c r="FE4" s="3"/>
      <c r="FF4" s="3"/>
      <c r="FG4" s="3"/>
      <c r="FH4" s="6"/>
      <c r="FI4" s="3"/>
      <c r="FJ4" s="3"/>
      <c r="FK4" s="3"/>
      <c r="FL4" s="3"/>
      <c r="FM4" s="3"/>
      <c r="FN4" s="3"/>
      <c r="FO4" s="3"/>
      <c r="FP4" s="3"/>
      <c r="FQ4" s="3"/>
      <c r="FR4" s="3"/>
      <c r="FS4" s="3"/>
      <c r="FT4" s="3">
        <v>353957000</v>
      </c>
      <c r="FU4" s="3">
        <v>443120000</v>
      </c>
      <c r="FV4" s="3">
        <v>47834000</v>
      </c>
      <c r="FW4" s="3">
        <v>844911000</v>
      </c>
      <c r="FX4" s="3">
        <v>353957000</v>
      </c>
      <c r="FY4" s="3">
        <v>643120000</v>
      </c>
      <c r="FZ4" s="3">
        <v>47834000</v>
      </c>
      <c r="GA4" s="3">
        <v>1044911000</v>
      </c>
      <c r="GB4" s="3"/>
      <c r="GC4" s="3"/>
      <c r="GD4" s="3"/>
      <c r="GE4" s="3"/>
      <c r="GF4" s="3"/>
      <c r="GG4" s="3"/>
      <c r="GH4" s="3"/>
      <c r="GI4" s="3"/>
      <c r="GJ4" s="3"/>
      <c r="GK4" s="3"/>
      <c r="GL4" s="3"/>
      <c r="GM4" s="3"/>
      <c r="GN4" s="3"/>
      <c r="GO4" s="3"/>
      <c r="GP4" s="3"/>
      <c r="GQ4" s="3"/>
      <c r="GR4" s="3"/>
      <c r="GS4" s="6"/>
      <c r="GT4" s="3"/>
      <c r="GU4" s="3"/>
      <c r="GV4" s="3">
        <v>464609000</v>
      </c>
      <c r="GW4" s="3">
        <v>396685000</v>
      </c>
      <c r="GX4" s="3">
        <v>222315000</v>
      </c>
      <c r="GY4" s="3">
        <v>1083609000</v>
      </c>
      <c r="GZ4" s="3">
        <v>464609000</v>
      </c>
      <c r="HA4" s="3">
        <v>684685000</v>
      </c>
      <c r="HB4" s="3">
        <v>222315000</v>
      </c>
      <c r="HC4" s="3">
        <v>1371609000</v>
      </c>
      <c r="HD4" s="3"/>
      <c r="HE4" s="3"/>
      <c r="HF4" s="3"/>
      <c r="HG4" s="3"/>
      <c r="HH4" s="3"/>
      <c r="HI4" s="3"/>
      <c r="HJ4" s="3"/>
      <c r="HK4" s="3"/>
      <c r="HL4" s="3"/>
      <c r="HM4" s="3"/>
      <c r="HN4" s="3"/>
      <c r="HO4" s="3"/>
      <c r="HP4" s="3"/>
      <c r="HQ4" s="3"/>
      <c r="HR4" s="3"/>
      <c r="HS4" s="3"/>
      <c r="HT4" s="3"/>
      <c r="HU4" s="3"/>
      <c r="HV4" s="3"/>
      <c r="HW4" s="3"/>
      <c r="HX4" s="3">
        <v>481747000</v>
      </c>
      <c r="HY4" s="3">
        <v>688358000</v>
      </c>
      <c r="HZ4" s="3">
        <v>205966000</v>
      </c>
      <c r="IA4" s="3">
        <v>1376071000</v>
      </c>
      <c r="IB4" s="3">
        <v>698888000</v>
      </c>
      <c r="IC4" s="3">
        <v>688358000</v>
      </c>
      <c r="ID4" s="3">
        <v>205966000</v>
      </c>
      <c r="IE4" s="3">
        <v>1593212000</v>
      </c>
    </row>
    <row r="5" spans="1:239" x14ac:dyDescent="0.25">
      <c r="A5" t="s">
        <v>1243</v>
      </c>
      <c r="B5" t="s">
        <v>1244</v>
      </c>
      <c r="C5" t="s">
        <v>199</v>
      </c>
      <c r="D5" t="s">
        <v>1245</v>
      </c>
      <c r="E5" t="s">
        <v>208</v>
      </c>
      <c r="F5" t="s">
        <v>209</v>
      </c>
      <c r="G5" t="s">
        <v>1267</v>
      </c>
      <c r="H5" s="3">
        <v>32769000</v>
      </c>
      <c r="I5" s="3">
        <v>27554000</v>
      </c>
      <c r="J5" s="3">
        <v>0</v>
      </c>
      <c r="K5" s="3">
        <v>60323000</v>
      </c>
      <c r="L5" s="3">
        <v>32769000</v>
      </c>
      <c r="M5" s="3">
        <v>27554000</v>
      </c>
      <c r="N5" s="3">
        <v>0</v>
      </c>
      <c r="O5" s="3">
        <v>60323000</v>
      </c>
      <c r="P5" s="3"/>
      <c r="Q5" s="3"/>
      <c r="R5" s="3"/>
      <c r="S5" s="3"/>
      <c r="T5" s="3"/>
      <c r="U5" s="3"/>
      <c r="V5" s="3"/>
      <c r="W5" s="3"/>
      <c r="X5" s="6"/>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v>37733000</v>
      </c>
      <c r="BM5" s="3">
        <v>29006000</v>
      </c>
      <c r="BN5" s="3">
        <v>0</v>
      </c>
      <c r="BO5" s="3">
        <v>66739000</v>
      </c>
      <c r="BP5" s="3">
        <v>37733000</v>
      </c>
      <c r="BQ5" s="3">
        <v>29006000</v>
      </c>
      <c r="BR5" s="3">
        <v>0</v>
      </c>
      <c r="BS5" s="3">
        <v>66739000</v>
      </c>
      <c r="BT5" s="3"/>
      <c r="BU5" s="3"/>
      <c r="BV5" s="3"/>
      <c r="BW5" s="3"/>
      <c r="BX5" s="3"/>
      <c r="BY5" s="3"/>
      <c r="BZ5" s="3"/>
      <c r="CA5" s="3"/>
      <c r="CB5" s="3"/>
      <c r="CC5" s="3"/>
      <c r="CD5" s="3"/>
      <c r="CE5" s="6"/>
      <c r="CF5" s="3"/>
      <c r="CG5" s="3"/>
      <c r="CH5" s="3"/>
      <c r="CI5" s="3"/>
      <c r="CJ5" s="3"/>
      <c r="CK5" s="3"/>
      <c r="CL5" s="3"/>
      <c r="CM5" s="3"/>
      <c r="CN5" s="3">
        <v>39202000</v>
      </c>
      <c r="CO5" s="3">
        <v>29006000</v>
      </c>
      <c r="CP5" s="3">
        <v>2300000</v>
      </c>
      <c r="CQ5" s="3">
        <v>70508000</v>
      </c>
      <c r="CR5" s="3">
        <v>39202000</v>
      </c>
      <c r="CS5" s="3">
        <v>29006000</v>
      </c>
      <c r="CT5" s="3">
        <v>2300000</v>
      </c>
      <c r="CU5" s="3">
        <v>70508000</v>
      </c>
      <c r="CV5" s="3"/>
      <c r="CW5" s="3"/>
      <c r="CX5" s="3"/>
      <c r="CY5" s="3"/>
      <c r="CZ5" s="3"/>
      <c r="DA5" s="3"/>
      <c r="DB5" s="3"/>
      <c r="DC5" s="3"/>
      <c r="DD5" s="3"/>
      <c r="DE5" s="3"/>
      <c r="DF5" s="3"/>
      <c r="DG5" s="3"/>
      <c r="DH5" s="3"/>
      <c r="DI5" s="3"/>
      <c r="DJ5" s="3"/>
      <c r="DK5" s="3"/>
      <c r="DL5" s="3"/>
      <c r="DM5" s="3"/>
      <c r="DN5" s="3"/>
      <c r="DO5" s="3"/>
      <c r="DP5" s="3">
        <v>40099000</v>
      </c>
      <c r="DQ5" s="3">
        <v>29006000</v>
      </c>
      <c r="DR5" s="3">
        <v>2300000</v>
      </c>
      <c r="DS5" s="3">
        <v>71405000</v>
      </c>
      <c r="DT5" s="3">
        <v>40099000</v>
      </c>
      <c r="DU5" s="3">
        <v>29006000</v>
      </c>
      <c r="DV5" s="3">
        <v>2300000</v>
      </c>
      <c r="DW5" s="3">
        <v>71405000</v>
      </c>
      <c r="DX5" s="3"/>
      <c r="DY5" s="3"/>
      <c r="DZ5" s="3"/>
      <c r="EA5" s="3"/>
      <c r="EB5" s="3"/>
      <c r="EC5" s="3"/>
      <c r="ED5" s="3"/>
      <c r="EE5" s="3"/>
      <c r="EF5" s="3"/>
      <c r="EG5" s="3"/>
      <c r="EH5" s="3"/>
      <c r="EI5" s="3"/>
      <c r="EJ5" s="3"/>
      <c r="EK5" s="3"/>
      <c r="EL5" s="3"/>
      <c r="EM5" s="3"/>
      <c r="EN5" s="3"/>
      <c r="EO5" s="3"/>
      <c r="EP5" s="3"/>
      <c r="EQ5" s="3"/>
      <c r="ER5" s="3">
        <v>41018000</v>
      </c>
      <c r="ES5" s="3">
        <v>29844000</v>
      </c>
      <c r="ET5" s="3">
        <v>6100000</v>
      </c>
      <c r="EU5" s="3">
        <v>76962000</v>
      </c>
      <c r="EV5" s="3">
        <v>41018000</v>
      </c>
      <c r="EW5" s="3">
        <v>29844000</v>
      </c>
      <c r="EX5" s="3">
        <v>6100000</v>
      </c>
      <c r="EY5" s="3">
        <v>76962000</v>
      </c>
      <c r="EZ5" s="3"/>
      <c r="FA5" s="3"/>
      <c r="FB5" s="3"/>
      <c r="FC5" s="3"/>
      <c r="FD5" s="3"/>
      <c r="FE5" s="3"/>
      <c r="FF5" s="3"/>
      <c r="FG5" s="3"/>
      <c r="FH5" s="6"/>
      <c r="FI5" s="3"/>
      <c r="FJ5" s="3"/>
      <c r="FK5" s="3"/>
      <c r="FL5" s="3"/>
      <c r="FM5" s="3"/>
      <c r="FN5" s="3"/>
      <c r="FO5" s="3"/>
      <c r="FP5" s="3"/>
      <c r="FQ5" s="3"/>
      <c r="FR5" s="3"/>
      <c r="FS5" s="3"/>
      <c r="FT5" s="3">
        <v>40778000</v>
      </c>
      <c r="FU5" s="3">
        <v>31295000</v>
      </c>
      <c r="FV5" s="3">
        <v>6400000</v>
      </c>
      <c r="FW5" s="3">
        <v>78473000</v>
      </c>
      <c r="FX5" s="3">
        <v>40778000</v>
      </c>
      <c r="FY5" s="3">
        <v>31295000</v>
      </c>
      <c r="FZ5" s="3">
        <v>6400000</v>
      </c>
      <c r="GA5" s="3">
        <v>78473000</v>
      </c>
      <c r="GB5" s="3"/>
      <c r="GC5" s="3"/>
      <c r="GD5" s="3"/>
      <c r="GE5" s="3"/>
      <c r="GF5" s="3"/>
      <c r="GG5" s="3"/>
      <c r="GH5" s="3"/>
      <c r="GI5" s="3"/>
      <c r="GJ5" s="3"/>
      <c r="GK5" s="3"/>
      <c r="GL5" s="3"/>
      <c r="GM5" s="3"/>
      <c r="GN5" s="3"/>
      <c r="GO5" s="3"/>
      <c r="GP5" s="3"/>
      <c r="GQ5" s="3"/>
      <c r="GR5" s="3"/>
      <c r="GS5" s="6"/>
      <c r="GT5" s="3"/>
      <c r="GU5" s="3"/>
      <c r="GV5" s="3">
        <v>56104000</v>
      </c>
      <c r="GW5" s="3">
        <v>32009000</v>
      </c>
      <c r="GX5" s="3">
        <v>3900000</v>
      </c>
      <c r="GY5" s="3">
        <v>92013000</v>
      </c>
      <c r="GZ5" s="3">
        <v>56104000</v>
      </c>
      <c r="HA5" s="3">
        <v>32009000</v>
      </c>
      <c r="HB5" s="3">
        <v>3900000</v>
      </c>
      <c r="HC5" s="3">
        <v>92013000</v>
      </c>
      <c r="HD5" s="3"/>
      <c r="HE5" s="3"/>
      <c r="HF5" s="3"/>
      <c r="HG5" s="3"/>
      <c r="HH5" s="3"/>
      <c r="HI5" s="3"/>
      <c r="HJ5" s="3"/>
      <c r="HK5" s="3"/>
      <c r="HL5" s="3"/>
      <c r="HM5" s="3"/>
      <c r="HN5" s="3"/>
      <c r="HO5" s="3"/>
      <c r="HP5" s="3"/>
      <c r="HQ5" s="3"/>
      <c r="HR5" s="3"/>
      <c r="HS5" s="3"/>
      <c r="HT5" s="3"/>
      <c r="HU5" s="3"/>
      <c r="HV5" s="3"/>
      <c r="HW5" s="3"/>
      <c r="HX5" s="3">
        <v>70260000</v>
      </c>
      <c r="HY5" s="3">
        <v>32743000</v>
      </c>
      <c r="HZ5" s="3">
        <v>0</v>
      </c>
      <c r="IA5" s="3">
        <v>103003000</v>
      </c>
      <c r="IB5" s="3">
        <v>70260000</v>
      </c>
      <c r="IC5" s="3">
        <v>32743000</v>
      </c>
      <c r="ID5" s="3">
        <v>0</v>
      </c>
      <c r="IE5" s="3">
        <v>103003000</v>
      </c>
    </row>
    <row r="6" spans="1:239" x14ac:dyDescent="0.25">
      <c r="A6" t="s">
        <v>1243</v>
      </c>
      <c r="B6" t="s">
        <v>1244</v>
      </c>
      <c r="C6" t="s">
        <v>199</v>
      </c>
      <c r="D6" t="s">
        <v>1245</v>
      </c>
      <c r="E6" t="s">
        <v>208</v>
      </c>
      <c r="F6" t="s">
        <v>211</v>
      </c>
      <c r="G6" t="s">
        <v>1268</v>
      </c>
      <c r="H6" s="3">
        <v>88486000</v>
      </c>
      <c r="I6" s="3">
        <v>90638000</v>
      </c>
      <c r="J6" s="3">
        <v>0</v>
      </c>
      <c r="K6" s="3">
        <v>179124000</v>
      </c>
      <c r="L6" s="3">
        <v>88486000</v>
      </c>
      <c r="M6" s="3">
        <v>90638000</v>
      </c>
      <c r="N6" s="3">
        <v>0</v>
      </c>
      <c r="O6" s="3">
        <v>179124000</v>
      </c>
      <c r="P6" s="3"/>
      <c r="Q6" s="3"/>
      <c r="R6" s="3"/>
      <c r="S6" s="3"/>
      <c r="T6" s="3"/>
      <c r="U6" s="3"/>
      <c r="V6" s="3"/>
      <c r="W6" s="3"/>
      <c r="X6" s="6"/>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v>98420000</v>
      </c>
      <c r="BM6" s="3">
        <v>95594000</v>
      </c>
      <c r="BN6" s="3">
        <v>0</v>
      </c>
      <c r="BO6" s="3">
        <v>194014000</v>
      </c>
      <c r="BP6" s="3">
        <v>98420000</v>
      </c>
      <c r="BQ6" s="3">
        <v>95594000</v>
      </c>
      <c r="BR6" s="3">
        <v>0</v>
      </c>
      <c r="BS6" s="3">
        <v>194014000</v>
      </c>
      <c r="BT6" s="3"/>
      <c r="BU6" s="3"/>
      <c r="BV6" s="3"/>
      <c r="BW6" s="3"/>
      <c r="BX6" s="3"/>
      <c r="BY6" s="3"/>
      <c r="BZ6" s="3"/>
      <c r="CA6" s="3"/>
      <c r="CB6" s="3"/>
      <c r="CC6" s="3"/>
      <c r="CD6" s="3"/>
      <c r="CE6" s="6"/>
      <c r="CF6" s="3"/>
      <c r="CG6" s="3"/>
      <c r="CH6" s="3"/>
      <c r="CI6" s="3"/>
      <c r="CJ6" s="3"/>
      <c r="CK6" s="3"/>
      <c r="CL6" s="3"/>
      <c r="CM6" s="3"/>
      <c r="CN6" s="3">
        <v>103352000</v>
      </c>
      <c r="CO6" s="3">
        <v>95594000</v>
      </c>
      <c r="CP6" s="3">
        <v>3135000</v>
      </c>
      <c r="CQ6" s="3">
        <v>202081000</v>
      </c>
      <c r="CR6" s="3">
        <v>103352000</v>
      </c>
      <c r="CS6" s="3">
        <v>95594000</v>
      </c>
      <c r="CT6" s="3">
        <v>3135000</v>
      </c>
      <c r="CU6" s="3">
        <v>202081000</v>
      </c>
      <c r="CV6" s="3"/>
      <c r="CW6" s="3"/>
      <c r="CX6" s="3"/>
      <c r="CY6" s="3"/>
      <c r="CZ6" s="3"/>
      <c r="DA6" s="3"/>
      <c r="DB6" s="3"/>
      <c r="DC6" s="3"/>
      <c r="DD6" s="3"/>
      <c r="DE6" s="3"/>
      <c r="DF6" s="3"/>
      <c r="DG6" s="3"/>
      <c r="DH6" s="3"/>
      <c r="DI6" s="3"/>
      <c r="DJ6" s="3"/>
      <c r="DK6" s="3"/>
      <c r="DL6" s="3"/>
      <c r="DM6" s="3"/>
      <c r="DN6" s="3"/>
      <c r="DO6" s="3"/>
      <c r="DP6" s="3">
        <v>106470000</v>
      </c>
      <c r="DQ6" s="3">
        <v>95594000</v>
      </c>
      <c r="DR6" s="3">
        <v>58661000</v>
      </c>
      <c r="DS6" s="3">
        <v>260725000</v>
      </c>
      <c r="DT6" s="3">
        <v>106470000</v>
      </c>
      <c r="DU6" s="3">
        <v>95594000</v>
      </c>
      <c r="DV6" s="3">
        <v>58661000</v>
      </c>
      <c r="DW6" s="3">
        <v>260725000</v>
      </c>
      <c r="DX6" s="3"/>
      <c r="DY6" s="3"/>
      <c r="DZ6" s="3"/>
      <c r="EA6" s="3"/>
      <c r="EB6" s="3"/>
      <c r="EC6" s="3"/>
      <c r="ED6" s="3"/>
      <c r="EE6" s="3"/>
      <c r="EF6" s="3"/>
      <c r="EG6" s="3"/>
      <c r="EH6" s="3"/>
      <c r="EI6" s="3"/>
      <c r="EJ6" s="3"/>
      <c r="EK6" s="3"/>
      <c r="EL6" s="3"/>
      <c r="EM6" s="3"/>
      <c r="EN6" s="3"/>
      <c r="EO6" s="3"/>
      <c r="EP6" s="3"/>
      <c r="EQ6" s="3"/>
      <c r="ER6" s="3">
        <v>109603000</v>
      </c>
      <c r="ES6" s="3">
        <v>98590000</v>
      </c>
      <c r="ET6" s="3">
        <v>33160000</v>
      </c>
      <c r="EU6" s="3">
        <v>241353000</v>
      </c>
      <c r="EV6" s="3">
        <v>109603000</v>
      </c>
      <c r="EW6" s="3">
        <v>98590000</v>
      </c>
      <c r="EX6" s="3">
        <v>33160000</v>
      </c>
      <c r="EY6" s="3">
        <v>241353000</v>
      </c>
      <c r="EZ6" s="3"/>
      <c r="FA6" s="3"/>
      <c r="FB6" s="3"/>
      <c r="FC6" s="3"/>
      <c r="FD6" s="3"/>
      <c r="FE6" s="3"/>
      <c r="FF6" s="3"/>
      <c r="FG6" s="3"/>
      <c r="FH6" s="6"/>
      <c r="FI6" s="3"/>
      <c r="FJ6" s="3"/>
      <c r="FK6" s="3"/>
      <c r="FL6" s="3"/>
      <c r="FM6" s="3"/>
      <c r="FN6" s="3"/>
      <c r="FO6" s="3"/>
      <c r="FP6" s="3"/>
      <c r="FQ6" s="3"/>
      <c r="FR6" s="3"/>
      <c r="FS6" s="3"/>
      <c r="FT6" s="3">
        <v>105173000</v>
      </c>
      <c r="FU6" s="3">
        <v>103778000</v>
      </c>
      <c r="FV6" s="3">
        <v>313373000</v>
      </c>
      <c r="FW6" s="3">
        <v>522324000</v>
      </c>
      <c r="FX6" s="3">
        <v>105173000</v>
      </c>
      <c r="FY6" s="3">
        <v>103778000</v>
      </c>
      <c r="FZ6" s="3">
        <v>313373000</v>
      </c>
      <c r="GA6" s="3">
        <v>522324000</v>
      </c>
      <c r="GB6" s="3"/>
      <c r="GC6" s="3"/>
      <c r="GD6" s="3"/>
      <c r="GE6" s="3"/>
      <c r="GF6" s="3"/>
      <c r="GG6" s="3"/>
      <c r="GH6" s="3"/>
      <c r="GI6" s="3"/>
      <c r="GJ6" s="3"/>
      <c r="GK6" s="3"/>
      <c r="GL6" s="3"/>
      <c r="GM6" s="3"/>
      <c r="GN6" s="3"/>
      <c r="GO6" s="3"/>
      <c r="GP6" s="3"/>
      <c r="GQ6" s="3"/>
      <c r="GR6" s="3"/>
      <c r="GS6" s="6"/>
      <c r="GT6" s="3"/>
      <c r="GU6" s="3"/>
      <c r="GV6" s="3">
        <v>109716000</v>
      </c>
      <c r="GW6" s="3">
        <v>106328000</v>
      </c>
      <c r="GX6" s="3">
        <v>28230000</v>
      </c>
      <c r="GY6" s="3">
        <v>244274000</v>
      </c>
      <c r="GZ6" s="3">
        <v>109716000</v>
      </c>
      <c r="HA6" s="3">
        <v>106328000</v>
      </c>
      <c r="HB6" s="3">
        <v>28230000</v>
      </c>
      <c r="HC6" s="3">
        <v>244274000</v>
      </c>
      <c r="HD6" s="3"/>
      <c r="HE6" s="3"/>
      <c r="HF6" s="3"/>
      <c r="HG6" s="3"/>
      <c r="HH6" s="3"/>
      <c r="HI6" s="3"/>
      <c r="HJ6" s="3"/>
      <c r="HK6" s="3"/>
      <c r="HL6" s="3"/>
      <c r="HM6" s="3"/>
      <c r="HN6" s="3"/>
      <c r="HO6" s="3"/>
      <c r="HP6" s="3"/>
      <c r="HQ6" s="3"/>
      <c r="HR6" s="3"/>
      <c r="HS6" s="3"/>
      <c r="HT6" s="3"/>
      <c r="HU6" s="3"/>
      <c r="HV6" s="3"/>
      <c r="HW6" s="3"/>
      <c r="HX6" s="3">
        <v>120138000</v>
      </c>
      <c r="HY6" s="3">
        <v>108954000</v>
      </c>
      <c r="HZ6" s="3">
        <v>24973000</v>
      </c>
      <c r="IA6" s="3">
        <v>254065000</v>
      </c>
      <c r="IB6" s="3">
        <v>120138000</v>
      </c>
      <c r="IC6" s="3">
        <v>108954000</v>
      </c>
      <c r="ID6" s="3">
        <v>24973000</v>
      </c>
      <c r="IE6" s="3">
        <v>254065000</v>
      </c>
    </row>
    <row r="7" spans="1:239" x14ac:dyDescent="0.25">
      <c r="A7" t="s">
        <v>1243</v>
      </c>
      <c r="B7" t="s">
        <v>1244</v>
      </c>
      <c r="C7" t="s">
        <v>199</v>
      </c>
      <c r="D7" t="s">
        <v>1245</v>
      </c>
      <c r="E7" t="s">
        <v>208</v>
      </c>
      <c r="F7" t="s">
        <v>213</v>
      </c>
      <c r="G7" t="s">
        <v>1269</v>
      </c>
      <c r="H7" s="3">
        <v>8796000</v>
      </c>
      <c r="I7" s="3">
        <v>6673000</v>
      </c>
      <c r="J7" s="3">
        <v>0</v>
      </c>
      <c r="K7" s="3">
        <v>15469000</v>
      </c>
      <c r="L7" s="3">
        <v>8796000</v>
      </c>
      <c r="M7" s="3">
        <v>6673000</v>
      </c>
      <c r="N7" s="3">
        <v>0</v>
      </c>
      <c r="O7" s="3">
        <v>15469000</v>
      </c>
      <c r="P7" s="3"/>
      <c r="Q7" s="3"/>
      <c r="R7" s="3"/>
      <c r="S7" s="3"/>
      <c r="T7" s="3"/>
      <c r="U7" s="3"/>
      <c r="V7" s="3"/>
      <c r="W7" s="3"/>
      <c r="X7" s="6"/>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v>9510000</v>
      </c>
      <c r="BM7" s="3">
        <v>6957000</v>
      </c>
      <c r="BN7" s="3">
        <v>0</v>
      </c>
      <c r="BO7" s="3">
        <v>16467000</v>
      </c>
      <c r="BP7" s="3">
        <v>9510000</v>
      </c>
      <c r="BQ7" s="3">
        <v>6957000</v>
      </c>
      <c r="BR7" s="3">
        <v>0</v>
      </c>
      <c r="BS7" s="3">
        <v>16467000</v>
      </c>
      <c r="BT7" s="3"/>
      <c r="BU7" s="3"/>
      <c r="BV7" s="3"/>
      <c r="BW7" s="3"/>
      <c r="BX7" s="3"/>
      <c r="BY7" s="3"/>
      <c r="BZ7" s="3"/>
      <c r="CA7" s="3"/>
      <c r="CB7" s="3"/>
      <c r="CC7" s="3"/>
      <c r="CD7" s="3"/>
      <c r="CE7" s="6"/>
      <c r="CF7" s="3"/>
      <c r="CG7" s="3"/>
      <c r="CH7" s="3"/>
      <c r="CI7" s="3"/>
      <c r="CJ7" s="3"/>
      <c r="CK7" s="3"/>
      <c r="CL7" s="3"/>
      <c r="CM7" s="3"/>
      <c r="CN7" s="3">
        <v>10092000</v>
      </c>
      <c r="CO7" s="3">
        <v>6957000</v>
      </c>
      <c r="CP7" s="3">
        <v>479000</v>
      </c>
      <c r="CQ7" s="3">
        <v>17528000</v>
      </c>
      <c r="CR7" s="3">
        <v>10092000</v>
      </c>
      <c r="CS7" s="3">
        <v>6957000</v>
      </c>
      <c r="CT7" s="3">
        <v>479000</v>
      </c>
      <c r="CU7" s="3">
        <v>17528000</v>
      </c>
      <c r="CV7" s="3"/>
      <c r="CW7" s="3"/>
      <c r="CX7" s="3"/>
      <c r="CY7" s="3"/>
      <c r="CZ7" s="3"/>
      <c r="DA7" s="3"/>
      <c r="DB7" s="3"/>
      <c r="DC7" s="3"/>
      <c r="DD7" s="3"/>
      <c r="DE7" s="3"/>
      <c r="DF7" s="3"/>
      <c r="DG7" s="3"/>
      <c r="DH7" s="3"/>
      <c r="DI7" s="3"/>
      <c r="DJ7" s="3"/>
      <c r="DK7" s="3"/>
      <c r="DL7" s="3"/>
      <c r="DM7" s="3"/>
      <c r="DN7" s="3"/>
      <c r="DO7" s="3"/>
      <c r="DP7" s="3">
        <v>10428000</v>
      </c>
      <c r="DQ7" s="3">
        <v>6957000</v>
      </c>
      <c r="DR7" s="3">
        <v>500000</v>
      </c>
      <c r="DS7" s="3">
        <v>17885000</v>
      </c>
      <c r="DT7" s="3">
        <v>10428000</v>
      </c>
      <c r="DU7" s="3">
        <v>6957000</v>
      </c>
      <c r="DV7" s="3">
        <v>500000</v>
      </c>
      <c r="DW7" s="3">
        <v>17885000</v>
      </c>
      <c r="DX7" s="3"/>
      <c r="DY7" s="3"/>
      <c r="DZ7" s="3"/>
      <c r="EA7" s="3"/>
      <c r="EB7" s="3"/>
      <c r="EC7" s="3"/>
      <c r="ED7" s="3"/>
      <c r="EE7" s="3"/>
      <c r="EF7" s="3"/>
      <c r="EG7" s="3"/>
      <c r="EH7" s="3"/>
      <c r="EI7" s="3"/>
      <c r="EJ7" s="3"/>
      <c r="EK7" s="3"/>
      <c r="EL7" s="3"/>
      <c r="EM7" s="3"/>
      <c r="EN7" s="3"/>
      <c r="EO7" s="3"/>
      <c r="EP7" s="3"/>
      <c r="EQ7" s="3"/>
      <c r="ER7" s="3">
        <v>10765000</v>
      </c>
      <c r="ES7" s="3">
        <v>7073000</v>
      </c>
      <c r="ET7" s="3">
        <v>2690000</v>
      </c>
      <c r="EU7" s="3">
        <v>20528000</v>
      </c>
      <c r="EV7" s="3">
        <v>10765000</v>
      </c>
      <c r="EW7" s="3">
        <v>7073000</v>
      </c>
      <c r="EX7" s="3">
        <v>2690000</v>
      </c>
      <c r="EY7" s="3">
        <v>20528000</v>
      </c>
      <c r="EZ7" s="3"/>
      <c r="FA7" s="3"/>
      <c r="FB7" s="3"/>
      <c r="FC7" s="3"/>
      <c r="FD7" s="3"/>
      <c r="FE7" s="3"/>
      <c r="FF7" s="3"/>
      <c r="FG7" s="3"/>
      <c r="FH7" s="6"/>
      <c r="FI7" s="3"/>
      <c r="FJ7" s="3"/>
      <c r="FK7" s="3"/>
      <c r="FL7" s="3"/>
      <c r="FM7" s="3"/>
      <c r="FN7" s="3"/>
      <c r="FO7" s="3"/>
      <c r="FP7" s="3"/>
      <c r="FQ7" s="3"/>
      <c r="FR7" s="3"/>
      <c r="FS7" s="3"/>
      <c r="FT7" s="3">
        <v>10765000</v>
      </c>
      <c r="FU7" s="3">
        <v>7269000</v>
      </c>
      <c r="FV7" s="3">
        <v>4690000</v>
      </c>
      <c r="FW7" s="3">
        <v>22724000</v>
      </c>
      <c r="FX7" s="3">
        <v>10765000</v>
      </c>
      <c r="FY7" s="3">
        <v>7269000</v>
      </c>
      <c r="FZ7" s="3">
        <v>4690000</v>
      </c>
      <c r="GA7" s="3">
        <v>22724000</v>
      </c>
      <c r="GB7" s="3"/>
      <c r="GC7" s="3"/>
      <c r="GD7" s="3"/>
      <c r="GE7" s="3"/>
      <c r="GF7" s="3"/>
      <c r="GG7" s="3"/>
      <c r="GH7" s="3"/>
      <c r="GI7" s="3"/>
      <c r="GJ7" s="3"/>
      <c r="GK7" s="3"/>
      <c r="GL7" s="3"/>
      <c r="GM7" s="3"/>
      <c r="GN7" s="3"/>
      <c r="GO7" s="3"/>
      <c r="GP7" s="3"/>
      <c r="GQ7" s="3"/>
      <c r="GR7" s="3"/>
      <c r="GS7" s="6"/>
      <c r="GT7" s="3"/>
      <c r="GU7" s="3"/>
      <c r="GV7" s="3">
        <v>12782000</v>
      </c>
      <c r="GW7" s="3">
        <v>7364000</v>
      </c>
      <c r="GX7" s="3">
        <v>16890000</v>
      </c>
      <c r="GY7" s="3">
        <v>37036000</v>
      </c>
      <c r="GZ7" s="3">
        <v>12782000</v>
      </c>
      <c r="HA7" s="3">
        <v>7364000</v>
      </c>
      <c r="HB7" s="3">
        <v>16890000</v>
      </c>
      <c r="HC7" s="3">
        <v>37036000</v>
      </c>
      <c r="HD7" s="3"/>
      <c r="HE7" s="3"/>
      <c r="HF7" s="3"/>
      <c r="HG7" s="3"/>
      <c r="HH7" s="3"/>
      <c r="HI7" s="3"/>
      <c r="HJ7" s="3"/>
      <c r="HK7" s="3"/>
      <c r="HL7" s="3"/>
      <c r="HM7" s="3"/>
      <c r="HN7" s="3"/>
      <c r="HO7" s="3"/>
      <c r="HP7" s="3"/>
      <c r="HQ7" s="3"/>
      <c r="HR7" s="3"/>
      <c r="HS7" s="3"/>
      <c r="HT7" s="3"/>
      <c r="HU7" s="3"/>
      <c r="HV7" s="3"/>
      <c r="HW7" s="3"/>
      <c r="HX7" s="3">
        <v>14400000</v>
      </c>
      <c r="HY7" s="3">
        <v>7463000</v>
      </c>
      <c r="HZ7" s="3">
        <v>0</v>
      </c>
      <c r="IA7" s="3">
        <v>21863000</v>
      </c>
      <c r="IB7" s="3">
        <v>14400000</v>
      </c>
      <c r="IC7" s="3">
        <v>7463000</v>
      </c>
      <c r="ID7" s="3">
        <v>0</v>
      </c>
      <c r="IE7" s="3">
        <v>21863000</v>
      </c>
    </row>
    <row r="8" spans="1:239" x14ac:dyDescent="0.25">
      <c r="A8" t="s">
        <v>1243</v>
      </c>
      <c r="B8" t="s">
        <v>1244</v>
      </c>
      <c r="C8" t="s">
        <v>199</v>
      </c>
      <c r="D8" t="s">
        <v>1245</v>
      </c>
      <c r="E8" t="s">
        <v>208</v>
      </c>
      <c r="F8" t="s">
        <v>506</v>
      </c>
      <c r="H8" s="3"/>
      <c r="I8" s="3"/>
      <c r="J8" s="3"/>
      <c r="K8" s="3"/>
      <c r="L8" s="3"/>
      <c r="M8" s="3"/>
      <c r="N8" s="3"/>
      <c r="O8" s="3"/>
      <c r="P8" s="3"/>
      <c r="Q8" s="3"/>
      <c r="R8" s="3"/>
      <c r="S8" s="3"/>
      <c r="T8" s="3"/>
      <c r="U8" s="3"/>
      <c r="V8" s="3"/>
      <c r="W8" s="3"/>
      <c r="X8" s="6"/>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6"/>
      <c r="CF8" s="3"/>
      <c r="CG8" s="3"/>
      <c r="CH8" s="3"/>
      <c r="CI8" s="3"/>
      <c r="CJ8" s="3"/>
      <c r="CK8" s="3"/>
      <c r="CL8" s="3"/>
      <c r="CM8" s="3"/>
      <c r="CN8" s="3"/>
      <c r="CO8" s="3"/>
      <c r="CP8" s="3"/>
      <c r="CQ8" s="3"/>
      <c r="CR8" s="3">
        <v>0</v>
      </c>
      <c r="CS8" s="3">
        <v>50000000</v>
      </c>
      <c r="CT8" s="3">
        <v>0</v>
      </c>
      <c r="CU8" s="3">
        <v>50000000</v>
      </c>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6"/>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6"/>
      <c r="GT8" s="3"/>
      <c r="GU8" s="3"/>
      <c r="GV8" s="3">
        <v>0</v>
      </c>
      <c r="GW8" s="3">
        <v>250000000</v>
      </c>
      <c r="GX8" s="3">
        <v>0</v>
      </c>
      <c r="GY8" s="3">
        <v>250000000</v>
      </c>
      <c r="GZ8" s="3">
        <v>0</v>
      </c>
      <c r="HA8" s="3">
        <v>250000000</v>
      </c>
      <c r="HB8" s="3">
        <v>0</v>
      </c>
      <c r="HC8" s="3">
        <v>250000000</v>
      </c>
      <c r="HD8" s="3"/>
      <c r="HE8" s="3"/>
      <c r="HF8" s="3"/>
      <c r="HG8" s="3"/>
      <c r="HH8" s="3"/>
      <c r="HI8" s="3"/>
      <c r="HJ8" s="3"/>
      <c r="HK8" s="3"/>
      <c r="HL8" s="3"/>
      <c r="HM8" s="3"/>
      <c r="HN8" s="3"/>
      <c r="HO8" s="3"/>
      <c r="HP8" s="3"/>
      <c r="HQ8" s="3"/>
      <c r="HR8" s="3"/>
      <c r="HS8" s="3"/>
      <c r="HT8" s="3"/>
      <c r="HU8" s="3"/>
      <c r="HV8" s="3"/>
      <c r="HW8" s="3"/>
      <c r="HX8" s="3">
        <v>0</v>
      </c>
      <c r="HY8" s="3">
        <v>250000000</v>
      </c>
      <c r="HZ8" s="3">
        <v>0</v>
      </c>
      <c r="IA8" s="3">
        <v>250000000</v>
      </c>
      <c r="IB8" s="3">
        <v>460000000</v>
      </c>
      <c r="IC8" s="3">
        <v>250000000</v>
      </c>
      <c r="ID8" s="3">
        <v>0</v>
      </c>
      <c r="IE8" s="3">
        <v>710000000</v>
      </c>
    </row>
    <row r="9" spans="1:239" x14ac:dyDescent="0.25">
      <c r="A9" t="s">
        <v>1243</v>
      </c>
      <c r="B9" t="s">
        <v>1244</v>
      </c>
      <c r="C9" t="s">
        <v>199</v>
      </c>
      <c r="D9" t="s">
        <v>1245</v>
      </c>
      <c r="E9" t="s">
        <v>208</v>
      </c>
      <c r="F9" t="s">
        <v>507</v>
      </c>
      <c r="H9" s="3"/>
      <c r="I9" s="3"/>
      <c r="J9" s="3"/>
      <c r="K9" s="3"/>
      <c r="L9" s="3"/>
      <c r="M9" s="3"/>
      <c r="N9" s="3"/>
      <c r="O9" s="3"/>
      <c r="P9" s="3"/>
      <c r="Q9" s="3"/>
      <c r="R9" s="3"/>
      <c r="S9" s="3"/>
      <c r="T9" s="3"/>
      <c r="U9" s="3"/>
      <c r="V9" s="3"/>
      <c r="W9" s="3"/>
      <c r="X9" s="6"/>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6"/>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6"/>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6"/>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v>0</v>
      </c>
      <c r="HY9" s="3">
        <v>0</v>
      </c>
      <c r="HZ9" s="3">
        <v>0</v>
      </c>
      <c r="IA9" s="3">
        <v>0</v>
      </c>
      <c r="IB9" s="3">
        <v>39098000</v>
      </c>
      <c r="IC9" s="3">
        <v>100000000</v>
      </c>
      <c r="ID9" s="3">
        <v>0</v>
      </c>
      <c r="IE9" s="3">
        <v>139098000</v>
      </c>
    </row>
    <row r="10" spans="1:239" x14ac:dyDescent="0.25">
      <c r="A10" t="s">
        <v>1243</v>
      </c>
      <c r="B10" t="s">
        <v>1244</v>
      </c>
      <c r="C10" t="s">
        <v>199</v>
      </c>
      <c r="D10" t="s">
        <v>1245</v>
      </c>
      <c r="E10" t="s">
        <v>208</v>
      </c>
      <c r="F10" t="s">
        <v>508</v>
      </c>
      <c r="H10" s="3"/>
      <c r="I10" s="3"/>
      <c r="J10" s="3"/>
      <c r="K10" s="3"/>
      <c r="L10" s="3"/>
      <c r="M10" s="3"/>
      <c r="N10" s="3"/>
      <c r="O10" s="3"/>
      <c r="P10" s="3"/>
      <c r="Q10" s="3"/>
      <c r="R10" s="3"/>
      <c r="S10" s="3"/>
      <c r="T10" s="3"/>
      <c r="U10" s="3"/>
      <c r="V10" s="3"/>
      <c r="W10" s="3"/>
      <c r="X10" s="6"/>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6"/>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6"/>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6"/>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v>0</v>
      </c>
      <c r="HY10" s="3">
        <v>100000000</v>
      </c>
      <c r="HZ10" s="3">
        <v>0</v>
      </c>
      <c r="IA10" s="3">
        <v>100000000</v>
      </c>
      <c r="IB10" s="3">
        <v>156141000</v>
      </c>
      <c r="IC10" s="3">
        <v>87649000</v>
      </c>
      <c r="ID10" s="3">
        <v>0</v>
      </c>
      <c r="IE10" s="3">
        <v>243790000</v>
      </c>
    </row>
    <row r="11" spans="1:239" x14ac:dyDescent="0.25">
      <c r="A11" t="s">
        <v>1243</v>
      </c>
      <c r="B11" t="s">
        <v>1244</v>
      </c>
      <c r="C11" t="s">
        <v>199</v>
      </c>
      <c r="D11" t="s">
        <v>1245</v>
      </c>
      <c r="E11" t="s">
        <v>208</v>
      </c>
      <c r="F11" t="s">
        <v>215</v>
      </c>
      <c r="G11" t="s">
        <v>1270</v>
      </c>
      <c r="H11" s="3">
        <v>0</v>
      </c>
      <c r="I11" s="3">
        <v>30000000</v>
      </c>
      <c r="J11" s="3">
        <v>0</v>
      </c>
      <c r="K11" s="3">
        <v>30000000</v>
      </c>
      <c r="L11" s="3">
        <v>0</v>
      </c>
      <c r="M11" s="3">
        <v>30000000</v>
      </c>
      <c r="N11" s="3">
        <v>0</v>
      </c>
      <c r="O11" s="3">
        <v>30000000</v>
      </c>
      <c r="P11" s="3"/>
      <c r="Q11" s="3"/>
      <c r="R11" s="3"/>
      <c r="S11" s="3"/>
      <c r="T11" s="3"/>
      <c r="U11" s="3"/>
      <c r="V11" s="3"/>
      <c r="W11" s="3"/>
      <c r="X11" s="6"/>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v>0</v>
      </c>
      <c r="BM11" s="3">
        <v>30900000</v>
      </c>
      <c r="BN11" s="3">
        <v>0</v>
      </c>
      <c r="BO11" s="3">
        <v>30900000</v>
      </c>
      <c r="BP11" s="3">
        <v>0</v>
      </c>
      <c r="BQ11" s="3">
        <v>30900000</v>
      </c>
      <c r="BR11" s="3">
        <v>0</v>
      </c>
      <c r="BS11" s="3">
        <v>30900000</v>
      </c>
      <c r="BT11" s="3"/>
      <c r="BU11" s="3"/>
      <c r="BV11" s="3"/>
      <c r="BW11" s="3"/>
      <c r="BX11" s="3"/>
      <c r="BY11" s="3"/>
      <c r="BZ11" s="3"/>
      <c r="CA11" s="3"/>
      <c r="CB11" s="3"/>
      <c r="CC11" s="3"/>
      <c r="CD11" s="3"/>
      <c r="CE11" s="6"/>
      <c r="CF11" s="3"/>
      <c r="CG11" s="3"/>
      <c r="CH11" s="3"/>
      <c r="CI11" s="3"/>
      <c r="CJ11" s="3"/>
      <c r="CK11" s="3"/>
      <c r="CL11" s="3"/>
      <c r="CM11" s="3"/>
      <c r="CN11" s="3">
        <v>0</v>
      </c>
      <c r="CO11" s="3">
        <v>30900000</v>
      </c>
      <c r="CP11" s="3">
        <v>0</v>
      </c>
      <c r="CQ11" s="3">
        <v>30900000</v>
      </c>
      <c r="CR11" s="3">
        <v>0</v>
      </c>
      <c r="CS11" s="3">
        <v>30900000</v>
      </c>
      <c r="CT11" s="3">
        <v>0</v>
      </c>
      <c r="CU11" s="3">
        <v>30900000</v>
      </c>
      <c r="CV11" s="3"/>
      <c r="CW11" s="3"/>
      <c r="CX11" s="3"/>
      <c r="CY11" s="3"/>
      <c r="CZ11" s="3"/>
      <c r="DA11" s="3"/>
      <c r="DB11" s="3"/>
      <c r="DC11" s="3"/>
      <c r="DD11" s="3"/>
      <c r="DE11" s="3"/>
      <c r="DF11" s="3"/>
      <c r="DG11" s="3"/>
      <c r="DH11" s="3"/>
      <c r="DI11" s="3"/>
      <c r="DJ11" s="3"/>
      <c r="DK11" s="3"/>
      <c r="DL11" s="3"/>
      <c r="DM11" s="3"/>
      <c r="DN11" s="3"/>
      <c r="DO11" s="3"/>
      <c r="DP11" s="3">
        <v>0</v>
      </c>
      <c r="DQ11" s="3">
        <v>30900000</v>
      </c>
      <c r="DR11" s="3">
        <v>0</v>
      </c>
      <c r="DS11" s="3">
        <v>30900000</v>
      </c>
      <c r="DT11" s="3">
        <v>0</v>
      </c>
      <c r="DU11" s="3">
        <v>130900000</v>
      </c>
      <c r="DV11" s="3">
        <v>0</v>
      </c>
      <c r="DW11" s="3">
        <v>130900000</v>
      </c>
      <c r="DX11" s="3"/>
      <c r="DY11" s="3"/>
      <c r="DZ11" s="3"/>
      <c r="EA11" s="3"/>
      <c r="EB11" s="3"/>
      <c r="EC11" s="3"/>
      <c r="ED11" s="3"/>
      <c r="EE11" s="3"/>
      <c r="EF11" s="3"/>
      <c r="EG11" s="3"/>
      <c r="EH11" s="3"/>
      <c r="EI11" s="3"/>
      <c r="EJ11" s="3"/>
      <c r="EK11" s="3"/>
      <c r="EL11" s="3"/>
      <c r="EM11" s="3"/>
      <c r="EN11" s="3"/>
      <c r="EO11" s="3"/>
      <c r="EP11" s="3"/>
      <c r="EQ11" s="3"/>
      <c r="ER11" s="3">
        <v>0</v>
      </c>
      <c r="ES11" s="3">
        <v>130900000</v>
      </c>
      <c r="ET11" s="3">
        <v>0</v>
      </c>
      <c r="EU11" s="3">
        <v>130900000</v>
      </c>
      <c r="EV11" s="3">
        <v>0</v>
      </c>
      <c r="EW11" s="3">
        <v>130900000</v>
      </c>
      <c r="EX11" s="3">
        <v>0</v>
      </c>
      <c r="EY11" s="3">
        <v>130900000</v>
      </c>
      <c r="EZ11" s="3"/>
      <c r="FA11" s="3"/>
      <c r="FB11" s="3"/>
      <c r="FC11" s="3"/>
      <c r="FD11" s="3"/>
      <c r="FE11" s="3"/>
      <c r="FF11" s="3"/>
      <c r="FG11" s="3"/>
      <c r="FH11" s="6"/>
      <c r="FI11" s="3"/>
      <c r="FJ11" s="3"/>
      <c r="FK11" s="3"/>
      <c r="FL11" s="3"/>
      <c r="FM11" s="3"/>
      <c r="FN11" s="3"/>
      <c r="FO11" s="3"/>
      <c r="FP11" s="3"/>
      <c r="FQ11" s="3"/>
      <c r="FR11" s="3"/>
      <c r="FS11" s="3"/>
      <c r="FT11" s="3">
        <v>0</v>
      </c>
      <c r="FU11" s="3">
        <v>130900000</v>
      </c>
      <c r="FV11" s="3">
        <v>0</v>
      </c>
      <c r="FW11" s="3">
        <v>130900000</v>
      </c>
      <c r="FX11" s="3">
        <v>0</v>
      </c>
      <c r="FY11" s="3">
        <v>130900000</v>
      </c>
      <c r="FZ11" s="3">
        <v>0</v>
      </c>
      <c r="GA11" s="3">
        <v>130900000</v>
      </c>
      <c r="GB11" s="3"/>
      <c r="GC11" s="3"/>
      <c r="GD11" s="3"/>
      <c r="GE11" s="3"/>
      <c r="GF11" s="3"/>
      <c r="GG11" s="3"/>
      <c r="GH11" s="3"/>
      <c r="GI11" s="3"/>
      <c r="GJ11" s="3"/>
      <c r="GK11" s="3"/>
      <c r="GL11" s="3"/>
      <c r="GM11" s="3"/>
      <c r="GN11" s="3"/>
      <c r="GO11" s="3"/>
      <c r="GP11" s="3"/>
      <c r="GQ11" s="3"/>
      <c r="GR11" s="3"/>
      <c r="GS11" s="6"/>
      <c r="GT11" s="3"/>
      <c r="GU11" s="3"/>
      <c r="GV11" s="3">
        <v>0</v>
      </c>
      <c r="GW11" s="3">
        <v>130900000</v>
      </c>
      <c r="GX11" s="3">
        <v>0</v>
      </c>
      <c r="GY11" s="3">
        <v>130900000</v>
      </c>
      <c r="GZ11" s="3">
        <v>0</v>
      </c>
      <c r="HA11" s="3">
        <v>130900000</v>
      </c>
      <c r="HB11" s="3">
        <v>0</v>
      </c>
      <c r="HC11" s="3">
        <v>130900000</v>
      </c>
      <c r="HD11" s="3"/>
      <c r="HE11" s="3"/>
      <c r="HF11" s="3"/>
      <c r="HG11" s="3"/>
      <c r="HH11" s="3"/>
      <c r="HI11" s="3"/>
      <c r="HJ11" s="3"/>
      <c r="HK11" s="3"/>
      <c r="HL11" s="3"/>
      <c r="HM11" s="3"/>
      <c r="HN11" s="3"/>
      <c r="HO11" s="3"/>
      <c r="HP11" s="3"/>
      <c r="HQ11" s="3"/>
      <c r="HR11" s="3"/>
      <c r="HS11" s="3"/>
      <c r="HT11" s="3"/>
      <c r="HU11" s="3"/>
      <c r="HV11" s="3"/>
      <c r="HW11" s="3"/>
      <c r="HX11" s="3">
        <v>0</v>
      </c>
      <c r="HY11" s="3">
        <v>130900000</v>
      </c>
      <c r="HZ11" s="3">
        <v>0</v>
      </c>
      <c r="IA11" s="3">
        <v>130900000</v>
      </c>
      <c r="IB11" s="3">
        <v>0</v>
      </c>
      <c r="IC11" s="3">
        <v>130900000</v>
      </c>
      <c r="ID11" s="3">
        <v>0</v>
      </c>
      <c r="IE11" s="3">
        <v>130900000</v>
      </c>
    </row>
    <row r="12" spans="1:239" x14ac:dyDescent="0.25">
      <c r="A12" t="s">
        <v>1243</v>
      </c>
      <c r="B12" t="s">
        <v>1244</v>
      </c>
      <c r="C12" t="s">
        <v>199</v>
      </c>
      <c r="D12" t="s">
        <v>1245</v>
      </c>
      <c r="E12" t="s">
        <v>208</v>
      </c>
      <c r="F12" s="4" t="s">
        <v>687</v>
      </c>
      <c r="G12" t="s">
        <v>1271</v>
      </c>
      <c r="H12" s="3">
        <v>0</v>
      </c>
      <c r="I12" s="3">
        <v>72010000</v>
      </c>
      <c r="J12" s="3">
        <v>300100000</v>
      </c>
      <c r="K12" s="3">
        <v>372110000</v>
      </c>
      <c r="L12" s="3">
        <v>0</v>
      </c>
      <c r="M12" s="3">
        <v>72010000</v>
      </c>
      <c r="N12" s="3">
        <v>300100000</v>
      </c>
      <c r="O12" s="3">
        <v>372110000</v>
      </c>
      <c r="P12" s="3"/>
      <c r="Q12" s="3"/>
      <c r="R12" s="3"/>
      <c r="S12" s="3"/>
      <c r="T12" s="3"/>
      <c r="U12" s="3"/>
      <c r="V12" s="3"/>
      <c r="W12" s="3"/>
      <c r="X12" s="6"/>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6"/>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6"/>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6"/>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row>
    <row r="13" spans="1:239" x14ac:dyDescent="0.25">
      <c r="A13" t="s">
        <v>1243</v>
      </c>
      <c r="B13" t="s">
        <v>1244</v>
      </c>
      <c r="C13" t="s">
        <v>199</v>
      </c>
      <c r="D13" t="s">
        <v>1245</v>
      </c>
      <c r="E13" t="s">
        <v>208</v>
      </c>
      <c r="F13" t="s">
        <v>1246</v>
      </c>
      <c r="G13" t="s">
        <v>1272</v>
      </c>
      <c r="H13" s="3">
        <v>0</v>
      </c>
      <c r="I13" s="3">
        <v>0</v>
      </c>
      <c r="J13" s="3">
        <v>897110000</v>
      </c>
      <c r="K13" s="3">
        <v>897110000</v>
      </c>
      <c r="L13" s="3">
        <v>0</v>
      </c>
      <c r="M13" s="3">
        <v>0</v>
      </c>
      <c r="N13" s="3">
        <v>1047110000</v>
      </c>
      <c r="O13" s="3">
        <v>1047110000</v>
      </c>
      <c r="P13" s="3"/>
      <c r="Q13" s="3"/>
      <c r="R13" s="3"/>
      <c r="S13" s="3"/>
      <c r="T13" s="3"/>
      <c r="U13" s="3"/>
      <c r="V13" s="3"/>
      <c r="W13" s="3"/>
      <c r="X13" s="6"/>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v>0</v>
      </c>
      <c r="BM13" s="3">
        <v>0</v>
      </c>
      <c r="BN13" s="3">
        <v>1218808000</v>
      </c>
      <c r="BO13" s="3">
        <v>1218808000</v>
      </c>
      <c r="BP13" s="3">
        <v>0</v>
      </c>
      <c r="BQ13" s="3">
        <v>0</v>
      </c>
      <c r="BR13" s="3">
        <v>1268808000</v>
      </c>
      <c r="BS13" s="3">
        <v>1268808000</v>
      </c>
      <c r="BT13" s="3"/>
      <c r="BU13" s="3"/>
      <c r="BV13" s="3"/>
      <c r="BW13" s="3"/>
      <c r="BX13" s="3"/>
      <c r="BY13" s="3"/>
      <c r="BZ13" s="3"/>
      <c r="CA13" s="3"/>
      <c r="CB13" s="3"/>
      <c r="CC13" s="3"/>
      <c r="CD13" s="3"/>
      <c r="CE13" s="6"/>
      <c r="CF13" s="3"/>
      <c r="CG13" s="3"/>
      <c r="CH13" s="3"/>
      <c r="CI13" s="3"/>
      <c r="CJ13" s="3"/>
      <c r="CK13" s="3"/>
      <c r="CL13" s="3"/>
      <c r="CM13" s="3"/>
      <c r="CN13" s="3">
        <v>0</v>
      </c>
      <c r="CO13" s="3">
        <v>0</v>
      </c>
      <c r="CP13" s="3">
        <v>878505000</v>
      </c>
      <c r="CQ13" s="3">
        <v>878505000</v>
      </c>
      <c r="CR13" s="3">
        <v>0</v>
      </c>
      <c r="CS13" s="3">
        <v>0</v>
      </c>
      <c r="CT13" s="3">
        <v>928505000</v>
      </c>
      <c r="CU13" s="3">
        <v>928505000</v>
      </c>
      <c r="CV13" s="3"/>
      <c r="CW13" s="3"/>
      <c r="CX13" s="3"/>
      <c r="CY13" s="3"/>
      <c r="CZ13" s="3"/>
      <c r="DA13" s="3"/>
      <c r="DB13" s="3"/>
      <c r="DC13" s="3"/>
      <c r="DD13" s="3"/>
      <c r="DE13" s="3"/>
      <c r="DF13" s="3"/>
      <c r="DG13" s="3"/>
      <c r="DH13" s="3"/>
      <c r="DI13" s="3"/>
      <c r="DJ13" s="3"/>
      <c r="DK13" s="3"/>
      <c r="DL13" s="3"/>
      <c r="DM13" s="3"/>
      <c r="DN13" s="3"/>
      <c r="DO13" s="3"/>
      <c r="DP13" s="3">
        <v>0</v>
      </c>
      <c r="DQ13" s="3">
        <v>0</v>
      </c>
      <c r="DR13" s="3">
        <v>1304312000</v>
      </c>
      <c r="DS13" s="3">
        <v>1304312000</v>
      </c>
      <c r="DT13" s="3">
        <v>0</v>
      </c>
      <c r="DU13" s="3">
        <v>0</v>
      </c>
      <c r="DV13" s="3">
        <v>1307812000</v>
      </c>
      <c r="DW13" s="3">
        <v>1307812000</v>
      </c>
      <c r="DX13" s="3"/>
      <c r="DY13" s="3"/>
      <c r="DZ13" s="3"/>
      <c r="EA13" s="3"/>
      <c r="EB13" s="3"/>
      <c r="EC13" s="3"/>
      <c r="ED13" s="3"/>
      <c r="EE13" s="3"/>
      <c r="EF13" s="3"/>
      <c r="EG13" s="3"/>
      <c r="EH13" s="3"/>
      <c r="EI13" s="3"/>
      <c r="EJ13" s="3"/>
      <c r="EK13" s="3"/>
      <c r="EL13" s="3"/>
      <c r="EM13" s="3"/>
      <c r="EN13" s="3"/>
      <c r="EO13" s="3"/>
      <c r="EP13" s="3"/>
      <c r="EQ13" s="3"/>
      <c r="ER13" s="3">
        <v>0</v>
      </c>
      <c r="ES13" s="3">
        <v>0</v>
      </c>
      <c r="ET13" s="3">
        <v>1272761000</v>
      </c>
      <c r="EU13" s="3">
        <v>1272761000</v>
      </c>
      <c r="EV13" s="3">
        <v>0</v>
      </c>
      <c r="EW13" s="3">
        <v>0</v>
      </c>
      <c r="EX13" s="3">
        <v>1272761000</v>
      </c>
      <c r="EY13" s="3">
        <v>1272761000</v>
      </c>
      <c r="EZ13" s="3"/>
      <c r="FA13" s="3"/>
      <c r="FB13" s="3"/>
      <c r="FC13" s="3"/>
      <c r="FD13" s="3"/>
      <c r="FE13" s="3"/>
      <c r="FF13" s="3"/>
      <c r="FG13" s="3"/>
      <c r="FH13" s="6"/>
      <c r="FI13" s="3"/>
      <c r="FJ13" s="3"/>
      <c r="FK13" s="3"/>
      <c r="FL13" s="3"/>
      <c r="FM13" s="3"/>
      <c r="FN13" s="3"/>
      <c r="FO13" s="3"/>
      <c r="FP13" s="3"/>
      <c r="FQ13" s="3"/>
      <c r="FR13" s="3"/>
      <c r="FS13" s="3"/>
      <c r="FT13" s="3">
        <v>0</v>
      </c>
      <c r="FU13" s="3">
        <v>0</v>
      </c>
      <c r="FV13" s="3">
        <v>4185479000</v>
      </c>
      <c r="FW13" s="3">
        <v>4185479000</v>
      </c>
      <c r="FX13" s="3">
        <v>0</v>
      </c>
      <c r="FY13" s="3">
        <v>0</v>
      </c>
      <c r="FZ13" s="3">
        <v>4185479000</v>
      </c>
      <c r="GA13" s="3">
        <v>4185479000</v>
      </c>
      <c r="GB13" s="3"/>
      <c r="GC13" s="3"/>
      <c r="GD13" s="3"/>
      <c r="GE13" s="3"/>
      <c r="GF13" s="3"/>
      <c r="GG13" s="3"/>
      <c r="GH13" s="3"/>
      <c r="GI13" s="3"/>
      <c r="GJ13" s="3"/>
      <c r="GK13" s="3"/>
      <c r="GL13" s="3"/>
      <c r="GM13" s="3"/>
      <c r="GN13" s="3"/>
      <c r="GO13" s="3"/>
      <c r="GP13" s="3"/>
      <c r="GQ13" s="3"/>
      <c r="GR13" s="3"/>
      <c r="GS13" s="6"/>
      <c r="GT13" s="3"/>
      <c r="GU13" s="3"/>
      <c r="GV13" s="3">
        <v>0</v>
      </c>
      <c r="GW13" s="3">
        <v>0</v>
      </c>
      <c r="GX13" s="3">
        <v>660288000</v>
      </c>
      <c r="GY13" s="3">
        <v>660288000</v>
      </c>
      <c r="GZ13" s="3">
        <v>0</v>
      </c>
      <c r="HA13" s="3">
        <v>0</v>
      </c>
      <c r="HB13" s="3">
        <v>720288000</v>
      </c>
      <c r="HC13" s="3">
        <v>720288000</v>
      </c>
      <c r="HD13" s="3"/>
      <c r="HE13" s="3"/>
      <c r="HF13" s="3"/>
      <c r="HG13" s="3"/>
      <c r="HH13" s="3"/>
      <c r="HI13" s="3"/>
      <c r="HJ13" s="3"/>
      <c r="HK13" s="3"/>
      <c r="HL13" s="3"/>
      <c r="HM13" s="3"/>
      <c r="HN13" s="3"/>
      <c r="HO13" s="3"/>
      <c r="HP13" s="3"/>
      <c r="HQ13" s="3"/>
      <c r="HR13" s="3"/>
      <c r="HS13" s="3"/>
      <c r="HT13" s="3"/>
      <c r="HU13" s="3"/>
      <c r="HV13" s="3"/>
      <c r="HW13" s="3"/>
      <c r="HX13" s="3">
        <v>0</v>
      </c>
      <c r="HY13" s="3">
        <v>0</v>
      </c>
      <c r="HZ13" s="3">
        <v>2688606000</v>
      </c>
      <c r="IA13" s="3">
        <v>2688606000</v>
      </c>
      <c r="IB13" s="3">
        <v>0</v>
      </c>
      <c r="IC13" s="3">
        <v>0</v>
      </c>
      <c r="ID13" s="3">
        <v>2688606000</v>
      </c>
      <c r="IE13" s="3">
        <v>2688606000</v>
      </c>
    </row>
    <row r="14" spans="1:239" x14ac:dyDescent="0.25">
      <c r="A14" t="s">
        <v>1243</v>
      </c>
      <c r="B14" t="s">
        <v>1244</v>
      </c>
      <c r="C14" t="s">
        <v>199</v>
      </c>
      <c r="D14" t="s">
        <v>1245</v>
      </c>
      <c r="E14" t="s">
        <v>208</v>
      </c>
      <c r="F14" t="s">
        <v>1247</v>
      </c>
      <c r="H14" s="3"/>
      <c r="I14" s="3"/>
      <c r="J14" s="3"/>
      <c r="K14" s="3"/>
      <c r="L14" s="3"/>
      <c r="M14" s="3"/>
      <c r="N14" s="3"/>
      <c r="O14" s="3"/>
      <c r="P14" s="3"/>
      <c r="Q14" s="3"/>
      <c r="R14" s="3"/>
      <c r="S14" s="3"/>
      <c r="T14" s="3"/>
      <c r="U14" s="3"/>
      <c r="V14" s="3"/>
      <c r="W14" s="3"/>
      <c r="X14" s="6"/>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v>0</v>
      </c>
      <c r="BM14" s="3">
        <v>11000000</v>
      </c>
      <c r="BN14" s="3">
        <v>0</v>
      </c>
      <c r="BO14" s="3">
        <v>11000000</v>
      </c>
      <c r="BP14" s="3">
        <v>0</v>
      </c>
      <c r="BQ14" s="3">
        <v>11000000</v>
      </c>
      <c r="BR14" s="3">
        <v>0</v>
      </c>
      <c r="BS14" s="3">
        <v>11000000</v>
      </c>
      <c r="BT14" s="3"/>
      <c r="BU14" s="3"/>
      <c r="BV14" s="3"/>
      <c r="BW14" s="3"/>
      <c r="BX14" s="3"/>
      <c r="BY14" s="3"/>
      <c r="BZ14" s="3"/>
      <c r="CA14" s="3"/>
      <c r="CB14" s="3"/>
      <c r="CC14" s="3"/>
      <c r="CD14" s="3"/>
      <c r="CE14" s="6"/>
      <c r="CF14" s="3"/>
      <c r="CG14" s="3"/>
      <c r="CH14" s="3"/>
      <c r="CI14" s="3"/>
      <c r="CJ14" s="3"/>
      <c r="CK14" s="3"/>
      <c r="CL14" s="3"/>
      <c r="CM14" s="3"/>
      <c r="CN14" s="3">
        <v>0</v>
      </c>
      <c r="CO14" s="3">
        <v>15000000</v>
      </c>
      <c r="CP14" s="3">
        <v>0</v>
      </c>
      <c r="CQ14" s="3">
        <v>15000000</v>
      </c>
      <c r="CR14" s="3">
        <v>0</v>
      </c>
      <c r="CS14" s="3">
        <v>15000000</v>
      </c>
      <c r="CT14" s="3">
        <v>0</v>
      </c>
      <c r="CU14" s="3">
        <v>15000000</v>
      </c>
      <c r="CV14" s="3"/>
      <c r="CW14" s="3"/>
      <c r="CX14" s="3"/>
      <c r="CY14" s="3"/>
      <c r="CZ14" s="3"/>
      <c r="DA14" s="3"/>
      <c r="DB14" s="3"/>
      <c r="DC14" s="3"/>
      <c r="DD14" s="3"/>
      <c r="DE14" s="3"/>
      <c r="DF14" s="3"/>
      <c r="DG14" s="3"/>
      <c r="DH14" s="3"/>
      <c r="DI14" s="3"/>
      <c r="DJ14" s="3"/>
      <c r="DK14" s="3"/>
      <c r="DL14" s="3"/>
      <c r="DM14" s="3"/>
      <c r="DN14" s="3"/>
      <c r="DO14" s="3"/>
      <c r="DP14" s="3">
        <v>0</v>
      </c>
      <c r="DQ14" s="3">
        <v>19000000</v>
      </c>
      <c r="DR14" s="3">
        <v>0</v>
      </c>
      <c r="DS14" s="3">
        <v>19000000</v>
      </c>
      <c r="DT14" s="3">
        <v>0</v>
      </c>
      <c r="DU14" s="3">
        <v>19000000</v>
      </c>
      <c r="DV14" s="3">
        <v>0</v>
      </c>
      <c r="DW14" s="3">
        <v>19000000</v>
      </c>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6"/>
      <c r="FI14" s="3"/>
      <c r="FJ14" s="3"/>
      <c r="FK14" s="3"/>
      <c r="FL14" s="3"/>
      <c r="FM14" s="3"/>
      <c r="FN14" s="3"/>
      <c r="FO14" s="3"/>
      <c r="FP14" s="3"/>
      <c r="FQ14" s="3"/>
      <c r="FR14" s="3"/>
      <c r="FS14" s="3"/>
      <c r="FT14" s="3">
        <v>0</v>
      </c>
      <c r="FU14" s="3">
        <v>42680000</v>
      </c>
      <c r="FV14" s="3">
        <v>186400000</v>
      </c>
      <c r="FW14" s="3">
        <v>229080000</v>
      </c>
      <c r="FX14" s="3">
        <v>0</v>
      </c>
      <c r="FY14" s="3">
        <v>42680000</v>
      </c>
      <c r="FZ14" s="3">
        <v>186400000</v>
      </c>
      <c r="GA14" s="3">
        <v>229080000</v>
      </c>
      <c r="GB14" s="3"/>
      <c r="GC14" s="3"/>
      <c r="GD14" s="3"/>
      <c r="GE14" s="3"/>
      <c r="GF14" s="3"/>
      <c r="GG14" s="3"/>
      <c r="GH14" s="3"/>
      <c r="GI14" s="3"/>
      <c r="GJ14" s="3"/>
      <c r="GK14" s="3"/>
      <c r="GL14" s="3"/>
      <c r="GM14" s="3"/>
      <c r="GN14" s="3"/>
      <c r="GO14" s="3"/>
      <c r="GP14" s="3"/>
      <c r="GQ14" s="3"/>
      <c r="GR14" s="3"/>
      <c r="GS14" s="6"/>
      <c r="GT14" s="3"/>
      <c r="GU14" s="3"/>
      <c r="GV14" s="3">
        <v>0</v>
      </c>
      <c r="GW14" s="3">
        <v>115355000</v>
      </c>
      <c r="GX14" s="3">
        <v>218310000</v>
      </c>
      <c r="GY14" s="3">
        <v>333665000</v>
      </c>
      <c r="GZ14" s="3">
        <v>0</v>
      </c>
      <c r="HA14" s="3">
        <v>115355000</v>
      </c>
      <c r="HB14" s="3">
        <v>218310000</v>
      </c>
      <c r="HC14" s="3">
        <v>333665000</v>
      </c>
      <c r="HD14" s="3"/>
      <c r="HE14" s="3"/>
      <c r="HF14" s="3"/>
      <c r="HG14" s="3"/>
      <c r="HH14" s="3"/>
      <c r="HI14" s="3"/>
      <c r="HJ14" s="3"/>
      <c r="HK14" s="3"/>
      <c r="HL14" s="3"/>
      <c r="HM14" s="3"/>
      <c r="HN14" s="3"/>
      <c r="HO14" s="3"/>
      <c r="HP14" s="3"/>
      <c r="HQ14" s="3"/>
      <c r="HR14" s="3"/>
      <c r="HS14" s="3"/>
      <c r="HT14" s="3"/>
      <c r="HU14" s="3"/>
      <c r="HV14" s="3"/>
      <c r="HW14" s="3"/>
      <c r="HX14" s="3">
        <v>0</v>
      </c>
      <c r="HY14" s="3">
        <v>175819000</v>
      </c>
      <c r="HZ14" s="3">
        <v>0</v>
      </c>
      <c r="IA14" s="3">
        <v>175819000</v>
      </c>
      <c r="IB14" s="3">
        <v>0</v>
      </c>
      <c r="IC14" s="3">
        <v>175819000</v>
      </c>
      <c r="ID14" s="3">
        <v>150000000</v>
      </c>
      <c r="IE14" s="3">
        <v>325819000</v>
      </c>
    </row>
    <row r="15" spans="1:239" x14ac:dyDescent="0.25">
      <c r="A15" t="s">
        <v>1243</v>
      </c>
      <c r="B15" t="s">
        <v>1244</v>
      </c>
      <c r="C15" t="s">
        <v>199</v>
      </c>
      <c r="D15" t="s">
        <v>1245</v>
      </c>
      <c r="E15" t="s">
        <v>208</v>
      </c>
      <c r="F15" t="s">
        <v>1248</v>
      </c>
      <c r="H15" s="3"/>
      <c r="I15" s="3"/>
      <c r="J15" s="3"/>
      <c r="K15" s="3"/>
      <c r="L15" s="3"/>
      <c r="M15" s="3"/>
      <c r="N15" s="3"/>
      <c r="O15" s="3"/>
      <c r="P15" s="3"/>
      <c r="Q15" s="3"/>
      <c r="R15" s="3"/>
      <c r="S15" s="3"/>
      <c r="T15" s="3"/>
      <c r="U15" s="3"/>
      <c r="V15" s="3"/>
      <c r="W15" s="3"/>
      <c r="X15" s="6"/>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6"/>
      <c r="CF15" s="3"/>
      <c r="CG15" s="3"/>
      <c r="CH15" s="3"/>
      <c r="CI15" s="3"/>
      <c r="CJ15" s="3"/>
      <c r="CK15" s="3"/>
      <c r="CL15" s="3"/>
      <c r="CM15" s="3"/>
      <c r="CN15" s="3"/>
      <c r="CO15" s="3"/>
      <c r="CP15" s="3"/>
      <c r="CQ15" s="3"/>
      <c r="CR15" s="3">
        <v>0</v>
      </c>
      <c r="CS15" s="3">
        <v>100000000</v>
      </c>
      <c r="CT15" s="3">
        <v>100000000</v>
      </c>
      <c r="CU15" s="3">
        <v>200000000</v>
      </c>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6"/>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6"/>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row>
    <row r="16" spans="1:239" x14ac:dyDescent="0.25">
      <c r="A16" t="s">
        <v>1243</v>
      </c>
      <c r="B16" t="s">
        <v>1244</v>
      </c>
      <c r="C16" t="s">
        <v>199</v>
      </c>
      <c r="D16" t="s">
        <v>1245</v>
      </c>
      <c r="E16" t="s">
        <v>208</v>
      </c>
      <c r="F16" t="s">
        <v>1249</v>
      </c>
      <c r="H16" s="3"/>
      <c r="I16" s="3"/>
      <c r="J16" s="3"/>
      <c r="K16" s="3"/>
      <c r="L16" s="3"/>
      <c r="M16" s="3"/>
      <c r="N16" s="3"/>
      <c r="O16" s="3"/>
      <c r="P16" s="3"/>
      <c r="Q16" s="3"/>
      <c r="R16" s="3"/>
      <c r="S16" s="3"/>
      <c r="T16" s="3"/>
      <c r="U16" s="3"/>
      <c r="V16" s="3"/>
      <c r="W16" s="3"/>
      <c r="X16" s="6"/>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6"/>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v>0</v>
      </c>
      <c r="ES16" s="3">
        <v>0</v>
      </c>
      <c r="ET16" s="3">
        <v>0</v>
      </c>
      <c r="EU16" s="3">
        <v>0</v>
      </c>
      <c r="EV16" s="3">
        <v>0</v>
      </c>
      <c r="EW16" s="3">
        <v>410000000</v>
      </c>
      <c r="EX16" s="3">
        <v>0</v>
      </c>
      <c r="EY16" s="3">
        <v>410000000</v>
      </c>
      <c r="EZ16" s="3"/>
      <c r="FA16" s="3"/>
      <c r="FB16" s="3"/>
      <c r="FC16" s="3"/>
      <c r="FD16" s="3"/>
      <c r="FE16" s="3"/>
      <c r="FF16" s="3"/>
      <c r="FG16" s="3"/>
      <c r="FH16" s="6"/>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6"/>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row>
    <row r="17" spans="1:239" x14ac:dyDescent="0.25">
      <c r="A17" t="s">
        <v>1243</v>
      </c>
      <c r="B17" t="s">
        <v>1244</v>
      </c>
      <c r="C17" t="s">
        <v>199</v>
      </c>
      <c r="D17" t="s">
        <v>1245</v>
      </c>
      <c r="E17" t="s">
        <v>208</v>
      </c>
      <c r="F17" t="s">
        <v>1250</v>
      </c>
      <c r="H17" s="3"/>
      <c r="I17" s="3"/>
      <c r="J17" s="3"/>
      <c r="K17" s="3"/>
      <c r="L17" s="3"/>
      <c r="M17" s="3"/>
      <c r="N17" s="3"/>
      <c r="O17" s="3"/>
      <c r="P17" s="3"/>
      <c r="Q17" s="3"/>
      <c r="R17" s="3"/>
      <c r="S17" s="3"/>
      <c r="T17" s="3"/>
      <c r="U17" s="3"/>
      <c r="V17" s="3"/>
      <c r="W17" s="3"/>
      <c r="X17" s="6"/>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6"/>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6"/>
      <c r="FI17" s="3"/>
      <c r="FJ17" s="3"/>
      <c r="FK17" s="3"/>
      <c r="FL17" s="3"/>
      <c r="FM17" s="3"/>
      <c r="FN17" s="3"/>
      <c r="FO17" s="3"/>
      <c r="FP17" s="3"/>
      <c r="FQ17" s="3"/>
      <c r="FR17" s="3"/>
      <c r="FS17" s="3"/>
      <c r="FT17" s="3"/>
      <c r="FU17" s="3"/>
      <c r="FV17" s="3"/>
      <c r="FW17" s="3"/>
      <c r="FX17" s="3">
        <v>0</v>
      </c>
      <c r="FY17" s="3">
        <v>720956000</v>
      </c>
      <c r="FZ17" s="3">
        <v>0</v>
      </c>
      <c r="GA17" s="3">
        <v>720956000</v>
      </c>
      <c r="GB17" s="3"/>
      <c r="GC17" s="3"/>
      <c r="GD17" s="3"/>
      <c r="GE17" s="3"/>
      <c r="GF17" s="3"/>
      <c r="GG17" s="3"/>
      <c r="GH17" s="3"/>
      <c r="GI17" s="3"/>
      <c r="GJ17" s="3"/>
      <c r="GK17" s="3"/>
      <c r="GL17" s="3"/>
      <c r="GM17" s="3"/>
      <c r="GN17" s="3"/>
      <c r="GO17" s="3"/>
      <c r="GP17" s="3"/>
      <c r="GQ17" s="3"/>
      <c r="GR17" s="3"/>
      <c r="GS17" s="6"/>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row>
    <row r="18" spans="1:239" x14ac:dyDescent="0.25">
      <c r="A18" t="s">
        <v>1243</v>
      </c>
      <c r="B18" t="s">
        <v>1244</v>
      </c>
      <c r="C18" t="s">
        <v>199</v>
      </c>
      <c r="D18" t="s">
        <v>1245</v>
      </c>
      <c r="E18" t="s">
        <v>208</v>
      </c>
      <c r="F18" t="s">
        <v>1251</v>
      </c>
      <c r="H18" s="3"/>
      <c r="I18" s="3"/>
      <c r="J18" s="3"/>
      <c r="K18" s="3"/>
      <c r="L18" s="3"/>
      <c r="M18" s="3"/>
      <c r="N18" s="3"/>
      <c r="O18" s="3"/>
      <c r="P18" s="3"/>
      <c r="Q18" s="3"/>
      <c r="R18" s="3"/>
      <c r="S18" s="3"/>
      <c r="T18" s="3"/>
      <c r="U18" s="3"/>
      <c r="V18" s="3"/>
      <c r="W18" s="3"/>
      <c r="X18" s="6"/>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6"/>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6"/>
      <c r="FI18" s="3"/>
      <c r="FJ18" s="3"/>
      <c r="FK18" s="3"/>
      <c r="FL18" s="3"/>
      <c r="FM18" s="3"/>
      <c r="FN18" s="3"/>
      <c r="FO18" s="3"/>
      <c r="FP18" s="3"/>
      <c r="FQ18" s="3"/>
      <c r="FR18" s="3"/>
      <c r="FS18" s="3"/>
      <c r="FT18" s="3">
        <v>0</v>
      </c>
      <c r="FU18" s="3">
        <v>720956000</v>
      </c>
      <c r="FV18" s="3">
        <v>0</v>
      </c>
      <c r="FW18" s="3">
        <v>720956000</v>
      </c>
      <c r="FX18" s="3">
        <v>0</v>
      </c>
      <c r="FY18" s="3">
        <v>100000000</v>
      </c>
      <c r="FZ18" s="3">
        <v>0</v>
      </c>
      <c r="GA18" s="3">
        <v>100000000</v>
      </c>
      <c r="GB18" s="3"/>
      <c r="GC18" s="3"/>
      <c r="GD18" s="3"/>
      <c r="GE18" s="3"/>
      <c r="GF18" s="3"/>
      <c r="GG18" s="3"/>
      <c r="GH18" s="3"/>
      <c r="GI18" s="3"/>
      <c r="GJ18" s="3"/>
      <c r="GK18" s="3"/>
      <c r="GL18" s="3"/>
      <c r="GM18" s="3"/>
      <c r="GN18" s="3"/>
      <c r="GO18" s="3"/>
      <c r="GP18" s="3"/>
      <c r="GQ18" s="3"/>
      <c r="GR18" s="3"/>
      <c r="GS18" s="6"/>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row>
    <row r="19" spans="1:239" x14ac:dyDescent="0.25">
      <c r="A19" t="s">
        <v>1243</v>
      </c>
      <c r="B19" t="s">
        <v>1244</v>
      </c>
      <c r="C19" t="s">
        <v>199</v>
      </c>
      <c r="D19" t="s">
        <v>1245</v>
      </c>
      <c r="E19" t="s">
        <v>208</v>
      </c>
      <c r="F19" t="s">
        <v>1252</v>
      </c>
      <c r="H19" s="3"/>
      <c r="I19" s="3"/>
      <c r="J19" s="3"/>
      <c r="K19" s="3"/>
      <c r="L19" s="3"/>
      <c r="M19" s="3"/>
      <c r="N19" s="3"/>
      <c r="O19" s="3"/>
      <c r="P19" s="3"/>
      <c r="Q19" s="3"/>
      <c r="R19" s="3"/>
      <c r="S19" s="3"/>
      <c r="T19" s="3"/>
      <c r="U19" s="3"/>
      <c r="V19" s="3"/>
      <c r="W19" s="3"/>
      <c r="X19" s="6"/>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6"/>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6"/>
      <c r="FI19" s="3"/>
      <c r="FJ19" s="3"/>
      <c r="FK19" s="3"/>
      <c r="FL19" s="3"/>
      <c r="FM19" s="3"/>
      <c r="FN19" s="3"/>
      <c r="FO19" s="3"/>
      <c r="FP19" s="3"/>
      <c r="FQ19" s="3"/>
      <c r="FR19" s="3"/>
      <c r="FS19" s="3"/>
      <c r="FT19" s="3">
        <v>0</v>
      </c>
      <c r="FU19" s="3">
        <v>100000000</v>
      </c>
      <c r="FV19" s="3">
        <v>0</v>
      </c>
      <c r="FW19" s="3">
        <v>100000000</v>
      </c>
      <c r="FX19" s="3"/>
      <c r="FY19" s="3"/>
      <c r="FZ19" s="3"/>
      <c r="GA19" s="3"/>
      <c r="GB19" s="3"/>
      <c r="GC19" s="3"/>
      <c r="GD19" s="3"/>
      <c r="GE19" s="3"/>
      <c r="GF19" s="3"/>
      <c r="GG19" s="3"/>
      <c r="GH19" s="3"/>
      <c r="GI19" s="3"/>
      <c r="GJ19" s="3"/>
      <c r="GK19" s="3"/>
      <c r="GL19" s="3"/>
      <c r="GM19" s="3"/>
      <c r="GN19" s="3"/>
      <c r="GO19" s="3"/>
      <c r="GP19" s="3"/>
      <c r="GQ19" s="3"/>
      <c r="GR19" s="3"/>
      <c r="GS19" s="6"/>
      <c r="GT19" s="3"/>
      <c r="GU19" s="3"/>
      <c r="GV19" s="3">
        <v>0</v>
      </c>
      <c r="GW19" s="3">
        <v>1097400000</v>
      </c>
      <c r="GX19" s="3">
        <v>4341475000</v>
      </c>
      <c r="GY19" s="3">
        <v>5438875000</v>
      </c>
      <c r="GZ19" s="3">
        <v>0</v>
      </c>
      <c r="HA19" s="3">
        <v>1097400000</v>
      </c>
      <c r="HB19" s="3">
        <v>4341475000</v>
      </c>
      <c r="HC19" s="3">
        <v>5438875000</v>
      </c>
      <c r="HD19" s="3"/>
      <c r="HE19" s="3"/>
      <c r="HF19" s="3"/>
      <c r="HG19" s="3"/>
      <c r="HH19" s="3"/>
      <c r="HI19" s="3"/>
      <c r="HJ19" s="3"/>
      <c r="HK19" s="3"/>
      <c r="HL19" s="3"/>
      <c r="HM19" s="3"/>
      <c r="HN19" s="3"/>
      <c r="HO19" s="3"/>
      <c r="HP19" s="3"/>
      <c r="HQ19" s="3"/>
      <c r="HR19" s="3"/>
      <c r="HS19" s="3"/>
      <c r="HT19" s="3"/>
      <c r="HU19" s="3"/>
      <c r="HV19" s="3"/>
      <c r="HW19" s="3"/>
      <c r="HX19" s="3">
        <v>0</v>
      </c>
      <c r="HY19" s="3">
        <v>2802503000</v>
      </c>
      <c r="HZ19" s="3">
        <v>2356772000</v>
      </c>
      <c r="IA19" s="3">
        <v>5159275000</v>
      </c>
      <c r="IB19" s="3">
        <v>0</v>
      </c>
      <c r="IC19" s="3">
        <v>2802503000</v>
      </c>
      <c r="ID19" s="3">
        <v>2356772000</v>
      </c>
      <c r="IE19" s="3">
        <v>5159275000</v>
      </c>
    </row>
    <row r="20" spans="1:239" x14ac:dyDescent="0.25">
      <c r="A20" t="s">
        <v>1243</v>
      </c>
      <c r="B20" t="s">
        <v>1244</v>
      </c>
      <c r="C20" t="s">
        <v>199</v>
      </c>
      <c r="D20" t="s">
        <v>1245</v>
      </c>
      <c r="E20" t="s">
        <v>208</v>
      </c>
      <c r="F20" t="s">
        <v>1253</v>
      </c>
      <c r="H20" s="3"/>
      <c r="I20" s="3"/>
      <c r="J20" s="3"/>
      <c r="K20" s="3"/>
      <c r="L20" s="3"/>
      <c r="M20" s="3"/>
      <c r="N20" s="3"/>
      <c r="O20" s="3"/>
      <c r="P20" s="3"/>
      <c r="Q20" s="3"/>
      <c r="R20" s="3"/>
      <c r="S20" s="3"/>
      <c r="T20" s="3"/>
      <c r="U20" s="3"/>
      <c r="V20" s="3"/>
      <c r="W20" s="3"/>
      <c r="X20" s="6"/>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6"/>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6"/>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6"/>
      <c r="GT20" s="3"/>
      <c r="GU20" s="3"/>
      <c r="GV20" s="3">
        <v>0</v>
      </c>
      <c r="GW20" s="3">
        <v>0</v>
      </c>
      <c r="GX20" s="3">
        <v>0</v>
      </c>
      <c r="GY20" s="3">
        <v>0</v>
      </c>
      <c r="GZ20" s="3">
        <v>0</v>
      </c>
      <c r="HA20" s="3">
        <v>843610000</v>
      </c>
      <c r="HB20" s="3">
        <v>0</v>
      </c>
      <c r="HC20" s="3">
        <v>843610000</v>
      </c>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row>
    <row r="21" spans="1:239" x14ac:dyDescent="0.25">
      <c r="A21" t="s">
        <v>1243</v>
      </c>
      <c r="B21" t="s">
        <v>1244</v>
      </c>
      <c r="C21" t="s">
        <v>199</v>
      </c>
      <c r="D21" t="s">
        <v>1245</v>
      </c>
      <c r="E21" t="s">
        <v>208</v>
      </c>
      <c r="F21" t="s">
        <v>1254</v>
      </c>
      <c r="H21" s="3"/>
      <c r="I21" s="3"/>
      <c r="J21" s="3"/>
      <c r="K21" s="3"/>
      <c r="L21" s="3"/>
      <c r="M21" s="3"/>
      <c r="N21" s="3"/>
      <c r="O21" s="3"/>
      <c r="P21" s="3"/>
      <c r="Q21" s="3"/>
      <c r="R21" s="3"/>
      <c r="S21" s="3"/>
      <c r="T21" s="3"/>
      <c r="U21" s="3"/>
      <c r="V21" s="3"/>
      <c r="W21" s="3"/>
      <c r="X21" s="6"/>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6"/>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6"/>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6"/>
      <c r="GT21" s="3"/>
      <c r="GU21" s="3"/>
      <c r="GV21" s="3">
        <v>0</v>
      </c>
      <c r="GW21" s="3">
        <v>843610000</v>
      </c>
      <c r="GX21" s="3">
        <v>0</v>
      </c>
      <c r="GY21" s="3">
        <v>843610000</v>
      </c>
      <c r="GZ21" s="3">
        <v>0</v>
      </c>
      <c r="HA21" s="3">
        <v>113000000</v>
      </c>
      <c r="HB21" s="3">
        <v>0</v>
      </c>
      <c r="HC21" s="3">
        <v>113000000</v>
      </c>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row>
    <row r="22" spans="1:239" x14ac:dyDescent="0.25">
      <c r="A22" t="s">
        <v>1243</v>
      </c>
      <c r="B22" t="s">
        <v>1244</v>
      </c>
      <c r="C22" t="s">
        <v>199</v>
      </c>
      <c r="D22" t="s">
        <v>1245</v>
      </c>
      <c r="E22" t="s">
        <v>208</v>
      </c>
      <c r="F22" t="s">
        <v>1255</v>
      </c>
      <c r="H22" s="3"/>
      <c r="I22" s="3"/>
      <c r="J22" s="3"/>
      <c r="K22" s="3"/>
      <c r="L22" s="3"/>
      <c r="M22" s="3"/>
      <c r="N22" s="3"/>
      <c r="O22" s="3"/>
      <c r="P22" s="3"/>
      <c r="Q22" s="3"/>
      <c r="R22" s="3"/>
      <c r="S22" s="3"/>
      <c r="T22" s="3"/>
      <c r="U22" s="3"/>
      <c r="V22" s="3"/>
      <c r="W22" s="3"/>
      <c r="X22" s="6"/>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6"/>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6"/>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6"/>
      <c r="GT22" s="3"/>
      <c r="GU22" s="3"/>
      <c r="GV22" s="3">
        <v>0</v>
      </c>
      <c r="GW22" s="3">
        <v>113000000</v>
      </c>
      <c r="GX22" s="3">
        <v>0</v>
      </c>
      <c r="GY22" s="3">
        <v>113000000</v>
      </c>
      <c r="GZ22" s="3">
        <v>0</v>
      </c>
      <c r="HA22" s="3">
        <v>100000000</v>
      </c>
      <c r="HB22" s="3">
        <v>0</v>
      </c>
      <c r="HC22" s="3">
        <v>100000000</v>
      </c>
      <c r="HD22" s="3"/>
      <c r="HE22" s="3"/>
      <c r="HF22" s="3"/>
      <c r="HG22" s="3"/>
      <c r="HH22" s="3"/>
      <c r="HI22" s="3"/>
      <c r="HJ22" s="3"/>
      <c r="HK22" s="3"/>
      <c r="HL22" s="3"/>
      <c r="HM22" s="3"/>
      <c r="HN22" s="3"/>
      <c r="HO22" s="3"/>
      <c r="HP22" s="3"/>
      <c r="HQ22" s="3"/>
      <c r="HR22" s="3"/>
      <c r="HS22" s="3"/>
      <c r="HT22" s="3"/>
      <c r="HU22" s="3"/>
      <c r="HV22" s="3"/>
      <c r="HW22" s="3"/>
      <c r="HX22" s="3">
        <v>0</v>
      </c>
      <c r="HY22" s="3">
        <v>100000000</v>
      </c>
      <c r="HZ22" s="3">
        <v>0</v>
      </c>
      <c r="IA22" s="3">
        <v>100000000</v>
      </c>
      <c r="IB22" s="3">
        <v>0</v>
      </c>
      <c r="IC22" s="3">
        <v>100000000</v>
      </c>
      <c r="ID22" s="3">
        <v>0</v>
      </c>
      <c r="IE22" s="3">
        <v>100000000</v>
      </c>
    </row>
    <row r="23" spans="1:239" x14ac:dyDescent="0.25">
      <c r="A23" t="s">
        <v>1243</v>
      </c>
      <c r="B23" t="s">
        <v>1244</v>
      </c>
      <c r="C23" t="s">
        <v>199</v>
      </c>
      <c r="D23" t="s">
        <v>1245</v>
      </c>
      <c r="E23" t="s">
        <v>208</v>
      </c>
      <c r="F23" t="s">
        <v>1256</v>
      </c>
      <c r="H23" s="3"/>
      <c r="I23" s="3"/>
      <c r="J23" s="3"/>
      <c r="K23" s="3"/>
      <c r="L23" s="3"/>
      <c r="M23" s="3"/>
      <c r="N23" s="3"/>
      <c r="O23" s="3"/>
      <c r="P23" s="3"/>
      <c r="Q23" s="3"/>
      <c r="R23" s="3"/>
      <c r="S23" s="3"/>
      <c r="T23" s="3"/>
      <c r="U23" s="3"/>
      <c r="V23" s="3"/>
      <c r="W23" s="3"/>
      <c r="X23" s="6"/>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6"/>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6"/>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6"/>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v>0</v>
      </c>
      <c r="HY23" s="3">
        <v>29500000</v>
      </c>
      <c r="HZ23" s="3">
        <v>0</v>
      </c>
      <c r="IA23" s="3">
        <v>29500000</v>
      </c>
      <c r="IB23" s="3">
        <v>0</v>
      </c>
      <c r="IC23" s="3">
        <v>29500000</v>
      </c>
      <c r="ID23" s="3">
        <v>0</v>
      </c>
      <c r="IE23" s="3">
        <v>29500000</v>
      </c>
    </row>
    <row r="24" spans="1:239" x14ac:dyDescent="0.25">
      <c r="A24" t="s">
        <v>1243</v>
      </c>
      <c r="B24" t="s">
        <v>1244</v>
      </c>
      <c r="C24" t="s">
        <v>199</v>
      </c>
      <c r="D24" t="s">
        <v>1245</v>
      </c>
      <c r="E24" t="s">
        <v>208</v>
      </c>
      <c r="F24" t="s">
        <v>1257</v>
      </c>
      <c r="H24" s="3"/>
      <c r="I24" s="3"/>
      <c r="J24" s="3"/>
      <c r="K24" s="3"/>
      <c r="L24" s="3"/>
      <c r="M24" s="3"/>
      <c r="N24" s="3"/>
      <c r="O24" s="3"/>
      <c r="P24" s="3"/>
      <c r="Q24" s="3"/>
      <c r="R24" s="3"/>
      <c r="S24" s="3"/>
      <c r="T24" s="3"/>
      <c r="U24" s="3"/>
      <c r="V24" s="3"/>
      <c r="W24" s="3"/>
      <c r="X24" s="6"/>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6"/>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6"/>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6"/>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v>0</v>
      </c>
      <c r="HY24" s="3">
        <v>882448000</v>
      </c>
      <c r="HZ24" s="3">
        <v>0</v>
      </c>
      <c r="IA24" s="3">
        <v>882448000</v>
      </c>
      <c r="IB24" s="3">
        <v>0</v>
      </c>
      <c r="IC24" s="3">
        <v>882448000</v>
      </c>
      <c r="ID24" s="3">
        <v>0</v>
      </c>
      <c r="IE24" s="3">
        <v>882448000</v>
      </c>
    </row>
    <row r="25" spans="1:239" x14ac:dyDescent="0.25">
      <c r="A25" t="s">
        <v>1243</v>
      </c>
      <c r="B25" t="s">
        <v>1244</v>
      </c>
      <c r="C25" t="s">
        <v>199</v>
      </c>
      <c r="D25" t="s">
        <v>1245</v>
      </c>
      <c r="E25" t="s">
        <v>208</v>
      </c>
      <c r="F25" t="s">
        <v>1258</v>
      </c>
      <c r="H25" s="3"/>
      <c r="I25" s="3"/>
      <c r="J25" s="3"/>
      <c r="K25" s="3"/>
      <c r="L25" s="3"/>
      <c r="M25" s="3"/>
      <c r="N25" s="3"/>
      <c r="O25" s="3"/>
      <c r="P25" s="3"/>
      <c r="Q25" s="3"/>
      <c r="R25" s="3"/>
      <c r="S25" s="3"/>
      <c r="T25" s="3"/>
      <c r="U25" s="3"/>
      <c r="V25" s="3"/>
      <c r="W25" s="3"/>
      <c r="X25" s="6"/>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6"/>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6"/>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6"/>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v>0</v>
      </c>
      <c r="HY25" s="3">
        <v>159099000</v>
      </c>
      <c r="HZ25" s="3">
        <v>0</v>
      </c>
      <c r="IA25" s="3">
        <v>159099000</v>
      </c>
      <c r="IB25" s="3">
        <v>0</v>
      </c>
      <c r="IC25" s="3">
        <v>159099000</v>
      </c>
      <c r="ID25" s="3">
        <v>0</v>
      </c>
      <c r="IE25" s="3">
        <v>159099000</v>
      </c>
    </row>
    <row r="26" spans="1:239" x14ac:dyDescent="0.25">
      <c r="A26" t="s">
        <v>1243</v>
      </c>
      <c r="B26" t="s">
        <v>1244</v>
      </c>
      <c r="C26" t="s">
        <v>199</v>
      </c>
      <c r="D26" t="s">
        <v>1245</v>
      </c>
      <c r="E26" t="s">
        <v>217</v>
      </c>
      <c r="F26" t="s">
        <v>218</v>
      </c>
      <c r="G26" t="s">
        <v>1273</v>
      </c>
      <c r="H26" s="3">
        <v>8341105000</v>
      </c>
      <c r="I26" s="3">
        <v>1240097000</v>
      </c>
      <c r="J26" s="3">
        <v>0</v>
      </c>
      <c r="K26" s="3">
        <v>9581202000</v>
      </c>
      <c r="L26" s="3">
        <v>8341105000</v>
      </c>
      <c r="M26" s="3">
        <v>1240097000</v>
      </c>
      <c r="N26" s="3">
        <v>0</v>
      </c>
      <c r="O26" s="3">
        <v>9581202000</v>
      </c>
      <c r="P26" s="3"/>
      <c r="Q26" s="3"/>
      <c r="R26" s="3"/>
      <c r="S26" s="3"/>
      <c r="T26" s="3"/>
      <c r="U26" s="3"/>
      <c r="V26" s="3"/>
      <c r="W26" s="3"/>
      <c r="X26" s="6"/>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v>9363446000</v>
      </c>
      <c r="BM26" s="3">
        <v>1307438000</v>
      </c>
      <c r="BN26" s="3">
        <v>0</v>
      </c>
      <c r="BO26" s="3">
        <v>10670884000</v>
      </c>
      <c r="BP26" s="3">
        <v>9442863000</v>
      </c>
      <c r="BQ26" s="3">
        <v>1307438000</v>
      </c>
      <c r="BR26" s="3">
        <v>0</v>
      </c>
      <c r="BS26" s="3">
        <v>10750301000</v>
      </c>
      <c r="BT26" s="3"/>
      <c r="BU26" s="3"/>
      <c r="BV26" s="3"/>
      <c r="BW26" s="3"/>
      <c r="BX26" s="3"/>
      <c r="BY26" s="3"/>
      <c r="BZ26" s="3"/>
      <c r="CA26" s="3"/>
      <c r="CB26" s="3"/>
      <c r="CC26" s="3"/>
      <c r="CD26" s="3"/>
      <c r="CE26" s="6"/>
      <c r="CF26" s="3"/>
      <c r="CG26" s="3"/>
      <c r="CH26" s="3"/>
      <c r="CI26" s="3"/>
      <c r="CJ26" s="3"/>
      <c r="CK26" s="3"/>
      <c r="CL26" s="3"/>
      <c r="CM26" s="3"/>
      <c r="CN26" s="3">
        <v>10528434000</v>
      </c>
      <c r="CO26" s="3">
        <v>1307438000</v>
      </c>
      <c r="CP26" s="3">
        <v>0</v>
      </c>
      <c r="CQ26" s="3">
        <v>11835872000</v>
      </c>
      <c r="CR26" s="3">
        <v>10801408000</v>
      </c>
      <c r="CS26" s="3">
        <v>1311938000</v>
      </c>
      <c r="CT26" s="3">
        <v>0</v>
      </c>
      <c r="CU26" s="3">
        <v>12113346000</v>
      </c>
      <c r="CV26" s="3"/>
      <c r="CW26" s="3"/>
      <c r="CX26" s="3"/>
      <c r="CY26" s="3"/>
      <c r="CZ26" s="3"/>
      <c r="DA26" s="3"/>
      <c r="DB26" s="3"/>
      <c r="DC26" s="3"/>
      <c r="DD26" s="3"/>
      <c r="DE26" s="3"/>
      <c r="DF26" s="3"/>
      <c r="DG26" s="3"/>
      <c r="DH26" s="3"/>
      <c r="DI26" s="3"/>
      <c r="DJ26" s="3"/>
      <c r="DK26" s="3"/>
      <c r="DL26" s="3"/>
      <c r="DM26" s="3"/>
      <c r="DN26" s="3"/>
      <c r="DO26" s="3"/>
      <c r="DP26" s="3">
        <v>10940414000</v>
      </c>
      <c r="DQ26" s="3">
        <v>1358350000</v>
      </c>
      <c r="DR26" s="3">
        <v>0</v>
      </c>
      <c r="DS26" s="3">
        <v>12298764000</v>
      </c>
      <c r="DT26" s="3">
        <v>11107598000</v>
      </c>
      <c r="DU26" s="3">
        <v>1367350000</v>
      </c>
      <c r="DV26" s="3">
        <v>0</v>
      </c>
      <c r="DW26" s="3">
        <v>12474948000</v>
      </c>
      <c r="DX26" s="3"/>
      <c r="DY26" s="3"/>
      <c r="DZ26" s="3"/>
      <c r="EA26" s="3"/>
      <c r="EB26" s="3"/>
      <c r="EC26" s="3"/>
      <c r="ED26" s="3"/>
      <c r="EE26" s="3"/>
      <c r="EF26" s="3"/>
      <c r="EG26" s="3"/>
      <c r="EH26" s="3"/>
      <c r="EI26" s="3"/>
      <c r="EJ26" s="3"/>
      <c r="EK26" s="3"/>
      <c r="EL26" s="3"/>
      <c r="EM26" s="3"/>
      <c r="EN26" s="3"/>
      <c r="EO26" s="3"/>
      <c r="EP26" s="3"/>
      <c r="EQ26" s="3"/>
      <c r="ER26" s="3">
        <v>11469995000</v>
      </c>
      <c r="ES26" s="3">
        <v>1408054000</v>
      </c>
      <c r="ET26" s="3">
        <v>0</v>
      </c>
      <c r="EU26" s="3">
        <v>12878049000</v>
      </c>
      <c r="EV26" s="3">
        <v>11867337000</v>
      </c>
      <c r="EW26" s="3">
        <v>1408054000</v>
      </c>
      <c r="EX26" s="3">
        <v>0</v>
      </c>
      <c r="EY26" s="3">
        <v>13275391000</v>
      </c>
      <c r="EZ26" s="3"/>
      <c r="FA26" s="3"/>
      <c r="FB26" s="3"/>
      <c r="FC26" s="3"/>
      <c r="FD26" s="3"/>
      <c r="FE26" s="3"/>
      <c r="FF26" s="3"/>
      <c r="FG26" s="3"/>
      <c r="FH26" s="6"/>
      <c r="FI26" s="3"/>
      <c r="FJ26" s="3"/>
      <c r="FK26" s="3"/>
      <c r="FL26" s="3"/>
      <c r="FM26" s="3"/>
      <c r="FN26" s="3"/>
      <c r="FO26" s="3"/>
      <c r="FP26" s="3"/>
      <c r="FQ26" s="3"/>
      <c r="FR26" s="3"/>
      <c r="FS26" s="3"/>
      <c r="FT26" s="3">
        <v>11584287000</v>
      </c>
      <c r="FU26" s="3">
        <v>1502156000</v>
      </c>
      <c r="FV26" s="3">
        <v>0</v>
      </c>
      <c r="FW26" s="3">
        <v>13086443000</v>
      </c>
      <c r="FX26" s="3">
        <v>11590005000</v>
      </c>
      <c r="FY26" s="3">
        <v>1502156000</v>
      </c>
      <c r="FZ26" s="3">
        <v>0</v>
      </c>
      <c r="GA26" s="3">
        <v>13092161000</v>
      </c>
      <c r="GB26" s="3"/>
      <c r="GC26" s="3"/>
      <c r="GD26" s="3"/>
      <c r="GE26" s="3"/>
      <c r="GF26" s="3"/>
      <c r="GG26" s="3"/>
      <c r="GH26" s="3"/>
      <c r="GI26" s="3"/>
      <c r="GJ26" s="3"/>
      <c r="GK26" s="3"/>
      <c r="GL26" s="3"/>
      <c r="GM26" s="3"/>
      <c r="GN26" s="3"/>
      <c r="GO26" s="3"/>
      <c r="GP26" s="3"/>
      <c r="GQ26" s="3"/>
      <c r="GR26" s="3"/>
      <c r="GS26" s="6"/>
      <c r="GT26" s="3"/>
      <c r="GU26" s="3"/>
      <c r="GV26" s="3">
        <v>12995334000</v>
      </c>
      <c r="GW26" s="3">
        <v>1583181000</v>
      </c>
      <c r="GX26" s="3">
        <v>0</v>
      </c>
      <c r="GY26" s="3">
        <v>14578515000</v>
      </c>
      <c r="GZ26" s="3">
        <v>12995334000</v>
      </c>
      <c r="HA26" s="3">
        <v>1583181000</v>
      </c>
      <c r="HB26" s="3">
        <v>0</v>
      </c>
      <c r="HC26" s="3">
        <v>14578515000</v>
      </c>
      <c r="HD26" s="3"/>
      <c r="HE26" s="3"/>
      <c r="HF26" s="3"/>
      <c r="HG26" s="3"/>
      <c r="HH26" s="3"/>
      <c r="HI26" s="3"/>
      <c r="HJ26" s="3"/>
      <c r="HK26" s="3"/>
      <c r="HL26" s="3"/>
      <c r="HM26" s="3"/>
      <c r="HN26" s="3"/>
      <c r="HO26" s="3"/>
      <c r="HP26" s="3"/>
      <c r="HQ26" s="3"/>
      <c r="HR26" s="3"/>
      <c r="HS26" s="3"/>
      <c r="HT26" s="3"/>
      <c r="HU26" s="3"/>
      <c r="HV26" s="3"/>
      <c r="HW26" s="3"/>
      <c r="HX26" s="3">
        <v>14600936000</v>
      </c>
      <c r="HY26" s="3">
        <v>1620161000</v>
      </c>
      <c r="HZ26" s="3">
        <v>0</v>
      </c>
      <c r="IA26" s="3">
        <v>16221097000</v>
      </c>
      <c r="IB26" s="3">
        <v>14600936000</v>
      </c>
      <c r="IC26" s="3">
        <v>1620161000</v>
      </c>
      <c r="ID26" s="3">
        <v>0</v>
      </c>
      <c r="IE26" s="3">
        <v>16221097000</v>
      </c>
    </row>
    <row r="27" spans="1:239" x14ac:dyDescent="0.25">
      <c r="A27" t="s">
        <v>1243</v>
      </c>
      <c r="B27" t="s">
        <v>1244</v>
      </c>
      <c r="C27" t="s">
        <v>199</v>
      </c>
      <c r="D27" t="s">
        <v>1245</v>
      </c>
      <c r="E27" t="s">
        <v>217</v>
      </c>
      <c r="F27" t="s">
        <v>220</v>
      </c>
      <c r="G27" t="s">
        <v>1274</v>
      </c>
      <c r="H27" s="3">
        <v>709401000</v>
      </c>
      <c r="I27" s="3">
        <v>140975000</v>
      </c>
      <c r="J27" s="3">
        <v>0</v>
      </c>
      <c r="K27" s="3">
        <v>850376000</v>
      </c>
      <c r="L27" s="3">
        <v>709401000</v>
      </c>
      <c r="M27" s="3">
        <v>140975000</v>
      </c>
      <c r="N27" s="3">
        <v>0</v>
      </c>
      <c r="O27" s="3">
        <v>850376000</v>
      </c>
      <c r="P27" s="3"/>
      <c r="Q27" s="3"/>
      <c r="R27" s="3"/>
      <c r="S27" s="3"/>
      <c r="T27" s="3"/>
      <c r="U27" s="3"/>
      <c r="V27" s="3"/>
      <c r="W27" s="3"/>
      <c r="X27" s="6"/>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v>817361000</v>
      </c>
      <c r="BM27" s="3">
        <v>148525000</v>
      </c>
      <c r="BN27" s="3">
        <v>0</v>
      </c>
      <c r="BO27" s="3">
        <v>965886000</v>
      </c>
      <c r="BP27" s="3">
        <v>817361000</v>
      </c>
      <c r="BQ27" s="3">
        <v>148525000</v>
      </c>
      <c r="BR27" s="3">
        <v>0</v>
      </c>
      <c r="BS27" s="3">
        <v>965886000</v>
      </c>
      <c r="BT27" s="3"/>
      <c r="BU27" s="3"/>
      <c r="BV27" s="3"/>
      <c r="BW27" s="3"/>
      <c r="BX27" s="3"/>
      <c r="BY27" s="3"/>
      <c r="BZ27" s="3"/>
      <c r="CA27" s="3"/>
      <c r="CB27" s="3"/>
      <c r="CC27" s="3"/>
      <c r="CD27" s="3"/>
      <c r="CE27" s="6"/>
      <c r="CF27" s="3"/>
      <c r="CG27" s="3"/>
      <c r="CH27" s="3"/>
      <c r="CI27" s="3"/>
      <c r="CJ27" s="3"/>
      <c r="CK27" s="3"/>
      <c r="CL27" s="3"/>
      <c r="CM27" s="3"/>
      <c r="CN27" s="3">
        <v>976162000</v>
      </c>
      <c r="CO27" s="3">
        <v>148525000</v>
      </c>
      <c r="CP27" s="3">
        <v>0</v>
      </c>
      <c r="CQ27" s="3">
        <v>1124687000</v>
      </c>
      <c r="CR27" s="3">
        <v>986302000</v>
      </c>
      <c r="CS27" s="3">
        <v>148525000</v>
      </c>
      <c r="CT27" s="3">
        <v>0</v>
      </c>
      <c r="CU27" s="3">
        <v>1134827000</v>
      </c>
      <c r="CV27" s="3"/>
      <c r="CW27" s="3"/>
      <c r="CX27" s="3"/>
      <c r="CY27" s="3"/>
      <c r="CZ27" s="3"/>
      <c r="DA27" s="3"/>
      <c r="DB27" s="3"/>
      <c r="DC27" s="3"/>
      <c r="DD27" s="3"/>
      <c r="DE27" s="3"/>
      <c r="DF27" s="3"/>
      <c r="DG27" s="3"/>
      <c r="DH27" s="3"/>
      <c r="DI27" s="3"/>
      <c r="DJ27" s="3"/>
      <c r="DK27" s="3"/>
      <c r="DL27" s="3"/>
      <c r="DM27" s="3"/>
      <c r="DN27" s="3"/>
      <c r="DO27" s="3"/>
      <c r="DP27" s="3">
        <v>999946000</v>
      </c>
      <c r="DQ27" s="3">
        <v>148525000</v>
      </c>
      <c r="DR27" s="3">
        <v>0</v>
      </c>
      <c r="DS27" s="3">
        <v>1148471000</v>
      </c>
      <c r="DT27" s="3">
        <v>999946000</v>
      </c>
      <c r="DU27" s="3">
        <v>148525000</v>
      </c>
      <c r="DV27" s="3">
        <v>0</v>
      </c>
      <c r="DW27" s="3">
        <v>1148471000</v>
      </c>
      <c r="DX27" s="3"/>
      <c r="DY27" s="3"/>
      <c r="DZ27" s="3"/>
      <c r="EA27" s="3"/>
      <c r="EB27" s="3"/>
      <c r="EC27" s="3"/>
      <c r="ED27" s="3"/>
      <c r="EE27" s="3"/>
      <c r="EF27" s="3"/>
      <c r="EG27" s="3"/>
      <c r="EH27" s="3"/>
      <c r="EI27" s="3"/>
      <c r="EJ27" s="3"/>
      <c r="EK27" s="3"/>
      <c r="EL27" s="3"/>
      <c r="EM27" s="3"/>
      <c r="EN27" s="3"/>
      <c r="EO27" s="3"/>
      <c r="EP27" s="3"/>
      <c r="EQ27" s="3"/>
      <c r="ER27" s="3">
        <v>1035356000</v>
      </c>
      <c r="ES27" s="3">
        <v>152971000</v>
      </c>
      <c r="ET27" s="3">
        <v>0</v>
      </c>
      <c r="EU27" s="3">
        <v>1188327000</v>
      </c>
      <c r="EV27" s="3">
        <v>1045496000</v>
      </c>
      <c r="EW27" s="3">
        <v>152971000</v>
      </c>
      <c r="EX27" s="3">
        <v>0</v>
      </c>
      <c r="EY27" s="3">
        <v>1198467000</v>
      </c>
      <c r="EZ27" s="3"/>
      <c r="FA27" s="3"/>
      <c r="FB27" s="3"/>
      <c r="FC27" s="3"/>
      <c r="FD27" s="3"/>
      <c r="FE27" s="3"/>
      <c r="FF27" s="3"/>
      <c r="FG27" s="3"/>
      <c r="FH27" s="6"/>
      <c r="FI27" s="3"/>
      <c r="FJ27" s="3"/>
      <c r="FK27" s="3"/>
      <c r="FL27" s="3"/>
      <c r="FM27" s="3"/>
      <c r="FN27" s="3"/>
      <c r="FO27" s="3"/>
      <c r="FP27" s="3"/>
      <c r="FQ27" s="3"/>
      <c r="FR27" s="3"/>
      <c r="FS27" s="3"/>
      <c r="FT27" s="3">
        <v>1037845000</v>
      </c>
      <c r="FU27" s="3">
        <v>160671000</v>
      </c>
      <c r="FV27" s="3">
        <v>0</v>
      </c>
      <c r="FW27" s="3">
        <v>1198516000</v>
      </c>
      <c r="FX27" s="3">
        <v>1047985000</v>
      </c>
      <c r="FY27" s="3">
        <v>160671000</v>
      </c>
      <c r="FZ27" s="3">
        <v>0</v>
      </c>
      <c r="GA27" s="3">
        <v>1208656000</v>
      </c>
      <c r="GB27" s="3"/>
      <c r="GC27" s="3"/>
      <c r="GD27" s="3"/>
      <c r="GE27" s="3"/>
      <c r="GF27" s="3"/>
      <c r="GG27" s="3"/>
      <c r="GH27" s="3"/>
      <c r="GI27" s="3"/>
      <c r="GJ27" s="3"/>
      <c r="GK27" s="3"/>
      <c r="GL27" s="3"/>
      <c r="GM27" s="3"/>
      <c r="GN27" s="3"/>
      <c r="GO27" s="3"/>
      <c r="GP27" s="3"/>
      <c r="GQ27" s="3"/>
      <c r="GR27" s="3"/>
      <c r="GS27" s="6"/>
      <c r="GT27" s="3"/>
      <c r="GU27" s="3"/>
      <c r="GV27" s="3">
        <v>1154329000</v>
      </c>
      <c r="GW27" s="3">
        <v>167632000</v>
      </c>
      <c r="GX27" s="3">
        <v>0</v>
      </c>
      <c r="GY27" s="3">
        <v>1321961000</v>
      </c>
      <c r="GZ27" s="3">
        <v>1154329000</v>
      </c>
      <c r="HA27" s="3">
        <v>167632000</v>
      </c>
      <c r="HB27" s="3">
        <v>0</v>
      </c>
      <c r="HC27" s="3">
        <v>1321961000</v>
      </c>
      <c r="HD27" s="3"/>
      <c r="HE27" s="3"/>
      <c r="HF27" s="3"/>
      <c r="HG27" s="3"/>
      <c r="HH27" s="3"/>
      <c r="HI27" s="3"/>
      <c r="HJ27" s="3"/>
      <c r="HK27" s="3"/>
      <c r="HL27" s="3"/>
      <c r="HM27" s="3"/>
      <c r="HN27" s="3"/>
      <c r="HO27" s="3"/>
      <c r="HP27" s="3"/>
      <c r="HQ27" s="3"/>
      <c r="HR27" s="3"/>
      <c r="HS27" s="3"/>
      <c r="HT27" s="3"/>
      <c r="HU27" s="3"/>
      <c r="HV27" s="3"/>
      <c r="HW27" s="3"/>
      <c r="HX27" s="3">
        <v>1306033000</v>
      </c>
      <c r="HY27" s="3">
        <v>171606000</v>
      </c>
      <c r="HZ27" s="3">
        <v>0</v>
      </c>
      <c r="IA27" s="3">
        <v>1477639000</v>
      </c>
      <c r="IB27" s="3">
        <v>1306033000</v>
      </c>
      <c r="IC27" s="3">
        <v>171606000</v>
      </c>
      <c r="ID27" s="3">
        <v>0</v>
      </c>
      <c r="IE27" s="3">
        <v>1477639000</v>
      </c>
    </row>
    <row r="28" spans="1:239" x14ac:dyDescent="0.25">
      <c r="A28" t="s">
        <v>1243</v>
      </c>
      <c r="B28" t="s">
        <v>1244</v>
      </c>
      <c r="C28" t="s">
        <v>199</v>
      </c>
      <c r="D28" t="s">
        <v>1245</v>
      </c>
      <c r="E28" t="s">
        <v>217</v>
      </c>
      <c r="F28" t="s">
        <v>222</v>
      </c>
      <c r="G28" t="s">
        <v>1275</v>
      </c>
      <c r="H28" s="3">
        <v>1501859000</v>
      </c>
      <c r="I28" s="3">
        <v>291275000</v>
      </c>
      <c r="J28" s="3">
        <v>0</v>
      </c>
      <c r="K28" s="3">
        <v>1793134000</v>
      </c>
      <c r="L28" s="3">
        <v>1501859000</v>
      </c>
      <c r="M28" s="3">
        <v>291275000</v>
      </c>
      <c r="N28" s="3">
        <v>0</v>
      </c>
      <c r="O28" s="3">
        <v>1793134000</v>
      </c>
      <c r="P28" s="3"/>
      <c r="Q28" s="3"/>
      <c r="R28" s="3"/>
      <c r="S28" s="3"/>
      <c r="T28" s="3"/>
      <c r="U28" s="3"/>
      <c r="V28" s="3"/>
      <c r="W28" s="3"/>
      <c r="X28" s="6"/>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v>1711739000</v>
      </c>
      <c r="BM28" s="3">
        <v>307334000</v>
      </c>
      <c r="BN28" s="3">
        <v>0</v>
      </c>
      <c r="BO28" s="3">
        <v>2019073000</v>
      </c>
      <c r="BP28" s="3">
        <v>1711739000</v>
      </c>
      <c r="BQ28" s="3">
        <v>307334000</v>
      </c>
      <c r="BR28" s="3">
        <v>0</v>
      </c>
      <c r="BS28" s="3">
        <v>2019073000</v>
      </c>
      <c r="BT28" s="3"/>
      <c r="BU28" s="3"/>
      <c r="BV28" s="3"/>
      <c r="BW28" s="3"/>
      <c r="BX28" s="3"/>
      <c r="BY28" s="3"/>
      <c r="BZ28" s="3"/>
      <c r="CA28" s="3"/>
      <c r="CB28" s="3"/>
      <c r="CC28" s="3"/>
      <c r="CD28" s="3"/>
      <c r="CE28" s="6"/>
      <c r="CF28" s="3"/>
      <c r="CG28" s="3"/>
      <c r="CH28" s="3"/>
      <c r="CI28" s="3"/>
      <c r="CJ28" s="3"/>
      <c r="CK28" s="3"/>
      <c r="CL28" s="3"/>
      <c r="CM28" s="3"/>
      <c r="CN28" s="3">
        <v>1941557000</v>
      </c>
      <c r="CO28" s="3">
        <v>307334000</v>
      </c>
      <c r="CP28" s="3">
        <v>0</v>
      </c>
      <c r="CQ28" s="3">
        <v>2248891000</v>
      </c>
      <c r="CR28" s="3">
        <v>1957277000</v>
      </c>
      <c r="CS28" s="3">
        <v>307334000</v>
      </c>
      <c r="CT28" s="3">
        <v>0</v>
      </c>
      <c r="CU28" s="3">
        <v>2264611000</v>
      </c>
      <c r="CV28" s="3"/>
      <c r="CW28" s="3"/>
      <c r="CX28" s="3"/>
      <c r="CY28" s="3"/>
      <c r="CZ28" s="3"/>
      <c r="DA28" s="3"/>
      <c r="DB28" s="3"/>
      <c r="DC28" s="3"/>
      <c r="DD28" s="3"/>
      <c r="DE28" s="3"/>
      <c r="DF28" s="3"/>
      <c r="DG28" s="3"/>
      <c r="DH28" s="3"/>
      <c r="DI28" s="3"/>
      <c r="DJ28" s="3"/>
      <c r="DK28" s="3"/>
      <c r="DL28" s="3"/>
      <c r="DM28" s="3"/>
      <c r="DN28" s="3"/>
      <c r="DO28" s="3"/>
      <c r="DP28" s="3">
        <v>2005143000</v>
      </c>
      <c r="DQ28" s="3">
        <v>307334000</v>
      </c>
      <c r="DR28" s="3">
        <v>0</v>
      </c>
      <c r="DS28" s="3">
        <v>2312477000</v>
      </c>
      <c r="DT28" s="3">
        <v>2005143000</v>
      </c>
      <c r="DU28" s="3">
        <v>307334000</v>
      </c>
      <c r="DV28" s="3">
        <v>0</v>
      </c>
      <c r="DW28" s="3">
        <v>2312477000</v>
      </c>
      <c r="DX28" s="3"/>
      <c r="DY28" s="3"/>
      <c r="DZ28" s="3"/>
      <c r="EA28" s="3"/>
      <c r="EB28" s="3"/>
      <c r="EC28" s="3"/>
      <c r="ED28" s="3"/>
      <c r="EE28" s="3"/>
      <c r="EF28" s="3"/>
      <c r="EG28" s="3"/>
      <c r="EH28" s="3"/>
      <c r="EI28" s="3"/>
      <c r="EJ28" s="3"/>
      <c r="EK28" s="3"/>
      <c r="EL28" s="3"/>
      <c r="EM28" s="3"/>
      <c r="EN28" s="3"/>
      <c r="EO28" s="3"/>
      <c r="EP28" s="3"/>
      <c r="EQ28" s="3"/>
      <c r="ER28" s="3">
        <v>2074398000</v>
      </c>
      <c r="ES28" s="3">
        <v>317136000</v>
      </c>
      <c r="ET28" s="3">
        <v>0</v>
      </c>
      <c r="EU28" s="3">
        <v>2391534000</v>
      </c>
      <c r="EV28" s="3">
        <v>2090178000</v>
      </c>
      <c r="EW28" s="3">
        <v>317136000</v>
      </c>
      <c r="EX28" s="3">
        <v>0</v>
      </c>
      <c r="EY28" s="3">
        <v>2407314000</v>
      </c>
      <c r="EZ28" s="3"/>
      <c r="FA28" s="3"/>
      <c r="FB28" s="3"/>
      <c r="FC28" s="3"/>
      <c r="FD28" s="3"/>
      <c r="FE28" s="3"/>
      <c r="FF28" s="3"/>
      <c r="FG28" s="3"/>
      <c r="FH28" s="6"/>
      <c r="FI28" s="3"/>
      <c r="FJ28" s="3"/>
      <c r="FK28" s="3"/>
      <c r="FL28" s="3"/>
      <c r="FM28" s="3"/>
      <c r="FN28" s="3"/>
      <c r="FO28" s="3"/>
      <c r="FP28" s="3"/>
      <c r="FQ28" s="3"/>
      <c r="FR28" s="3"/>
      <c r="FS28" s="3"/>
      <c r="FT28" s="3">
        <v>2080392000</v>
      </c>
      <c r="FU28" s="3">
        <v>334108000</v>
      </c>
      <c r="FV28" s="3">
        <v>0</v>
      </c>
      <c r="FW28" s="3">
        <v>2414500000</v>
      </c>
      <c r="FX28" s="3">
        <v>2095942000</v>
      </c>
      <c r="FY28" s="3">
        <v>334108000</v>
      </c>
      <c r="FZ28" s="3">
        <v>0</v>
      </c>
      <c r="GA28" s="3">
        <v>2430050000</v>
      </c>
      <c r="GB28" s="3"/>
      <c r="GC28" s="3"/>
      <c r="GD28" s="3"/>
      <c r="GE28" s="3"/>
      <c r="GF28" s="3"/>
      <c r="GG28" s="3"/>
      <c r="GH28" s="3"/>
      <c r="GI28" s="3"/>
      <c r="GJ28" s="3"/>
      <c r="GK28" s="3"/>
      <c r="GL28" s="3"/>
      <c r="GM28" s="3"/>
      <c r="GN28" s="3"/>
      <c r="GO28" s="3"/>
      <c r="GP28" s="3"/>
      <c r="GQ28" s="3"/>
      <c r="GR28" s="3"/>
      <c r="GS28" s="6"/>
      <c r="GT28" s="3"/>
      <c r="GU28" s="3"/>
      <c r="GV28" s="3">
        <v>2215229000</v>
      </c>
      <c r="GW28" s="3">
        <v>347215000</v>
      </c>
      <c r="GX28" s="3">
        <v>0</v>
      </c>
      <c r="GY28" s="3">
        <v>2562444000</v>
      </c>
      <c r="GZ28" s="3">
        <v>2215229000</v>
      </c>
      <c r="HA28" s="3">
        <v>347215000</v>
      </c>
      <c r="HB28" s="3">
        <v>0</v>
      </c>
      <c r="HC28" s="3">
        <v>2562444000</v>
      </c>
      <c r="HD28" s="3"/>
      <c r="HE28" s="3"/>
      <c r="HF28" s="3"/>
      <c r="HG28" s="3"/>
      <c r="HH28" s="3"/>
      <c r="HI28" s="3"/>
      <c r="HJ28" s="3"/>
      <c r="HK28" s="3"/>
      <c r="HL28" s="3"/>
      <c r="HM28" s="3"/>
      <c r="HN28" s="3"/>
      <c r="HO28" s="3"/>
      <c r="HP28" s="3"/>
      <c r="HQ28" s="3"/>
      <c r="HR28" s="3"/>
      <c r="HS28" s="3"/>
      <c r="HT28" s="3"/>
      <c r="HU28" s="3"/>
      <c r="HV28" s="3"/>
      <c r="HW28" s="3"/>
      <c r="HX28" s="3">
        <v>2529739000</v>
      </c>
      <c r="HY28" s="3">
        <v>355922000</v>
      </c>
      <c r="HZ28" s="3">
        <v>0</v>
      </c>
      <c r="IA28" s="3">
        <v>2885661000</v>
      </c>
      <c r="IB28" s="3">
        <v>2529739000</v>
      </c>
      <c r="IC28" s="3">
        <v>355922000</v>
      </c>
      <c r="ID28" s="3">
        <v>0</v>
      </c>
      <c r="IE28" s="3">
        <v>2885661000</v>
      </c>
    </row>
    <row r="29" spans="1:239" x14ac:dyDescent="0.25">
      <c r="A29" t="s">
        <v>1243</v>
      </c>
      <c r="B29" t="s">
        <v>1244</v>
      </c>
      <c r="C29" t="s">
        <v>199</v>
      </c>
      <c r="D29" t="s">
        <v>1245</v>
      </c>
      <c r="E29" t="s">
        <v>217</v>
      </c>
      <c r="F29" t="s">
        <v>516</v>
      </c>
      <c r="G29" t="s">
        <v>1276</v>
      </c>
      <c r="H29" s="3">
        <v>1913316000</v>
      </c>
      <c r="I29" s="3">
        <v>413418000</v>
      </c>
      <c r="J29" s="3">
        <v>0</v>
      </c>
      <c r="K29" s="3">
        <v>2326734000</v>
      </c>
      <c r="L29" s="3">
        <v>1913316000</v>
      </c>
      <c r="M29" s="3">
        <v>413418000</v>
      </c>
      <c r="N29" s="3">
        <v>0</v>
      </c>
      <c r="O29" s="3">
        <v>2326734000</v>
      </c>
      <c r="P29" s="3"/>
      <c r="Q29" s="3"/>
      <c r="R29" s="3"/>
      <c r="S29" s="3"/>
      <c r="T29" s="3"/>
      <c r="U29" s="3"/>
      <c r="V29" s="3"/>
      <c r="W29" s="3"/>
      <c r="X29" s="6"/>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v>2167052000</v>
      </c>
      <c r="BM29" s="3">
        <v>436963000</v>
      </c>
      <c r="BN29" s="3">
        <v>0</v>
      </c>
      <c r="BO29" s="3">
        <v>2604015000</v>
      </c>
      <c r="BP29" s="3">
        <v>2167052000</v>
      </c>
      <c r="BQ29" s="3">
        <v>436963000</v>
      </c>
      <c r="BR29" s="3">
        <v>0</v>
      </c>
      <c r="BS29" s="3">
        <v>2604015000</v>
      </c>
      <c r="BT29" s="3"/>
      <c r="BU29" s="3"/>
      <c r="BV29" s="3"/>
      <c r="BW29" s="3"/>
      <c r="BX29" s="3"/>
      <c r="BY29" s="3"/>
      <c r="BZ29" s="3"/>
      <c r="CA29" s="3"/>
      <c r="CB29" s="3"/>
      <c r="CC29" s="3"/>
      <c r="CD29" s="3"/>
      <c r="CE29" s="6"/>
      <c r="CF29" s="3"/>
      <c r="CG29" s="3"/>
      <c r="CH29" s="3"/>
      <c r="CI29" s="3"/>
      <c r="CJ29" s="3"/>
      <c r="CK29" s="3"/>
      <c r="CL29" s="3"/>
      <c r="CM29" s="3"/>
      <c r="CN29" s="3">
        <v>2558742000</v>
      </c>
      <c r="CO29" s="3">
        <v>436963000</v>
      </c>
      <c r="CP29" s="3">
        <v>0</v>
      </c>
      <c r="CQ29" s="3">
        <v>2995705000</v>
      </c>
      <c r="CR29" s="3">
        <v>2586642000</v>
      </c>
      <c r="CS29" s="3">
        <v>436963000</v>
      </c>
      <c r="CT29" s="3">
        <v>0</v>
      </c>
      <c r="CU29" s="3">
        <v>3023605000</v>
      </c>
      <c r="CV29" s="3"/>
      <c r="CW29" s="3"/>
      <c r="CX29" s="3"/>
      <c r="CY29" s="3"/>
      <c r="CZ29" s="3"/>
      <c r="DA29" s="3"/>
      <c r="DB29" s="3"/>
      <c r="DC29" s="3"/>
      <c r="DD29" s="3"/>
      <c r="DE29" s="3"/>
      <c r="DF29" s="3"/>
      <c r="DG29" s="3"/>
      <c r="DH29" s="3"/>
      <c r="DI29" s="3"/>
      <c r="DJ29" s="3"/>
      <c r="DK29" s="3"/>
      <c r="DL29" s="3"/>
      <c r="DM29" s="3"/>
      <c r="DN29" s="3"/>
      <c r="DO29" s="3"/>
      <c r="DP29" s="3">
        <v>2662666000</v>
      </c>
      <c r="DQ29" s="3">
        <v>436963000</v>
      </c>
      <c r="DR29" s="3">
        <v>0</v>
      </c>
      <c r="DS29" s="3">
        <v>3099629000</v>
      </c>
      <c r="DT29" s="3">
        <v>2662666000</v>
      </c>
      <c r="DU29" s="3">
        <v>436963000</v>
      </c>
      <c r="DV29" s="3">
        <v>0</v>
      </c>
      <c r="DW29" s="3">
        <v>3099629000</v>
      </c>
      <c r="DX29" s="3"/>
      <c r="DY29" s="3"/>
      <c r="DZ29" s="3"/>
      <c r="EA29" s="3"/>
      <c r="EB29" s="3"/>
      <c r="EC29" s="3"/>
      <c r="ED29" s="3"/>
      <c r="EE29" s="3"/>
      <c r="EF29" s="3"/>
      <c r="EG29" s="3"/>
      <c r="EH29" s="3"/>
      <c r="EI29" s="3"/>
      <c r="EJ29" s="3"/>
      <c r="EK29" s="3"/>
      <c r="EL29" s="3"/>
      <c r="EM29" s="3"/>
      <c r="EN29" s="3"/>
      <c r="EO29" s="3"/>
      <c r="EP29" s="3"/>
      <c r="EQ29" s="3"/>
      <c r="ER29" s="3">
        <v>2778782000</v>
      </c>
      <c r="ES29" s="3">
        <v>451883000</v>
      </c>
      <c r="ET29" s="3">
        <v>0</v>
      </c>
      <c r="EU29" s="3">
        <v>3230665000</v>
      </c>
      <c r="EV29" s="3">
        <v>2806682000</v>
      </c>
      <c r="EW29" s="3">
        <v>451883000</v>
      </c>
      <c r="EX29" s="3">
        <v>0</v>
      </c>
      <c r="EY29" s="3">
        <v>3258565000</v>
      </c>
      <c r="EZ29" s="3"/>
      <c r="FA29" s="3"/>
      <c r="FB29" s="3"/>
      <c r="FC29" s="3"/>
      <c r="FD29" s="3"/>
      <c r="FE29" s="3"/>
      <c r="FF29" s="3"/>
      <c r="FG29" s="3"/>
      <c r="FH29" s="6"/>
      <c r="FI29" s="3"/>
      <c r="FJ29" s="3"/>
      <c r="FK29" s="3"/>
      <c r="FL29" s="3"/>
      <c r="FM29" s="3"/>
      <c r="FN29" s="3"/>
      <c r="FO29" s="3"/>
      <c r="FP29" s="3"/>
      <c r="FQ29" s="3"/>
      <c r="FR29" s="3"/>
      <c r="FS29" s="3"/>
      <c r="FT29" s="3">
        <v>2781137000</v>
      </c>
      <c r="FU29" s="3">
        <v>477719000</v>
      </c>
      <c r="FV29" s="3">
        <v>0</v>
      </c>
      <c r="FW29" s="3">
        <v>3258856000</v>
      </c>
      <c r="FX29" s="3">
        <v>2809037000</v>
      </c>
      <c r="FY29" s="3">
        <v>477719000</v>
      </c>
      <c r="FZ29" s="3">
        <v>0</v>
      </c>
      <c r="GA29" s="3">
        <v>3286756000</v>
      </c>
      <c r="GB29" s="3"/>
      <c r="GC29" s="3"/>
      <c r="GD29" s="3"/>
      <c r="GE29" s="3"/>
      <c r="GF29" s="3"/>
      <c r="GG29" s="3"/>
      <c r="GH29" s="3"/>
      <c r="GI29" s="3"/>
      <c r="GJ29" s="3"/>
      <c r="GK29" s="3"/>
      <c r="GL29" s="3"/>
      <c r="GM29" s="3"/>
      <c r="GN29" s="3"/>
      <c r="GO29" s="3"/>
      <c r="GP29" s="3"/>
      <c r="GQ29" s="3"/>
      <c r="GR29" s="3"/>
      <c r="GS29" s="6"/>
      <c r="GT29" s="3"/>
      <c r="GU29" s="3"/>
      <c r="GV29" s="3">
        <v>2763822000</v>
      </c>
      <c r="GW29" s="3">
        <v>490419000</v>
      </c>
      <c r="GX29" s="3">
        <v>0</v>
      </c>
      <c r="GY29" s="3">
        <v>3254241000</v>
      </c>
      <c r="GZ29" s="3">
        <v>2763822000</v>
      </c>
      <c r="HA29" s="3">
        <v>490419000</v>
      </c>
      <c r="HB29" s="3">
        <v>0</v>
      </c>
      <c r="HC29" s="3">
        <v>3254241000</v>
      </c>
      <c r="HD29" s="3"/>
      <c r="HE29" s="3"/>
      <c r="HF29" s="3"/>
      <c r="HG29" s="3"/>
      <c r="HH29" s="3"/>
      <c r="HI29" s="3"/>
      <c r="HJ29" s="3"/>
      <c r="HK29" s="3"/>
      <c r="HL29" s="3"/>
      <c r="HM29" s="3"/>
      <c r="HN29" s="3"/>
      <c r="HO29" s="3"/>
      <c r="HP29" s="3"/>
      <c r="HQ29" s="3"/>
      <c r="HR29" s="3"/>
      <c r="HS29" s="3"/>
      <c r="HT29" s="3"/>
      <c r="HU29" s="3"/>
      <c r="HV29" s="3"/>
      <c r="HW29" s="3"/>
      <c r="HX29" s="3">
        <v>3134199000</v>
      </c>
      <c r="HY29" s="3">
        <v>503500000</v>
      </c>
      <c r="HZ29" s="3">
        <v>0</v>
      </c>
      <c r="IA29" s="3">
        <v>3637699000</v>
      </c>
      <c r="IB29" s="3">
        <v>3134199000</v>
      </c>
      <c r="IC29" s="3">
        <v>503500000</v>
      </c>
      <c r="ID29" s="3">
        <v>0</v>
      </c>
      <c r="IE29" s="3">
        <v>3637699000</v>
      </c>
    </row>
    <row r="30" spans="1:239" x14ac:dyDescent="0.25">
      <c r="A30" t="s">
        <v>1243</v>
      </c>
      <c r="B30" t="s">
        <v>1244</v>
      </c>
      <c r="C30" t="s">
        <v>199</v>
      </c>
      <c r="D30" t="s">
        <v>1245</v>
      </c>
      <c r="E30" t="s">
        <v>217</v>
      </c>
      <c r="F30" t="s">
        <v>517</v>
      </c>
      <c r="G30" t="s">
        <v>1277</v>
      </c>
      <c r="H30" s="3">
        <v>1520740000</v>
      </c>
      <c r="I30" s="3">
        <v>317600000</v>
      </c>
      <c r="J30" s="3">
        <v>0</v>
      </c>
      <c r="K30" s="3">
        <v>1838340000</v>
      </c>
      <c r="L30" s="3">
        <v>1520740000</v>
      </c>
      <c r="M30" s="3">
        <v>317600000</v>
      </c>
      <c r="N30" s="3">
        <v>0</v>
      </c>
      <c r="O30" s="3">
        <v>1838340000</v>
      </c>
      <c r="P30" s="3"/>
      <c r="Q30" s="3"/>
      <c r="R30" s="3"/>
      <c r="S30" s="3"/>
      <c r="T30" s="3"/>
      <c r="U30" s="3"/>
      <c r="V30" s="3"/>
      <c r="W30" s="3"/>
      <c r="X30" s="6"/>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v>1807018000</v>
      </c>
      <c r="BM30" s="3">
        <v>335313000</v>
      </c>
      <c r="BN30" s="3">
        <v>0</v>
      </c>
      <c r="BO30" s="3">
        <v>2142331000</v>
      </c>
      <c r="BP30" s="3">
        <v>1854072000</v>
      </c>
      <c r="BQ30" s="3">
        <v>335313000</v>
      </c>
      <c r="BR30" s="3">
        <v>0</v>
      </c>
      <c r="BS30" s="3">
        <v>2189385000</v>
      </c>
      <c r="BT30" s="3"/>
      <c r="BU30" s="3"/>
      <c r="BV30" s="3"/>
      <c r="BW30" s="3"/>
      <c r="BX30" s="3"/>
      <c r="BY30" s="3"/>
      <c r="BZ30" s="3"/>
      <c r="CA30" s="3"/>
      <c r="CB30" s="3"/>
      <c r="CC30" s="3"/>
      <c r="CD30" s="3"/>
      <c r="CE30" s="6"/>
      <c r="CF30" s="3"/>
      <c r="CG30" s="3"/>
      <c r="CH30" s="3"/>
      <c r="CI30" s="3"/>
      <c r="CJ30" s="3"/>
      <c r="CK30" s="3"/>
      <c r="CL30" s="3"/>
      <c r="CM30" s="3"/>
      <c r="CN30" s="3">
        <v>2084669000</v>
      </c>
      <c r="CO30" s="3">
        <v>335313000</v>
      </c>
      <c r="CP30" s="3">
        <v>0</v>
      </c>
      <c r="CQ30" s="3">
        <v>2419982000</v>
      </c>
      <c r="CR30" s="3">
        <v>2199219000</v>
      </c>
      <c r="CS30" s="3">
        <v>338025000</v>
      </c>
      <c r="CT30" s="3">
        <v>0</v>
      </c>
      <c r="CU30" s="3">
        <v>2537244000</v>
      </c>
      <c r="CV30" s="3"/>
      <c r="CW30" s="3"/>
      <c r="CX30" s="3"/>
      <c r="CY30" s="3"/>
      <c r="CZ30" s="3"/>
      <c r="DA30" s="3"/>
      <c r="DB30" s="3"/>
      <c r="DC30" s="3"/>
      <c r="DD30" s="3"/>
      <c r="DE30" s="3"/>
      <c r="DF30" s="3"/>
      <c r="DG30" s="3"/>
      <c r="DH30" s="3"/>
      <c r="DI30" s="3"/>
      <c r="DJ30" s="3"/>
      <c r="DK30" s="3"/>
      <c r="DL30" s="3"/>
      <c r="DM30" s="3"/>
      <c r="DN30" s="3"/>
      <c r="DO30" s="3"/>
      <c r="DP30" s="3">
        <v>2109770000</v>
      </c>
      <c r="DQ30" s="3">
        <v>335313000</v>
      </c>
      <c r="DR30" s="3">
        <v>0</v>
      </c>
      <c r="DS30" s="3">
        <v>2445083000</v>
      </c>
      <c r="DT30" s="3">
        <v>2421476000</v>
      </c>
      <c r="DU30" s="3">
        <v>340737000</v>
      </c>
      <c r="DV30" s="3">
        <v>0</v>
      </c>
      <c r="DW30" s="3">
        <v>2762213000</v>
      </c>
      <c r="DX30" s="3"/>
      <c r="DY30" s="3"/>
      <c r="DZ30" s="3"/>
      <c r="EA30" s="3"/>
      <c r="EB30" s="3"/>
      <c r="EC30" s="3"/>
      <c r="ED30" s="3"/>
      <c r="EE30" s="3"/>
      <c r="EF30" s="3"/>
      <c r="EG30" s="3"/>
      <c r="EH30" s="3"/>
      <c r="EI30" s="3"/>
      <c r="EJ30" s="3"/>
      <c r="EK30" s="3"/>
      <c r="EL30" s="3"/>
      <c r="EM30" s="3"/>
      <c r="EN30" s="3"/>
      <c r="EO30" s="3"/>
      <c r="EP30" s="3"/>
      <c r="EQ30" s="3"/>
      <c r="ER30" s="3">
        <v>2176722000</v>
      </c>
      <c r="ES30" s="3">
        <v>351696000</v>
      </c>
      <c r="ET30" s="3">
        <v>0</v>
      </c>
      <c r="EU30" s="3">
        <v>2528418000</v>
      </c>
      <c r="EV30" s="3">
        <v>2322384000</v>
      </c>
      <c r="EW30" s="3">
        <v>351696000</v>
      </c>
      <c r="EX30" s="3">
        <v>0</v>
      </c>
      <c r="EY30" s="3">
        <v>2674080000</v>
      </c>
      <c r="EZ30" s="3"/>
      <c r="FA30" s="3"/>
      <c r="FB30" s="3"/>
      <c r="FC30" s="3"/>
      <c r="FD30" s="3"/>
      <c r="FE30" s="3"/>
      <c r="FF30" s="3"/>
      <c r="FG30" s="3"/>
      <c r="FH30" s="6"/>
      <c r="FI30" s="3"/>
      <c r="FJ30" s="3"/>
      <c r="FK30" s="3"/>
      <c r="FL30" s="3"/>
      <c r="FM30" s="3"/>
      <c r="FN30" s="3"/>
      <c r="FO30" s="3"/>
      <c r="FP30" s="3"/>
      <c r="FQ30" s="3"/>
      <c r="FR30" s="3"/>
      <c r="FS30" s="3"/>
      <c r="FT30" s="3">
        <v>2104645000</v>
      </c>
      <c r="FU30" s="3">
        <v>377455000</v>
      </c>
      <c r="FV30" s="3">
        <v>0</v>
      </c>
      <c r="FW30" s="3">
        <v>2482100000</v>
      </c>
      <c r="FX30" s="3">
        <v>2249645000</v>
      </c>
      <c r="FY30" s="3">
        <v>377455000</v>
      </c>
      <c r="FZ30" s="3">
        <v>0</v>
      </c>
      <c r="GA30" s="3">
        <v>2627100000</v>
      </c>
      <c r="GB30" s="3"/>
      <c r="GC30" s="3"/>
      <c r="GD30" s="3"/>
      <c r="GE30" s="3"/>
      <c r="GF30" s="3"/>
      <c r="GG30" s="3"/>
      <c r="GH30" s="3"/>
      <c r="GI30" s="3"/>
      <c r="GJ30" s="3"/>
      <c r="GK30" s="3"/>
      <c r="GL30" s="3"/>
      <c r="GM30" s="3"/>
      <c r="GN30" s="3"/>
      <c r="GO30" s="3"/>
      <c r="GP30" s="3"/>
      <c r="GQ30" s="3"/>
      <c r="GR30" s="3"/>
      <c r="GS30" s="6"/>
      <c r="GT30" s="3"/>
      <c r="GU30" s="3"/>
      <c r="GV30" s="3">
        <v>2401630000</v>
      </c>
      <c r="GW30" s="3">
        <v>421983000</v>
      </c>
      <c r="GX30" s="3">
        <v>0</v>
      </c>
      <c r="GY30" s="3">
        <v>2823613000</v>
      </c>
      <c r="GZ30" s="3">
        <v>2401630000</v>
      </c>
      <c r="HA30" s="3">
        <v>421983000</v>
      </c>
      <c r="HB30" s="3">
        <v>0</v>
      </c>
      <c r="HC30" s="3">
        <v>2823613000</v>
      </c>
      <c r="HD30" s="3"/>
      <c r="HE30" s="3"/>
      <c r="HF30" s="3"/>
      <c r="HG30" s="3"/>
      <c r="HH30" s="3"/>
      <c r="HI30" s="3"/>
      <c r="HJ30" s="3"/>
      <c r="HK30" s="3"/>
      <c r="HL30" s="3"/>
      <c r="HM30" s="3"/>
      <c r="HN30" s="3"/>
      <c r="HO30" s="3"/>
      <c r="HP30" s="3"/>
      <c r="HQ30" s="3"/>
      <c r="HR30" s="3"/>
      <c r="HS30" s="3"/>
      <c r="HT30" s="3"/>
      <c r="HU30" s="3"/>
      <c r="HV30" s="3"/>
      <c r="HW30" s="3"/>
      <c r="HX30" s="3">
        <v>2696948000</v>
      </c>
      <c r="HY30" s="3">
        <v>432455000</v>
      </c>
      <c r="HZ30" s="3">
        <v>0</v>
      </c>
      <c r="IA30" s="3">
        <v>3129403000</v>
      </c>
      <c r="IB30" s="3">
        <v>2696948000</v>
      </c>
      <c r="IC30" s="3">
        <v>432455000</v>
      </c>
      <c r="ID30" s="3">
        <v>0</v>
      </c>
      <c r="IE30" s="3">
        <v>3129403000</v>
      </c>
    </row>
    <row r="31" spans="1:239" x14ac:dyDescent="0.25">
      <c r="A31" t="s">
        <v>1243</v>
      </c>
      <c r="B31" t="s">
        <v>1244</v>
      </c>
      <c r="C31" t="s">
        <v>199</v>
      </c>
      <c r="D31" t="s">
        <v>1245</v>
      </c>
      <c r="E31" t="s">
        <v>217</v>
      </c>
      <c r="F31" t="s">
        <v>518</v>
      </c>
      <c r="G31" t="s">
        <v>1278</v>
      </c>
      <c r="H31" s="3">
        <v>22604000</v>
      </c>
      <c r="I31" s="3">
        <v>10775000</v>
      </c>
      <c r="J31" s="3">
        <v>0</v>
      </c>
      <c r="K31" s="3">
        <v>33379000</v>
      </c>
      <c r="L31" s="3">
        <v>22604000</v>
      </c>
      <c r="M31" s="3">
        <v>10775000</v>
      </c>
      <c r="N31" s="3">
        <v>0</v>
      </c>
      <c r="O31" s="3">
        <v>33379000</v>
      </c>
      <c r="P31" s="3"/>
      <c r="Q31" s="3"/>
      <c r="R31" s="3"/>
      <c r="S31" s="3"/>
      <c r="T31" s="3"/>
      <c r="U31" s="3"/>
      <c r="V31" s="3"/>
      <c r="W31" s="3"/>
      <c r="X31" s="6"/>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v>25159000</v>
      </c>
      <c r="BM31" s="3">
        <v>11305000</v>
      </c>
      <c r="BN31" s="3">
        <v>0</v>
      </c>
      <c r="BO31" s="3">
        <v>36464000</v>
      </c>
      <c r="BP31" s="3">
        <v>25159000</v>
      </c>
      <c r="BQ31" s="3">
        <v>11305000</v>
      </c>
      <c r="BR31" s="3">
        <v>0</v>
      </c>
      <c r="BS31" s="3">
        <v>36464000</v>
      </c>
      <c r="BT31" s="3"/>
      <c r="BU31" s="3"/>
      <c r="BV31" s="3"/>
      <c r="BW31" s="3"/>
      <c r="BX31" s="3"/>
      <c r="BY31" s="3"/>
      <c r="BZ31" s="3"/>
      <c r="CA31" s="3"/>
      <c r="CB31" s="3"/>
      <c r="CC31" s="3"/>
      <c r="CD31" s="3"/>
      <c r="CE31" s="6"/>
      <c r="CF31" s="3"/>
      <c r="CG31" s="3"/>
      <c r="CH31" s="3"/>
      <c r="CI31" s="3"/>
      <c r="CJ31" s="3"/>
      <c r="CK31" s="3"/>
      <c r="CL31" s="3"/>
      <c r="CM31" s="3"/>
      <c r="CN31" s="3">
        <v>26213000</v>
      </c>
      <c r="CO31" s="3">
        <v>11305000</v>
      </c>
      <c r="CP31" s="3">
        <v>0</v>
      </c>
      <c r="CQ31" s="3">
        <v>37518000</v>
      </c>
      <c r="CR31" s="3">
        <v>26693000</v>
      </c>
      <c r="CS31" s="3">
        <v>11305000</v>
      </c>
      <c r="CT31" s="3">
        <v>0</v>
      </c>
      <c r="CU31" s="3">
        <v>37998000</v>
      </c>
      <c r="CV31" s="3"/>
      <c r="CW31" s="3"/>
      <c r="CX31" s="3"/>
      <c r="CY31" s="3"/>
      <c r="CZ31" s="3"/>
      <c r="DA31" s="3"/>
      <c r="DB31" s="3"/>
      <c r="DC31" s="3"/>
      <c r="DD31" s="3"/>
      <c r="DE31" s="3"/>
      <c r="DF31" s="3"/>
      <c r="DG31" s="3"/>
      <c r="DH31" s="3"/>
      <c r="DI31" s="3"/>
      <c r="DJ31" s="3"/>
      <c r="DK31" s="3"/>
      <c r="DL31" s="3"/>
      <c r="DM31" s="3"/>
      <c r="DN31" s="3"/>
      <c r="DO31" s="3"/>
      <c r="DP31" s="3">
        <v>27111000</v>
      </c>
      <c r="DQ31" s="3">
        <v>11305000</v>
      </c>
      <c r="DR31" s="3">
        <v>0</v>
      </c>
      <c r="DS31" s="3">
        <v>38416000</v>
      </c>
      <c r="DT31" s="3">
        <v>27111000</v>
      </c>
      <c r="DU31" s="3">
        <v>11305000</v>
      </c>
      <c r="DV31" s="3">
        <v>0</v>
      </c>
      <c r="DW31" s="3">
        <v>38416000</v>
      </c>
      <c r="DX31" s="3"/>
      <c r="DY31" s="3"/>
      <c r="DZ31" s="3"/>
      <c r="EA31" s="3"/>
      <c r="EB31" s="3"/>
      <c r="EC31" s="3"/>
      <c r="ED31" s="3"/>
      <c r="EE31" s="3"/>
      <c r="EF31" s="3"/>
      <c r="EG31" s="3"/>
      <c r="EH31" s="3"/>
      <c r="EI31" s="3"/>
      <c r="EJ31" s="3"/>
      <c r="EK31" s="3"/>
      <c r="EL31" s="3"/>
      <c r="EM31" s="3"/>
      <c r="EN31" s="3"/>
      <c r="EO31" s="3"/>
      <c r="EP31" s="3"/>
      <c r="EQ31" s="3"/>
      <c r="ER31" s="3">
        <v>28203000</v>
      </c>
      <c r="ES31" s="3">
        <v>11582000</v>
      </c>
      <c r="ET31" s="3">
        <v>0</v>
      </c>
      <c r="EU31" s="3">
        <v>39785000</v>
      </c>
      <c r="EV31" s="3">
        <v>28683000</v>
      </c>
      <c r="EW31" s="3">
        <v>11582000</v>
      </c>
      <c r="EX31" s="3">
        <v>0</v>
      </c>
      <c r="EY31" s="3">
        <v>40265000</v>
      </c>
      <c r="EZ31" s="3"/>
      <c r="FA31" s="3"/>
      <c r="FB31" s="3"/>
      <c r="FC31" s="3"/>
      <c r="FD31" s="3"/>
      <c r="FE31" s="3"/>
      <c r="FF31" s="3"/>
      <c r="FG31" s="3"/>
      <c r="FH31" s="6"/>
      <c r="FI31" s="3"/>
      <c r="FJ31" s="3"/>
      <c r="FK31" s="3"/>
      <c r="FL31" s="3"/>
      <c r="FM31" s="3"/>
      <c r="FN31" s="3"/>
      <c r="FO31" s="3"/>
      <c r="FP31" s="3"/>
      <c r="FQ31" s="3"/>
      <c r="FR31" s="3"/>
      <c r="FS31" s="3"/>
      <c r="FT31" s="3">
        <v>24363000</v>
      </c>
      <c r="FU31" s="3">
        <v>12063000</v>
      </c>
      <c r="FV31" s="3">
        <v>0</v>
      </c>
      <c r="FW31" s="3">
        <v>36426000</v>
      </c>
      <c r="FX31" s="3">
        <v>24843000</v>
      </c>
      <c r="FY31" s="3">
        <v>12063000</v>
      </c>
      <c r="FZ31" s="3">
        <v>0</v>
      </c>
      <c r="GA31" s="3">
        <v>36906000</v>
      </c>
      <c r="GB31" s="3"/>
      <c r="GC31" s="3"/>
      <c r="GD31" s="3"/>
      <c r="GE31" s="3"/>
      <c r="GF31" s="3"/>
      <c r="GG31" s="3"/>
      <c r="GH31" s="3"/>
      <c r="GI31" s="3"/>
      <c r="GJ31" s="3"/>
      <c r="GK31" s="3"/>
      <c r="GL31" s="3"/>
      <c r="GM31" s="3"/>
      <c r="GN31" s="3"/>
      <c r="GO31" s="3"/>
      <c r="GP31" s="3"/>
      <c r="GQ31" s="3"/>
      <c r="GR31" s="3"/>
      <c r="GS31" s="6"/>
      <c r="GT31" s="3"/>
      <c r="GU31" s="3"/>
      <c r="GV31" s="3">
        <v>26241000</v>
      </c>
      <c r="GW31" s="3">
        <v>12299000</v>
      </c>
      <c r="GX31" s="3">
        <v>0</v>
      </c>
      <c r="GY31" s="3">
        <v>38540000</v>
      </c>
      <c r="GZ31" s="3">
        <v>26241000</v>
      </c>
      <c r="HA31" s="3">
        <v>12299000</v>
      </c>
      <c r="HB31" s="3">
        <v>0</v>
      </c>
      <c r="HC31" s="3">
        <v>38540000</v>
      </c>
      <c r="HD31" s="3"/>
      <c r="HE31" s="3"/>
      <c r="HF31" s="3"/>
      <c r="HG31" s="3"/>
      <c r="HH31" s="3"/>
      <c r="HI31" s="3"/>
      <c r="HJ31" s="3"/>
      <c r="HK31" s="3"/>
      <c r="HL31" s="3"/>
      <c r="HM31" s="3"/>
      <c r="HN31" s="3"/>
      <c r="HO31" s="3"/>
      <c r="HP31" s="3"/>
      <c r="HQ31" s="3"/>
      <c r="HR31" s="3"/>
      <c r="HS31" s="3"/>
      <c r="HT31" s="3"/>
      <c r="HU31" s="3"/>
      <c r="HV31" s="3"/>
      <c r="HW31" s="3"/>
      <c r="HX31" s="3">
        <v>31402000</v>
      </c>
      <c r="HY31" s="3">
        <v>12542000</v>
      </c>
      <c r="HZ31" s="3">
        <v>0</v>
      </c>
      <c r="IA31" s="3">
        <v>43944000</v>
      </c>
      <c r="IB31" s="3">
        <v>61162000</v>
      </c>
      <c r="IC31" s="3">
        <v>32932000</v>
      </c>
      <c r="ID31" s="3">
        <v>2340000</v>
      </c>
      <c r="IE31" s="3">
        <v>96434000</v>
      </c>
    </row>
    <row r="32" spans="1:239" x14ac:dyDescent="0.25">
      <c r="A32" t="s">
        <v>1243</v>
      </c>
      <c r="B32" t="s">
        <v>1244</v>
      </c>
      <c r="C32" t="s">
        <v>199</v>
      </c>
      <c r="D32" t="s">
        <v>1245</v>
      </c>
      <c r="E32" t="s">
        <v>217</v>
      </c>
      <c r="F32" t="s">
        <v>519</v>
      </c>
      <c r="G32" t="s">
        <v>1279</v>
      </c>
      <c r="H32" s="3">
        <v>121841000</v>
      </c>
      <c r="I32" s="3">
        <v>25544000</v>
      </c>
      <c r="J32" s="3">
        <v>0</v>
      </c>
      <c r="K32" s="3">
        <v>147385000</v>
      </c>
      <c r="L32" s="3">
        <v>121841000</v>
      </c>
      <c r="M32" s="3">
        <v>25544000</v>
      </c>
      <c r="N32" s="3">
        <v>0</v>
      </c>
      <c r="O32" s="3">
        <v>147385000</v>
      </c>
      <c r="P32" s="3"/>
      <c r="Q32" s="3"/>
      <c r="R32" s="3"/>
      <c r="S32" s="3"/>
      <c r="T32" s="3"/>
      <c r="U32" s="3"/>
      <c r="V32" s="3"/>
      <c r="W32" s="3"/>
      <c r="X32" s="6"/>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v>125621000</v>
      </c>
      <c r="BM32" s="3">
        <v>26901000</v>
      </c>
      <c r="BN32" s="3">
        <v>0</v>
      </c>
      <c r="BO32" s="3">
        <v>152522000</v>
      </c>
      <c r="BP32" s="3">
        <v>125621000</v>
      </c>
      <c r="BQ32" s="3">
        <v>26901000</v>
      </c>
      <c r="BR32" s="3">
        <v>0</v>
      </c>
      <c r="BS32" s="3">
        <v>152522000</v>
      </c>
      <c r="BT32" s="3"/>
      <c r="BU32" s="3"/>
      <c r="BV32" s="3"/>
      <c r="BW32" s="3"/>
      <c r="BX32" s="3"/>
      <c r="BY32" s="3"/>
      <c r="BZ32" s="3"/>
      <c r="CA32" s="3"/>
      <c r="CB32" s="3"/>
      <c r="CC32" s="3"/>
      <c r="CD32" s="3"/>
      <c r="CE32" s="6"/>
      <c r="CF32" s="3"/>
      <c r="CG32" s="3"/>
      <c r="CH32" s="3"/>
      <c r="CI32" s="3"/>
      <c r="CJ32" s="3"/>
      <c r="CK32" s="3"/>
      <c r="CL32" s="3"/>
      <c r="CM32" s="3"/>
      <c r="CN32" s="3">
        <v>140155000</v>
      </c>
      <c r="CO32" s="3">
        <v>26901000</v>
      </c>
      <c r="CP32" s="3">
        <v>0</v>
      </c>
      <c r="CQ32" s="3">
        <v>167056000</v>
      </c>
      <c r="CR32" s="3">
        <v>143215000</v>
      </c>
      <c r="CS32" s="3">
        <v>26901000</v>
      </c>
      <c r="CT32" s="3">
        <v>0</v>
      </c>
      <c r="CU32" s="3">
        <v>170116000</v>
      </c>
      <c r="CV32" s="3"/>
      <c r="CW32" s="3"/>
      <c r="CX32" s="3"/>
      <c r="CY32" s="3"/>
      <c r="CZ32" s="3"/>
      <c r="DA32" s="3"/>
      <c r="DB32" s="3"/>
      <c r="DC32" s="3"/>
      <c r="DD32" s="3"/>
      <c r="DE32" s="3"/>
      <c r="DF32" s="3"/>
      <c r="DG32" s="3"/>
      <c r="DH32" s="3"/>
      <c r="DI32" s="3"/>
      <c r="DJ32" s="3"/>
      <c r="DK32" s="3"/>
      <c r="DL32" s="3"/>
      <c r="DM32" s="3"/>
      <c r="DN32" s="3"/>
      <c r="DO32" s="3"/>
      <c r="DP32" s="3">
        <v>146337000</v>
      </c>
      <c r="DQ32" s="3">
        <v>26901000</v>
      </c>
      <c r="DR32" s="3">
        <v>0</v>
      </c>
      <c r="DS32" s="3">
        <v>173238000</v>
      </c>
      <c r="DT32" s="3">
        <v>146337000</v>
      </c>
      <c r="DU32" s="3">
        <v>26901000</v>
      </c>
      <c r="DV32" s="3">
        <v>0</v>
      </c>
      <c r="DW32" s="3">
        <v>173238000</v>
      </c>
      <c r="DX32" s="3"/>
      <c r="DY32" s="3"/>
      <c r="DZ32" s="3"/>
      <c r="EA32" s="3"/>
      <c r="EB32" s="3"/>
      <c r="EC32" s="3"/>
      <c r="ED32" s="3"/>
      <c r="EE32" s="3"/>
      <c r="EF32" s="3"/>
      <c r="EG32" s="3"/>
      <c r="EH32" s="3"/>
      <c r="EI32" s="3"/>
      <c r="EJ32" s="3"/>
      <c r="EK32" s="3"/>
      <c r="EL32" s="3"/>
      <c r="EM32" s="3"/>
      <c r="EN32" s="3"/>
      <c r="EO32" s="3"/>
      <c r="EP32" s="3"/>
      <c r="EQ32" s="3"/>
      <c r="ER32" s="3">
        <v>154449000</v>
      </c>
      <c r="ES32" s="3">
        <v>27692000</v>
      </c>
      <c r="ET32" s="3">
        <v>0</v>
      </c>
      <c r="EU32" s="3">
        <v>182141000</v>
      </c>
      <c r="EV32" s="3">
        <v>157509000</v>
      </c>
      <c r="EW32" s="3">
        <v>27692000</v>
      </c>
      <c r="EX32" s="3">
        <v>0</v>
      </c>
      <c r="EY32" s="3">
        <v>185201000</v>
      </c>
      <c r="EZ32" s="3"/>
      <c r="FA32" s="3"/>
      <c r="FB32" s="3"/>
      <c r="FC32" s="3"/>
      <c r="FD32" s="3"/>
      <c r="FE32" s="3"/>
      <c r="FF32" s="3"/>
      <c r="FG32" s="3"/>
      <c r="FH32" s="6"/>
      <c r="FI32" s="3"/>
      <c r="FJ32" s="3"/>
      <c r="FK32" s="3"/>
      <c r="FL32" s="3"/>
      <c r="FM32" s="3"/>
      <c r="FN32" s="3"/>
      <c r="FO32" s="3"/>
      <c r="FP32" s="3"/>
      <c r="FQ32" s="3"/>
      <c r="FR32" s="3"/>
      <c r="FS32" s="3"/>
      <c r="FT32" s="3">
        <v>148922000</v>
      </c>
      <c r="FU32" s="3">
        <v>29064000</v>
      </c>
      <c r="FV32" s="3">
        <v>0</v>
      </c>
      <c r="FW32" s="3">
        <v>177986000</v>
      </c>
      <c r="FX32" s="3">
        <v>151982000</v>
      </c>
      <c r="FY32" s="3">
        <v>29064000</v>
      </c>
      <c r="FZ32" s="3">
        <v>0</v>
      </c>
      <c r="GA32" s="3">
        <v>181046000</v>
      </c>
      <c r="GB32" s="3"/>
      <c r="GC32" s="3"/>
      <c r="GD32" s="3"/>
      <c r="GE32" s="3"/>
      <c r="GF32" s="3"/>
      <c r="GG32" s="3"/>
      <c r="GH32" s="3"/>
      <c r="GI32" s="3"/>
      <c r="GJ32" s="3"/>
      <c r="GK32" s="3"/>
      <c r="GL32" s="3"/>
      <c r="GM32" s="3"/>
      <c r="GN32" s="3"/>
      <c r="GO32" s="3"/>
      <c r="GP32" s="3"/>
      <c r="GQ32" s="3"/>
      <c r="GR32" s="3"/>
      <c r="GS32" s="6"/>
      <c r="GT32" s="3"/>
      <c r="GU32" s="3"/>
      <c r="GV32" s="3">
        <v>160300000</v>
      </c>
      <c r="GW32" s="3">
        <v>29738000</v>
      </c>
      <c r="GX32" s="3">
        <v>0</v>
      </c>
      <c r="GY32" s="3">
        <v>190038000</v>
      </c>
      <c r="GZ32" s="3">
        <v>160300000</v>
      </c>
      <c r="HA32" s="3">
        <v>29738000</v>
      </c>
      <c r="HB32" s="3">
        <v>0</v>
      </c>
      <c r="HC32" s="3">
        <v>190038000</v>
      </c>
      <c r="HD32" s="3"/>
      <c r="HE32" s="3"/>
      <c r="HF32" s="3"/>
      <c r="HG32" s="3"/>
      <c r="HH32" s="3"/>
      <c r="HI32" s="3"/>
      <c r="HJ32" s="3"/>
      <c r="HK32" s="3"/>
      <c r="HL32" s="3"/>
      <c r="HM32" s="3"/>
      <c r="HN32" s="3"/>
      <c r="HO32" s="3"/>
      <c r="HP32" s="3"/>
      <c r="HQ32" s="3"/>
      <c r="HR32" s="3"/>
      <c r="HS32" s="3"/>
      <c r="HT32" s="3"/>
      <c r="HU32" s="3"/>
      <c r="HV32" s="3"/>
      <c r="HW32" s="3"/>
      <c r="HX32" s="3">
        <v>180066000</v>
      </c>
      <c r="HY32" s="3">
        <v>30432000</v>
      </c>
      <c r="HZ32" s="3">
        <v>0</v>
      </c>
      <c r="IA32" s="3">
        <v>210498000</v>
      </c>
      <c r="IB32" s="3">
        <v>254941000</v>
      </c>
      <c r="IC32" s="3">
        <v>96497000</v>
      </c>
      <c r="ID32" s="3">
        <v>7020000</v>
      </c>
      <c r="IE32" s="3">
        <v>358458000</v>
      </c>
    </row>
    <row r="33" spans="1:239" x14ac:dyDescent="0.25">
      <c r="A33" t="s">
        <v>1243</v>
      </c>
      <c r="B33" t="s">
        <v>1244</v>
      </c>
      <c r="C33" t="s">
        <v>199</v>
      </c>
      <c r="D33" t="s">
        <v>1245</v>
      </c>
      <c r="E33" t="s">
        <v>217</v>
      </c>
      <c r="F33" t="s">
        <v>991</v>
      </c>
      <c r="G33" t="s">
        <v>1280</v>
      </c>
      <c r="H33" s="3">
        <v>0</v>
      </c>
      <c r="I33" s="3">
        <v>70603000</v>
      </c>
      <c r="J33" s="3">
        <v>0</v>
      </c>
      <c r="K33" s="3">
        <v>70603000</v>
      </c>
      <c r="L33" s="3">
        <v>0</v>
      </c>
      <c r="M33" s="3">
        <v>70603000</v>
      </c>
      <c r="N33" s="3">
        <v>0</v>
      </c>
      <c r="O33" s="3">
        <v>70603000</v>
      </c>
      <c r="P33" s="3"/>
      <c r="Q33" s="3"/>
      <c r="R33" s="3"/>
      <c r="S33" s="3"/>
      <c r="T33" s="3"/>
      <c r="U33" s="3"/>
      <c r="V33" s="3"/>
      <c r="W33" s="3"/>
      <c r="X33" s="6"/>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v>176788000</v>
      </c>
      <c r="BM33" s="3">
        <v>72933000</v>
      </c>
      <c r="BN33" s="3">
        <v>0</v>
      </c>
      <c r="BO33" s="3">
        <v>249721000</v>
      </c>
      <c r="BP33" s="3">
        <v>176788000</v>
      </c>
      <c r="BQ33" s="3">
        <v>72933000</v>
      </c>
      <c r="BR33" s="3">
        <v>0</v>
      </c>
      <c r="BS33" s="3">
        <v>249721000</v>
      </c>
      <c r="BT33" s="3"/>
      <c r="BU33" s="3"/>
      <c r="BV33" s="3"/>
      <c r="BW33" s="3"/>
      <c r="BX33" s="3"/>
      <c r="BY33" s="3"/>
      <c r="BZ33" s="3"/>
      <c r="CA33" s="3"/>
      <c r="CB33" s="3"/>
      <c r="CC33" s="3"/>
      <c r="CD33" s="3"/>
      <c r="CE33" s="6"/>
      <c r="CF33" s="3"/>
      <c r="CG33" s="3"/>
      <c r="CH33" s="3"/>
      <c r="CI33" s="3"/>
      <c r="CJ33" s="3"/>
      <c r="CK33" s="3"/>
      <c r="CL33" s="3"/>
      <c r="CM33" s="3"/>
      <c r="CN33" s="3">
        <v>242131000</v>
      </c>
      <c r="CO33" s="3">
        <v>72933000</v>
      </c>
      <c r="CP33" s="3">
        <v>0</v>
      </c>
      <c r="CQ33" s="3">
        <v>315064000</v>
      </c>
      <c r="CR33" s="3">
        <v>374541000</v>
      </c>
      <c r="CS33" s="3">
        <v>79833000</v>
      </c>
      <c r="CT33" s="3">
        <v>0</v>
      </c>
      <c r="CU33" s="3">
        <v>454374000</v>
      </c>
      <c r="CV33" s="3"/>
      <c r="CW33" s="3"/>
      <c r="CX33" s="3"/>
      <c r="CY33" s="3"/>
      <c r="CZ33" s="3"/>
      <c r="DA33" s="3"/>
      <c r="DB33" s="3"/>
      <c r="DC33" s="3"/>
      <c r="DD33" s="3"/>
      <c r="DE33" s="3"/>
      <c r="DF33" s="3"/>
      <c r="DG33" s="3"/>
      <c r="DH33" s="3"/>
      <c r="DI33" s="3"/>
      <c r="DJ33" s="3"/>
      <c r="DK33" s="3"/>
      <c r="DL33" s="3"/>
      <c r="DM33" s="3"/>
      <c r="DN33" s="3"/>
      <c r="DO33" s="3"/>
      <c r="DP33" s="3">
        <v>299406000</v>
      </c>
      <c r="DQ33" s="3">
        <v>79493000</v>
      </c>
      <c r="DR33" s="3">
        <v>0</v>
      </c>
      <c r="DS33" s="3">
        <v>378899000</v>
      </c>
      <c r="DT33" s="3">
        <v>299406000</v>
      </c>
      <c r="DU33" s="3">
        <v>79493000</v>
      </c>
      <c r="DV33" s="3">
        <v>0</v>
      </c>
      <c r="DW33" s="3">
        <v>378899000</v>
      </c>
      <c r="DX33" s="3"/>
      <c r="DY33" s="3"/>
      <c r="DZ33" s="3"/>
      <c r="EA33" s="3"/>
      <c r="EB33" s="3"/>
      <c r="EC33" s="3"/>
      <c r="ED33" s="3"/>
      <c r="EE33" s="3"/>
      <c r="EF33" s="3"/>
      <c r="EG33" s="3"/>
      <c r="EH33" s="3"/>
      <c r="EI33" s="3"/>
      <c r="EJ33" s="3"/>
      <c r="EK33" s="3"/>
      <c r="EL33" s="3"/>
      <c r="EM33" s="3"/>
      <c r="EN33" s="3"/>
      <c r="EO33" s="3"/>
      <c r="EP33" s="3"/>
      <c r="EQ33" s="3"/>
      <c r="ER33" s="3">
        <v>348293000</v>
      </c>
      <c r="ES33" s="3">
        <v>79776000</v>
      </c>
      <c r="ET33" s="3">
        <v>0</v>
      </c>
      <c r="EU33" s="3">
        <v>428069000</v>
      </c>
      <c r="EV33" s="3">
        <v>361445000</v>
      </c>
      <c r="EW33" s="3">
        <v>79776000</v>
      </c>
      <c r="EX33" s="3">
        <v>0</v>
      </c>
      <c r="EY33" s="3">
        <v>441221000</v>
      </c>
      <c r="EZ33" s="3"/>
      <c r="FA33" s="3"/>
      <c r="FB33" s="3"/>
      <c r="FC33" s="3"/>
      <c r="FD33" s="3"/>
      <c r="FE33" s="3"/>
      <c r="FF33" s="3"/>
      <c r="FG33" s="3"/>
      <c r="FH33" s="6"/>
      <c r="FI33" s="3"/>
      <c r="FJ33" s="3"/>
      <c r="FK33" s="3"/>
      <c r="FL33" s="3"/>
      <c r="FM33" s="3"/>
      <c r="FN33" s="3"/>
      <c r="FO33" s="3"/>
      <c r="FP33" s="3"/>
      <c r="FQ33" s="3"/>
      <c r="FR33" s="3"/>
      <c r="FS33" s="3"/>
      <c r="FT33" s="3">
        <v>435421000</v>
      </c>
      <c r="FU33" s="3">
        <v>80265000</v>
      </c>
      <c r="FV33" s="3">
        <v>0</v>
      </c>
      <c r="FW33" s="3">
        <v>515686000</v>
      </c>
      <c r="FX33" s="3">
        <v>984573000</v>
      </c>
      <c r="FY33" s="3">
        <v>80265000</v>
      </c>
      <c r="FZ33" s="3">
        <v>0</v>
      </c>
      <c r="GA33" s="3">
        <v>1064838000</v>
      </c>
      <c r="GB33" s="3"/>
      <c r="GC33" s="3"/>
      <c r="GD33" s="3"/>
      <c r="GE33" s="3"/>
      <c r="GF33" s="3"/>
      <c r="GG33" s="3"/>
      <c r="GH33" s="3"/>
      <c r="GI33" s="3"/>
      <c r="GJ33" s="3"/>
      <c r="GK33" s="3"/>
      <c r="GL33" s="3"/>
      <c r="GM33" s="3"/>
      <c r="GN33" s="3"/>
      <c r="GO33" s="3"/>
      <c r="GP33" s="3"/>
      <c r="GQ33" s="3"/>
      <c r="GR33" s="3"/>
      <c r="GS33" s="6"/>
      <c r="GT33" s="3"/>
      <c r="GU33" s="3"/>
      <c r="GV33" s="3">
        <v>1193992000</v>
      </c>
      <c r="GW33" s="3">
        <v>191721000</v>
      </c>
      <c r="GX33" s="3">
        <v>0</v>
      </c>
      <c r="GY33" s="3">
        <v>1385713000</v>
      </c>
      <c r="GZ33" s="3">
        <v>1193992000</v>
      </c>
      <c r="HA33" s="3">
        <v>191721000</v>
      </c>
      <c r="HB33" s="3">
        <v>0</v>
      </c>
      <c r="HC33" s="3">
        <v>1385713000</v>
      </c>
      <c r="HD33" s="3"/>
      <c r="HE33" s="3"/>
      <c r="HF33" s="3"/>
      <c r="HG33" s="3"/>
      <c r="HH33" s="3"/>
      <c r="HI33" s="3"/>
      <c r="HJ33" s="3"/>
      <c r="HK33" s="3"/>
      <c r="HL33" s="3"/>
      <c r="HM33" s="3"/>
      <c r="HN33" s="3"/>
      <c r="HO33" s="3"/>
      <c r="HP33" s="3"/>
      <c r="HQ33" s="3"/>
      <c r="HR33" s="3"/>
      <c r="HS33" s="3"/>
      <c r="HT33" s="3"/>
      <c r="HU33" s="3"/>
      <c r="HV33" s="3"/>
      <c r="HW33" s="3"/>
      <c r="HX33" s="3">
        <v>1273108000</v>
      </c>
      <c r="HY33" s="3">
        <v>194634000</v>
      </c>
      <c r="HZ33" s="3">
        <v>0</v>
      </c>
      <c r="IA33" s="3">
        <v>1467742000</v>
      </c>
      <c r="IB33" s="3">
        <v>1273108000</v>
      </c>
      <c r="IC33" s="3">
        <v>194634000</v>
      </c>
      <c r="ID33" s="3">
        <v>0</v>
      </c>
      <c r="IE33" s="3">
        <v>1467742000</v>
      </c>
    </row>
    <row r="34" spans="1:239" x14ac:dyDescent="0.25">
      <c r="A34" t="s">
        <v>1243</v>
      </c>
      <c r="B34" t="s">
        <v>1244</v>
      </c>
      <c r="C34" t="s">
        <v>199</v>
      </c>
      <c r="D34" t="s">
        <v>1245</v>
      </c>
      <c r="E34" t="s">
        <v>217</v>
      </c>
      <c r="F34" t="s">
        <v>1259</v>
      </c>
      <c r="G34" t="s">
        <v>1281</v>
      </c>
      <c r="H34" s="3">
        <v>717332000</v>
      </c>
      <c r="I34" s="3">
        <v>344880000</v>
      </c>
      <c r="J34" s="3">
        <v>0</v>
      </c>
      <c r="K34" s="3">
        <v>1062212000</v>
      </c>
      <c r="L34" s="3">
        <v>717332000</v>
      </c>
      <c r="M34" s="3">
        <v>344880000</v>
      </c>
      <c r="N34" s="3">
        <v>0</v>
      </c>
      <c r="O34" s="3">
        <v>1062212000</v>
      </c>
      <c r="P34" s="3"/>
      <c r="Q34" s="3"/>
      <c r="R34" s="3"/>
      <c r="S34" s="3"/>
      <c r="T34" s="3"/>
      <c r="U34" s="3"/>
      <c r="V34" s="3"/>
      <c r="W34" s="3"/>
      <c r="X34" s="6"/>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v>882282000</v>
      </c>
      <c r="BM34" s="3">
        <v>364044000</v>
      </c>
      <c r="BN34" s="3">
        <v>0</v>
      </c>
      <c r="BO34" s="3">
        <v>1246326000</v>
      </c>
      <c r="BP34" s="3">
        <v>882282000</v>
      </c>
      <c r="BQ34" s="3">
        <v>364044000</v>
      </c>
      <c r="BR34" s="3">
        <v>0</v>
      </c>
      <c r="BS34" s="3">
        <v>1246326000</v>
      </c>
      <c r="BT34" s="3"/>
      <c r="BU34" s="3"/>
      <c r="BV34" s="3"/>
      <c r="BW34" s="3"/>
      <c r="BX34" s="3"/>
      <c r="BY34" s="3"/>
      <c r="BZ34" s="3"/>
      <c r="CA34" s="3"/>
      <c r="CB34" s="3"/>
      <c r="CC34" s="3"/>
      <c r="CD34" s="3"/>
      <c r="CE34" s="6"/>
      <c r="CF34" s="3"/>
      <c r="CG34" s="3"/>
      <c r="CH34" s="3"/>
      <c r="CI34" s="3"/>
      <c r="CJ34" s="3"/>
      <c r="CK34" s="3"/>
      <c r="CL34" s="3"/>
      <c r="CM34" s="3"/>
      <c r="CN34" s="3">
        <v>857426000</v>
      </c>
      <c r="CO34" s="3">
        <v>364044000</v>
      </c>
      <c r="CP34" s="3">
        <v>5408000</v>
      </c>
      <c r="CQ34" s="3">
        <v>1226878000</v>
      </c>
      <c r="CR34" s="3">
        <v>857426000</v>
      </c>
      <c r="CS34" s="3">
        <v>364044000</v>
      </c>
      <c r="CT34" s="3">
        <v>5408000</v>
      </c>
      <c r="CU34" s="3">
        <v>1226878000</v>
      </c>
      <c r="CV34" s="3"/>
      <c r="CW34" s="3"/>
      <c r="CX34" s="3"/>
      <c r="CY34" s="3"/>
      <c r="CZ34" s="3"/>
      <c r="DA34" s="3"/>
      <c r="DB34" s="3"/>
      <c r="DC34" s="3"/>
      <c r="DD34" s="3"/>
      <c r="DE34" s="3"/>
      <c r="DF34" s="3"/>
      <c r="DG34" s="3"/>
      <c r="DH34" s="3"/>
      <c r="DI34" s="3"/>
      <c r="DJ34" s="3"/>
      <c r="DK34" s="3"/>
      <c r="DL34" s="3"/>
      <c r="DM34" s="3"/>
      <c r="DN34" s="3"/>
      <c r="DO34" s="3"/>
      <c r="DP34" s="3">
        <v>901304000</v>
      </c>
      <c r="DQ34" s="3">
        <v>364044000</v>
      </c>
      <c r="DR34" s="3">
        <v>14555000</v>
      </c>
      <c r="DS34" s="3">
        <v>1279903000</v>
      </c>
      <c r="DT34" s="3">
        <v>901304000</v>
      </c>
      <c r="DU34" s="3">
        <v>364044000</v>
      </c>
      <c r="DV34" s="3">
        <v>14555000</v>
      </c>
      <c r="DW34" s="3">
        <v>1279903000</v>
      </c>
      <c r="DX34" s="3"/>
      <c r="DY34" s="3"/>
      <c r="DZ34" s="3"/>
      <c r="EA34" s="3"/>
      <c r="EB34" s="3"/>
      <c r="EC34" s="3"/>
      <c r="ED34" s="3"/>
      <c r="EE34" s="3"/>
      <c r="EF34" s="3"/>
      <c r="EG34" s="3"/>
      <c r="EH34" s="3"/>
      <c r="EI34" s="3"/>
      <c r="EJ34" s="3"/>
      <c r="EK34" s="3"/>
      <c r="EL34" s="3"/>
      <c r="EM34" s="3"/>
      <c r="EN34" s="3"/>
      <c r="EO34" s="3"/>
      <c r="EP34" s="3"/>
      <c r="EQ34" s="3"/>
      <c r="ER34" s="3">
        <v>1086794000</v>
      </c>
      <c r="ES34" s="3">
        <v>377823000</v>
      </c>
      <c r="ET34" s="3">
        <v>9710000</v>
      </c>
      <c r="EU34" s="3">
        <v>1474327000</v>
      </c>
      <c r="EV34" s="3">
        <v>1086794000</v>
      </c>
      <c r="EW34" s="3">
        <v>377823000</v>
      </c>
      <c r="EX34" s="3">
        <v>9710000</v>
      </c>
      <c r="EY34" s="3">
        <v>1474327000</v>
      </c>
      <c r="EZ34" s="3"/>
      <c r="FA34" s="3"/>
      <c r="FB34" s="3"/>
      <c r="FC34" s="3"/>
      <c r="FD34" s="3"/>
      <c r="FE34" s="3"/>
      <c r="FF34" s="3"/>
      <c r="FG34" s="3"/>
      <c r="FH34" s="6"/>
      <c r="FI34" s="3"/>
      <c r="FJ34" s="3"/>
      <c r="FK34" s="3"/>
      <c r="FL34" s="3"/>
      <c r="FM34" s="3"/>
      <c r="FN34" s="3"/>
      <c r="FO34" s="3"/>
      <c r="FP34" s="3"/>
      <c r="FQ34" s="3"/>
      <c r="FR34" s="3"/>
      <c r="FS34" s="3"/>
      <c r="FT34" s="3">
        <v>979012000</v>
      </c>
      <c r="FU34" s="3">
        <v>398269000</v>
      </c>
      <c r="FV34" s="3">
        <v>21754000</v>
      </c>
      <c r="FW34" s="3">
        <v>1399035000</v>
      </c>
      <c r="FX34" s="3">
        <v>979012000</v>
      </c>
      <c r="FY34" s="3">
        <v>398269000</v>
      </c>
      <c r="FZ34" s="3">
        <v>21754000</v>
      </c>
      <c r="GA34" s="3">
        <v>1399035000</v>
      </c>
      <c r="GB34" s="3"/>
      <c r="GC34" s="3"/>
      <c r="GD34" s="3"/>
      <c r="GE34" s="3"/>
      <c r="GF34" s="3"/>
      <c r="GG34" s="3"/>
      <c r="GH34" s="3"/>
      <c r="GI34" s="3"/>
      <c r="GJ34" s="3"/>
      <c r="GK34" s="3"/>
      <c r="GL34" s="3"/>
      <c r="GM34" s="3"/>
      <c r="GN34" s="3"/>
      <c r="GO34" s="3"/>
      <c r="GP34" s="3"/>
      <c r="GQ34" s="3"/>
      <c r="GR34" s="3"/>
      <c r="GS34" s="6"/>
      <c r="GT34" s="3"/>
      <c r="GU34" s="3"/>
      <c r="GV34" s="3">
        <v>1154949000</v>
      </c>
      <c r="GW34" s="3">
        <v>508319000</v>
      </c>
      <c r="GX34" s="3">
        <v>21754000</v>
      </c>
      <c r="GY34" s="3">
        <v>1685022000</v>
      </c>
      <c r="GZ34" s="3">
        <v>1154949000</v>
      </c>
      <c r="HA34" s="3">
        <v>508319000</v>
      </c>
      <c r="HB34" s="3">
        <v>21754000</v>
      </c>
      <c r="HC34" s="3">
        <v>1685022000</v>
      </c>
      <c r="HD34" s="3"/>
      <c r="HE34" s="3"/>
      <c r="HF34" s="3"/>
      <c r="HG34" s="3"/>
      <c r="HH34" s="3"/>
      <c r="HI34" s="3"/>
      <c r="HJ34" s="3"/>
      <c r="HK34" s="3"/>
      <c r="HL34" s="3"/>
      <c r="HM34" s="3"/>
      <c r="HN34" s="3"/>
      <c r="HO34" s="3"/>
      <c r="HP34" s="3"/>
      <c r="HQ34" s="3"/>
      <c r="HR34" s="3"/>
      <c r="HS34" s="3"/>
      <c r="HT34" s="3"/>
      <c r="HU34" s="3"/>
      <c r="HV34" s="3"/>
      <c r="HW34" s="3"/>
      <c r="HX34" s="3">
        <v>1313047000</v>
      </c>
      <c r="HY34" s="3">
        <v>418670000</v>
      </c>
      <c r="HZ34" s="3">
        <v>11683000</v>
      </c>
      <c r="IA34" s="3">
        <v>1743400000</v>
      </c>
      <c r="IB34" s="3">
        <v>1313047000</v>
      </c>
      <c r="IC34" s="3">
        <v>443670000</v>
      </c>
      <c r="ID34" s="3">
        <v>11683000</v>
      </c>
      <c r="IE34" s="3">
        <v>1768400000</v>
      </c>
    </row>
    <row r="35" spans="1:239" x14ac:dyDescent="0.25">
      <c r="A35" t="s">
        <v>1243</v>
      </c>
      <c r="B35" t="s">
        <v>1244</v>
      </c>
      <c r="C35" t="s">
        <v>199</v>
      </c>
      <c r="D35" t="s">
        <v>1245</v>
      </c>
      <c r="E35" t="s">
        <v>217</v>
      </c>
      <c r="F35" t="s">
        <v>1260</v>
      </c>
      <c r="H35" s="3"/>
      <c r="I35" s="3"/>
      <c r="J35" s="3"/>
      <c r="K35" s="3"/>
      <c r="L35" s="3"/>
      <c r="M35" s="3"/>
      <c r="N35" s="3"/>
      <c r="O35" s="3"/>
      <c r="P35" s="3"/>
      <c r="Q35" s="3"/>
      <c r="R35" s="3"/>
      <c r="S35" s="3"/>
      <c r="T35" s="3"/>
      <c r="U35" s="3"/>
      <c r="V35" s="3"/>
      <c r="W35" s="3"/>
      <c r="X35" s="6"/>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6"/>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6"/>
      <c r="FI35" s="3"/>
      <c r="FJ35" s="3"/>
      <c r="FK35" s="3"/>
      <c r="FL35" s="3"/>
      <c r="FM35" s="3"/>
      <c r="FN35" s="3"/>
      <c r="FO35" s="3"/>
      <c r="FP35" s="3"/>
      <c r="FQ35" s="3"/>
      <c r="FR35" s="3"/>
      <c r="FS35" s="3"/>
      <c r="FT35" s="3">
        <v>0</v>
      </c>
      <c r="FU35" s="3">
        <v>300000000</v>
      </c>
      <c r="FV35" s="3">
        <v>0</v>
      </c>
      <c r="FW35" s="3">
        <v>300000000</v>
      </c>
      <c r="FX35" s="3">
        <v>329000000</v>
      </c>
      <c r="FY35" s="3">
        <v>300000000</v>
      </c>
      <c r="FZ35" s="3">
        <v>0</v>
      </c>
      <c r="GA35" s="3">
        <v>629000000</v>
      </c>
      <c r="GB35" s="3"/>
      <c r="GC35" s="3"/>
      <c r="GD35" s="3"/>
      <c r="GE35" s="3"/>
      <c r="GF35" s="3"/>
      <c r="GG35" s="3"/>
      <c r="GH35" s="3"/>
      <c r="GI35" s="3"/>
      <c r="GJ35" s="3"/>
      <c r="GK35" s="3"/>
      <c r="GL35" s="3"/>
      <c r="GM35" s="3"/>
      <c r="GN35" s="3"/>
      <c r="GO35" s="3"/>
      <c r="GP35" s="3"/>
      <c r="GQ35" s="3"/>
      <c r="GR35" s="3"/>
      <c r="GS35" s="6"/>
      <c r="GT35" s="3"/>
      <c r="GU35" s="3"/>
      <c r="GV35" s="3">
        <v>0</v>
      </c>
      <c r="GW35" s="3">
        <v>300000000</v>
      </c>
      <c r="GX35" s="3">
        <v>0</v>
      </c>
      <c r="GY35" s="3">
        <v>300000000</v>
      </c>
      <c r="GZ35" s="3">
        <v>0</v>
      </c>
      <c r="HA35" s="3">
        <v>300000000</v>
      </c>
      <c r="HB35" s="3">
        <v>0</v>
      </c>
      <c r="HC35" s="3">
        <v>300000000</v>
      </c>
      <c r="HD35" s="3"/>
      <c r="HE35" s="3"/>
      <c r="HF35" s="3"/>
      <c r="HG35" s="3"/>
      <c r="HH35" s="3"/>
      <c r="HI35" s="3"/>
      <c r="HJ35" s="3"/>
      <c r="HK35" s="3"/>
      <c r="HL35" s="3"/>
      <c r="HM35" s="3"/>
      <c r="HN35" s="3"/>
      <c r="HO35" s="3"/>
      <c r="HP35" s="3"/>
      <c r="HQ35" s="3"/>
      <c r="HR35" s="3"/>
      <c r="HS35" s="3"/>
      <c r="HT35" s="3"/>
      <c r="HU35" s="3"/>
      <c r="HV35" s="3"/>
      <c r="HW35" s="3"/>
      <c r="HX35" s="3">
        <v>0</v>
      </c>
      <c r="HY35" s="3">
        <v>300000000</v>
      </c>
      <c r="HZ35" s="3">
        <v>0</v>
      </c>
      <c r="IA35" s="3">
        <v>300000000</v>
      </c>
      <c r="IB35" s="3">
        <v>100000000</v>
      </c>
      <c r="IC35" s="3">
        <v>300000000</v>
      </c>
      <c r="ID35" s="3">
        <v>0</v>
      </c>
      <c r="IE35" s="3">
        <v>400000000</v>
      </c>
    </row>
    <row r="36" spans="1:239" x14ac:dyDescent="0.25">
      <c r="A36" t="s">
        <v>1243</v>
      </c>
      <c r="B36" t="s">
        <v>1244</v>
      </c>
      <c r="C36" t="s">
        <v>555</v>
      </c>
      <c r="D36" t="s">
        <v>1261</v>
      </c>
      <c r="E36" t="s">
        <v>201</v>
      </c>
      <c r="F36" t="s">
        <v>202</v>
      </c>
      <c r="G36" t="s">
        <v>1282</v>
      </c>
      <c r="H36" s="3">
        <v>6135000</v>
      </c>
      <c r="I36" s="3">
        <v>7577000</v>
      </c>
      <c r="J36" s="3">
        <v>0</v>
      </c>
      <c r="K36" s="3">
        <v>13712000</v>
      </c>
      <c r="L36" s="3">
        <v>6135000</v>
      </c>
      <c r="M36" s="3">
        <v>7577000</v>
      </c>
      <c r="N36" s="3">
        <v>0</v>
      </c>
      <c r="O36" s="3">
        <v>13712000</v>
      </c>
      <c r="P36" s="3"/>
      <c r="Q36" s="3"/>
      <c r="R36" s="3"/>
      <c r="S36" s="3"/>
      <c r="T36" s="3"/>
      <c r="U36" s="3"/>
      <c r="V36" s="3"/>
      <c r="W36" s="3"/>
      <c r="X36" s="6"/>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v>6393000</v>
      </c>
      <c r="BM36" s="3">
        <v>7817000</v>
      </c>
      <c r="BN36" s="3">
        <v>1450000</v>
      </c>
      <c r="BO36" s="3">
        <v>15660000</v>
      </c>
      <c r="BP36" s="3">
        <v>6467000</v>
      </c>
      <c r="BQ36" s="3">
        <v>7817000</v>
      </c>
      <c r="BR36" s="3">
        <v>3300000</v>
      </c>
      <c r="BS36" s="3">
        <v>17584000</v>
      </c>
      <c r="BT36" s="3"/>
      <c r="BU36" s="3"/>
      <c r="BV36" s="3"/>
      <c r="BW36" s="3"/>
      <c r="BX36" s="3"/>
      <c r="BY36" s="3"/>
      <c r="BZ36" s="3"/>
      <c r="CA36" s="3"/>
      <c r="CB36" s="3"/>
      <c r="CC36" s="3"/>
      <c r="CD36" s="3"/>
      <c r="CE36" s="6"/>
      <c r="CF36" s="3"/>
      <c r="CG36" s="3"/>
      <c r="CH36" s="3"/>
      <c r="CI36" s="3"/>
      <c r="CJ36" s="3"/>
      <c r="CK36" s="3"/>
      <c r="CL36" s="3"/>
      <c r="CM36" s="3"/>
      <c r="CN36" s="3">
        <v>6872000</v>
      </c>
      <c r="CO36" s="3">
        <v>8051000</v>
      </c>
      <c r="CP36" s="3">
        <v>2000000</v>
      </c>
      <c r="CQ36" s="3">
        <v>16923000</v>
      </c>
      <c r="CR36" s="3">
        <v>16920000</v>
      </c>
      <c r="CS36" s="3">
        <v>8051000</v>
      </c>
      <c r="CT36" s="3">
        <v>7300000</v>
      </c>
      <c r="CU36" s="3">
        <v>32271000</v>
      </c>
      <c r="CV36" s="3"/>
      <c r="CW36" s="3"/>
      <c r="CX36" s="3"/>
      <c r="CY36" s="3"/>
      <c r="CZ36" s="3"/>
      <c r="DA36" s="3"/>
      <c r="DB36" s="3"/>
      <c r="DC36" s="3"/>
      <c r="DD36" s="3"/>
      <c r="DE36" s="3"/>
      <c r="DF36" s="3"/>
      <c r="DG36" s="3"/>
      <c r="DH36" s="3"/>
      <c r="DI36" s="3"/>
      <c r="DJ36" s="3"/>
      <c r="DK36" s="3"/>
      <c r="DL36" s="3"/>
      <c r="DM36" s="3"/>
      <c r="DN36" s="3"/>
      <c r="DO36" s="3"/>
      <c r="DP36" s="3">
        <v>7127000</v>
      </c>
      <c r="DQ36" s="3">
        <v>8051000</v>
      </c>
      <c r="DR36" s="3">
        <v>2000000</v>
      </c>
      <c r="DS36" s="3">
        <v>17178000</v>
      </c>
      <c r="DT36" s="3">
        <v>17980000</v>
      </c>
      <c r="DU36" s="3">
        <v>8454000</v>
      </c>
      <c r="DV36" s="3">
        <v>7300000</v>
      </c>
      <c r="DW36" s="3">
        <v>33734000</v>
      </c>
      <c r="DX36" s="3"/>
      <c r="DY36" s="3"/>
      <c r="DZ36" s="3"/>
      <c r="EA36" s="3"/>
      <c r="EB36" s="3"/>
      <c r="EC36" s="3"/>
      <c r="ED36" s="3"/>
      <c r="EE36" s="3"/>
      <c r="EF36" s="3"/>
      <c r="EG36" s="3"/>
      <c r="EH36" s="3"/>
      <c r="EI36" s="3"/>
      <c r="EJ36" s="3"/>
      <c r="EK36" s="3"/>
      <c r="EL36" s="3"/>
      <c r="EM36" s="3"/>
      <c r="EN36" s="3"/>
      <c r="EO36" s="3"/>
      <c r="EP36" s="3"/>
      <c r="EQ36" s="3"/>
      <c r="ER36" s="3">
        <v>7851000</v>
      </c>
      <c r="ES36" s="3">
        <v>8472000</v>
      </c>
      <c r="ET36" s="3">
        <v>7300000</v>
      </c>
      <c r="EU36" s="3">
        <v>23623000</v>
      </c>
      <c r="EV36" s="3">
        <v>7851000</v>
      </c>
      <c r="EW36" s="3">
        <v>8472000</v>
      </c>
      <c r="EX36" s="3">
        <v>7300000</v>
      </c>
      <c r="EY36" s="3">
        <v>23623000</v>
      </c>
      <c r="EZ36" s="3"/>
      <c r="FA36" s="3"/>
      <c r="FB36" s="3"/>
      <c r="FC36" s="3"/>
      <c r="FD36" s="3"/>
      <c r="FE36" s="3"/>
      <c r="FF36" s="3"/>
      <c r="FG36" s="3"/>
      <c r="FH36" s="6"/>
      <c r="FI36" s="3"/>
      <c r="FJ36" s="3"/>
      <c r="FK36" s="3"/>
      <c r="FL36" s="3"/>
      <c r="FM36" s="3"/>
      <c r="FN36" s="3"/>
      <c r="FO36" s="3"/>
      <c r="FP36" s="3"/>
      <c r="FQ36" s="3"/>
      <c r="FR36" s="3"/>
      <c r="FS36" s="3"/>
      <c r="FT36" s="3">
        <v>8903000</v>
      </c>
      <c r="FU36" s="3">
        <v>8487000</v>
      </c>
      <c r="FV36" s="3">
        <v>7300000</v>
      </c>
      <c r="FW36" s="3">
        <v>24690000</v>
      </c>
      <c r="FX36" s="3">
        <v>8903000</v>
      </c>
      <c r="FY36" s="3">
        <v>8487000</v>
      </c>
      <c r="FZ36" s="3">
        <v>7300000</v>
      </c>
      <c r="GA36" s="3">
        <v>24690000</v>
      </c>
      <c r="GB36" s="3"/>
      <c r="GC36" s="3"/>
      <c r="GD36" s="3"/>
      <c r="GE36" s="3"/>
      <c r="GF36" s="3"/>
      <c r="GG36" s="3"/>
      <c r="GH36" s="3"/>
      <c r="GI36" s="3"/>
      <c r="GJ36" s="3"/>
      <c r="GK36" s="3"/>
      <c r="GL36" s="3"/>
      <c r="GM36" s="3"/>
      <c r="GN36" s="3"/>
      <c r="GO36" s="3"/>
      <c r="GP36" s="3"/>
      <c r="GQ36" s="3"/>
      <c r="GR36" s="3"/>
      <c r="GS36" s="6"/>
      <c r="GT36" s="3"/>
      <c r="GU36" s="3"/>
      <c r="GV36" s="3">
        <v>8714000</v>
      </c>
      <c r="GW36" s="3">
        <v>8502000</v>
      </c>
      <c r="GX36" s="3">
        <v>8000000</v>
      </c>
      <c r="GY36" s="3">
        <v>25216000</v>
      </c>
      <c r="GZ36" s="3">
        <v>8714000</v>
      </c>
      <c r="HA36" s="3">
        <v>8502000</v>
      </c>
      <c r="HB36" s="3">
        <v>8000000</v>
      </c>
      <c r="HC36" s="3">
        <v>25216000</v>
      </c>
      <c r="HD36" s="3"/>
      <c r="HE36" s="3"/>
      <c r="HF36" s="3"/>
      <c r="HG36" s="3"/>
      <c r="HH36" s="3"/>
      <c r="HI36" s="3"/>
      <c r="HJ36" s="3"/>
      <c r="HK36" s="3"/>
      <c r="HL36" s="3"/>
      <c r="HM36" s="3"/>
      <c r="HN36" s="3"/>
      <c r="HO36" s="3"/>
      <c r="HP36" s="3"/>
      <c r="HQ36" s="3"/>
      <c r="HR36" s="3"/>
      <c r="HS36" s="3"/>
      <c r="HT36" s="3"/>
      <c r="HU36" s="3"/>
      <c r="HV36" s="3"/>
      <c r="HW36" s="3"/>
      <c r="HX36" s="3">
        <v>9740000</v>
      </c>
      <c r="HY36" s="3">
        <v>8518000</v>
      </c>
      <c r="HZ36" s="3">
        <v>6000000</v>
      </c>
      <c r="IA36" s="3">
        <v>24258000</v>
      </c>
      <c r="IB36" s="3">
        <v>11740000</v>
      </c>
      <c r="IC36" s="3">
        <v>8518000</v>
      </c>
      <c r="ID36" s="3">
        <v>6000000</v>
      </c>
      <c r="IE36" s="3">
        <v>26258000</v>
      </c>
    </row>
    <row r="37" spans="1:239" x14ac:dyDescent="0.25">
      <c r="A37" t="s">
        <v>1243</v>
      </c>
      <c r="B37" t="s">
        <v>1244</v>
      </c>
      <c r="C37" t="s">
        <v>555</v>
      </c>
      <c r="D37" t="s">
        <v>1261</v>
      </c>
      <c r="E37" t="s">
        <v>201</v>
      </c>
      <c r="F37" t="s">
        <v>204</v>
      </c>
      <c r="G37" t="s">
        <v>205</v>
      </c>
      <c r="H37" s="3">
        <v>68759000</v>
      </c>
      <c r="I37" s="3">
        <v>0</v>
      </c>
      <c r="J37" s="3">
        <v>0</v>
      </c>
      <c r="K37" s="3">
        <v>68759000</v>
      </c>
      <c r="L37" s="3">
        <v>68759000</v>
      </c>
      <c r="M37" s="3">
        <v>0</v>
      </c>
      <c r="N37" s="3">
        <v>0</v>
      </c>
      <c r="O37" s="3">
        <v>68759000</v>
      </c>
      <c r="P37" s="3"/>
      <c r="Q37" s="3"/>
      <c r="R37" s="3"/>
      <c r="S37" s="3"/>
      <c r="T37" s="3"/>
      <c r="U37" s="3"/>
      <c r="V37" s="3"/>
      <c r="W37" s="3"/>
      <c r="X37" s="6"/>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v>75826000</v>
      </c>
      <c r="BM37" s="3">
        <v>0</v>
      </c>
      <c r="BN37" s="3">
        <v>0</v>
      </c>
      <c r="BO37" s="3">
        <v>75826000</v>
      </c>
      <c r="BP37" s="3">
        <v>75833000</v>
      </c>
      <c r="BQ37" s="3">
        <v>0</v>
      </c>
      <c r="BR37" s="3">
        <v>0</v>
      </c>
      <c r="BS37" s="3">
        <v>75833000</v>
      </c>
      <c r="BT37" s="3"/>
      <c r="BU37" s="3"/>
      <c r="BV37" s="3"/>
      <c r="BW37" s="3"/>
      <c r="BX37" s="3"/>
      <c r="BY37" s="3"/>
      <c r="BZ37" s="3"/>
      <c r="CA37" s="3"/>
      <c r="CB37" s="3"/>
      <c r="CC37" s="3"/>
      <c r="CD37" s="3"/>
      <c r="CE37" s="6"/>
      <c r="CF37" s="3"/>
      <c r="CG37" s="3"/>
      <c r="CH37" s="3"/>
      <c r="CI37" s="3"/>
      <c r="CJ37" s="3"/>
      <c r="CK37" s="3"/>
      <c r="CL37" s="3"/>
      <c r="CM37" s="3"/>
      <c r="CN37" s="3">
        <v>79732000</v>
      </c>
      <c r="CO37" s="3">
        <v>0</v>
      </c>
      <c r="CP37" s="3">
        <v>0</v>
      </c>
      <c r="CQ37" s="3">
        <v>79732000</v>
      </c>
      <c r="CR37" s="3">
        <v>79732000</v>
      </c>
      <c r="CS37" s="3">
        <v>0</v>
      </c>
      <c r="CT37" s="3">
        <v>0</v>
      </c>
      <c r="CU37" s="3">
        <v>79732000</v>
      </c>
      <c r="CV37" s="3"/>
      <c r="CW37" s="3"/>
      <c r="CX37" s="3"/>
      <c r="CY37" s="3"/>
      <c r="CZ37" s="3"/>
      <c r="DA37" s="3"/>
      <c r="DB37" s="3"/>
      <c r="DC37" s="3"/>
      <c r="DD37" s="3"/>
      <c r="DE37" s="3"/>
      <c r="DF37" s="3"/>
      <c r="DG37" s="3"/>
      <c r="DH37" s="3"/>
      <c r="DI37" s="3"/>
      <c r="DJ37" s="3"/>
      <c r="DK37" s="3"/>
      <c r="DL37" s="3"/>
      <c r="DM37" s="3"/>
      <c r="DN37" s="3"/>
      <c r="DO37" s="3"/>
      <c r="DP37" s="3">
        <v>67262000</v>
      </c>
      <c r="DQ37" s="3">
        <v>0</v>
      </c>
      <c r="DR37" s="3">
        <v>0</v>
      </c>
      <c r="DS37" s="3">
        <v>67262000</v>
      </c>
      <c r="DT37" s="3">
        <v>67262000</v>
      </c>
      <c r="DU37" s="3">
        <v>0</v>
      </c>
      <c r="DV37" s="3">
        <v>0</v>
      </c>
      <c r="DW37" s="3">
        <v>67262000</v>
      </c>
      <c r="DX37" s="3"/>
      <c r="DY37" s="3"/>
      <c r="DZ37" s="3"/>
      <c r="EA37" s="3"/>
      <c r="EB37" s="3"/>
      <c r="EC37" s="3"/>
      <c r="ED37" s="3"/>
      <c r="EE37" s="3"/>
      <c r="EF37" s="3"/>
      <c r="EG37" s="3"/>
      <c r="EH37" s="3"/>
      <c r="EI37" s="3"/>
      <c r="EJ37" s="3"/>
      <c r="EK37" s="3"/>
      <c r="EL37" s="3"/>
      <c r="EM37" s="3"/>
      <c r="EN37" s="3"/>
      <c r="EO37" s="3"/>
      <c r="EP37" s="3"/>
      <c r="EQ37" s="3"/>
      <c r="ER37" s="3">
        <v>84534000</v>
      </c>
      <c r="ES37" s="3">
        <v>0</v>
      </c>
      <c r="ET37" s="3">
        <v>0</v>
      </c>
      <c r="EU37" s="3">
        <v>84534000</v>
      </c>
      <c r="EV37" s="3">
        <v>84534000</v>
      </c>
      <c r="EW37" s="3">
        <v>0</v>
      </c>
      <c r="EX37" s="3">
        <v>0</v>
      </c>
      <c r="EY37" s="3">
        <v>84534000</v>
      </c>
      <c r="EZ37" s="3"/>
      <c r="FA37" s="3"/>
      <c r="FB37" s="3"/>
      <c r="FC37" s="3"/>
      <c r="FD37" s="3"/>
      <c r="FE37" s="3"/>
      <c r="FF37" s="3"/>
      <c r="FG37" s="3"/>
      <c r="FH37" s="6"/>
      <c r="FI37" s="3"/>
      <c r="FJ37" s="3"/>
      <c r="FK37" s="3"/>
      <c r="FL37" s="3"/>
      <c r="FM37" s="3"/>
      <c r="FN37" s="3"/>
      <c r="FO37" s="3"/>
      <c r="FP37" s="3"/>
      <c r="FQ37" s="3"/>
      <c r="FR37" s="3"/>
      <c r="FS37" s="3"/>
      <c r="FT37" s="3">
        <v>82565000</v>
      </c>
      <c r="FU37" s="3">
        <v>0</v>
      </c>
      <c r="FV37" s="3">
        <v>0</v>
      </c>
      <c r="FW37" s="3">
        <v>82565000</v>
      </c>
      <c r="FX37" s="3">
        <v>82565000</v>
      </c>
      <c r="FY37" s="3">
        <v>0</v>
      </c>
      <c r="FZ37" s="3">
        <v>0</v>
      </c>
      <c r="GA37" s="3">
        <v>82565000</v>
      </c>
      <c r="GB37" s="3"/>
      <c r="GC37" s="3"/>
      <c r="GD37" s="3"/>
      <c r="GE37" s="3"/>
      <c r="GF37" s="3"/>
      <c r="GG37" s="3"/>
      <c r="GH37" s="3"/>
      <c r="GI37" s="3"/>
      <c r="GJ37" s="3"/>
      <c r="GK37" s="3"/>
      <c r="GL37" s="3"/>
      <c r="GM37" s="3"/>
      <c r="GN37" s="3"/>
      <c r="GO37" s="3"/>
      <c r="GP37" s="3"/>
      <c r="GQ37" s="3"/>
      <c r="GR37" s="3"/>
      <c r="GS37" s="6"/>
      <c r="GT37" s="3"/>
      <c r="GU37" s="3"/>
      <c r="GV37" s="3">
        <v>76006000</v>
      </c>
      <c r="GW37" s="3">
        <v>0</v>
      </c>
      <c r="GX37" s="3">
        <v>0</v>
      </c>
      <c r="GY37" s="3">
        <v>76006000</v>
      </c>
      <c r="GZ37" s="3">
        <v>76006000</v>
      </c>
      <c r="HA37" s="3">
        <v>0</v>
      </c>
      <c r="HB37" s="3">
        <v>0</v>
      </c>
      <c r="HC37" s="3">
        <v>76006000</v>
      </c>
      <c r="HD37" s="3"/>
      <c r="HE37" s="3"/>
      <c r="HF37" s="3"/>
      <c r="HG37" s="3"/>
      <c r="HH37" s="3"/>
      <c r="HI37" s="3"/>
      <c r="HJ37" s="3"/>
      <c r="HK37" s="3"/>
      <c r="HL37" s="3"/>
      <c r="HM37" s="3"/>
      <c r="HN37" s="3"/>
      <c r="HO37" s="3"/>
      <c r="HP37" s="3"/>
      <c r="HQ37" s="3"/>
      <c r="HR37" s="3"/>
      <c r="HS37" s="3"/>
      <c r="HT37" s="3"/>
      <c r="HU37" s="3"/>
      <c r="HV37" s="3"/>
      <c r="HW37" s="3"/>
      <c r="HX37" s="3">
        <v>74566000</v>
      </c>
      <c r="HY37" s="3">
        <v>0</v>
      </c>
      <c r="HZ37" s="3">
        <v>0</v>
      </c>
      <c r="IA37" s="3">
        <v>74566000</v>
      </c>
      <c r="IB37" s="3">
        <v>74566000</v>
      </c>
      <c r="IC37" s="3">
        <v>0</v>
      </c>
      <c r="ID37" s="3">
        <v>0</v>
      </c>
      <c r="IE37" s="3">
        <v>74566000</v>
      </c>
    </row>
    <row r="38" spans="1:239" x14ac:dyDescent="0.25">
      <c r="A38" t="s">
        <v>1243</v>
      </c>
      <c r="B38" t="s">
        <v>1244</v>
      </c>
      <c r="C38" t="s">
        <v>555</v>
      </c>
      <c r="D38" t="s">
        <v>1261</v>
      </c>
      <c r="E38" t="s">
        <v>217</v>
      </c>
      <c r="F38" t="s">
        <v>218</v>
      </c>
      <c r="G38" t="s">
        <v>1283</v>
      </c>
      <c r="H38" s="3">
        <v>31411000</v>
      </c>
      <c r="I38" s="3">
        <v>5051000</v>
      </c>
      <c r="J38" s="3">
        <v>0</v>
      </c>
      <c r="K38" s="3">
        <v>36462000</v>
      </c>
      <c r="L38" s="3">
        <v>31411000</v>
      </c>
      <c r="M38" s="3">
        <v>5051000</v>
      </c>
      <c r="N38" s="3">
        <v>0</v>
      </c>
      <c r="O38" s="3">
        <v>36462000</v>
      </c>
      <c r="P38" s="3"/>
      <c r="Q38" s="3"/>
      <c r="R38" s="3"/>
      <c r="S38" s="3"/>
      <c r="T38" s="3"/>
      <c r="U38" s="3"/>
      <c r="V38" s="3"/>
      <c r="W38" s="3"/>
      <c r="X38" s="6"/>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v>35159000</v>
      </c>
      <c r="BM38" s="3">
        <v>5228000</v>
      </c>
      <c r="BN38" s="3">
        <v>0</v>
      </c>
      <c r="BO38" s="3">
        <v>40387000</v>
      </c>
      <c r="BP38" s="3">
        <v>46276000</v>
      </c>
      <c r="BQ38" s="3">
        <v>5228000</v>
      </c>
      <c r="BR38" s="3">
        <v>0</v>
      </c>
      <c r="BS38" s="3">
        <v>51504000</v>
      </c>
      <c r="BT38" s="3"/>
      <c r="BU38" s="3"/>
      <c r="BV38" s="3"/>
      <c r="BW38" s="3"/>
      <c r="BX38" s="3"/>
      <c r="BY38" s="3"/>
      <c r="BZ38" s="3"/>
      <c r="CA38" s="3"/>
      <c r="CB38" s="3"/>
      <c r="CC38" s="3"/>
      <c r="CD38" s="3"/>
      <c r="CE38" s="6"/>
      <c r="CF38" s="3"/>
      <c r="CG38" s="3"/>
      <c r="CH38" s="3"/>
      <c r="CI38" s="3"/>
      <c r="CJ38" s="3"/>
      <c r="CK38" s="3"/>
      <c r="CL38" s="3"/>
      <c r="CM38" s="3"/>
      <c r="CN38" s="3">
        <v>36641000</v>
      </c>
      <c r="CO38" s="3">
        <v>5385000</v>
      </c>
      <c r="CP38" s="3">
        <v>0</v>
      </c>
      <c r="CQ38" s="3">
        <v>42026000</v>
      </c>
      <c r="CR38" s="3">
        <v>36641000</v>
      </c>
      <c r="CS38" s="3">
        <v>5385000</v>
      </c>
      <c r="CT38" s="3">
        <v>0</v>
      </c>
      <c r="CU38" s="3">
        <v>42026000</v>
      </c>
      <c r="CV38" s="3"/>
      <c r="CW38" s="3"/>
      <c r="CX38" s="3"/>
      <c r="CY38" s="3"/>
      <c r="CZ38" s="3"/>
      <c r="DA38" s="3"/>
      <c r="DB38" s="3"/>
      <c r="DC38" s="3"/>
      <c r="DD38" s="3"/>
      <c r="DE38" s="3"/>
      <c r="DF38" s="3"/>
      <c r="DG38" s="3"/>
      <c r="DH38" s="3"/>
      <c r="DI38" s="3"/>
      <c r="DJ38" s="3"/>
      <c r="DK38" s="3"/>
      <c r="DL38" s="3"/>
      <c r="DM38" s="3"/>
      <c r="DN38" s="3"/>
      <c r="DO38" s="3"/>
      <c r="DP38" s="3">
        <v>50939000</v>
      </c>
      <c r="DQ38" s="3">
        <v>5385000</v>
      </c>
      <c r="DR38" s="3">
        <v>0</v>
      </c>
      <c r="DS38" s="3">
        <v>56324000</v>
      </c>
      <c r="DT38" s="3">
        <v>50939000</v>
      </c>
      <c r="DU38" s="3">
        <v>5385000</v>
      </c>
      <c r="DV38" s="3">
        <v>0</v>
      </c>
      <c r="DW38" s="3">
        <v>56324000</v>
      </c>
      <c r="DX38" s="3"/>
      <c r="DY38" s="3"/>
      <c r="DZ38" s="3"/>
      <c r="EA38" s="3"/>
      <c r="EB38" s="3"/>
      <c r="EC38" s="3"/>
      <c r="ED38" s="3"/>
      <c r="EE38" s="3"/>
      <c r="EF38" s="3"/>
      <c r="EG38" s="3"/>
      <c r="EH38" s="3"/>
      <c r="EI38" s="3"/>
      <c r="EJ38" s="3"/>
      <c r="EK38" s="3"/>
      <c r="EL38" s="3"/>
      <c r="EM38" s="3"/>
      <c r="EN38" s="3"/>
      <c r="EO38" s="3"/>
      <c r="EP38" s="3"/>
      <c r="EQ38" s="3"/>
      <c r="ER38" s="3">
        <v>48494000</v>
      </c>
      <c r="ES38" s="3">
        <v>5421000</v>
      </c>
      <c r="ET38" s="3">
        <v>0</v>
      </c>
      <c r="EU38" s="3">
        <v>53915000</v>
      </c>
      <c r="EV38" s="3">
        <v>48494000</v>
      </c>
      <c r="EW38" s="3">
        <v>5421000</v>
      </c>
      <c r="EX38" s="3">
        <v>0</v>
      </c>
      <c r="EY38" s="3">
        <v>53915000</v>
      </c>
      <c r="EZ38" s="3"/>
      <c r="FA38" s="3"/>
      <c r="FB38" s="3"/>
      <c r="FC38" s="3"/>
      <c r="FD38" s="3"/>
      <c r="FE38" s="3"/>
      <c r="FF38" s="3"/>
      <c r="FG38" s="3"/>
      <c r="FH38" s="6"/>
      <c r="FI38" s="3"/>
      <c r="FJ38" s="3"/>
      <c r="FK38" s="3"/>
      <c r="FL38" s="3"/>
      <c r="FM38" s="3"/>
      <c r="FN38" s="3"/>
      <c r="FO38" s="3"/>
      <c r="FP38" s="3"/>
      <c r="FQ38" s="3"/>
      <c r="FR38" s="3"/>
      <c r="FS38" s="3"/>
      <c r="FT38" s="3">
        <v>52963000</v>
      </c>
      <c r="FU38" s="3">
        <v>5449000</v>
      </c>
      <c r="FV38" s="3">
        <v>0</v>
      </c>
      <c r="FW38" s="3">
        <v>58412000</v>
      </c>
      <c r="FX38" s="3">
        <v>52963000</v>
      </c>
      <c r="FY38" s="3">
        <v>5449000</v>
      </c>
      <c r="FZ38" s="3">
        <v>0</v>
      </c>
      <c r="GA38" s="3">
        <v>58412000</v>
      </c>
      <c r="GB38" s="3"/>
      <c r="GC38" s="3"/>
      <c r="GD38" s="3"/>
      <c r="GE38" s="3"/>
      <c r="GF38" s="3"/>
      <c r="GG38" s="3"/>
      <c r="GH38" s="3"/>
      <c r="GI38" s="3"/>
      <c r="GJ38" s="3"/>
      <c r="GK38" s="3"/>
      <c r="GL38" s="3"/>
      <c r="GM38" s="3"/>
      <c r="GN38" s="3"/>
      <c r="GO38" s="3"/>
      <c r="GP38" s="3"/>
      <c r="GQ38" s="3"/>
      <c r="GR38" s="3"/>
      <c r="GS38" s="6"/>
      <c r="GT38" s="3"/>
      <c r="GU38" s="3"/>
      <c r="GV38" s="3">
        <v>53563000</v>
      </c>
      <c r="GW38" s="3">
        <v>5478000</v>
      </c>
      <c r="GX38" s="3">
        <v>0</v>
      </c>
      <c r="GY38" s="3">
        <v>59041000</v>
      </c>
      <c r="GZ38" s="3">
        <v>53563000</v>
      </c>
      <c r="HA38" s="3">
        <v>5478000</v>
      </c>
      <c r="HB38" s="3">
        <v>0</v>
      </c>
      <c r="HC38" s="3">
        <v>59041000</v>
      </c>
      <c r="HD38" s="3"/>
      <c r="HE38" s="3"/>
      <c r="HF38" s="3"/>
      <c r="HG38" s="3"/>
      <c r="HH38" s="3"/>
      <c r="HI38" s="3"/>
      <c r="HJ38" s="3"/>
      <c r="HK38" s="3"/>
      <c r="HL38" s="3"/>
      <c r="HM38" s="3"/>
      <c r="HN38" s="3"/>
      <c r="HO38" s="3"/>
      <c r="HP38" s="3"/>
      <c r="HQ38" s="3"/>
      <c r="HR38" s="3"/>
      <c r="HS38" s="3"/>
      <c r="HT38" s="3"/>
      <c r="HU38" s="3"/>
      <c r="HV38" s="3"/>
      <c r="HW38" s="3"/>
      <c r="HX38" s="3">
        <v>60470000</v>
      </c>
      <c r="HY38" s="3">
        <v>5508000</v>
      </c>
      <c r="HZ38" s="3">
        <v>0</v>
      </c>
      <c r="IA38" s="3">
        <v>65978000</v>
      </c>
      <c r="IB38" s="3">
        <v>60470000</v>
      </c>
      <c r="IC38" s="3">
        <v>5508000</v>
      </c>
      <c r="ID38" s="3">
        <v>0</v>
      </c>
      <c r="IE38" s="3">
        <v>65978000</v>
      </c>
    </row>
    <row r="39" spans="1:239" x14ac:dyDescent="0.25">
      <c r="A39" t="s">
        <v>1243</v>
      </c>
      <c r="B39" t="s">
        <v>1244</v>
      </c>
      <c r="C39" t="s">
        <v>556</v>
      </c>
      <c r="D39" t="s">
        <v>1262</v>
      </c>
      <c r="E39" t="s">
        <v>201</v>
      </c>
      <c r="F39" t="s">
        <v>202</v>
      </c>
      <c r="G39" t="s">
        <v>203</v>
      </c>
      <c r="H39" s="3">
        <v>55105000</v>
      </c>
      <c r="I39" s="3">
        <v>38052000</v>
      </c>
      <c r="J39" s="3">
        <v>0</v>
      </c>
      <c r="K39" s="3">
        <v>93157000</v>
      </c>
      <c r="L39" s="3">
        <v>55105000</v>
      </c>
      <c r="M39" s="3">
        <v>92756000</v>
      </c>
      <c r="N39" s="3">
        <v>371502000</v>
      </c>
      <c r="O39" s="3">
        <v>519363000</v>
      </c>
      <c r="P39" s="3"/>
      <c r="Q39" s="3"/>
      <c r="R39" s="3"/>
      <c r="S39" s="3"/>
      <c r="T39" s="3"/>
      <c r="U39" s="3"/>
      <c r="V39" s="3"/>
      <c r="W39" s="3"/>
      <c r="X39" s="6"/>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v>131526000</v>
      </c>
      <c r="BM39" s="3">
        <v>126523000</v>
      </c>
      <c r="BN39" s="3">
        <v>0</v>
      </c>
      <c r="BO39" s="3">
        <v>258049000</v>
      </c>
      <c r="BP39" s="3">
        <v>320222000</v>
      </c>
      <c r="BQ39" s="3">
        <v>178497000</v>
      </c>
      <c r="BR39" s="3">
        <v>50250000</v>
      </c>
      <c r="BS39" s="3">
        <v>548969000</v>
      </c>
      <c r="BT39" s="3"/>
      <c r="BU39" s="3"/>
      <c r="BV39" s="3"/>
      <c r="BW39" s="3"/>
      <c r="BX39" s="3"/>
      <c r="BY39" s="3"/>
      <c r="BZ39" s="3"/>
      <c r="CA39" s="3"/>
      <c r="CB39" s="3"/>
      <c r="CC39" s="3"/>
      <c r="CD39" s="3"/>
      <c r="CE39" s="6"/>
      <c r="CF39" s="3"/>
      <c r="CG39" s="3"/>
      <c r="CH39" s="3"/>
      <c r="CI39" s="3"/>
      <c r="CJ39" s="3"/>
      <c r="CK39" s="3"/>
      <c r="CL39" s="3"/>
      <c r="CM39" s="3"/>
      <c r="CN39" s="3">
        <v>136735000</v>
      </c>
      <c r="CO39" s="3">
        <v>178497000</v>
      </c>
      <c r="CP39" s="3">
        <v>0</v>
      </c>
      <c r="CQ39" s="3">
        <v>315232000</v>
      </c>
      <c r="CR39" s="3">
        <v>349587000</v>
      </c>
      <c r="CS39" s="3">
        <v>298169000</v>
      </c>
      <c r="CT39" s="3">
        <v>17882000</v>
      </c>
      <c r="CU39" s="3">
        <v>665638000</v>
      </c>
      <c r="CV39" s="3"/>
      <c r="CW39" s="3"/>
      <c r="CX39" s="3"/>
      <c r="CY39" s="3"/>
      <c r="CZ39" s="3"/>
      <c r="DA39" s="3"/>
      <c r="DB39" s="3"/>
      <c r="DC39" s="3"/>
      <c r="DD39" s="3"/>
      <c r="DE39" s="3"/>
      <c r="DF39" s="3"/>
      <c r="DG39" s="3"/>
      <c r="DH39" s="3"/>
      <c r="DI39" s="3"/>
      <c r="DJ39" s="3"/>
      <c r="DK39" s="3"/>
      <c r="DL39" s="3"/>
      <c r="DM39" s="3"/>
      <c r="DN39" s="3"/>
      <c r="DO39" s="3"/>
      <c r="DP39" s="3">
        <v>162825000</v>
      </c>
      <c r="DQ39" s="3">
        <v>298169000</v>
      </c>
      <c r="DR39" s="3">
        <v>0</v>
      </c>
      <c r="DS39" s="3">
        <v>460994000</v>
      </c>
      <c r="DT39" s="3">
        <v>483292000</v>
      </c>
      <c r="DU39" s="3">
        <v>477702000</v>
      </c>
      <c r="DV39" s="3">
        <v>0</v>
      </c>
      <c r="DW39" s="3">
        <v>960994000</v>
      </c>
      <c r="DX39" s="3"/>
      <c r="DY39" s="3"/>
      <c r="DZ39" s="3"/>
      <c r="EA39" s="3"/>
      <c r="EB39" s="3"/>
      <c r="EC39" s="3"/>
      <c r="ED39" s="3"/>
      <c r="EE39" s="3"/>
      <c r="EF39" s="3"/>
      <c r="EG39" s="3"/>
      <c r="EH39" s="3"/>
      <c r="EI39" s="3"/>
      <c r="EJ39" s="3"/>
      <c r="EK39" s="3"/>
      <c r="EL39" s="3"/>
      <c r="EM39" s="3"/>
      <c r="EN39" s="3"/>
      <c r="EO39" s="3"/>
      <c r="EP39" s="3"/>
      <c r="EQ39" s="3"/>
      <c r="ER39" s="3">
        <v>168212000</v>
      </c>
      <c r="ES39" s="3">
        <v>483871000</v>
      </c>
      <c r="ET39" s="3">
        <v>660358000</v>
      </c>
      <c r="EU39" s="3">
        <v>1312441000</v>
      </c>
      <c r="EV39" s="3">
        <v>515159000</v>
      </c>
      <c r="EW39" s="3">
        <v>483871000</v>
      </c>
      <c r="EX39" s="3">
        <v>660358000</v>
      </c>
      <c r="EY39" s="3">
        <v>1659388000</v>
      </c>
      <c r="EZ39" s="3"/>
      <c r="FA39" s="3"/>
      <c r="FB39" s="3"/>
      <c r="FC39" s="3"/>
      <c r="FD39" s="3"/>
      <c r="FE39" s="3"/>
      <c r="FF39" s="3"/>
      <c r="FG39" s="3"/>
      <c r="FH39" s="6"/>
      <c r="FI39" s="3"/>
      <c r="FJ39" s="3"/>
      <c r="FK39" s="3"/>
      <c r="FL39" s="3"/>
      <c r="FM39" s="3"/>
      <c r="FN39" s="3"/>
      <c r="FO39" s="3"/>
      <c r="FP39" s="3"/>
      <c r="FQ39" s="3"/>
      <c r="FR39" s="3"/>
      <c r="FS39" s="3"/>
      <c r="FT39" s="3">
        <v>212237000</v>
      </c>
      <c r="FU39" s="3">
        <v>550328000</v>
      </c>
      <c r="FV39" s="3">
        <v>426049000</v>
      </c>
      <c r="FW39" s="3">
        <v>1188614000</v>
      </c>
      <c r="FX39" s="3">
        <v>660433000</v>
      </c>
      <c r="FY39" s="3">
        <v>550328000</v>
      </c>
      <c r="FZ39" s="3">
        <v>426049000</v>
      </c>
      <c r="GA39" s="3">
        <v>1636810000</v>
      </c>
      <c r="GB39" s="3"/>
      <c r="GC39" s="3"/>
      <c r="GD39" s="3"/>
      <c r="GE39" s="3"/>
      <c r="GF39" s="3"/>
      <c r="GG39" s="3"/>
      <c r="GH39" s="3"/>
      <c r="GI39" s="3"/>
      <c r="GJ39" s="3"/>
      <c r="GK39" s="3"/>
      <c r="GL39" s="3"/>
      <c r="GM39" s="3"/>
      <c r="GN39" s="3"/>
      <c r="GO39" s="3"/>
      <c r="GP39" s="3"/>
      <c r="GQ39" s="3"/>
      <c r="GR39" s="3"/>
      <c r="GS39" s="6"/>
      <c r="GT39" s="3"/>
      <c r="GU39" s="3"/>
      <c r="GV39" s="3">
        <v>248771000</v>
      </c>
      <c r="GW39" s="3">
        <v>593427000</v>
      </c>
      <c r="GX39" s="3">
        <v>448967000</v>
      </c>
      <c r="GY39" s="3">
        <v>1291165000</v>
      </c>
      <c r="GZ39" s="3">
        <v>248771000</v>
      </c>
      <c r="HA39" s="3">
        <v>593427000</v>
      </c>
      <c r="HB39" s="3">
        <v>448967000</v>
      </c>
      <c r="HC39" s="3">
        <v>1291165000</v>
      </c>
      <c r="HD39" s="3"/>
      <c r="HE39" s="3"/>
      <c r="HF39" s="3"/>
      <c r="HG39" s="3"/>
      <c r="HH39" s="3"/>
      <c r="HI39" s="3"/>
      <c r="HJ39" s="3"/>
      <c r="HK39" s="3"/>
      <c r="HL39" s="3"/>
      <c r="HM39" s="3"/>
      <c r="HN39" s="3"/>
      <c r="HO39" s="3"/>
      <c r="HP39" s="3"/>
      <c r="HQ39" s="3"/>
      <c r="HR39" s="3"/>
      <c r="HS39" s="3"/>
      <c r="HT39" s="3"/>
      <c r="HU39" s="3"/>
      <c r="HV39" s="3"/>
      <c r="HW39" s="3"/>
      <c r="HX39" s="3">
        <v>286854000</v>
      </c>
      <c r="HY39" s="3">
        <v>612762000</v>
      </c>
      <c r="HZ39" s="3">
        <v>252059000</v>
      </c>
      <c r="IA39" s="3">
        <v>1151675000</v>
      </c>
      <c r="IB39" s="3">
        <v>549320000</v>
      </c>
      <c r="IC39" s="3">
        <v>695229000</v>
      </c>
      <c r="ID39" s="3">
        <v>252059000</v>
      </c>
      <c r="IE39" s="3">
        <v>1496608000</v>
      </c>
    </row>
    <row r="40" spans="1:239" x14ac:dyDescent="0.25">
      <c r="A40" t="s">
        <v>1243</v>
      </c>
      <c r="B40" t="s">
        <v>1244</v>
      </c>
      <c r="C40" t="s">
        <v>556</v>
      </c>
      <c r="D40" t="s">
        <v>1262</v>
      </c>
      <c r="E40" t="s">
        <v>201</v>
      </c>
      <c r="F40" t="s">
        <v>204</v>
      </c>
      <c r="G40" t="s">
        <v>205</v>
      </c>
      <c r="H40" s="3">
        <v>64034000</v>
      </c>
      <c r="I40" s="3">
        <v>0</v>
      </c>
      <c r="J40" s="3">
        <v>0</v>
      </c>
      <c r="K40" s="3">
        <v>64034000</v>
      </c>
      <c r="L40" s="3">
        <v>64034000</v>
      </c>
      <c r="M40" s="3">
        <v>0</v>
      </c>
      <c r="N40" s="3">
        <v>0</v>
      </c>
      <c r="O40" s="3">
        <v>64034000</v>
      </c>
      <c r="P40" s="3"/>
      <c r="Q40" s="3"/>
      <c r="R40" s="3"/>
      <c r="S40" s="3"/>
      <c r="T40" s="3"/>
      <c r="U40" s="3"/>
      <c r="V40" s="3"/>
      <c r="W40" s="3"/>
      <c r="X40" s="6"/>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v>150210000</v>
      </c>
      <c r="BM40" s="3">
        <v>0</v>
      </c>
      <c r="BN40" s="3">
        <v>0</v>
      </c>
      <c r="BO40" s="3">
        <v>150210000</v>
      </c>
      <c r="BP40" s="3">
        <v>150210000</v>
      </c>
      <c r="BQ40" s="3">
        <v>0</v>
      </c>
      <c r="BR40" s="3">
        <v>0</v>
      </c>
      <c r="BS40" s="3">
        <v>150210000</v>
      </c>
      <c r="BT40" s="3"/>
      <c r="BU40" s="3"/>
      <c r="BV40" s="3"/>
      <c r="BW40" s="3"/>
      <c r="BX40" s="3"/>
      <c r="BY40" s="3"/>
      <c r="BZ40" s="3"/>
      <c r="CA40" s="3"/>
      <c r="CB40" s="3"/>
      <c r="CC40" s="3"/>
      <c r="CD40" s="3"/>
      <c r="CE40" s="6"/>
      <c r="CF40" s="3"/>
      <c r="CG40" s="3"/>
      <c r="CH40" s="3"/>
      <c r="CI40" s="3"/>
      <c r="CJ40" s="3"/>
      <c r="CK40" s="3"/>
      <c r="CL40" s="3"/>
      <c r="CM40" s="3"/>
      <c r="CN40" s="3">
        <v>79952000</v>
      </c>
      <c r="CO40" s="3">
        <v>0</v>
      </c>
      <c r="CP40" s="3">
        <v>0</v>
      </c>
      <c r="CQ40" s="3">
        <v>79952000</v>
      </c>
      <c r="CR40" s="3">
        <v>79952000</v>
      </c>
      <c r="CS40" s="3">
        <v>0</v>
      </c>
      <c r="CT40" s="3">
        <v>0</v>
      </c>
      <c r="CU40" s="3">
        <v>79952000</v>
      </c>
      <c r="CV40" s="3"/>
      <c r="CW40" s="3"/>
      <c r="CX40" s="3"/>
      <c r="CY40" s="3"/>
      <c r="CZ40" s="3"/>
      <c r="DA40" s="3"/>
      <c r="DB40" s="3"/>
      <c r="DC40" s="3"/>
      <c r="DD40" s="3"/>
      <c r="DE40" s="3"/>
      <c r="DF40" s="3"/>
      <c r="DG40" s="3"/>
      <c r="DH40" s="3"/>
      <c r="DI40" s="3"/>
      <c r="DJ40" s="3"/>
      <c r="DK40" s="3"/>
      <c r="DL40" s="3"/>
      <c r="DM40" s="3"/>
      <c r="DN40" s="3"/>
      <c r="DO40" s="3"/>
      <c r="DP40" s="3">
        <v>80633000</v>
      </c>
      <c r="DQ40" s="3">
        <v>0</v>
      </c>
      <c r="DR40" s="3">
        <v>0</v>
      </c>
      <c r="DS40" s="3">
        <v>80633000</v>
      </c>
      <c r="DT40" s="3">
        <v>80633000</v>
      </c>
      <c r="DU40" s="3">
        <v>0</v>
      </c>
      <c r="DV40" s="3">
        <v>0</v>
      </c>
      <c r="DW40" s="3">
        <v>80633000</v>
      </c>
      <c r="DX40" s="3"/>
      <c r="DY40" s="3"/>
      <c r="DZ40" s="3"/>
      <c r="EA40" s="3"/>
      <c r="EB40" s="3"/>
      <c r="EC40" s="3"/>
      <c r="ED40" s="3"/>
      <c r="EE40" s="3"/>
      <c r="EF40" s="3"/>
      <c r="EG40" s="3"/>
      <c r="EH40" s="3"/>
      <c r="EI40" s="3"/>
      <c r="EJ40" s="3"/>
      <c r="EK40" s="3"/>
      <c r="EL40" s="3"/>
      <c r="EM40" s="3"/>
      <c r="EN40" s="3"/>
      <c r="EO40" s="3"/>
      <c r="EP40" s="3"/>
      <c r="EQ40" s="3"/>
      <c r="ER40" s="3">
        <v>236326000</v>
      </c>
      <c r="ES40" s="3">
        <v>0</v>
      </c>
      <c r="ET40" s="3">
        <v>0</v>
      </c>
      <c r="EU40" s="3">
        <v>236326000</v>
      </c>
      <c r="EV40" s="3">
        <v>236326000</v>
      </c>
      <c r="EW40" s="3">
        <v>0</v>
      </c>
      <c r="EX40" s="3">
        <v>0</v>
      </c>
      <c r="EY40" s="3">
        <v>236326000</v>
      </c>
      <c r="EZ40" s="3"/>
      <c r="FA40" s="3"/>
      <c r="FB40" s="3"/>
      <c r="FC40" s="3"/>
      <c r="FD40" s="3"/>
      <c r="FE40" s="3"/>
      <c r="FF40" s="3"/>
      <c r="FG40" s="3"/>
      <c r="FH40" s="6"/>
      <c r="FI40" s="3"/>
      <c r="FJ40" s="3"/>
      <c r="FK40" s="3"/>
      <c r="FL40" s="3"/>
      <c r="FM40" s="3"/>
      <c r="FN40" s="3"/>
      <c r="FO40" s="3"/>
      <c r="FP40" s="3"/>
      <c r="FQ40" s="3"/>
      <c r="FR40" s="3"/>
      <c r="FS40" s="3"/>
      <c r="FT40" s="3">
        <v>400372000</v>
      </c>
      <c r="FU40" s="3">
        <v>0</v>
      </c>
      <c r="FV40" s="3">
        <v>0</v>
      </c>
      <c r="FW40" s="3">
        <v>400372000</v>
      </c>
      <c r="FX40" s="3">
        <v>400372000</v>
      </c>
      <c r="FY40" s="3">
        <v>0</v>
      </c>
      <c r="FZ40" s="3">
        <v>0</v>
      </c>
      <c r="GA40" s="3">
        <v>400372000</v>
      </c>
      <c r="GB40" s="3"/>
      <c r="GC40" s="3"/>
      <c r="GD40" s="3"/>
      <c r="GE40" s="3"/>
      <c r="GF40" s="3"/>
      <c r="GG40" s="3"/>
      <c r="GH40" s="3"/>
      <c r="GI40" s="3"/>
      <c r="GJ40" s="3"/>
      <c r="GK40" s="3"/>
      <c r="GL40" s="3"/>
      <c r="GM40" s="3"/>
      <c r="GN40" s="3"/>
      <c r="GO40" s="3"/>
      <c r="GP40" s="3"/>
      <c r="GQ40" s="3"/>
      <c r="GR40" s="3"/>
      <c r="GS40" s="6"/>
      <c r="GT40" s="3"/>
      <c r="GU40" s="3"/>
      <c r="GV40" s="3">
        <v>419535000</v>
      </c>
      <c r="GW40" s="3">
        <v>0</v>
      </c>
      <c r="GX40" s="3">
        <v>0</v>
      </c>
      <c r="GY40" s="3">
        <v>419535000</v>
      </c>
      <c r="GZ40" s="3">
        <v>419535000</v>
      </c>
      <c r="HA40" s="3">
        <v>0</v>
      </c>
      <c r="HB40" s="3">
        <v>0</v>
      </c>
      <c r="HC40" s="3">
        <v>419535000</v>
      </c>
      <c r="HD40" s="3"/>
      <c r="HE40" s="3"/>
      <c r="HF40" s="3"/>
      <c r="HG40" s="3"/>
      <c r="HH40" s="3"/>
      <c r="HI40" s="3"/>
      <c r="HJ40" s="3"/>
      <c r="HK40" s="3"/>
      <c r="HL40" s="3"/>
      <c r="HM40" s="3"/>
      <c r="HN40" s="3"/>
      <c r="HO40" s="3"/>
      <c r="HP40" s="3"/>
      <c r="HQ40" s="3"/>
      <c r="HR40" s="3"/>
      <c r="HS40" s="3"/>
      <c r="HT40" s="3"/>
      <c r="HU40" s="3"/>
      <c r="HV40" s="3"/>
      <c r="HW40" s="3"/>
      <c r="HX40" s="3">
        <v>465622000</v>
      </c>
      <c r="HY40" s="3">
        <v>0</v>
      </c>
      <c r="HZ40" s="3">
        <v>0</v>
      </c>
      <c r="IA40" s="3">
        <v>465622000</v>
      </c>
      <c r="IB40" s="3">
        <v>465622000</v>
      </c>
      <c r="IC40" s="3">
        <v>0</v>
      </c>
      <c r="ID40" s="3">
        <v>0</v>
      </c>
      <c r="IE40" s="3">
        <v>465622000</v>
      </c>
    </row>
    <row r="41" spans="1:239" x14ac:dyDescent="0.25">
      <c r="A41" t="s">
        <v>1243</v>
      </c>
      <c r="B41" t="s">
        <v>1244</v>
      </c>
      <c r="C41" t="s">
        <v>556</v>
      </c>
      <c r="D41" t="s">
        <v>1262</v>
      </c>
      <c r="E41" t="s">
        <v>208</v>
      </c>
      <c r="F41" t="s">
        <v>209</v>
      </c>
      <c r="G41" t="s">
        <v>1284</v>
      </c>
      <c r="H41" s="3">
        <v>12214000</v>
      </c>
      <c r="I41" s="3">
        <v>8618000</v>
      </c>
      <c r="J41" s="3">
        <v>0</v>
      </c>
      <c r="K41" s="3">
        <v>20832000</v>
      </c>
      <c r="L41" s="3">
        <v>12214000</v>
      </c>
      <c r="M41" s="3">
        <v>8618000</v>
      </c>
      <c r="N41" s="3">
        <v>0</v>
      </c>
      <c r="O41" s="3">
        <v>20832000</v>
      </c>
      <c r="P41" s="3"/>
      <c r="Q41" s="3"/>
      <c r="R41" s="3"/>
      <c r="S41" s="3"/>
      <c r="T41" s="3"/>
      <c r="U41" s="3"/>
      <c r="V41" s="3"/>
      <c r="W41" s="3"/>
      <c r="X41" s="6"/>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v>18827000</v>
      </c>
      <c r="BM41" s="3">
        <v>9100000</v>
      </c>
      <c r="BN41" s="3">
        <v>0</v>
      </c>
      <c r="BO41" s="3">
        <v>27927000</v>
      </c>
      <c r="BP41" s="3">
        <v>18827000</v>
      </c>
      <c r="BQ41" s="3">
        <v>9100000</v>
      </c>
      <c r="BR41" s="3">
        <v>0</v>
      </c>
      <c r="BS41" s="3">
        <v>27927000</v>
      </c>
      <c r="BT41" s="3"/>
      <c r="BU41" s="3"/>
      <c r="BV41" s="3"/>
      <c r="BW41" s="3"/>
      <c r="BX41" s="3"/>
      <c r="BY41" s="3"/>
      <c r="BZ41" s="3"/>
      <c r="CA41" s="3"/>
      <c r="CB41" s="3"/>
      <c r="CC41" s="3"/>
      <c r="CD41" s="3"/>
      <c r="CE41" s="6"/>
      <c r="CF41" s="3"/>
      <c r="CG41" s="3"/>
      <c r="CH41" s="3"/>
      <c r="CI41" s="3"/>
      <c r="CJ41" s="3"/>
      <c r="CK41" s="3"/>
      <c r="CL41" s="3"/>
      <c r="CM41" s="3"/>
      <c r="CN41" s="3">
        <v>17066000</v>
      </c>
      <c r="CO41" s="3">
        <v>9100000</v>
      </c>
      <c r="CP41" s="3">
        <v>70456000</v>
      </c>
      <c r="CQ41" s="3">
        <v>96622000</v>
      </c>
      <c r="CR41" s="3">
        <v>17066000</v>
      </c>
      <c r="CS41" s="3">
        <v>9100000</v>
      </c>
      <c r="CT41" s="3">
        <v>70456000</v>
      </c>
      <c r="CU41" s="3">
        <v>96622000</v>
      </c>
      <c r="CV41" s="3"/>
      <c r="CW41" s="3"/>
      <c r="CX41" s="3"/>
      <c r="CY41" s="3"/>
      <c r="CZ41" s="3"/>
      <c r="DA41" s="3"/>
      <c r="DB41" s="3"/>
      <c r="DC41" s="3"/>
      <c r="DD41" s="3"/>
      <c r="DE41" s="3"/>
      <c r="DF41" s="3"/>
      <c r="DG41" s="3"/>
      <c r="DH41" s="3"/>
      <c r="DI41" s="3"/>
      <c r="DJ41" s="3"/>
      <c r="DK41" s="3"/>
      <c r="DL41" s="3"/>
      <c r="DM41" s="3"/>
      <c r="DN41" s="3"/>
      <c r="DO41" s="3"/>
      <c r="DP41" s="3">
        <v>19118000</v>
      </c>
      <c r="DQ41" s="3">
        <v>9100000</v>
      </c>
      <c r="DR41" s="3">
        <v>70456000</v>
      </c>
      <c r="DS41" s="3">
        <v>98674000</v>
      </c>
      <c r="DT41" s="3">
        <v>19118000</v>
      </c>
      <c r="DU41" s="3">
        <v>9100000</v>
      </c>
      <c r="DV41" s="3">
        <v>70456000</v>
      </c>
      <c r="DW41" s="3">
        <v>98674000</v>
      </c>
      <c r="DX41" s="3"/>
      <c r="DY41" s="3"/>
      <c r="DZ41" s="3"/>
      <c r="EA41" s="3"/>
      <c r="EB41" s="3"/>
      <c r="EC41" s="3"/>
      <c r="ED41" s="3"/>
      <c r="EE41" s="3"/>
      <c r="EF41" s="3"/>
      <c r="EG41" s="3"/>
      <c r="EH41" s="3"/>
      <c r="EI41" s="3"/>
      <c r="EJ41" s="3"/>
      <c r="EK41" s="3"/>
      <c r="EL41" s="3"/>
      <c r="EM41" s="3"/>
      <c r="EN41" s="3"/>
      <c r="EO41" s="3"/>
      <c r="EP41" s="3"/>
      <c r="EQ41" s="3"/>
      <c r="ER41" s="3">
        <v>19778000</v>
      </c>
      <c r="ES41" s="3">
        <v>9400000</v>
      </c>
      <c r="ET41" s="3">
        <v>4279000</v>
      </c>
      <c r="EU41" s="3">
        <v>33457000</v>
      </c>
      <c r="EV41" s="3">
        <v>19778000</v>
      </c>
      <c r="EW41" s="3">
        <v>9400000</v>
      </c>
      <c r="EX41" s="3">
        <v>4279000</v>
      </c>
      <c r="EY41" s="3">
        <v>33457000</v>
      </c>
      <c r="EZ41" s="3"/>
      <c r="FA41" s="3"/>
      <c r="FB41" s="3"/>
      <c r="FC41" s="3"/>
      <c r="FD41" s="3"/>
      <c r="FE41" s="3"/>
      <c r="FF41" s="3"/>
      <c r="FG41" s="3"/>
      <c r="FH41" s="6"/>
      <c r="FI41" s="3"/>
      <c r="FJ41" s="3"/>
      <c r="FK41" s="3"/>
      <c r="FL41" s="3"/>
      <c r="FM41" s="3"/>
      <c r="FN41" s="3"/>
      <c r="FO41" s="3"/>
      <c r="FP41" s="3"/>
      <c r="FQ41" s="3"/>
      <c r="FR41" s="3"/>
      <c r="FS41" s="3"/>
      <c r="FT41" s="3">
        <v>18757000</v>
      </c>
      <c r="FU41" s="3">
        <v>13601000</v>
      </c>
      <c r="FV41" s="3">
        <v>6279000</v>
      </c>
      <c r="FW41" s="3">
        <v>38637000</v>
      </c>
      <c r="FX41" s="3">
        <v>18757000</v>
      </c>
      <c r="FY41" s="3">
        <v>13601000</v>
      </c>
      <c r="FZ41" s="3">
        <v>6279000</v>
      </c>
      <c r="GA41" s="3">
        <v>38637000</v>
      </c>
      <c r="GB41" s="3"/>
      <c r="GC41" s="3"/>
      <c r="GD41" s="3"/>
      <c r="GE41" s="3"/>
      <c r="GF41" s="3"/>
      <c r="GG41" s="3"/>
      <c r="GH41" s="3"/>
      <c r="GI41" s="3"/>
      <c r="GJ41" s="3"/>
      <c r="GK41" s="3"/>
      <c r="GL41" s="3"/>
      <c r="GM41" s="3"/>
      <c r="GN41" s="3"/>
      <c r="GO41" s="3"/>
      <c r="GP41" s="3"/>
      <c r="GQ41" s="3"/>
      <c r="GR41" s="3"/>
      <c r="GS41" s="6"/>
      <c r="GT41" s="3"/>
      <c r="GU41" s="3"/>
      <c r="GV41" s="3">
        <v>12459000</v>
      </c>
      <c r="GW41" s="3">
        <v>13900000</v>
      </c>
      <c r="GX41" s="3">
        <v>24379000</v>
      </c>
      <c r="GY41" s="3">
        <v>50738000</v>
      </c>
      <c r="GZ41" s="3">
        <v>12459000</v>
      </c>
      <c r="HA41" s="3">
        <v>13900000</v>
      </c>
      <c r="HB41" s="3">
        <v>24379000</v>
      </c>
      <c r="HC41" s="3">
        <v>50738000</v>
      </c>
      <c r="HD41" s="3"/>
      <c r="HE41" s="3"/>
      <c r="HF41" s="3"/>
      <c r="HG41" s="3"/>
      <c r="HH41" s="3"/>
      <c r="HI41" s="3"/>
      <c r="HJ41" s="3"/>
      <c r="HK41" s="3"/>
      <c r="HL41" s="3"/>
      <c r="HM41" s="3"/>
      <c r="HN41" s="3"/>
      <c r="HO41" s="3"/>
      <c r="HP41" s="3"/>
      <c r="HQ41" s="3"/>
      <c r="HR41" s="3"/>
      <c r="HS41" s="3"/>
      <c r="HT41" s="3"/>
      <c r="HU41" s="3"/>
      <c r="HV41" s="3"/>
      <c r="HW41" s="3"/>
      <c r="HX41" s="3">
        <v>17517000</v>
      </c>
      <c r="HY41" s="3">
        <v>14209000</v>
      </c>
      <c r="HZ41" s="3">
        <v>6027000</v>
      </c>
      <c r="IA41" s="3">
        <v>37753000</v>
      </c>
      <c r="IB41" s="3">
        <v>17517000</v>
      </c>
      <c r="IC41" s="3">
        <v>14209000</v>
      </c>
      <c r="ID41" s="3">
        <v>6027000</v>
      </c>
      <c r="IE41" s="3">
        <v>37753000</v>
      </c>
    </row>
    <row r="42" spans="1:239" x14ac:dyDescent="0.25">
      <c r="A42" t="s">
        <v>1243</v>
      </c>
      <c r="B42" t="s">
        <v>1244</v>
      </c>
      <c r="C42" t="s">
        <v>556</v>
      </c>
      <c r="D42" t="s">
        <v>1262</v>
      </c>
      <c r="E42" t="s">
        <v>217</v>
      </c>
      <c r="F42" t="s">
        <v>721</v>
      </c>
      <c r="G42" t="s">
        <v>1285</v>
      </c>
      <c r="H42" s="3">
        <v>41607000</v>
      </c>
      <c r="I42" s="3">
        <v>28472000</v>
      </c>
      <c r="J42" s="3">
        <v>0</v>
      </c>
      <c r="K42" s="3">
        <v>70079000</v>
      </c>
      <c r="L42" s="3">
        <v>41607000</v>
      </c>
      <c r="M42" s="3">
        <v>28472000</v>
      </c>
      <c r="N42" s="3">
        <v>0</v>
      </c>
      <c r="O42" s="3">
        <v>70079000</v>
      </c>
      <c r="P42" s="3"/>
      <c r="Q42" s="3"/>
      <c r="R42" s="3"/>
      <c r="S42" s="3"/>
      <c r="T42" s="3"/>
      <c r="U42" s="3"/>
      <c r="V42" s="3"/>
      <c r="W42" s="3"/>
      <c r="X42" s="6"/>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v>45147000</v>
      </c>
      <c r="BM42" s="3">
        <v>30080000</v>
      </c>
      <c r="BN42" s="3">
        <v>0</v>
      </c>
      <c r="BO42" s="3">
        <v>75227000</v>
      </c>
      <c r="BP42" s="3">
        <v>45147000</v>
      </c>
      <c r="BQ42" s="3">
        <v>30080000</v>
      </c>
      <c r="BR42" s="3">
        <v>0</v>
      </c>
      <c r="BS42" s="3">
        <v>75227000</v>
      </c>
      <c r="BT42" s="3"/>
      <c r="BU42" s="3"/>
      <c r="BV42" s="3"/>
      <c r="BW42" s="3"/>
      <c r="BX42" s="3"/>
      <c r="BY42" s="3"/>
      <c r="BZ42" s="3"/>
      <c r="CA42" s="3"/>
      <c r="CB42" s="3"/>
      <c r="CC42" s="3"/>
      <c r="CD42" s="3"/>
      <c r="CE42" s="6"/>
      <c r="CF42" s="3"/>
      <c r="CG42" s="3"/>
      <c r="CH42" s="3"/>
      <c r="CI42" s="3"/>
      <c r="CJ42" s="3"/>
      <c r="CK42" s="3"/>
      <c r="CL42" s="3"/>
      <c r="CM42" s="3"/>
      <c r="CN42" s="3">
        <v>48074000</v>
      </c>
      <c r="CO42" s="3">
        <v>30080000</v>
      </c>
      <c r="CP42" s="3">
        <v>510000</v>
      </c>
      <c r="CQ42" s="3">
        <v>78664000</v>
      </c>
      <c r="CR42" s="3">
        <v>48074000</v>
      </c>
      <c r="CS42" s="3">
        <v>30080000</v>
      </c>
      <c r="CT42" s="3">
        <v>510000</v>
      </c>
      <c r="CU42" s="3">
        <v>78664000</v>
      </c>
      <c r="CV42" s="3"/>
      <c r="CW42" s="3"/>
      <c r="CX42" s="3"/>
      <c r="CY42" s="3"/>
      <c r="CZ42" s="3"/>
      <c r="DA42" s="3"/>
      <c r="DB42" s="3"/>
      <c r="DC42" s="3"/>
      <c r="DD42" s="3"/>
      <c r="DE42" s="3"/>
      <c r="DF42" s="3"/>
      <c r="DG42" s="3"/>
      <c r="DH42" s="3"/>
      <c r="DI42" s="3"/>
      <c r="DJ42" s="3"/>
      <c r="DK42" s="3"/>
      <c r="DL42" s="3"/>
      <c r="DM42" s="3"/>
      <c r="DN42" s="3"/>
      <c r="DO42" s="3"/>
      <c r="DP42" s="3">
        <v>49232000</v>
      </c>
      <c r="DQ42" s="3">
        <v>30080000</v>
      </c>
      <c r="DR42" s="3">
        <v>510000</v>
      </c>
      <c r="DS42" s="3">
        <v>79822000</v>
      </c>
      <c r="DT42" s="3">
        <v>49232000</v>
      </c>
      <c r="DU42" s="3">
        <v>30080000</v>
      </c>
      <c r="DV42" s="3">
        <v>510000</v>
      </c>
      <c r="DW42" s="3">
        <v>79822000</v>
      </c>
      <c r="DX42" s="3"/>
      <c r="DY42" s="3"/>
      <c r="DZ42" s="3"/>
      <c r="EA42" s="3"/>
      <c r="EB42" s="3"/>
      <c r="EC42" s="3"/>
      <c r="ED42" s="3"/>
      <c r="EE42" s="3"/>
      <c r="EF42" s="3"/>
      <c r="EG42" s="3"/>
      <c r="EH42" s="3"/>
      <c r="EI42" s="3"/>
      <c r="EJ42" s="3"/>
      <c r="EK42" s="3"/>
      <c r="EL42" s="3"/>
      <c r="EM42" s="3"/>
      <c r="EN42" s="3"/>
      <c r="EO42" s="3"/>
      <c r="EP42" s="3"/>
      <c r="EQ42" s="3"/>
      <c r="ER42" s="3">
        <v>54220000</v>
      </c>
      <c r="ES42" s="3">
        <v>31089000</v>
      </c>
      <c r="ET42" s="3">
        <v>17360000</v>
      </c>
      <c r="EU42" s="3">
        <v>102669000</v>
      </c>
      <c r="EV42" s="3">
        <v>54220000</v>
      </c>
      <c r="EW42" s="3">
        <v>31089000</v>
      </c>
      <c r="EX42" s="3">
        <v>17360000</v>
      </c>
      <c r="EY42" s="3">
        <v>102669000</v>
      </c>
      <c r="EZ42" s="3"/>
      <c r="FA42" s="3"/>
      <c r="FB42" s="3"/>
      <c r="FC42" s="3"/>
      <c r="FD42" s="3"/>
      <c r="FE42" s="3"/>
      <c r="FF42" s="3"/>
      <c r="FG42" s="3"/>
      <c r="FH42" s="6"/>
      <c r="FI42" s="3"/>
      <c r="FJ42" s="3"/>
      <c r="FK42" s="3"/>
      <c r="FL42" s="3"/>
      <c r="FM42" s="3"/>
      <c r="FN42" s="3"/>
      <c r="FO42" s="3"/>
      <c r="FP42" s="3"/>
      <c r="FQ42" s="3"/>
      <c r="FR42" s="3"/>
      <c r="FS42" s="3"/>
      <c r="FT42" s="3">
        <v>57174000</v>
      </c>
      <c r="FU42" s="3">
        <v>35267000</v>
      </c>
      <c r="FV42" s="3">
        <v>19901000</v>
      </c>
      <c r="FW42" s="3">
        <v>112342000</v>
      </c>
      <c r="FX42" s="3">
        <v>57174000</v>
      </c>
      <c r="FY42" s="3">
        <v>35267000</v>
      </c>
      <c r="FZ42" s="3">
        <v>19901000</v>
      </c>
      <c r="GA42" s="3">
        <v>112342000</v>
      </c>
      <c r="GB42" s="3"/>
      <c r="GC42" s="3"/>
      <c r="GD42" s="3"/>
      <c r="GE42" s="3"/>
      <c r="GF42" s="3"/>
      <c r="GG42" s="3"/>
      <c r="GH42" s="3"/>
      <c r="GI42" s="3"/>
      <c r="GJ42" s="3"/>
      <c r="GK42" s="3"/>
      <c r="GL42" s="3"/>
      <c r="GM42" s="3"/>
      <c r="GN42" s="3"/>
      <c r="GO42" s="3"/>
      <c r="GP42" s="3"/>
      <c r="GQ42" s="3"/>
      <c r="GR42" s="3"/>
      <c r="GS42" s="6"/>
      <c r="GT42" s="3"/>
      <c r="GU42" s="3"/>
      <c r="GV42" s="3">
        <v>58079000</v>
      </c>
      <c r="GW42" s="3">
        <v>37014000</v>
      </c>
      <c r="GX42" s="3">
        <v>19901000</v>
      </c>
      <c r="GY42" s="3">
        <v>114994000</v>
      </c>
      <c r="GZ42" s="3">
        <v>58079000</v>
      </c>
      <c r="HA42" s="3">
        <v>37014000</v>
      </c>
      <c r="HB42" s="3">
        <v>19901000</v>
      </c>
      <c r="HC42" s="3">
        <v>114994000</v>
      </c>
      <c r="HD42" s="3"/>
      <c r="HE42" s="3"/>
      <c r="HF42" s="3"/>
      <c r="HG42" s="3"/>
      <c r="HH42" s="3"/>
      <c r="HI42" s="3"/>
      <c r="HJ42" s="3"/>
      <c r="HK42" s="3"/>
      <c r="HL42" s="3"/>
      <c r="HM42" s="3"/>
      <c r="HN42" s="3"/>
      <c r="HO42" s="3"/>
      <c r="HP42" s="3"/>
      <c r="HQ42" s="3"/>
      <c r="HR42" s="3"/>
      <c r="HS42" s="3"/>
      <c r="HT42" s="3"/>
      <c r="HU42" s="3"/>
      <c r="HV42" s="3"/>
      <c r="HW42" s="3"/>
      <c r="HX42" s="3">
        <v>65113000</v>
      </c>
      <c r="HY42" s="3">
        <v>37999000</v>
      </c>
      <c r="HZ42" s="3">
        <v>16368000</v>
      </c>
      <c r="IA42" s="3">
        <v>119480000</v>
      </c>
      <c r="IB42" s="3">
        <v>65113000</v>
      </c>
      <c r="IC42" s="3">
        <v>37999000</v>
      </c>
      <c r="ID42" s="3">
        <v>16368000</v>
      </c>
      <c r="IE42" s="3">
        <v>119480000</v>
      </c>
    </row>
    <row r="43" spans="1:239" x14ac:dyDescent="0.25">
      <c r="A43" t="s">
        <v>1243</v>
      </c>
      <c r="B43" t="s">
        <v>1244</v>
      </c>
      <c r="C43" t="s">
        <v>556</v>
      </c>
      <c r="D43" t="s">
        <v>1262</v>
      </c>
      <c r="E43" t="s">
        <v>217</v>
      </c>
      <c r="F43" t="s">
        <v>725</v>
      </c>
      <c r="G43" t="s">
        <v>1286</v>
      </c>
      <c r="H43" s="3">
        <v>19944000</v>
      </c>
      <c r="I43" s="3">
        <v>12860000</v>
      </c>
      <c r="J43" s="3">
        <v>0</v>
      </c>
      <c r="K43" s="3">
        <v>32804000</v>
      </c>
      <c r="L43" s="3">
        <v>19944000</v>
      </c>
      <c r="M43" s="3">
        <v>12860000</v>
      </c>
      <c r="N43" s="3">
        <v>0</v>
      </c>
      <c r="O43" s="3">
        <v>32804000</v>
      </c>
      <c r="P43" s="3"/>
      <c r="Q43" s="3"/>
      <c r="R43" s="3"/>
      <c r="S43" s="3"/>
      <c r="T43" s="3"/>
      <c r="U43" s="3"/>
      <c r="V43" s="3"/>
      <c r="W43" s="3"/>
      <c r="X43" s="6"/>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v>40927000</v>
      </c>
      <c r="BM43" s="3">
        <v>13560000</v>
      </c>
      <c r="BN43" s="3">
        <v>0</v>
      </c>
      <c r="BO43" s="3">
        <v>54487000</v>
      </c>
      <c r="BP43" s="3">
        <v>40927000</v>
      </c>
      <c r="BQ43" s="3">
        <v>13560000</v>
      </c>
      <c r="BR43" s="3">
        <v>0</v>
      </c>
      <c r="BS43" s="3">
        <v>54487000</v>
      </c>
      <c r="BT43" s="3"/>
      <c r="BU43" s="3"/>
      <c r="BV43" s="3"/>
      <c r="BW43" s="3"/>
      <c r="BX43" s="3"/>
      <c r="BY43" s="3"/>
      <c r="BZ43" s="3"/>
      <c r="CA43" s="3"/>
      <c r="CB43" s="3"/>
      <c r="CC43" s="3"/>
      <c r="CD43" s="3"/>
      <c r="CE43" s="6"/>
      <c r="CF43" s="3"/>
      <c r="CG43" s="3"/>
      <c r="CH43" s="3"/>
      <c r="CI43" s="3"/>
      <c r="CJ43" s="3"/>
      <c r="CK43" s="3"/>
      <c r="CL43" s="3"/>
      <c r="CM43" s="3"/>
      <c r="CN43" s="3">
        <v>43084000</v>
      </c>
      <c r="CO43" s="3">
        <v>13560000</v>
      </c>
      <c r="CP43" s="3">
        <v>0</v>
      </c>
      <c r="CQ43" s="3">
        <v>56644000</v>
      </c>
      <c r="CR43" s="3">
        <v>43084000</v>
      </c>
      <c r="CS43" s="3">
        <v>13560000</v>
      </c>
      <c r="CT43" s="3">
        <v>0</v>
      </c>
      <c r="CU43" s="3">
        <v>56644000</v>
      </c>
      <c r="CV43" s="3"/>
      <c r="CW43" s="3"/>
      <c r="CX43" s="3"/>
      <c r="CY43" s="3"/>
      <c r="CZ43" s="3"/>
      <c r="DA43" s="3"/>
      <c r="DB43" s="3"/>
      <c r="DC43" s="3"/>
      <c r="DD43" s="3"/>
      <c r="DE43" s="3"/>
      <c r="DF43" s="3"/>
      <c r="DG43" s="3"/>
      <c r="DH43" s="3"/>
      <c r="DI43" s="3"/>
      <c r="DJ43" s="3"/>
      <c r="DK43" s="3"/>
      <c r="DL43" s="3"/>
      <c r="DM43" s="3"/>
      <c r="DN43" s="3"/>
      <c r="DO43" s="3"/>
      <c r="DP43" s="3">
        <v>39621000</v>
      </c>
      <c r="DQ43" s="3">
        <v>13560000</v>
      </c>
      <c r="DR43" s="3">
        <v>0</v>
      </c>
      <c r="DS43" s="3">
        <v>53181000</v>
      </c>
      <c r="DT43" s="3">
        <v>39621000</v>
      </c>
      <c r="DU43" s="3">
        <v>13560000</v>
      </c>
      <c r="DV43" s="3">
        <v>0</v>
      </c>
      <c r="DW43" s="3">
        <v>53181000</v>
      </c>
      <c r="DX43" s="3"/>
      <c r="DY43" s="3"/>
      <c r="DZ43" s="3"/>
      <c r="EA43" s="3"/>
      <c r="EB43" s="3"/>
      <c r="EC43" s="3"/>
      <c r="ED43" s="3"/>
      <c r="EE43" s="3"/>
      <c r="EF43" s="3"/>
      <c r="EG43" s="3"/>
      <c r="EH43" s="3"/>
      <c r="EI43" s="3"/>
      <c r="EJ43" s="3"/>
      <c r="EK43" s="3"/>
      <c r="EL43" s="3"/>
      <c r="EM43" s="3"/>
      <c r="EN43" s="3"/>
      <c r="EO43" s="3"/>
      <c r="EP43" s="3"/>
      <c r="EQ43" s="3"/>
      <c r="ER43" s="3">
        <v>43364000</v>
      </c>
      <c r="ES43" s="3">
        <v>13981000</v>
      </c>
      <c r="ET43" s="3">
        <v>7041000</v>
      </c>
      <c r="EU43" s="3">
        <v>64386000</v>
      </c>
      <c r="EV43" s="3">
        <v>43364000</v>
      </c>
      <c r="EW43" s="3">
        <v>13981000</v>
      </c>
      <c r="EX43" s="3">
        <v>7041000</v>
      </c>
      <c r="EY43" s="3">
        <v>64386000</v>
      </c>
      <c r="EZ43" s="3"/>
      <c r="FA43" s="3"/>
      <c r="FB43" s="3"/>
      <c r="FC43" s="3"/>
      <c r="FD43" s="3"/>
      <c r="FE43" s="3"/>
      <c r="FF43" s="3"/>
      <c r="FG43" s="3"/>
      <c r="FH43" s="6"/>
      <c r="FI43" s="3"/>
      <c r="FJ43" s="3"/>
      <c r="FK43" s="3"/>
      <c r="FL43" s="3"/>
      <c r="FM43" s="3"/>
      <c r="FN43" s="3"/>
      <c r="FO43" s="3"/>
      <c r="FP43" s="3"/>
      <c r="FQ43" s="3"/>
      <c r="FR43" s="3"/>
      <c r="FS43" s="3"/>
      <c r="FT43" s="3">
        <v>43969000</v>
      </c>
      <c r="FU43" s="3">
        <v>14709000</v>
      </c>
      <c r="FV43" s="3">
        <v>7041000</v>
      </c>
      <c r="FW43" s="3">
        <v>65719000</v>
      </c>
      <c r="FX43" s="3">
        <v>43969000</v>
      </c>
      <c r="FY43" s="3">
        <v>14709000</v>
      </c>
      <c r="FZ43" s="3">
        <v>7041000</v>
      </c>
      <c r="GA43" s="3">
        <v>65719000</v>
      </c>
      <c r="GB43" s="3"/>
      <c r="GC43" s="3"/>
      <c r="GD43" s="3"/>
      <c r="GE43" s="3"/>
      <c r="GF43" s="3"/>
      <c r="GG43" s="3"/>
      <c r="GH43" s="3"/>
      <c r="GI43" s="3"/>
      <c r="GJ43" s="3"/>
      <c r="GK43" s="3"/>
      <c r="GL43" s="3"/>
      <c r="GM43" s="3"/>
      <c r="GN43" s="3"/>
      <c r="GO43" s="3"/>
      <c r="GP43" s="3"/>
      <c r="GQ43" s="3"/>
      <c r="GR43" s="3"/>
      <c r="GS43" s="6"/>
      <c r="GT43" s="3"/>
      <c r="GU43" s="3"/>
      <c r="GV43" s="3">
        <v>43996000</v>
      </c>
      <c r="GW43" s="3">
        <v>15068000</v>
      </c>
      <c r="GX43" s="3">
        <v>7041000</v>
      </c>
      <c r="GY43" s="3">
        <v>66105000</v>
      </c>
      <c r="GZ43" s="3">
        <v>43996000</v>
      </c>
      <c r="HA43" s="3">
        <v>15068000</v>
      </c>
      <c r="HB43" s="3">
        <v>7041000</v>
      </c>
      <c r="HC43" s="3">
        <v>66105000</v>
      </c>
      <c r="HD43" s="3"/>
      <c r="HE43" s="3"/>
      <c r="HF43" s="3"/>
      <c r="HG43" s="3"/>
      <c r="HH43" s="3"/>
      <c r="HI43" s="3"/>
      <c r="HJ43" s="3"/>
      <c r="HK43" s="3"/>
      <c r="HL43" s="3"/>
      <c r="HM43" s="3"/>
      <c r="HN43" s="3"/>
      <c r="HO43" s="3"/>
      <c r="HP43" s="3"/>
      <c r="HQ43" s="3"/>
      <c r="HR43" s="3"/>
      <c r="HS43" s="3"/>
      <c r="HT43" s="3"/>
      <c r="HU43" s="3"/>
      <c r="HV43" s="3"/>
      <c r="HW43" s="3"/>
      <c r="HX43" s="3">
        <v>51711000</v>
      </c>
      <c r="HY43" s="3">
        <v>15437000</v>
      </c>
      <c r="HZ43" s="3">
        <v>5460000</v>
      </c>
      <c r="IA43" s="3">
        <v>72608000</v>
      </c>
      <c r="IB43" s="3">
        <v>51711000</v>
      </c>
      <c r="IC43" s="3">
        <v>15437000</v>
      </c>
      <c r="ID43" s="3">
        <v>5460000</v>
      </c>
      <c r="IE43" s="3">
        <v>72608000</v>
      </c>
    </row>
    <row r="44" spans="1:239" x14ac:dyDescent="0.25">
      <c r="A44" t="s">
        <v>1243</v>
      </c>
      <c r="B44" t="s">
        <v>1244</v>
      </c>
      <c r="C44" t="s">
        <v>556</v>
      </c>
      <c r="D44" t="s">
        <v>1262</v>
      </c>
      <c r="E44" t="s">
        <v>217</v>
      </c>
      <c r="F44" t="s">
        <v>954</v>
      </c>
      <c r="G44" t="s">
        <v>1287</v>
      </c>
      <c r="H44" s="3">
        <v>195063000</v>
      </c>
      <c r="I44" s="3">
        <v>59970000</v>
      </c>
      <c r="J44" s="3">
        <v>2625000</v>
      </c>
      <c r="K44" s="3">
        <v>257658000</v>
      </c>
      <c r="L44" s="3">
        <v>195063000</v>
      </c>
      <c r="M44" s="3">
        <v>59970000</v>
      </c>
      <c r="N44" s="3">
        <v>2625000</v>
      </c>
      <c r="O44" s="3">
        <v>257658000</v>
      </c>
      <c r="P44" s="3"/>
      <c r="Q44" s="3"/>
      <c r="R44" s="3"/>
      <c r="S44" s="3"/>
      <c r="T44" s="3"/>
      <c r="U44" s="3"/>
      <c r="V44" s="3"/>
      <c r="W44" s="3"/>
      <c r="X44" s="6"/>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v>159204000</v>
      </c>
      <c r="BM44" s="3">
        <v>63306000</v>
      </c>
      <c r="BN44" s="3">
        <v>0</v>
      </c>
      <c r="BO44" s="3">
        <v>222510000</v>
      </c>
      <c r="BP44" s="3">
        <v>218688000</v>
      </c>
      <c r="BQ44" s="3">
        <v>63306000</v>
      </c>
      <c r="BR44" s="3">
        <v>29351000</v>
      </c>
      <c r="BS44" s="3">
        <v>311345000</v>
      </c>
      <c r="BT44" s="3"/>
      <c r="BU44" s="3"/>
      <c r="BV44" s="3"/>
      <c r="BW44" s="3"/>
      <c r="BX44" s="3"/>
      <c r="BY44" s="3"/>
      <c r="BZ44" s="3"/>
      <c r="CA44" s="3"/>
      <c r="CB44" s="3"/>
      <c r="CC44" s="3"/>
      <c r="CD44" s="3"/>
      <c r="CE44" s="6"/>
      <c r="CF44" s="3"/>
      <c r="CG44" s="3"/>
      <c r="CH44" s="3"/>
      <c r="CI44" s="3"/>
      <c r="CJ44" s="3"/>
      <c r="CK44" s="3"/>
      <c r="CL44" s="3"/>
      <c r="CM44" s="3"/>
      <c r="CN44" s="3">
        <v>223134000</v>
      </c>
      <c r="CO44" s="3">
        <v>63306000</v>
      </c>
      <c r="CP44" s="3">
        <v>14635000</v>
      </c>
      <c r="CQ44" s="3">
        <v>301075000</v>
      </c>
      <c r="CR44" s="3">
        <v>223134000</v>
      </c>
      <c r="CS44" s="3">
        <v>63306000</v>
      </c>
      <c r="CT44" s="3">
        <v>14635000</v>
      </c>
      <c r="CU44" s="3">
        <v>301075000</v>
      </c>
      <c r="CV44" s="3"/>
      <c r="CW44" s="3"/>
      <c r="CX44" s="3"/>
      <c r="CY44" s="3"/>
      <c r="CZ44" s="3"/>
      <c r="DA44" s="3"/>
      <c r="DB44" s="3"/>
      <c r="DC44" s="3"/>
      <c r="DD44" s="3"/>
      <c r="DE44" s="3"/>
      <c r="DF44" s="3"/>
      <c r="DG44" s="3"/>
      <c r="DH44" s="3"/>
      <c r="DI44" s="3"/>
      <c r="DJ44" s="3"/>
      <c r="DK44" s="3"/>
      <c r="DL44" s="3"/>
      <c r="DM44" s="3"/>
      <c r="DN44" s="3"/>
      <c r="DO44" s="3"/>
      <c r="DP44" s="3">
        <v>241415000</v>
      </c>
      <c r="DQ44" s="3">
        <v>63306000</v>
      </c>
      <c r="DR44" s="3">
        <v>14635000</v>
      </c>
      <c r="DS44" s="3">
        <v>319356000</v>
      </c>
      <c r="DT44" s="3">
        <v>241415000</v>
      </c>
      <c r="DU44" s="3">
        <v>63306000</v>
      </c>
      <c r="DV44" s="3">
        <v>14635000</v>
      </c>
      <c r="DW44" s="3">
        <v>319356000</v>
      </c>
      <c r="DX44" s="3"/>
      <c r="DY44" s="3"/>
      <c r="DZ44" s="3"/>
      <c r="EA44" s="3"/>
      <c r="EB44" s="3"/>
      <c r="EC44" s="3"/>
      <c r="ED44" s="3"/>
      <c r="EE44" s="3"/>
      <c r="EF44" s="3"/>
      <c r="EG44" s="3"/>
      <c r="EH44" s="3"/>
      <c r="EI44" s="3"/>
      <c r="EJ44" s="3"/>
      <c r="EK44" s="3"/>
      <c r="EL44" s="3"/>
      <c r="EM44" s="3"/>
      <c r="EN44" s="3"/>
      <c r="EO44" s="3"/>
      <c r="EP44" s="3"/>
      <c r="EQ44" s="3"/>
      <c r="ER44" s="3">
        <v>246353000</v>
      </c>
      <c r="ES44" s="3">
        <v>65364000</v>
      </c>
      <c r="ET44" s="3">
        <v>13287000</v>
      </c>
      <c r="EU44" s="3">
        <v>325004000</v>
      </c>
      <c r="EV44" s="3">
        <v>246353000</v>
      </c>
      <c r="EW44" s="3">
        <v>65364000</v>
      </c>
      <c r="EX44" s="3">
        <v>13287000</v>
      </c>
      <c r="EY44" s="3">
        <v>325004000</v>
      </c>
      <c r="EZ44" s="3"/>
      <c r="FA44" s="3"/>
      <c r="FB44" s="3"/>
      <c r="FC44" s="3"/>
      <c r="FD44" s="3"/>
      <c r="FE44" s="3"/>
      <c r="FF44" s="3"/>
      <c r="FG44" s="3"/>
      <c r="FH44" s="6"/>
      <c r="FI44" s="3"/>
      <c r="FJ44" s="3"/>
      <c r="FK44" s="3"/>
      <c r="FL44" s="3"/>
      <c r="FM44" s="3"/>
      <c r="FN44" s="3"/>
      <c r="FO44" s="3"/>
      <c r="FP44" s="3"/>
      <c r="FQ44" s="3"/>
      <c r="FR44" s="3"/>
      <c r="FS44" s="3"/>
      <c r="FT44" s="3">
        <v>246132000</v>
      </c>
      <c r="FU44" s="3">
        <v>109716000</v>
      </c>
      <c r="FV44" s="3">
        <v>42162000</v>
      </c>
      <c r="FW44" s="3">
        <v>398010000</v>
      </c>
      <c r="FX44" s="3">
        <v>246132000</v>
      </c>
      <c r="FY44" s="3">
        <v>109716000</v>
      </c>
      <c r="FZ44" s="3">
        <v>42162000</v>
      </c>
      <c r="GA44" s="3">
        <v>398010000</v>
      </c>
      <c r="GB44" s="3"/>
      <c r="GC44" s="3"/>
      <c r="GD44" s="3"/>
      <c r="GE44" s="3"/>
      <c r="GF44" s="3"/>
      <c r="GG44" s="3"/>
      <c r="GH44" s="3"/>
      <c r="GI44" s="3"/>
      <c r="GJ44" s="3"/>
      <c r="GK44" s="3"/>
      <c r="GL44" s="3"/>
      <c r="GM44" s="3"/>
      <c r="GN44" s="3"/>
      <c r="GO44" s="3"/>
      <c r="GP44" s="3"/>
      <c r="GQ44" s="3"/>
      <c r="GR44" s="3"/>
      <c r="GS44" s="6"/>
      <c r="GT44" s="3"/>
      <c r="GU44" s="3"/>
      <c r="GV44" s="3">
        <v>259218000</v>
      </c>
      <c r="GW44" s="3">
        <v>112691000</v>
      </c>
      <c r="GX44" s="3">
        <v>25287000</v>
      </c>
      <c r="GY44" s="3">
        <v>397196000</v>
      </c>
      <c r="GZ44" s="3">
        <v>259218000</v>
      </c>
      <c r="HA44" s="3">
        <v>112691000</v>
      </c>
      <c r="HB44" s="3">
        <v>25287000</v>
      </c>
      <c r="HC44" s="3">
        <v>397196000</v>
      </c>
      <c r="HD44" s="3"/>
      <c r="HE44" s="3"/>
      <c r="HF44" s="3"/>
      <c r="HG44" s="3"/>
      <c r="HH44" s="3"/>
      <c r="HI44" s="3"/>
      <c r="HJ44" s="3"/>
      <c r="HK44" s="3"/>
      <c r="HL44" s="3"/>
      <c r="HM44" s="3"/>
      <c r="HN44" s="3"/>
      <c r="HO44" s="3"/>
      <c r="HP44" s="3"/>
      <c r="HQ44" s="3"/>
      <c r="HR44" s="3"/>
      <c r="HS44" s="3"/>
      <c r="HT44" s="3"/>
      <c r="HU44" s="3"/>
      <c r="HV44" s="3"/>
      <c r="HW44" s="3"/>
      <c r="HX44" s="3">
        <v>290059000</v>
      </c>
      <c r="HY44" s="3">
        <v>159754000</v>
      </c>
      <c r="HZ44" s="3">
        <v>36085000</v>
      </c>
      <c r="IA44" s="3">
        <v>485898000</v>
      </c>
      <c r="IB44" s="3">
        <v>290059000</v>
      </c>
      <c r="IC44" s="3">
        <v>159754000</v>
      </c>
      <c r="ID44" s="3">
        <v>36085000</v>
      </c>
      <c r="IE44" s="3">
        <v>485898000</v>
      </c>
    </row>
    <row r="45" spans="1:239" x14ac:dyDescent="0.25">
      <c r="A45" t="s">
        <v>1243</v>
      </c>
      <c r="B45" t="s">
        <v>1244</v>
      </c>
      <c r="C45" t="s">
        <v>556</v>
      </c>
      <c r="D45" t="s">
        <v>1262</v>
      </c>
      <c r="E45" t="s">
        <v>217</v>
      </c>
      <c r="F45" t="s">
        <v>1107</v>
      </c>
      <c r="H45" s="3"/>
      <c r="I45" s="3"/>
      <c r="J45" s="3"/>
      <c r="K45" s="3"/>
      <c r="L45" s="3"/>
      <c r="M45" s="3"/>
      <c r="N45" s="3"/>
      <c r="O45" s="3"/>
      <c r="P45" s="3"/>
      <c r="Q45" s="3"/>
      <c r="R45" s="3"/>
      <c r="S45" s="3"/>
      <c r="T45" s="3"/>
      <c r="U45" s="3"/>
      <c r="V45" s="3"/>
      <c r="W45" s="3"/>
      <c r="X45" s="6"/>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v>0</v>
      </c>
      <c r="BM45" s="3">
        <v>0</v>
      </c>
      <c r="BN45" s="3">
        <v>0</v>
      </c>
      <c r="BO45" s="3">
        <v>0</v>
      </c>
      <c r="BP45" s="3">
        <v>0</v>
      </c>
      <c r="BQ45" s="3">
        <v>0</v>
      </c>
      <c r="BR45" s="3">
        <v>147399000</v>
      </c>
      <c r="BS45" s="3">
        <v>147399000</v>
      </c>
      <c r="BT45" s="3"/>
      <c r="BU45" s="3"/>
      <c r="BV45" s="3"/>
      <c r="BW45" s="3"/>
      <c r="BX45" s="3"/>
      <c r="BY45" s="3"/>
      <c r="BZ45" s="3"/>
      <c r="CA45" s="3"/>
      <c r="CB45" s="3"/>
      <c r="CC45" s="3"/>
      <c r="CD45" s="3"/>
      <c r="CE45" s="6"/>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6"/>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6"/>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row>
    <row r="46" spans="1:239" x14ac:dyDescent="0.25">
      <c r="A46" t="s">
        <v>1243</v>
      </c>
      <c r="B46" t="s">
        <v>1244</v>
      </c>
      <c r="C46" t="s">
        <v>556</v>
      </c>
      <c r="D46" t="s">
        <v>1262</v>
      </c>
      <c r="E46" t="s">
        <v>217</v>
      </c>
      <c r="F46" t="s">
        <v>1263</v>
      </c>
      <c r="H46" s="3"/>
      <c r="I46" s="3"/>
      <c r="J46" s="3"/>
      <c r="K46" s="3"/>
      <c r="L46" s="3"/>
      <c r="M46" s="3"/>
      <c r="N46" s="3"/>
      <c r="O46" s="3"/>
      <c r="P46" s="3"/>
      <c r="Q46" s="3"/>
      <c r="R46" s="3"/>
      <c r="S46" s="3"/>
      <c r="T46" s="3"/>
      <c r="U46" s="3"/>
      <c r="V46" s="3"/>
      <c r="W46" s="3"/>
      <c r="X46" s="6"/>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v>0</v>
      </c>
      <c r="BQ46" s="3">
        <v>0</v>
      </c>
      <c r="BR46" s="3">
        <v>50000000</v>
      </c>
      <c r="BS46" s="3">
        <v>50000000</v>
      </c>
      <c r="BT46" s="3"/>
      <c r="BU46" s="3"/>
      <c r="BV46" s="3"/>
      <c r="BW46" s="3"/>
      <c r="BX46" s="3"/>
      <c r="BY46" s="3"/>
      <c r="BZ46" s="3"/>
      <c r="CA46" s="3"/>
      <c r="CB46" s="3"/>
      <c r="CC46" s="3"/>
      <c r="CD46" s="3"/>
      <c r="CE46" s="6"/>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6"/>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6"/>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row>
    <row r="47" spans="1:239" x14ac:dyDescent="0.25">
      <c r="A47" t="s">
        <v>1243</v>
      </c>
      <c r="B47" t="s">
        <v>1244</v>
      </c>
      <c r="C47" t="s">
        <v>557</v>
      </c>
      <c r="D47" t="s">
        <v>1264</v>
      </c>
      <c r="E47" t="s">
        <v>201</v>
      </c>
      <c r="F47" t="s">
        <v>202</v>
      </c>
      <c r="G47" t="s">
        <v>203</v>
      </c>
      <c r="H47" s="3">
        <v>780713000</v>
      </c>
      <c r="I47" s="3">
        <v>275664000</v>
      </c>
      <c r="J47" s="3">
        <v>0</v>
      </c>
      <c r="K47" s="3">
        <v>1056377000</v>
      </c>
      <c r="L47" s="3">
        <v>780713000</v>
      </c>
      <c r="M47" s="3">
        <v>275664000</v>
      </c>
      <c r="N47" s="3">
        <v>2000000</v>
      </c>
      <c r="O47" s="3">
        <v>1058377000</v>
      </c>
      <c r="P47" s="3"/>
      <c r="Q47" s="3"/>
      <c r="R47" s="3"/>
      <c r="S47" s="3"/>
      <c r="T47" s="3"/>
      <c r="U47" s="3"/>
      <c r="V47" s="3"/>
      <c r="W47" s="3"/>
      <c r="X47" s="6"/>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v>803890000</v>
      </c>
      <c r="BM47" s="3">
        <v>363815000</v>
      </c>
      <c r="BN47" s="3">
        <v>0</v>
      </c>
      <c r="BO47" s="3">
        <v>1167705000</v>
      </c>
      <c r="BP47" s="3">
        <v>871619000</v>
      </c>
      <c r="BQ47" s="3">
        <v>413618000</v>
      </c>
      <c r="BR47" s="3">
        <v>100000000</v>
      </c>
      <c r="BS47" s="3">
        <v>1385237000</v>
      </c>
      <c r="BT47" s="3"/>
      <c r="BU47" s="3"/>
      <c r="BV47" s="3"/>
      <c r="BW47" s="3"/>
      <c r="BX47" s="3"/>
      <c r="BY47" s="3"/>
      <c r="BZ47" s="3"/>
      <c r="CA47" s="3"/>
      <c r="CB47" s="3"/>
      <c r="CC47" s="3"/>
      <c r="CD47" s="3"/>
      <c r="CE47" s="6"/>
      <c r="CF47" s="3"/>
      <c r="CG47" s="3"/>
      <c r="CH47" s="3"/>
      <c r="CI47" s="3"/>
      <c r="CJ47" s="3"/>
      <c r="CK47" s="3"/>
      <c r="CL47" s="3"/>
      <c r="CM47" s="3"/>
      <c r="CN47" s="3">
        <v>796640000</v>
      </c>
      <c r="CO47" s="3">
        <v>413618000</v>
      </c>
      <c r="CP47" s="3">
        <v>0</v>
      </c>
      <c r="CQ47" s="3">
        <v>1210258000</v>
      </c>
      <c r="CR47" s="3">
        <v>841064000</v>
      </c>
      <c r="CS47" s="3">
        <v>558692000</v>
      </c>
      <c r="CT47" s="3">
        <v>71092000</v>
      </c>
      <c r="CU47" s="3">
        <v>1470848000</v>
      </c>
      <c r="CV47" s="3"/>
      <c r="CW47" s="3"/>
      <c r="CX47" s="3"/>
      <c r="CY47" s="3"/>
      <c r="CZ47" s="3"/>
      <c r="DA47" s="3"/>
      <c r="DB47" s="3"/>
      <c r="DC47" s="3"/>
      <c r="DD47" s="3"/>
      <c r="DE47" s="3"/>
      <c r="DF47" s="3"/>
      <c r="DG47" s="3"/>
      <c r="DH47" s="3"/>
      <c r="DI47" s="3"/>
      <c r="DJ47" s="3"/>
      <c r="DK47" s="3"/>
      <c r="DL47" s="3"/>
      <c r="DM47" s="3"/>
      <c r="DN47" s="3"/>
      <c r="DO47" s="3"/>
      <c r="DP47" s="3">
        <v>1173478000</v>
      </c>
      <c r="DQ47" s="3">
        <v>544336000</v>
      </c>
      <c r="DR47" s="3">
        <v>0</v>
      </c>
      <c r="DS47" s="3">
        <v>1717814000</v>
      </c>
      <c r="DT47" s="3">
        <v>1203928000</v>
      </c>
      <c r="DU47" s="3">
        <v>696452000</v>
      </c>
      <c r="DV47" s="3">
        <v>0</v>
      </c>
      <c r="DW47" s="3">
        <v>1900380000</v>
      </c>
      <c r="DX47" s="3"/>
      <c r="DY47" s="3"/>
      <c r="DZ47" s="3"/>
      <c r="EA47" s="3"/>
      <c r="EB47" s="3"/>
      <c r="EC47" s="3"/>
      <c r="ED47" s="3"/>
      <c r="EE47" s="3"/>
      <c r="EF47" s="3"/>
      <c r="EG47" s="3"/>
      <c r="EH47" s="3"/>
      <c r="EI47" s="3"/>
      <c r="EJ47" s="3"/>
      <c r="EK47" s="3"/>
      <c r="EL47" s="3"/>
      <c r="EM47" s="3"/>
      <c r="EN47" s="3"/>
      <c r="EO47" s="3"/>
      <c r="EP47" s="3"/>
      <c r="EQ47" s="3"/>
      <c r="ER47" s="3">
        <v>1249727000</v>
      </c>
      <c r="ES47" s="3">
        <v>713767000</v>
      </c>
      <c r="ET47" s="3">
        <v>760474000</v>
      </c>
      <c r="EU47" s="3">
        <v>2723968000</v>
      </c>
      <c r="EV47" s="3">
        <v>1615025000</v>
      </c>
      <c r="EW47" s="3">
        <v>713767000</v>
      </c>
      <c r="EX47" s="3">
        <v>760474000</v>
      </c>
      <c r="EY47" s="3">
        <v>3089266000</v>
      </c>
      <c r="EZ47" s="3"/>
      <c r="FA47" s="3"/>
      <c r="FB47" s="3"/>
      <c r="FC47" s="3"/>
      <c r="FD47" s="3"/>
      <c r="FE47" s="3"/>
      <c r="FF47" s="3"/>
      <c r="FG47" s="3"/>
      <c r="FH47" s="6"/>
      <c r="FI47" s="3"/>
      <c r="FJ47" s="3"/>
      <c r="FK47" s="3"/>
      <c r="FL47" s="3"/>
      <c r="FM47" s="3"/>
      <c r="FN47" s="3"/>
      <c r="FO47" s="3"/>
      <c r="FP47" s="3"/>
      <c r="FQ47" s="3"/>
      <c r="FR47" s="3"/>
      <c r="FS47" s="3"/>
      <c r="FT47" s="3">
        <v>1278851000</v>
      </c>
      <c r="FU47" s="3">
        <v>908540000</v>
      </c>
      <c r="FV47" s="3">
        <v>257480000</v>
      </c>
      <c r="FW47" s="3">
        <v>2444871000</v>
      </c>
      <c r="FX47" s="3">
        <v>1544149000</v>
      </c>
      <c r="FY47" s="3">
        <v>1008540000</v>
      </c>
      <c r="FZ47" s="3">
        <v>257480000</v>
      </c>
      <c r="GA47" s="3">
        <v>2810169000</v>
      </c>
      <c r="GB47" s="3"/>
      <c r="GC47" s="3"/>
      <c r="GD47" s="3"/>
      <c r="GE47" s="3"/>
      <c r="GF47" s="3"/>
      <c r="GG47" s="3"/>
      <c r="GH47" s="3"/>
      <c r="GI47" s="3"/>
      <c r="GJ47" s="3"/>
      <c r="GK47" s="3"/>
      <c r="GL47" s="3"/>
      <c r="GM47" s="3"/>
      <c r="GN47" s="3"/>
      <c r="GO47" s="3"/>
      <c r="GP47" s="3"/>
      <c r="GQ47" s="3"/>
      <c r="GR47" s="3"/>
      <c r="GS47" s="6"/>
      <c r="GT47" s="3"/>
      <c r="GU47" s="3"/>
      <c r="GV47" s="3">
        <v>1450856000</v>
      </c>
      <c r="GW47" s="3">
        <v>1720809000</v>
      </c>
      <c r="GX47" s="3">
        <v>472418000</v>
      </c>
      <c r="GY47" s="3">
        <v>3644083000</v>
      </c>
      <c r="GZ47" s="3">
        <v>1450856000</v>
      </c>
      <c r="HA47" s="3">
        <v>1720809000</v>
      </c>
      <c r="HB47" s="3">
        <v>472418000</v>
      </c>
      <c r="HC47" s="3">
        <v>3644083000</v>
      </c>
      <c r="HD47" s="3"/>
      <c r="HE47" s="3"/>
      <c r="HF47" s="3"/>
      <c r="HG47" s="3"/>
      <c r="HH47" s="3"/>
      <c r="HI47" s="3"/>
      <c r="HJ47" s="3"/>
      <c r="HK47" s="3"/>
      <c r="HL47" s="3"/>
      <c r="HM47" s="3"/>
      <c r="HN47" s="3"/>
      <c r="HO47" s="3"/>
      <c r="HP47" s="3"/>
      <c r="HQ47" s="3"/>
      <c r="HR47" s="3"/>
      <c r="HS47" s="3"/>
      <c r="HT47" s="3"/>
      <c r="HU47" s="3"/>
      <c r="HV47" s="3"/>
      <c r="HW47" s="3"/>
      <c r="HX47" s="3">
        <v>1590519000</v>
      </c>
      <c r="HY47" s="3">
        <v>1765362000</v>
      </c>
      <c r="HZ47" s="3">
        <v>149942000</v>
      </c>
      <c r="IA47" s="3">
        <v>3505823000</v>
      </c>
      <c r="IB47" s="3">
        <v>1735479000</v>
      </c>
      <c r="IC47" s="3">
        <v>1765362000</v>
      </c>
      <c r="ID47" s="3">
        <v>149942000</v>
      </c>
      <c r="IE47" s="3">
        <v>3650783000</v>
      </c>
    </row>
    <row r="48" spans="1:239" x14ac:dyDescent="0.25">
      <c r="A48" t="s">
        <v>1243</v>
      </c>
      <c r="B48" t="s">
        <v>1244</v>
      </c>
      <c r="C48" t="s">
        <v>557</v>
      </c>
      <c r="D48" t="s">
        <v>1264</v>
      </c>
      <c r="E48" t="s">
        <v>201</v>
      </c>
      <c r="F48" t="s">
        <v>204</v>
      </c>
      <c r="G48" t="s">
        <v>205</v>
      </c>
      <c r="H48" s="3">
        <v>179930000</v>
      </c>
      <c r="I48" s="3">
        <v>0</v>
      </c>
      <c r="J48" s="3">
        <v>0</v>
      </c>
      <c r="K48" s="3">
        <v>179930000</v>
      </c>
      <c r="L48" s="3">
        <v>179930000</v>
      </c>
      <c r="M48" s="3">
        <v>0</v>
      </c>
      <c r="N48" s="3">
        <v>0</v>
      </c>
      <c r="O48" s="3">
        <v>179930000</v>
      </c>
      <c r="P48" s="3"/>
      <c r="Q48" s="3"/>
      <c r="R48" s="3"/>
      <c r="S48" s="3"/>
      <c r="T48" s="3"/>
      <c r="U48" s="3"/>
      <c r="V48" s="3"/>
      <c r="W48" s="3"/>
      <c r="X48" s="6"/>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v>324299000</v>
      </c>
      <c r="BM48" s="3">
        <v>0</v>
      </c>
      <c r="BN48" s="3">
        <v>0</v>
      </c>
      <c r="BO48" s="3">
        <v>324299000</v>
      </c>
      <c r="BP48" s="3">
        <v>324299000</v>
      </c>
      <c r="BQ48" s="3">
        <v>0</v>
      </c>
      <c r="BR48" s="3">
        <v>0</v>
      </c>
      <c r="BS48" s="3">
        <v>324299000</v>
      </c>
      <c r="BT48" s="3"/>
      <c r="BU48" s="3"/>
      <c r="BV48" s="3"/>
      <c r="BW48" s="3"/>
      <c r="BX48" s="3"/>
      <c r="BY48" s="3"/>
      <c r="BZ48" s="3"/>
      <c r="CA48" s="3"/>
      <c r="CB48" s="3"/>
      <c r="CC48" s="3"/>
      <c r="CD48" s="3"/>
      <c r="CE48" s="6"/>
      <c r="CF48" s="3"/>
      <c r="CG48" s="3"/>
      <c r="CH48" s="3"/>
      <c r="CI48" s="3"/>
      <c r="CJ48" s="3"/>
      <c r="CK48" s="3"/>
      <c r="CL48" s="3"/>
      <c r="CM48" s="3"/>
      <c r="CN48" s="3">
        <v>528425000</v>
      </c>
      <c r="CO48" s="3">
        <v>0</v>
      </c>
      <c r="CP48" s="3">
        <v>0</v>
      </c>
      <c r="CQ48" s="3">
        <v>528425000</v>
      </c>
      <c r="CR48" s="3">
        <v>528425000</v>
      </c>
      <c r="CS48" s="3">
        <v>0</v>
      </c>
      <c r="CT48" s="3">
        <v>0</v>
      </c>
      <c r="CU48" s="3">
        <v>528425000</v>
      </c>
      <c r="CV48" s="3"/>
      <c r="CW48" s="3"/>
      <c r="CX48" s="3"/>
      <c r="CY48" s="3"/>
      <c r="CZ48" s="3"/>
      <c r="DA48" s="3"/>
      <c r="DB48" s="3"/>
      <c r="DC48" s="3"/>
      <c r="DD48" s="3"/>
      <c r="DE48" s="3"/>
      <c r="DF48" s="3"/>
      <c r="DG48" s="3"/>
      <c r="DH48" s="3"/>
      <c r="DI48" s="3"/>
      <c r="DJ48" s="3"/>
      <c r="DK48" s="3"/>
      <c r="DL48" s="3"/>
      <c r="DM48" s="3"/>
      <c r="DN48" s="3"/>
      <c r="DO48" s="3"/>
      <c r="DP48" s="3">
        <v>486083000</v>
      </c>
      <c r="DQ48" s="3">
        <v>0</v>
      </c>
      <c r="DR48" s="3">
        <v>0</v>
      </c>
      <c r="DS48" s="3">
        <v>486083000</v>
      </c>
      <c r="DT48" s="3">
        <v>486083000</v>
      </c>
      <c r="DU48" s="3">
        <v>0</v>
      </c>
      <c r="DV48" s="3">
        <v>0</v>
      </c>
      <c r="DW48" s="3">
        <v>486083000</v>
      </c>
      <c r="DX48" s="3"/>
      <c r="DY48" s="3"/>
      <c r="DZ48" s="3"/>
      <c r="EA48" s="3"/>
      <c r="EB48" s="3"/>
      <c r="EC48" s="3"/>
      <c r="ED48" s="3"/>
      <c r="EE48" s="3"/>
      <c r="EF48" s="3"/>
      <c r="EG48" s="3"/>
      <c r="EH48" s="3"/>
      <c r="EI48" s="3"/>
      <c r="EJ48" s="3"/>
      <c r="EK48" s="3"/>
      <c r="EL48" s="3"/>
      <c r="EM48" s="3"/>
      <c r="EN48" s="3"/>
      <c r="EO48" s="3"/>
      <c r="EP48" s="3"/>
      <c r="EQ48" s="3"/>
      <c r="ER48" s="3">
        <v>449155000</v>
      </c>
      <c r="ES48" s="3">
        <v>0</v>
      </c>
      <c r="ET48" s="3">
        <v>0</v>
      </c>
      <c r="EU48" s="3">
        <v>449155000</v>
      </c>
      <c r="EV48" s="3">
        <v>449155000</v>
      </c>
      <c r="EW48" s="3">
        <v>0</v>
      </c>
      <c r="EX48" s="3">
        <v>0</v>
      </c>
      <c r="EY48" s="3">
        <v>449155000</v>
      </c>
      <c r="EZ48" s="3"/>
      <c r="FA48" s="3"/>
      <c r="FB48" s="3"/>
      <c r="FC48" s="3"/>
      <c r="FD48" s="3"/>
      <c r="FE48" s="3"/>
      <c r="FF48" s="3"/>
      <c r="FG48" s="3"/>
      <c r="FH48" s="6"/>
      <c r="FI48" s="3"/>
      <c r="FJ48" s="3"/>
      <c r="FK48" s="3"/>
      <c r="FL48" s="3"/>
      <c r="FM48" s="3"/>
      <c r="FN48" s="3"/>
      <c r="FO48" s="3"/>
      <c r="FP48" s="3"/>
      <c r="FQ48" s="3"/>
      <c r="FR48" s="3"/>
      <c r="FS48" s="3"/>
      <c r="FT48" s="3">
        <v>537975000</v>
      </c>
      <c r="FU48" s="3">
        <v>0</v>
      </c>
      <c r="FV48" s="3">
        <v>0</v>
      </c>
      <c r="FW48" s="3">
        <v>537975000</v>
      </c>
      <c r="FX48" s="3">
        <v>537975000</v>
      </c>
      <c r="FY48" s="3">
        <v>0</v>
      </c>
      <c r="FZ48" s="3">
        <v>0</v>
      </c>
      <c r="GA48" s="3">
        <v>537975000</v>
      </c>
      <c r="GB48" s="3"/>
      <c r="GC48" s="3"/>
      <c r="GD48" s="3"/>
      <c r="GE48" s="3"/>
      <c r="GF48" s="3"/>
      <c r="GG48" s="3"/>
      <c r="GH48" s="3"/>
      <c r="GI48" s="3"/>
      <c r="GJ48" s="3"/>
      <c r="GK48" s="3"/>
      <c r="GL48" s="3"/>
      <c r="GM48" s="3"/>
      <c r="GN48" s="3"/>
      <c r="GO48" s="3"/>
      <c r="GP48" s="3"/>
      <c r="GQ48" s="3"/>
      <c r="GR48" s="3"/>
      <c r="GS48" s="6"/>
      <c r="GT48" s="3"/>
      <c r="GU48" s="3"/>
      <c r="GV48" s="3">
        <v>508391000</v>
      </c>
      <c r="GW48" s="3">
        <v>0</v>
      </c>
      <c r="GX48" s="3">
        <v>0</v>
      </c>
      <c r="GY48" s="3">
        <v>508391000</v>
      </c>
      <c r="GZ48" s="3">
        <v>508391000</v>
      </c>
      <c r="HA48" s="3">
        <v>0</v>
      </c>
      <c r="HB48" s="3">
        <v>0</v>
      </c>
      <c r="HC48" s="3">
        <v>508391000</v>
      </c>
      <c r="HD48" s="3"/>
      <c r="HE48" s="3"/>
      <c r="HF48" s="3"/>
      <c r="HG48" s="3"/>
      <c r="HH48" s="3"/>
      <c r="HI48" s="3"/>
      <c r="HJ48" s="3"/>
      <c r="HK48" s="3"/>
      <c r="HL48" s="3"/>
      <c r="HM48" s="3"/>
      <c r="HN48" s="3"/>
      <c r="HO48" s="3"/>
      <c r="HP48" s="3"/>
      <c r="HQ48" s="3"/>
      <c r="HR48" s="3"/>
      <c r="HS48" s="3"/>
      <c r="HT48" s="3"/>
      <c r="HU48" s="3"/>
      <c r="HV48" s="3"/>
      <c r="HW48" s="3"/>
      <c r="HX48" s="3">
        <v>519135000</v>
      </c>
      <c r="HY48" s="3">
        <v>0</v>
      </c>
      <c r="HZ48" s="3">
        <v>0</v>
      </c>
      <c r="IA48" s="3">
        <v>519135000</v>
      </c>
      <c r="IB48" s="3">
        <v>677838000</v>
      </c>
      <c r="IC48" s="3">
        <v>0</v>
      </c>
      <c r="ID48" s="3">
        <v>0</v>
      </c>
      <c r="IE48" s="3">
        <v>677838000</v>
      </c>
    </row>
    <row r="49" spans="1:239" x14ac:dyDescent="0.25">
      <c r="A49" t="s">
        <v>1243</v>
      </c>
      <c r="B49" t="s">
        <v>1244</v>
      </c>
      <c r="C49" t="s">
        <v>557</v>
      </c>
      <c r="D49" t="s">
        <v>1264</v>
      </c>
      <c r="E49" t="s">
        <v>217</v>
      </c>
      <c r="F49" t="s">
        <v>218</v>
      </c>
      <c r="G49" t="s">
        <v>1288</v>
      </c>
      <c r="H49" s="3">
        <v>591680000</v>
      </c>
      <c r="I49" s="3">
        <v>177622000</v>
      </c>
      <c r="J49" s="3">
        <v>0</v>
      </c>
      <c r="K49" s="3">
        <v>769302000</v>
      </c>
      <c r="L49" s="3">
        <v>591680000</v>
      </c>
      <c r="M49" s="3">
        <v>177622000</v>
      </c>
      <c r="N49" s="3">
        <v>0</v>
      </c>
      <c r="O49" s="3">
        <v>769302000</v>
      </c>
      <c r="P49" s="3"/>
      <c r="Q49" s="3"/>
      <c r="R49" s="3"/>
      <c r="S49" s="3"/>
      <c r="T49" s="3"/>
      <c r="U49" s="3"/>
      <c r="V49" s="3"/>
      <c r="W49" s="3"/>
      <c r="X49" s="6"/>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v>706234000</v>
      </c>
      <c r="BM49" s="3">
        <v>186254000</v>
      </c>
      <c r="BN49" s="3">
        <v>414290000</v>
      </c>
      <c r="BO49" s="3">
        <v>1306778000</v>
      </c>
      <c r="BP49" s="3">
        <v>706234000</v>
      </c>
      <c r="BQ49" s="3">
        <v>186254000</v>
      </c>
      <c r="BR49" s="3">
        <v>485397000</v>
      </c>
      <c r="BS49" s="3">
        <v>1377885000</v>
      </c>
      <c r="BT49" s="3"/>
      <c r="BU49" s="3"/>
      <c r="BV49" s="3"/>
      <c r="BW49" s="3"/>
      <c r="BX49" s="3"/>
      <c r="BY49" s="3"/>
      <c r="BZ49" s="3"/>
      <c r="CA49" s="3"/>
      <c r="CB49" s="3"/>
      <c r="CC49" s="3"/>
      <c r="CD49" s="3"/>
      <c r="CE49" s="6"/>
      <c r="CF49" s="3"/>
      <c r="CG49" s="3"/>
      <c r="CH49" s="3"/>
      <c r="CI49" s="3"/>
      <c r="CJ49" s="3"/>
      <c r="CK49" s="3"/>
      <c r="CL49" s="3"/>
      <c r="CM49" s="3"/>
      <c r="CN49" s="3">
        <v>704094000</v>
      </c>
      <c r="CO49" s="3">
        <v>186254000</v>
      </c>
      <c r="CP49" s="3">
        <v>514290000</v>
      </c>
      <c r="CQ49" s="3">
        <v>1404638000</v>
      </c>
      <c r="CR49" s="3">
        <v>704094000</v>
      </c>
      <c r="CS49" s="3">
        <v>186254000</v>
      </c>
      <c r="CT49" s="3">
        <v>553700000</v>
      </c>
      <c r="CU49" s="3">
        <v>1444048000</v>
      </c>
      <c r="CV49" s="3"/>
      <c r="CW49" s="3"/>
      <c r="CX49" s="3"/>
      <c r="CY49" s="3"/>
      <c r="CZ49" s="3"/>
      <c r="DA49" s="3"/>
      <c r="DB49" s="3"/>
      <c r="DC49" s="3"/>
      <c r="DD49" s="3"/>
      <c r="DE49" s="3"/>
      <c r="DF49" s="3"/>
      <c r="DG49" s="3"/>
      <c r="DH49" s="3"/>
      <c r="DI49" s="3"/>
      <c r="DJ49" s="3"/>
      <c r="DK49" s="3"/>
      <c r="DL49" s="3"/>
      <c r="DM49" s="3"/>
      <c r="DN49" s="3"/>
      <c r="DO49" s="3"/>
      <c r="DP49" s="3">
        <v>384564000</v>
      </c>
      <c r="DQ49" s="3">
        <v>200610000</v>
      </c>
      <c r="DR49" s="3">
        <v>514290000</v>
      </c>
      <c r="DS49" s="3">
        <v>1099464000</v>
      </c>
      <c r="DT49" s="3">
        <v>384564000</v>
      </c>
      <c r="DU49" s="3">
        <v>200610000</v>
      </c>
      <c r="DV49" s="3">
        <v>532290000</v>
      </c>
      <c r="DW49" s="3">
        <v>1117464000</v>
      </c>
      <c r="DX49" s="3"/>
      <c r="DY49" s="3"/>
      <c r="DZ49" s="3"/>
      <c r="EA49" s="3"/>
      <c r="EB49" s="3"/>
      <c r="EC49" s="3"/>
      <c r="ED49" s="3"/>
      <c r="EE49" s="3"/>
      <c r="EF49" s="3"/>
      <c r="EG49" s="3"/>
      <c r="EH49" s="3"/>
      <c r="EI49" s="3"/>
      <c r="EJ49" s="3"/>
      <c r="EK49" s="3"/>
      <c r="EL49" s="3"/>
      <c r="EM49" s="3"/>
      <c r="EN49" s="3"/>
      <c r="EO49" s="3"/>
      <c r="EP49" s="3"/>
      <c r="EQ49" s="3"/>
      <c r="ER49" s="3">
        <v>435210000</v>
      </c>
      <c r="ES49" s="3">
        <v>205592000</v>
      </c>
      <c r="ET49" s="3">
        <v>2678121000</v>
      </c>
      <c r="EU49" s="3">
        <v>3318923000</v>
      </c>
      <c r="EV49" s="3">
        <v>435210000</v>
      </c>
      <c r="EW49" s="3">
        <v>205592000</v>
      </c>
      <c r="EX49" s="3">
        <v>2678121000</v>
      </c>
      <c r="EY49" s="3">
        <v>3318923000</v>
      </c>
      <c r="EZ49" s="3"/>
      <c r="FA49" s="3"/>
      <c r="FB49" s="3"/>
      <c r="FC49" s="3"/>
      <c r="FD49" s="3"/>
      <c r="FE49" s="3"/>
      <c r="FF49" s="3"/>
      <c r="FG49" s="3"/>
      <c r="FH49" s="6"/>
      <c r="FI49" s="3"/>
      <c r="FJ49" s="3"/>
      <c r="FK49" s="3"/>
      <c r="FL49" s="3"/>
      <c r="FM49" s="3"/>
      <c r="FN49" s="3"/>
      <c r="FO49" s="3"/>
      <c r="FP49" s="3"/>
      <c r="FQ49" s="3"/>
      <c r="FR49" s="3"/>
      <c r="FS49" s="3"/>
      <c r="FT49" s="3">
        <v>442715000</v>
      </c>
      <c r="FU49" s="3">
        <v>329531000</v>
      </c>
      <c r="FV49" s="3">
        <v>54900000</v>
      </c>
      <c r="FW49" s="3">
        <v>827146000</v>
      </c>
      <c r="FX49" s="3">
        <v>442715000</v>
      </c>
      <c r="FY49" s="3">
        <v>329531000</v>
      </c>
      <c r="FZ49" s="3">
        <v>54900000</v>
      </c>
      <c r="GA49" s="3">
        <v>827146000</v>
      </c>
      <c r="GB49" s="3"/>
      <c r="GC49" s="3"/>
      <c r="GD49" s="3"/>
      <c r="GE49" s="3"/>
      <c r="GF49" s="3"/>
      <c r="GG49" s="3"/>
      <c r="GH49" s="3"/>
      <c r="GI49" s="3"/>
      <c r="GJ49" s="3"/>
      <c r="GK49" s="3"/>
      <c r="GL49" s="3"/>
      <c r="GM49" s="3"/>
      <c r="GN49" s="3"/>
      <c r="GO49" s="3"/>
      <c r="GP49" s="3"/>
      <c r="GQ49" s="3"/>
      <c r="GR49" s="3"/>
      <c r="GS49" s="6"/>
      <c r="GT49" s="3"/>
      <c r="GU49" s="3"/>
      <c r="GV49" s="3">
        <v>469549000</v>
      </c>
      <c r="GW49" s="3">
        <v>412734000</v>
      </c>
      <c r="GX49" s="3">
        <v>54492000</v>
      </c>
      <c r="GY49" s="3">
        <v>936775000</v>
      </c>
      <c r="GZ49" s="3">
        <v>469549000</v>
      </c>
      <c r="HA49" s="3">
        <v>412734000</v>
      </c>
      <c r="HB49" s="3">
        <v>54492000</v>
      </c>
      <c r="HC49" s="3">
        <v>936775000</v>
      </c>
      <c r="HD49" s="3"/>
      <c r="HE49" s="3"/>
      <c r="HF49" s="3"/>
      <c r="HG49" s="3"/>
      <c r="HH49" s="3"/>
      <c r="HI49" s="3"/>
      <c r="HJ49" s="3"/>
      <c r="HK49" s="3"/>
      <c r="HL49" s="3"/>
      <c r="HM49" s="3"/>
      <c r="HN49" s="3"/>
      <c r="HO49" s="3"/>
      <c r="HP49" s="3"/>
      <c r="HQ49" s="3"/>
      <c r="HR49" s="3"/>
      <c r="HS49" s="3"/>
      <c r="HT49" s="3"/>
      <c r="HU49" s="3"/>
      <c r="HV49" s="3"/>
      <c r="HW49" s="3"/>
      <c r="HX49" s="3">
        <v>538095000</v>
      </c>
      <c r="HY49" s="3">
        <v>660825000</v>
      </c>
      <c r="HZ49" s="3">
        <v>422213000</v>
      </c>
      <c r="IA49" s="3">
        <v>1621133000</v>
      </c>
      <c r="IB49" s="3">
        <v>538095000</v>
      </c>
      <c r="IC49" s="3">
        <v>660825000</v>
      </c>
      <c r="ID49" s="3">
        <v>422213000</v>
      </c>
      <c r="IE49" s="3">
        <v>1621133000</v>
      </c>
    </row>
    <row r="50" spans="1:239" x14ac:dyDescent="0.25">
      <c r="A50" t="s">
        <v>1243</v>
      </c>
      <c r="B50" t="s">
        <v>1244</v>
      </c>
      <c r="C50" t="s">
        <v>599</v>
      </c>
      <c r="D50" t="s">
        <v>1265</v>
      </c>
      <c r="E50" t="s">
        <v>201</v>
      </c>
      <c r="F50" t="s">
        <v>202</v>
      </c>
      <c r="G50" t="s">
        <v>203</v>
      </c>
      <c r="H50" s="3">
        <v>117200000</v>
      </c>
      <c r="I50" s="3">
        <v>31088000</v>
      </c>
      <c r="J50" s="3">
        <v>0</v>
      </c>
      <c r="K50" s="3">
        <v>148288000</v>
      </c>
      <c r="L50" s="3">
        <v>117200000</v>
      </c>
      <c r="M50" s="3">
        <v>31088000</v>
      </c>
      <c r="N50" s="3">
        <v>2000000</v>
      </c>
      <c r="O50" s="3">
        <v>150288000</v>
      </c>
      <c r="P50" s="3"/>
      <c r="Q50" s="3"/>
      <c r="R50" s="3"/>
      <c r="S50" s="3"/>
      <c r="T50" s="3"/>
      <c r="U50" s="3"/>
      <c r="V50" s="3"/>
      <c r="W50" s="3"/>
      <c r="X50" s="6"/>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v>159751000</v>
      </c>
      <c r="BM50" s="3">
        <v>32634000</v>
      </c>
      <c r="BN50" s="3">
        <v>0</v>
      </c>
      <c r="BO50" s="3">
        <v>192385000</v>
      </c>
      <c r="BP50" s="3">
        <v>221320000</v>
      </c>
      <c r="BQ50" s="3">
        <v>42796000</v>
      </c>
      <c r="BR50" s="3">
        <v>14944000</v>
      </c>
      <c r="BS50" s="3">
        <v>279060000</v>
      </c>
      <c r="BT50" s="3"/>
      <c r="BU50" s="3"/>
      <c r="BV50" s="3"/>
      <c r="BW50" s="3"/>
      <c r="BX50" s="3"/>
      <c r="BY50" s="3"/>
      <c r="BZ50" s="3"/>
      <c r="CA50" s="3"/>
      <c r="CB50" s="3"/>
      <c r="CC50" s="3"/>
      <c r="CD50" s="3"/>
      <c r="CE50" s="6"/>
      <c r="CF50" s="3"/>
      <c r="CG50" s="3"/>
      <c r="CH50" s="3"/>
      <c r="CI50" s="3"/>
      <c r="CJ50" s="3"/>
      <c r="CK50" s="3"/>
      <c r="CL50" s="3"/>
      <c r="CM50" s="3"/>
      <c r="CN50" s="3">
        <v>164269000</v>
      </c>
      <c r="CO50" s="3">
        <v>42796000</v>
      </c>
      <c r="CP50" s="3">
        <v>0</v>
      </c>
      <c r="CQ50" s="3">
        <v>207065000</v>
      </c>
      <c r="CR50" s="3">
        <v>186231000</v>
      </c>
      <c r="CS50" s="3">
        <v>84474000</v>
      </c>
      <c r="CT50" s="3">
        <v>26958000</v>
      </c>
      <c r="CU50" s="3">
        <v>297663000</v>
      </c>
      <c r="CV50" s="3"/>
      <c r="CW50" s="3"/>
      <c r="CX50" s="3"/>
      <c r="CY50" s="3"/>
      <c r="CZ50" s="3"/>
      <c r="DA50" s="3"/>
      <c r="DB50" s="3"/>
      <c r="DC50" s="3"/>
      <c r="DD50" s="3"/>
      <c r="DE50" s="3"/>
      <c r="DF50" s="3"/>
      <c r="DG50" s="3"/>
      <c r="DH50" s="3"/>
      <c r="DI50" s="3"/>
      <c r="DJ50" s="3"/>
      <c r="DK50" s="3"/>
      <c r="DL50" s="3"/>
      <c r="DM50" s="3"/>
      <c r="DN50" s="3"/>
      <c r="DO50" s="3"/>
      <c r="DP50" s="3">
        <v>176657000</v>
      </c>
      <c r="DQ50" s="3">
        <v>60054000</v>
      </c>
      <c r="DR50" s="3">
        <v>0</v>
      </c>
      <c r="DS50" s="3">
        <v>236711000</v>
      </c>
      <c r="DT50" s="3">
        <v>370108000</v>
      </c>
      <c r="DU50" s="3">
        <v>70872000</v>
      </c>
      <c r="DV50" s="3">
        <v>26883000</v>
      </c>
      <c r="DW50" s="3">
        <v>467863000</v>
      </c>
      <c r="DX50" s="3"/>
      <c r="DY50" s="3"/>
      <c r="DZ50" s="3"/>
      <c r="EA50" s="3"/>
      <c r="EB50" s="3"/>
      <c r="EC50" s="3"/>
      <c r="ED50" s="3"/>
      <c r="EE50" s="3"/>
      <c r="EF50" s="3"/>
      <c r="EG50" s="3"/>
      <c r="EH50" s="3"/>
      <c r="EI50" s="3"/>
      <c r="EJ50" s="3"/>
      <c r="EK50" s="3"/>
      <c r="EL50" s="3"/>
      <c r="EM50" s="3"/>
      <c r="EN50" s="3"/>
      <c r="EO50" s="3"/>
      <c r="EP50" s="3"/>
      <c r="EQ50" s="3"/>
      <c r="ER50" s="3">
        <v>181209000</v>
      </c>
      <c r="ES50" s="3">
        <v>73116000</v>
      </c>
      <c r="ET50" s="3">
        <v>205144000</v>
      </c>
      <c r="EU50" s="3">
        <v>459469000</v>
      </c>
      <c r="EV50" s="3">
        <v>372563000</v>
      </c>
      <c r="EW50" s="3">
        <v>89894000</v>
      </c>
      <c r="EX50" s="3">
        <v>205144000</v>
      </c>
      <c r="EY50" s="3">
        <v>667601000</v>
      </c>
      <c r="EZ50" s="3"/>
      <c r="FA50" s="3"/>
      <c r="FB50" s="3"/>
      <c r="FC50" s="3"/>
      <c r="FD50" s="3"/>
      <c r="FE50" s="3"/>
      <c r="FF50" s="3"/>
      <c r="FG50" s="3"/>
      <c r="FH50" s="6"/>
      <c r="FI50" s="3"/>
      <c r="FJ50" s="3"/>
      <c r="FK50" s="3"/>
      <c r="FL50" s="3"/>
      <c r="FM50" s="3"/>
      <c r="FN50" s="3"/>
      <c r="FO50" s="3"/>
      <c r="FP50" s="3"/>
      <c r="FQ50" s="3"/>
      <c r="FR50" s="3"/>
      <c r="FS50" s="3"/>
      <c r="FT50" s="3">
        <v>197765000</v>
      </c>
      <c r="FU50" s="3">
        <v>132125000</v>
      </c>
      <c r="FV50" s="3">
        <v>65194000</v>
      </c>
      <c r="FW50" s="3">
        <v>395084000</v>
      </c>
      <c r="FX50" s="3">
        <v>207734000</v>
      </c>
      <c r="FY50" s="3">
        <v>132125000</v>
      </c>
      <c r="FZ50" s="3">
        <v>65194000</v>
      </c>
      <c r="GA50" s="3">
        <v>405053000</v>
      </c>
      <c r="GB50" s="3"/>
      <c r="GC50" s="3"/>
      <c r="GD50" s="3"/>
      <c r="GE50" s="3"/>
      <c r="GF50" s="3"/>
      <c r="GG50" s="3"/>
      <c r="GH50" s="3"/>
      <c r="GI50" s="3"/>
      <c r="GJ50" s="3"/>
      <c r="GK50" s="3"/>
      <c r="GL50" s="3"/>
      <c r="GM50" s="3"/>
      <c r="GN50" s="3"/>
      <c r="GO50" s="3"/>
      <c r="GP50" s="3"/>
      <c r="GQ50" s="3"/>
      <c r="GR50" s="3"/>
      <c r="GS50" s="6"/>
      <c r="GT50" s="3"/>
      <c r="GU50" s="3"/>
      <c r="GV50" s="3">
        <v>236506000</v>
      </c>
      <c r="GW50" s="3">
        <v>150161000</v>
      </c>
      <c r="GX50" s="3">
        <v>171990000</v>
      </c>
      <c r="GY50" s="3">
        <v>558657000</v>
      </c>
      <c r="GZ50" s="3">
        <v>236506000</v>
      </c>
      <c r="HA50" s="3">
        <v>150161000</v>
      </c>
      <c r="HB50" s="3">
        <v>171990000</v>
      </c>
      <c r="HC50" s="3">
        <v>558657000</v>
      </c>
      <c r="HD50" s="3"/>
      <c r="HE50" s="3"/>
      <c r="HF50" s="3"/>
      <c r="HG50" s="3"/>
      <c r="HH50" s="3"/>
      <c r="HI50" s="3"/>
      <c r="HJ50" s="3"/>
      <c r="HK50" s="3"/>
      <c r="HL50" s="3"/>
      <c r="HM50" s="3"/>
      <c r="HN50" s="3"/>
      <c r="HO50" s="3"/>
      <c r="HP50" s="3"/>
      <c r="HQ50" s="3"/>
      <c r="HR50" s="3"/>
      <c r="HS50" s="3"/>
      <c r="HT50" s="3"/>
      <c r="HU50" s="3"/>
      <c r="HV50" s="3"/>
      <c r="HW50" s="3"/>
      <c r="HX50" s="3">
        <v>284781000</v>
      </c>
      <c r="HY50" s="3">
        <v>168466000</v>
      </c>
      <c r="HZ50" s="3">
        <v>50682000</v>
      </c>
      <c r="IA50" s="3">
        <v>503929000</v>
      </c>
      <c r="IB50" s="3">
        <v>364781000</v>
      </c>
      <c r="IC50" s="3">
        <v>168466000</v>
      </c>
      <c r="ID50" s="3">
        <v>50682000</v>
      </c>
      <c r="IE50" s="3">
        <v>583929000</v>
      </c>
    </row>
    <row r="51" spans="1:239" x14ac:dyDescent="0.25">
      <c r="A51" t="s">
        <v>1243</v>
      </c>
      <c r="B51" t="s">
        <v>1244</v>
      </c>
      <c r="C51" t="s">
        <v>599</v>
      </c>
      <c r="D51" t="s">
        <v>1265</v>
      </c>
      <c r="E51" t="s">
        <v>201</v>
      </c>
      <c r="F51" t="s">
        <v>204</v>
      </c>
      <c r="G51" t="s">
        <v>205</v>
      </c>
      <c r="H51" s="3">
        <v>85655000</v>
      </c>
      <c r="I51" s="3">
        <v>0</v>
      </c>
      <c r="J51" s="3">
        <v>0</v>
      </c>
      <c r="K51" s="3">
        <v>85655000</v>
      </c>
      <c r="L51" s="3">
        <v>85655000</v>
      </c>
      <c r="M51" s="3">
        <v>0</v>
      </c>
      <c r="N51" s="3">
        <v>0</v>
      </c>
      <c r="O51" s="3">
        <v>85655000</v>
      </c>
      <c r="P51" s="3"/>
      <c r="Q51" s="3"/>
      <c r="R51" s="3"/>
      <c r="S51" s="3"/>
      <c r="T51" s="3"/>
      <c r="U51" s="3"/>
      <c r="V51" s="3"/>
      <c r="W51" s="3"/>
      <c r="X51" s="6"/>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v>111651000</v>
      </c>
      <c r="BM51" s="3">
        <v>0</v>
      </c>
      <c r="BN51" s="3">
        <v>0</v>
      </c>
      <c r="BO51" s="3">
        <v>111651000</v>
      </c>
      <c r="BP51" s="3">
        <v>111651000</v>
      </c>
      <c r="BQ51" s="3">
        <v>0</v>
      </c>
      <c r="BR51" s="3">
        <v>0</v>
      </c>
      <c r="BS51" s="3">
        <v>111651000</v>
      </c>
      <c r="BT51" s="3"/>
      <c r="BU51" s="3"/>
      <c r="BV51" s="3"/>
      <c r="BW51" s="3"/>
      <c r="BX51" s="3"/>
      <c r="BY51" s="3"/>
      <c r="BZ51" s="3"/>
      <c r="CA51" s="3"/>
      <c r="CB51" s="3"/>
      <c r="CC51" s="3"/>
      <c r="CD51" s="3"/>
      <c r="CE51" s="6"/>
      <c r="CF51" s="3"/>
      <c r="CG51" s="3"/>
      <c r="CH51" s="3"/>
      <c r="CI51" s="3"/>
      <c r="CJ51" s="3"/>
      <c r="CK51" s="3"/>
      <c r="CL51" s="3"/>
      <c r="CM51" s="3"/>
      <c r="CN51" s="3">
        <v>35109000</v>
      </c>
      <c r="CO51" s="3">
        <v>0</v>
      </c>
      <c r="CP51" s="3">
        <v>0</v>
      </c>
      <c r="CQ51" s="3">
        <v>35109000</v>
      </c>
      <c r="CR51" s="3">
        <v>35109000</v>
      </c>
      <c r="CS51" s="3">
        <v>0</v>
      </c>
      <c r="CT51" s="3">
        <v>0</v>
      </c>
      <c r="CU51" s="3">
        <v>35109000</v>
      </c>
      <c r="CV51" s="3"/>
      <c r="CW51" s="3"/>
      <c r="CX51" s="3"/>
      <c r="CY51" s="3"/>
      <c r="CZ51" s="3"/>
      <c r="DA51" s="3"/>
      <c r="DB51" s="3"/>
      <c r="DC51" s="3"/>
      <c r="DD51" s="3"/>
      <c r="DE51" s="3"/>
      <c r="DF51" s="3"/>
      <c r="DG51" s="3"/>
      <c r="DH51" s="3"/>
      <c r="DI51" s="3"/>
      <c r="DJ51" s="3"/>
      <c r="DK51" s="3"/>
      <c r="DL51" s="3"/>
      <c r="DM51" s="3"/>
      <c r="DN51" s="3"/>
      <c r="DO51" s="3"/>
      <c r="DP51" s="3">
        <v>98608000</v>
      </c>
      <c r="DQ51" s="3">
        <v>0</v>
      </c>
      <c r="DR51" s="3">
        <v>0</v>
      </c>
      <c r="DS51" s="3">
        <v>98608000</v>
      </c>
      <c r="DT51" s="3">
        <v>98608000</v>
      </c>
      <c r="DU51" s="3">
        <v>0</v>
      </c>
      <c r="DV51" s="3">
        <v>0</v>
      </c>
      <c r="DW51" s="3">
        <v>98608000</v>
      </c>
      <c r="DX51" s="3"/>
      <c r="DY51" s="3"/>
      <c r="DZ51" s="3"/>
      <c r="EA51" s="3"/>
      <c r="EB51" s="3"/>
      <c r="EC51" s="3"/>
      <c r="ED51" s="3"/>
      <c r="EE51" s="3"/>
      <c r="EF51" s="3"/>
      <c r="EG51" s="3"/>
      <c r="EH51" s="3"/>
      <c r="EI51" s="3"/>
      <c r="EJ51" s="3"/>
      <c r="EK51" s="3"/>
      <c r="EL51" s="3"/>
      <c r="EM51" s="3"/>
      <c r="EN51" s="3"/>
      <c r="EO51" s="3"/>
      <c r="EP51" s="3"/>
      <c r="EQ51" s="3"/>
      <c r="ER51" s="3">
        <v>115693000</v>
      </c>
      <c r="ES51" s="3">
        <v>0</v>
      </c>
      <c r="ET51" s="3">
        <v>0</v>
      </c>
      <c r="EU51" s="3">
        <v>115693000</v>
      </c>
      <c r="EV51" s="3">
        <v>115693000</v>
      </c>
      <c r="EW51" s="3">
        <v>0</v>
      </c>
      <c r="EX51" s="3">
        <v>0</v>
      </c>
      <c r="EY51" s="3">
        <v>115693000</v>
      </c>
      <c r="EZ51" s="3"/>
      <c r="FA51" s="3"/>
      <c r="FB51" s="3"/>
      <c r="FC51" s="3"/>
      <c r="FD51" s="3"/>
      <c r="FE51" s="3"/>
      <c r="FF51" s="3"/>
      <c r="FG51" s="3"/>
      <c r="FH51" s="6"/>
      <c r="FI51" s="3"/>
      <c r="FJ51" s="3"/>
      <c r="FK51" s="3"/>
      <c r="FL51" s="3"/>
      <c r="FM51" s="3"/>
      <c r="FN51" s="3"/>
      <c r="FO51" s="3"/>
      <c r="FP51" s="3"/>
      <c r="FQ51" s="3"/>
      <c r="FR51" s="3"/>
      <c r="FS51" s="3"/>
      <c r="FT51" s="3">
        <v>72629000</v>
      </c>
      <c r="FU51" s="3">
        <v>0</v>
      </c>
      <c r="FV51" s="3">
        <v>0</v>
      </c>
      <c r="FW51" s="3">
        <v>72629000</v>
      </c>
      <c r="FX51" s="3">
        <v>88425000</v>
      </c>
      <c r="FY51" s="3">
        <v>0</v>
      </c>
      <c r="FZ51" s="3">
        <v>0</v>
      </c>
      <c r="GA51" s="3">
        <v>88425000</v>
      </c>
      <c r="GB51" s="3"/>
      <c r="GC51" s="3"/>
      <c r="GD51" s="3"/>
      <c r="GE51" s="3"/>
      <c r="GF51" s="3"/>
      <c r="GG51" s="3"/>
      <c r="GH51" s="3"/>
      <c r="GI51" s="3"/>
      <c r="GJ51" s="3"/>
      <c r="GK51" s="3"/>
      <c r="GL51" s="3"/>
      <c r="GM51" s="3"/>
      <c r="GN51" s="3"/>
      <c r="GO51" s="3"/>
      <c r="GP51" s="3"/>
      <c r="GQ51" s="3"/>
      <c r="GR51" s="3"/>
      <c r="GS51" s="6"/>
      <c r="GT51" s="3"/>
      <c r="GU51" s="3"/>
      <c r="GV51" s="3">
        <v>188259000</v>
      </c>
      <c r="GW51" s="3">
        <v>0</v>
      </c>
      <c r="GX51" s="3">
        <v>0</v>
      </c>
      <c r="GY51" s="3">
        <v>188259000</v>
      </c>
      <c r="GZ51" s="3">
        <v>188259000</v>
      </c>
      <c r="HA51" s="3">
        <v>0</v>
      </c>
      <c r="HB51" s="3">
        <v>0</v>
      </c>
      <c r="HC51" s="3">
        <v>188259000</v>
      </c>
      <c r="HD51" s="3"/>
      <c r="HE51" s="3"/>
      <c r="HF51" s="3"/>
      <c r="HG51" s="3"/>
      <c r="HH51" s="3"/>
      <c r="HI51" s="3"/>
      <c r="HJ51" s="3"/>
      <c r="HK51" s="3"/>
      <c r="HL51" s="3"/>
      <c r="HM51" s="3"/>
      <c r="HN51" s="3"/>
      <c r="HO51" s="3"/>
      <c r="HP51" s="3"/>
      <c r="HQ51" s="3"/>
      <c r="HR51" s="3"/>
      <c r="HS51" s="3"/>
      <c r="HT51" s="3"/>
      <c r="HU51" s="3"/>
      <c r="HV51" s="3"/>
      <c r="HW51" s="3"/>
      <c r="HX51" s="3">
        <v>217589000</v>
      </c>
      <c r="HY51" s="3">
        <v>0</v>
      </c>
      <c r="HZ51" s="3">
        <v>0</v>
      </c>
      <c r="IA51" s="3">
        <v>217589000</v>
      </c>
      <c r="IB51" s="3">
        <v>217589000</v>
      </c>
      <c r="IC51" s="3">
        <v>0</v>
      </c>
      <c r="ID51" s="3">
        <v>0</v>
      </c>
      <c r="IE51" s="3">
        <v>217589000</v>
      </c>
    </row>
    <row r="52" spans="1:239" x14ac:dyDescent="0.25">
      <c r="A52" t="s">
        <v>1243</v>
      </c>
      <c r="B52" t="s">
        <v>1244</v>
      </c>
      <c r="C52" t="s">
        <v>599</v>
      </c>
      <c r="D52" t="s">
        <v>1265</v>
      </c>
      <c r="E52" t="s">
        <v>217</v>
      </c>
      <c r="F52" t="s">
        <v>218</v>
      </c>
      <c r="G52" t="s">
        <v>1289</v>
      </c>
      <c r="H52" s="3">
        <v>108733000</v>
      </c>
      <c r="I52" s="3">
        <v>47118000</v>
      </c>
      <c r="J52" s="3">
        <v>193165000</v>
      </c>
      <c r="K52" s="3">
        <v>349016000</v>
      </c>
      <c r="L52" s="3">
        <v>108733000</v>
      </c>
      <c r="M52" s="3">
        <v>47118000</v>
      </c>
      <c r="N52" s="3">
        <v>193165000</v>
      </c>
      <c r="O52" s="3">
        <v>349016000</v>
      </c>
      <c r="P52" s="3"/>
      <c r="Q52" s="3"/>
      <c r="R52" s="3"/>
      <c r="S52" s="3"/>
      <c r="T52" s="3"/>
      <c r="U52" s="3"/>
      <c r="V52" s="3"/>
      <c r="W52" s="3"/>
      <c r="X52" s="6"/>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v>109798000</v>
      </c>
      <c r="BM52" s="3">
        <v>49596000</v>
      </c>
      <c r="BN52" s="3">
        <v>0</v>
      </c>
      <c r="BO52" s="3">
        <v>159394000</v>
      </c>
      <c r="BP52" s="3">
        <v>109798000</v>
      </c>
      <c r="BQ52" s="3">
        <v>49596000</v>
      </c>
      <c r="BR52" s="3">
        <v>27792000</v>
      </c>
      <c r="BS52" s="3">
        <v>187186000</v>
      </c>
      <c r="BT52" s="3"/>
      <c r="BU52" s="3"/>
      <c r="BV52" s="3"/>
      <c r="BW52" s="3"/>
      <c r="BX52" s="3"/>
      <c r="BY52" s="3"/>
      <c r="BZ52" s="3"/>
      <c r="CA52" s="3"/>
      <c r="CB52" s="3"/>
      <c r="CC52" s="3"/>
      <c r="CD52" s="3"/>
      <c r="CE52" s="6"/>
      <c r="CF52" s="3"/>
      <c r="CG52" s="3"/>
      <c r="CH52" s="3"/>
      <c r="CI52" s="3"/>
      <c r="CJ52" s="3"/>
      <c r="CK52" s="3"/>
      <c r="CL52" s="3"/>
      <c r="CM52" s="3"/>
      <c r="CN52" s="3">
        <v>133637000</v>
      </c>
      <c r="CO52" s="3">
        <v>49596000</v>
      </c>
      <c r="CP52" s="3">
        <v>0</v>
      </c>
      <c r="CQ52" s="3">
        <v>183233000</v>
      </c>
      <c r="CR52" s="3">
        <v>133637000</v>
      </c>
      <c r="CS52" s="3">
        <v>57487000</v>
      </c>
      <c r="CT52" s="3">
        <v>0</v>
      </c>
      <c r="CU52" s="3">
        <v>191124000</v>
      </c>
      <c r="CV52" s="3"/>
      <c r="CW52" s="3"/>
      <c r="CX52" s="3"/>
      <c r="CY52" s="3"/>
      <c r="CZ52" s="3"/>
      <c r="DA52" s="3"/>
      <c r="DB52" s="3"/>
      <c r="DC52" s="3"/>
      <c r="DD52" s="3"/>
      <c r="DE52" s="3"/>
      <c r="DF52" s="3"/>
      <c r="DG52" s="3"/>
      <c r="DH52" s="3"/>
      <c r="DI52" s="3"/>
      <c r="DJ52" s="3"/>
      <c r="DK52" s="3"/>
      <c r="DL52" s="3"/>
      <c r="DM52" s="3"/>
      <c r="DN52" s="3"/>
      <c r="DO52" s="3"/>
      <c r="DP52" s="3">
        <v>112522000</v>
      </c>
      <c r="DQ52" s="3">
        <v>81907000</v>
      </c>
      <c r="DR52" s="3">
        <v>0</v>
      </c>
      <c r="DS52" s="3">
        <v>194429000</v>
      </c>
      <c r="DT52" s="3">
        <v>112522000</v>
      </c>
      <c r="DU52" s="3">
        <v>81907000</v>
      </c>
      <c r="DV52" s="3">
        <v>0</v>
      </c>
      <c r="DW52" s="3">
        <v>194429000</v>
      </c>
      <c r="DX52" s="3"/>
      <c r="DY52" s="3"/>
      <c r="DZ52" s="3"/>
      <c r="EA52" s="3"/>
      <c r="EB52" s="3"/>
      <c r="EC52" s="3"/>
      <c r="ED52" s="3"/>
      <c r="EE52" s="3"/>
      <c r="EF52" s="3"/>
      <c r="EG52" s="3"/>
      <c r="EH52" s="3"/>
      <c r="EI52" s="3"/>
      <c r="EJ52" s="3"/>
      <c r="EK52" s="3"/>
      <c r="EL52" s="3"/>
      <c r="EM52" s="3"/>
      <c r="EN52" s="3"/>
      <c r="EO52" s="3"/>
      <c r="EP52" s="3"/>
      <c r="EQ52" s="3"/>
      <c r="ER52" s="3">
        <v>115472000</v>
      </c>
      <c r="ES52" s="3">
        <v>84150000</v>
      </c>
      <c r="ET52" s="3">
        <v>0</v>
      </c>
      <c r="EU52" s="3">
        <v>199622000</v>
      </c>
      <c r="EV52" s="3">
        <v>115472000</v>
      </c>
      <c r="EW52" s="3">
        <v>84150000</v>
      </c>
      <c r="EX52" s="3">
        <v>0</v>
      </c>
      <c r="EY52" s="3">
        <v>199622000</v>
      </c>
      <c r="EZ52" s="3"/>
      <c r="FA52" s="3"/>
      <c r="FB52" s="3"/>
      <c r="FC52" s="3"/>
      <c r="FD52" s="3"/>
      <c r="FE52" s="3"/>
      <c r="FF52" s="3"/>
      <c r="FG52" s="3"/>
      <c r="FH52" s="6"/>
      <c r="FI52" s="3"/>
      <c r="FJ52" s="3"/>
      <c r="FK52" s="3"/>
      <c r="FL52" s="3"/>
      <c r="FM52" s="3"/>
      <c r="FN52" s="3"/>
      <c r="FO52" s="3"/>
      <c r="FP52" s="3"/>
      <c r="FQ52" s="3"/>
      <c r="FR52" s="3"/>
      <c r="FS52" s="3"/>
      <c r="FT52" s="3">
        <v>139611000</v>
      </c>
      <c r="FU52" s="3">
        <v>92529000</v>
      </c>
      <c r="FV52" s="3">
        <v>37630000</v>
      </c>
      <c r="FW52" s="3">
        <v>269770000</v>
      </c>
      <c r="FX52" s="3">
        <v>401718000</v>
      </c>
      <c r="FY52" s="3">
        <v>92529000</v>
      </c>
      <c r="FZ52" s="3">
        <v>37630000</v>
      </c>
      <c r="GA52" s="3">
        <v>531877000</v>
      </c>
      <c r="GB52" s="3"/>
      <c r="GC52" s="3"/>
      <c r="GD52" s="3"/>
      <c r="GE52" s="3"/>
      <c r="GF52" s="3"/>
      <c r="GG52" s="3"/>
      <c r="GH52" s="3"/>
      <c r="GI52" s="3"/>
      <c r="GJ52" s="3"/>
      <c r="GK52" s="3"/>
      <c r="GL52" s="3"/>
      <c r="GM52" s="3"/>
      <c r="GN52" s="3"/>
      <c r="GO52" s="3"/>
      <c r="GP52" s="3"/>
      <c r="GQ52" s="3"/>
      <c r="GR52" s="3"/>
      <c r="GS52" s="6"/>
      <c r="GT52" s="3"/>
      <c r="GU52" s="3"/>
      <c r="GV52" s="3">
        <v>137976000</v>
      </c>
      <c r="GW52" s="3">
        <v>108382000</v>
      </c>
      <c r="GX52" s="3">
        <v>0</v>
      </c>
      <c r="GY52" s="3">
        <v>246358000</v>
      </c>
      <c r="GZ52" s="3">
        <v>137976000</v>
      </c>
      <c r="HA52" s="3">
        <v>108382000</v>
      </c>
      <c r="HB52" s="3">
        <v>0</v>
      </c>
      <c r="HC52" s="3">
        <v>246358000</v>
      </c>
      <c r="HD52" s="3"/>
      <c r="HE52" s="3"/>
      <c r="HF52" s="3"/>
      <c r="HG52" s="3"/>
      <c r="HH52" s="3"/>
      <c r="HI52" s="3"/>
      <c r="HJ52" s="3"/>
      <c r="HK52" s="3"/>
      <c r="HL52" s="3"/>
      <c r="HM52" s="3"/>
      <c r="HN52" s="3"/>
      <c r="HO52" s="3"/>
      <c r="HP52" s="3"/>
      <c r="HQ52" s="3"/>
      <c r="HR52" s="3"/>
      <c r="HS52" s="3"/>
      <c r="HT52" s="3"/>
      <c r="HU52" s="3"/>
      <c r="HV52" s="3"/>
      <c r="HW52" s="3"/>
      <c r="HX52" s="3">
        <v>163930000</v>
      </c>
      <c r="HY52" s="3">
        <v>129547000</v>
      </c>
      <c r="HZ52" s="3">
        <v>0</v>
      </c>
      <c r="IA52" s="3">
        <v>293477000</v>
      </c>
      <c r="IB52" s="3">
        <v>163930000</v>
      </c>
      <c r="IC52" s="3">
        <v>129547000</v>
      </c>
      <c r="ID52" s="3">
        <v>0</v>
      </c>
      <c r="IE52" s="3">
        <v>293477000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D3A7E-646E-4723-B156-A3E3D522DE7D}">
  <dimension ref="B1:O175"/>
  <sheetViews>
    <sheetView topLeftCell="G49" workbookViewId="0">
      <selection activeCell="M69" sqref="M1:M1048576"/>
    </sheetView>
  </sheetViews>
  <sheetFormatPr defaultRowHeight="15" x14ac:dyDescent="0.25"/>
  <cols>
    <col min="3" max="3" width="15.7109375" customWidth="1"/>
    <col min="4" max="15" width="15.7109375" style="10" customWidth="1"/>
  </cols>
  <sheetData>
    <row r="1" spans="2:15" x14ac:dyDescent="0.25">
      <c r="B1" s="7" t="s">
        <v>5</v>
      </c>
      <c r="C1" s="7" t="s">
        <v>6</v>
      </c>
      <c r="D1" s="16" t="s">
        <v>153</v>
      </c>
      <c r="E1" s="16" t="s">
        <v>154</v>
      </c>
      <c r="F1" s="16" t="s">
        <v>916</v>
      </c>
      <c r="G1" s="16" t="s">
        <v>155</v>
      </c>
      <c r="H1" s="16" t="s">
        <v>156</v>
      </c>
      <c r="I1" s="16"/>
      <c r="J1" s="16" t="s">
        <v>157</v>
      </c>
      <c r="K1" s="16" t="s">
        <v>158</v>
      </c>
      <c r="L1" s="16" t="s">
        <v>915</v>
      </c>
      <c r="M1" s="16" t="s">
        <v>159</v>
      </c>
      <c r="N1" s="16" t="s">
        <v>160</v>
      </c>
      <c r="O1" s="16"/>
    </row>
    <row r="2" spans="2:15" x14ac:dyDescent="0.25">
      <c r="B2" t="s">
        <v>202</v>
      </c>
      <c r="C2" t="s">
        <v>203</v>
      </c>
      <c r="D2" s="10">
        <v>1154851028.6500001</v>
      </c>
      <c r="E2" s="10">
        <v>671144839.41999996</v>
      </c>
      <c r="F2" s="10">
        <v>0</v>
      </c>
      <c r="G2" s="10">
        <v>302918481.20999998</v>
      </c>
      <c r="H2" s="10">
        <v>2128914349.28</v>
      </c>
      <c r="I2" s="10">
        <f>H2-SUM(D2:G2)</f>
        <v>0</v>
      </c>
      <c r="J2" s="10">
        <v>1096727997.51</v>
      </c>
      <c r="K2" s="10">
        <v>606590790.41999996</v>
      </c>
      <c r="L2" s="10">
        <v>0</v>
      </c>
      <c r="M2" s="10">
        <v>127256843.89</v>
      </c>
      <c r="N2" s="10">
        <v>1830575631.8199999</v>
      </c>
      <c r="O2" s="10">
        <f>N2-SUM(J2:M2)</f>
        <v>0</v>
      </c>
    </row>
    <row r="3" spans="2:15" x14ac:dyDescent="0.25">
      <c r="B3" t="s">
        <v>204</v>
      </c>
      <c r="C3" t="s">
        <v>205</v>
      </c>
      <c r="D3" s="10">
        <v>106875883.15000001</v>
      </c>
      <c r="E3" s="10">
        <v>0</v>
      </c>
      <c r="F3" s="10">
        <v>0</v>
      </c>
      <c r="G3" s="10">
        <v>0</v>
      </c>
      <c r="H3" s="10">
        <v>106875883.15000001</v>
      </c>
      <c r="I3" s="10">
        <f t="shared" ref="I3:I66" si="0">H3-SUM(D3:G3)</f>
        <v>0</v>
      </c>
      <c r="J3" s="10">
        <v>96898813.969999999</v>
      </c>
      <c r="K3" s="10">
        <v>0</v>
      </c>
      <c r="L3" s="10">
        <v>0</v>
      </c>
      <c r="M3" s="10">
        <v>0</v>
      </c>
      <c r="N3" s="10">
        <v>96898813.969999999</v>
      </c>
      <c r="O3" s="10">
        <f t="shared" ref="O3:O66" si="1">N3-SUM(J3:M3)</f>
        <v>0</v>
      </c>
    </row>
    <row r="4" spans="2:15" x14ac:dyDescent="0.25">
      <c r="B4" t="s">
        <v>209</v>
      </c>
      <c r="C4" t="s">
        <v>1003</v>
      </c>
      <c r="D4" s="10">
        <v>109539954.41</v>
      </c>
      <c r="E4" s="10">
        <v>83680087.469999999</v>
      </c>
      <c r="F4" s="10">
        <v>0</v>
      </c>
      <c r="G4" s="10">
        <v>0</v>
      </c>
      <c r="H4" s="10">
        <v>193220041.88</v>
      </c>
      <c r="I4" s="10">
        <f t="shared" si="0"/>
        <v>0</v>
      </c>
      <c r="J4" s="10">
        <v>103336313.13</v>
      </c>
      <c r="K4" s="17">
        <v>78884045.359999999</v>
      </c>
      <c r="L4" s="10">
        <v>0</v>
      </c>
      <c r="M4" s="10">
        <v>0</v>
      </c>
      <c r="N4" s="17">
        <v>182220358.49000001</v>
      </c>
      <c r="O4" s="10">
        <f t="shared" si="1"/>
        <v>0</v>
      </c>
    </row>
    <row r="5" spans="2:15" x14ac:dyDescent="0.25">
      <c r="B5" t="s">
        <v>211</v>
      </c>
      <c r="C5" t="s">
        <v>1004</v>
      </c>
      <c r="D5" s="10">
        <v>22202089.370000001</v>
      </c>
      <c r="E5" s="10">
        <v>5216969.22</v>
      </c>
      <c r="F5" s="10">
        <v>0</v>
      </c>
      <c r="G5" s="10">
        <v>0</v>
      </c>
      <c r="H5" s="10">
        <v>27419058.59</v>
      </c>
      <c r="I5" s="10">
        <f t="shared" si="0"/>
        <v>0</v>
      </c>
      <c r="J5" s="10">
        <v>21833153.039999999</v>
      </c>
      <c r="K5" s="17">
        <v>4954244.01</v>
      </c>
      <c r="L5" s="10">
        <v>0</v>
      </c>
      <c r="M5" s="10">
        <v>0</v>
      </c>
      <c r="N5" s="17">
        <v>26787397.050000001</v>
      </c>
      <c r="O5" s="10">
        <f t="shared" si="1"/>
        <v>0</v>
      </c>
    </row>
    <row r="6" spans="2:15" x14ac:dyDescent="0.25">
      <c r="B6" t="s">
        <v>213</v>
      </c>
      <c r="C6" t="s">
        <v>1005</v>
      </c>
      <c r="D6" s="10">
        <v>33633513.350000001</v>
      </c>
      <c r="E6" s="10">
        <v>86837393.900000006</v>
      </c>
      <c r="F6" s="10">
        <v>0</v>
      </c>
      <c r="G6" s="10">
        <v>49118719.740000002</v>
      </c>
      <c r="H6" s="10">
        <v>169589627</v>
      </c>
      <c r="I6" s="10">
        <f t="shared" si="0"/>
        <v>9.9999904632568359E-3</v>
      </c>
      <c r="J6" s="10">
        <v>33303535.370000001</v>
      </c>
      <c r="K6" s="17">
        <v>61540739.090000004</v>
      </c>
      <c r="L6" s="10">
        <v>0</v>
      </c>
      <c r="M6" s="10">
        <v>35461659.630000003</v>
      </c>
      <c r="N6" s="17">
        <v>130305934.09</v>
      </c>
      <c r="O6" s="10">
        <f t="shared" si="1"/>
        <v>0</v>
      </c>
    </row>
    <row r="7" spans="2:15" x14ac:dyDescent="0.25">
      <c r="B7" t="s">
        <v>506</v>
      </c>
      <c r="C7" t="s">
        <v>1006</v>
      </c>
      <c r="D7" s="10">
        <v>13618055.609999999</v>
      </c>
      <c r="E7" s="10">
        <v>2442934.35</v>
      </c>
      <c r="F7" s="10">
        <v>0</v>
      </c>
      <c r="G7" s="10">
        <v>0</v>
      </c>
      <c r="H7" s="10">
        <v>16060989.960000001</v>
      </c>
      <c r="I7" s="10">
        <f t="shared" si="0"/>
        <v>0</v>
      </c>
      <c r="J7" s="10">
        <v>13537625.630000001</v>
      </c>
      <c r="K7" s="17">
        <v>2115609.4500000002</v>
      </c>
      <c r="L7" s="10">
        <v>0</v>
      </c>
      <c r="M7" s="10">
        <v>0</v>
      </c>
      <c r="N7" s="17">
        <v>15653235.08</v>
      </c>
      <c r="O7" s="10">
        <f t="shared" si="1"/>
        <v>0</v>
      </c>
    </row>
    <row r="8" spans="2:15" x14ac:dyDescent="0.25">
      <c r="B8" t="s">
        <v>507</v>
      </c>
      <c r="C8" t="s">
        <v>1007</v>
      </c>
      <c r="D8" s="10">
        <v>129814354.08</v>
      </c>
      <c r="E8" s="10">
        <v>427274048.38</v>
      </c>
      <c r="F8" s="10">
        <v>0</v>
      </c>
      <c r="G8" s="10">
        <v>0</v>
      </c>
      <c r="H8" s="10">
        <v>557088402.46000004</v>
      </c>
      <c r="I8" s="10">
        <f t="shared" si="0"/>
        <v>0</v>
      </c>
      <c r="J8" s="10">
        <v>128567814.69</v>
      </c>
      <c r="K8" s="17">
        <v>336306909.76999998</v>
      </c>
      <c r="L8" s="10">
        <v>0</v>
      </c>
      <c r="M8" s="10">
        <v>0</v>
      </c>
      <c r="N8" s="17">
        <v>464874724.45999998</v>
      </c>
      <c r="O8" s="10">
        <f t="shared" si="1"/>
        <v>0</v>
      </c>
    </row>
    <row r="9" spans="2:15" x14ac:dyDescent="0.25">
      <c r="B9" t="s">
        <v>508</v>
      </c>
      <c r="C9" t="s">
        <v>1008</v>
      </c>
      <c r="D9" s="10">
        <v>23858865.41</v>
      </c>
      <c r="E9" s="10">
        <v>3626094.24</v>
      </c>
      <c r="F9" s="10">
        <v>0</v>
      </c>
      <c r="G9" s="10">
        <v>0</v>
      </c>
      <c r="H9" s="10">
        <v>27484959.649999999</v>
      </c>
      <c r="I9" s="10">
        <f t="shared" si="0"/>
        <v>0</v>
      </c>
      <c r="J9" s="10">
        <v>23640060.140000001</v>
      </c>
      <c r="K9" s="17">
        <v>2919373.82</v>
      </c>
      <c r="L9" s="10">
        <v>0</v>
      </c>
      <c r="M9" s="10">
        <v>0</v>
      </c>
      <c r="N9" s="17">
        <v>26559433.960000001</v>
      </c>
      <c r="O9" s="10">
        <f t="shared" si="1"/>
        <v>0</v>
      </c>
    </row>
    <row r="10" spans="2:15" x14ac:dyDescent="0.25">
      <c r="B10" t="s">
        <v>509</v>
      </c>
      <c r="C10" t="s">
        <v>1009</v>
      </c>
      <c r="D10" s="10">
        <v>56478839.979999997</v>
      </c>
      <c r="E10" s="10">
        <v>68227135.040000007</v>
      </c>
      <c r="F10" s="10">
        <v>0</v>
      </c>
      <c r="G10" s="10">
        <v>0</v>
      </c>
      <c r="H10" s="10">
        <v>124705975.02</v>
      </c>
      <c r="I10" s="10">
        <f t="shared" si="0"/>
        <v>0</v>
      </c>
      <c r="J10" s="10">
        <v>56143332.579999998</v>
      </c>
      <c r="K10" s="17">
        <v>67089155.560000002</v>
      </c>
      <c r="L10" s="10">
        <v>0</v>
      </c>
      <c r="M10" s="10">
        <v>0</v>
      </c>
      <c r="N10" s="17">
        <v>123232488.14</v>
      </c>
      <c r="O10" s="10">
        <f t="shared" si="1"/>
        <v>0</v>
      </c>
    </row>
    <row r="11" spans="2:15" x14ac:dyDescent="0.25">
      <c r="B11" t="s">
        <v>510</v>
      </c>
      <c r="C11" t="s">
        <v>1010</v>
      </c>
      <c r="D11" s="10">
        <v>288987401.88999999</v>
      </c>
      <c r="E11" s="10">
        <v>350773572.13999999</v>
      </c>
      <c r="F11" s="10">
        <v>0</v>
      </c>
      <c r="G11" s="10">
        <v>548178707.75999999</v>
      </c>
      <c r="H11" s="10">
        <v>1187939681.79</v>
      </c>
      <c r="I11" s="10">
        <f t="shared" si="0"/>
        <v>0</v>
      </c>
      <c r="J11" s="10">
        <v>276975472.62</v>
      </c>
      <c r="K11" s="17">
        <v>293337365.69999999</v>
      </c>
      <c r="L11" s="10">
        <v>0</v>
      </c>
      <c r="M11" s="10">
        <v>246545552.91</v>
      </c>
      <c r="N11" s="17">
        <v>816858391.23000002</v>
      </c>
      <c r="O11" s="10">
        <f t="shared" si="1"/>
        <v>0</v>
      </c>
    </row>
    <row r="12" spans="2:15" x14ac:dyDescent="0.25">
      <c r="B12" t="s">
        <v>511</v>
      </c>
      <c r="C12" t="s">
        <v>1011</v>
      </c>
      <c r="D12" s="10">
        <v>178453143.19</v>
      </c>
      <c r="E12" s="10">
        <v>1061864898.38</v>
      </c>
      <c r="F12" s="10">
        <v>0</v>
      </c>
      <c r="G12" s="10">
        <v>0</v>
      </c>
      <c r="H12" s="10">
        <v>1240318041.5699999</v>
      </c>
      <c r="I12" s="10">
        <f t="shared" si="0"/>
        <v>0</v>
      </c>
      <c r="J12" s="10">
        <v>176410527.22999999</v>
      </c>
      <c r="K12" s="17">
        <v>928242576.35000002</v>
      </c>
      <c r="L12" s="10">
        <v>0</v>
      </c>
      <c r="M12" s="10">
        <v>0</v>
      </c>
      <c r="N12" s="17">
        <v>1104653103.5799999</v>
      </c>
      <c r="O12" s="10">
        <f t="shared" si="1"/>
        <v>0</v>
      </c>
    </row>
    <row r="13" spans="2:15" x14ac:dyDescent="0.25">
      <c r="B13" t="s">
        <v>512</v>
      </c>
      <c r="C13" t="s">
        <v>299</v>
      </c>
      <c r="D13" s="10">
        <v>0</v>
      </c>
      <c r="E13" s="10">
        <v>630594207.32000005</v>
      </c>
      <c r="F13" s="10">
        <v>0</v>
      </c>
      <c r="G13" s="10">
        <v>0</v>
      </c>
      <c r="H13" s="10">
        <v>630594207.32000005</v>
      </c>
      <c r="I13" s="10">
        <f t="shared" si="0"/>
        <v>0</v>
      </c>
      <c r="J13" s="17">
        <v>0</v>
      </c>
      <c r="K13" s="17">
        <v>337468537.27999997</v>
      </c>
      <c r="L13" s="17">
        <v>0</v>
      </c>
      <c r="M13" s="17">
        <v>0</v>
      </c>
      <c r="N13" s="17">
        <v>337468537.27999997</v>
      </c>
      <c r="O13" s="10">
        <f t="shared" si="1"/>
        <v>0</v>
      </c>
    </row>
    <row r="14" spans="2:15" x14ac:dyDescent="0.25">
      <c r="B14" t="s">
        <v>513</v>
      </c>
      <c r="C14" t="s">
        <v>1012</v>
      </c>
      <c r="D14" s="10">
        <v>221666687.19999999</v>
      </c>
      <c r="E14" s="10">
        <v>151697849.02000001</v>
      </c>
      <c r="F14" s="10">
        <v>0</v>
      </c>
      <c r="G14" s="10">
        <v>0</v>
      </c>
      <c r="H14" s="10">
        <v>373364536.22000003</v>
      </c>
      <c r="I14" s="10">
        <f t="shared" si="0"/>
        <v>0</v>
      </c>
      <c r="J14" s="10">
        <v>218627725.53</v>
      </c>
      <c r="K14" s="17">
        <v>135170429.11000001</v>
      </c>
      <c r="L14" s="10">
        <v>0</v>
      </c>
      <c r="M14" s="10">
        <v>0</v>
      </c>
      <c r="N14" s="17">
        <v>353798154.63999999</v>
      </c>
      <c r="O14" s="10">
        <f t="shared" si="1"/>
        <v>0</v>
      </c>
    </row>
    <row r="15" spans="2:15" x14ac:dyDescent="0.25">
      <c r="B15" t="s">
        <v>514</v>
      </c>
      <c r="C15" t="s">
        <v>1013</v>
      </c>
      <c r="D15" s="10">
        <v>42902273.700000003</v>
      </c>
      <c r="E15" s="10">
        <v>16868797.379999999</v>
      </c>
      <c r="F15" s="10">
        <v>0</v>
      </c>
      <c r="G15" s="10">
        <v>0</v>
      </c>
      <c r="H15" s="10">
        <v>59771071.079999998</v>
      </c>
      <c r="I15" s="10">
        <f t="shared" si="0"/>
        <v>0</v>
      </c>
      <c r="J15" s="10">
        <v>36940695.289999999</v>
      </c>
      <c r="K15" s="17">
        <v>12817122.07</v>
      </c>
      <c r="L15" s="10">
        <v>0</v>
      </c>
      <c r="M15" s="10">
        <v>0</v>
      </c>
      <c r="N15" s="17">
        <v>49757817.359999999</v>
      </c>
      <c r="O15" s="10">
        <f t="shared" si="1"/>
        <v>0</v>
      </c>
    </row>
    <row r="16" spans="2:15" x14ac:dyDescent="0.25">
      <c r="B16" t="s">
        <v>515</v>
      </c>
      <c r="C16" t="s">
        <v>1014</v>
      </c>
      <c r="D16" s="10">
        <v>0</v>
      </c>
      <c r="E16" s="10">
        <v>29325362.640000001</v>
      </c>
      <c r="F16" s="10">
        <v>0</v>
      </c>
      <c r="G16" s="10">
        <v>0</v>
      </c>
      <c r="H16" s="10">
        <v>29325362.640000001</v>
      </c>
      <c r="I16" s="10">
        <f t="shared" si="0"/>
        <v>0</v>
      </c>
      <c r="J16" s="10">
        <v>0</v>
      </c>
      <c r="K16" s="17">
        <v>27242465.329999998</v>
      </c>
      <c r="L16" s="10">
        <v>0</v>
      </c>
      <c r="M16" s="10">
        <v>0</v>
      </c>
      <c r="N16" s="17">
        <v>27242465.329999998</v>
      </c>
      <c r="O16" s="10">
        <f t="shared" si="1"/>
        <v>0</v>
      </c>
    </row>
    <row r="17" spans="2:15" x14ac:dyDescent="0.25">
      <c r="B17" t="s">
        <v>945</v>
      </c>
      <c r="I17" s="10">
        <f t="shared" si="0"/>
        <v>0</v>
      </c>
      <c r="O17" s="10">
        <f t="shared" si="1"/>
        <v>0</v>
      </c>
    </row>
    <row r="18" spans="2:15" x14ac:dyDescent="0.25">
      <c r="B18" t="s">
        <v>946</v>
      </c>
      <c r="I18" s="10">
        <f t="shared" si="0"/>
        <v>0</v>
      </c>
      <c r="O18" s="10">
        <f t="shared" si="1"/>
        <v>0</v>
      </c>
    </row>
    <row r="19" spans="2:15" x14ac:dyDescent="0.25">
      <c r="B19" t="s">
        <v>721</v>
      </c>
      <c r="C19" t="s">
        <v>1037</v>
      </c>
      <c r="D19" s="10">
        <v>0</v>
      </c>
      <c r="E19" s="17">
        <v>23147884618.830002</v>
      </c>
      <c r="F19" s="10">
        <v>0</v>
      </c>
      <c r="G19" s="10">
        <v>105209337.53999999</v>
      </c>
      <c r="H19" s="17">
        <v>23253093956.369999</v>
      </c>
      <c r="I19" s="10">
        <f t="shared" si="0"/>
        <v>0</v>
      </c>
      <c r="J19" s="10">
        <v>0</v>
      </c>
      <c r="K19" s="10">
        <v>22329425995.450001</v>
      </c>
      <c r="L19" s="10">
        <v>0</v>
      </c>
      <c r="M19" s="10">
        <v>50079833.130000003</v>
      </c>
      <c r="N19" s="17">
        <v>22379505828.580002</v>
      </c>
      <c r="O19" s="10">
        <f t="shared" si="1"/>
        <v>0</v>
      </c>
    </row>
    <row r="20" spans="2:15" x14ac:dyDescent="0.25">
      <c r="B20" t="s">
        <v>722</v>
      </c>
      <c r="C20" t="s">
        <v>1038</v>
      </c>
      <c r="D20" s="17">
        <v>0</v>
      </c>
      <c r="E20" s="17">
        <v>638628358.84000003</v>
      </c>
      <c r="F20" s="17">
        <v>0</v>
      </c>
      <c r="G20" s="17">
        <v>326799303.38</v>
      </c>
      <c r="H20" s="17">
        <v>965427662.22000003</v>
      </c>
      <c r="I20" s="10">
        <f t="shared" si="0"/>
        <v>0</v>
      </c>
      <c r="J20" s="10">
        <v>0</v>
      </c>
      <c r="K20" s="10">
        <v>468722871.07999998</v>
      </c>
      <c r="L20" s="10">
        <v>0</v>
      </c>
      <c r="M20" s="10">
        <v>186353565.52000001</v>
      </c>
      <c r="N20" s="17">
        <v>655076436.60000002</v>
      </c>
      <c r="O20" s="10">
        <f t="shared" si="1"/>
        <v>0</v>
      </c>
    </row>
    <row r="21" spans="2:15" x14ac:dyDescent="0.25">
      <c r="B21" t="s">
        <v>947</v>
      </c>
      <c r="C21" t="s">
        <v>1039</v>
      </c>
      <c r="D21" s="17">
        <v>0</v>
      </c>
      <c r="E21" s="17">
        <v>2787165524.6100001</v>
      </c>
      <c r="F21" s="17">
        <v>0</v>
      </c>
      <c r="G21" s="17">
        <v>45537856.310000002</v>
      </c>
      <c r="H21" s="17">
        <v>2832703380.9200001</v>
      </c>
      <c r="I21" s="10">
        <f t="shared" si="0"/>
        <v>0</v>
      </c>
      <c r="J21" s="10">
        <v>0</v>
      </c>
      <c r="K21" s="10">
        <v>2397165321.9200001</v>
      </c>
      <c r="L21" s="10">
        <v>0</v>
      </c>
      <c r="M21" s="10">
        <v>31619768.5</v>
      </c>
      <c r="N21" s="17">
        <v>2428785090.4200001</v>
      </c>
      <c r="O21" s="10">
        <f t="shared" si="1"/>
        <v>0</v>
      </c>
    </row>
    <row r="22" spans="2:15" x14ac:dyDescent="0.25">
      <c r="B22" t="s">
        <v>948</v>
      </c>
      <c r="C22" t="s">
        <v>1040</v>
      </c>
      <c r="D22" s="17">
        <v>0</v>
      </c>
      <c r="E22" s="17">
        <v>557998502.58000004</v>
      </c>
      <c r="F22" s="17">
        <v>0</v>
      </c>
      <c r="G22" s="17">
        <v>15791608.689999999</v>
      </c>
      <c r="H22" s="17">
        <v>573790111.26999998</v>
      </c>
      <c r="I22" s="10">
        <f t="shared" si="0"/>
        <v>0</v>
      </c>
      <c r="J22" s="10">
        <v>0</v>
      </c>
      <c r="K22" s="10">
        <v>512363156.74000001</v>
      </c>
      <c r="L22" s="10">
        <v>0</v>
      </c>
      <c r="M22" s="10">
        <v>13216878.560000001</v>
      </c>
      <c r="N22" s="17">
        <v>525580035.30000001</v>
      </c>
      <c r="O22" s="10">
        <f t="shared" si="1"/>
        <v>0</v>
      </c>
    </row>
    <row r="23" spans="2:15" x14ac:dyDescent="0.25">
      <c r="B23" t="s">
        <v>949</v>
      </c>
      <c r="C23" t="s">
        <v>1041</v>
      </c>
      <c r="D23" s="17">
        <v>0</v>
      </c>
      <c r="E23" s="17">
        <v>135406339.97999999</v>
      </c>
      <c r="F23" s="17">
        <v>0</v>
      </c>
      <c r="G23" s="17">
        <v>99832182.879999995</v>
      </c>
      <c r="H23" s="17">
        <v>235238522.86000001</v>
      </c>
      <c r="I23" s="10">
        <f t="shared" si="0"/>
        <v>0</v>
      </c>
      <c r="J23" s="10">
        <v>0</v>
      </c>
      <c r="K23" s="10">
        <v>113510281.02</v>
      </c>
      <c r="L23" s="10">
        <v>0</v>
      </c>
      <c r="M23" s="10">
        <v>66051858.789999999</v>
      </c>
      <c r="N23" s="17">
        <v>179562139.81</v>
      </c>
      <c r="O23" s="10">
        <f t="shared" si="1"/>
        <v>0</v>
      </c>
    </row>
    <row r="24" spans="2:15" x14ac:dyDescent="0.25">
      <c r="B24" t="s">
        <v>950</v>
      </c>
      <c r="C24" t="s">
        <v>1042</v>
      </c>
      <c r="D24" s="17">
        <v>266887204.53999999</v>
      </c>
      <c r="E24" s="17">
        <v>669177605.27999997</v>
      </c>
      <c r="F24" s="17">
        <v>0</v>
      </c>
      <c r="G24" s="17">
        <v>27629976.140000001</v>
      </c>
      <c r="H24" s="17">
        <v>963694785.96000004</v>
      </c>
      <c r="I24" s="10">
        <f t="shared" si="0"/>
        <v>0</v>
      </c>
      <c r="J24" s="10">
        <v>262964760.21000001</v>
      </c>
      <c r="K24" s="10">
        <v>469723794.74000001</v>
      </c>
      <c r="L24" s="10">
        <v>0</v>
      </c>
      <c r="M24" s="10">
        <v>8476649.1400000006</v>
      </c>
      <c r="N24" s="17">
        <v>741165204.09000003</v>
      </c>
      <c r="O24" s="10">
        <f t="shared" si="1"/>
        <v>0</v>
      </c>
    </row>
    <row r="25" spans="2:15" x14ac:dyDescent="0.25">
      <c r="B25" t="s">
        <v>951</v>
      </c>
      <c r="C25" t="s">
        <v>1043</v>
      </c>
      <c r="D25" s="17">
        <v>0</v>
      </c>
      <c r="E25" s="17">
        <v>0</v>
      </c>
      <c r="F25" s="17">
        <v>0</v>
      </c>
      <c r="G25" s="17">
        <v>568992</v>
      </c>
      <c r="H25" s="17">
        <v>568992</v>
      </c>
      <c r="I25" s="10">
        <f t="shared" si="0"/>
        <v>0</v>
      </c>
      <c r="J25" s="10">
        <v>0</v>
      </c>
      <c r="K25" s="10">
        <v>0</v>
      </c>
      <c r="L25" s="10">
        <v>0</v>
      </c>
      <c r="M25" s="17">
        <v>568992</v>
      </c>
      <c r="N25" s="17">
        <v>568992</v>
      </c>
      <c r="O25" s="10">
        <f t="shared" si="1"/>
        <v>0</v>
      </c>
    </row>
    <row r="26" spans="2:15" x14ac:dyDescent="0.25">
      <c r="B26" t="s">
        <v>952</v>
      </c>
      <c r="C26" t="s">
        <v>1044</v>
      </c>
      <c r="D26" s="17">
        <v>0</v>
      </c>
      <c r="E26" s="17">
        <v>128753067</v>
      </c>
      <c r="F26" s="17">
        <v>0</v>
      </c>
      <c r="G26" s="17">
        <v>40285646.840000004</v>
      </c>
      <c r="H26" s="17">
        <v>169038713.84</v>
      </c>
      <c r="I26" s="10">
        <f t="shared" si="0"/>
        <v>0</v>
      </c>
      <c r="J26" s="10">
        <v>0</v>
      </c>
      <c r="K26" s="10">
        <v>110957604.23999999</v>
      </c>
      <c r="L26" s="10">
        <v>0</v>
      </c>
      <c r="M26" s="10">
        <v>27746539.199999999</v>
      </c>
      <c r="N26" s="17">
        <v>138704143.44</v>
      </c>
      <c r="O26" s="10">
        <f t="shared" si="1"/>
        <v>0</v>
      </c>
    </row>
    <row r="27" spans="2:15" x14ac:dyDescent="0.25">
      <c r="B27" s="4" t="s">
        <v>725</v>
      </c>
      <c r="C27" t="s">
        <v>1101</v>
      </c>
      <c r="I27" s="10">
        <f t="shared" si="0"/>
        <v>0</v>
      </c>
      <c r="N27" s="18"/>
      <c r="O27" s="10">
        <f t="shared" si="1"/>
        <v>0</v>
      </c>
    </row>
    <row r="28" spans="2:15" x14ac:dyDescent="0.25">
      <c r="B28" s="4" t="s">
        <v>976</v>
      </c>
      <c r="C28" t="s">
        <v>1102</v>
      </c>
      <c r="I28" s="10">
        <f t="shared" si="0"/>
        <v>0</v>
      </c>
      <c r="N28" s="18"/>
      <c r="O28" s="10">
        <f t="shared" si="1"/>
        <v>0</v>
      </c>
    </row>
    <row r="29" spans="2:15" x14ac:dyDescent="0.25">
      <c r="B29" s="4" t="s">
        <v>1100</v>
      </c>
      <c r="C29" t="s">
        <v>1103</v>
      </c>
      <c r="I29" s="10">
        <f t="shared" si="0"/>
        <v>0</v>
      </c>
      <c r="N29" s="18"/>
      <c r="O29" s="10">
        <f t="shared" si="1"/>
        <v>0</v>
      </c>
    </row>
    <row r="30" spans="2:15" x14ac:dyDescent="0.25">
      <c r="B30" s="4" t="s">
        <v>1099</v>
      </c>
      <c r="C30" t="s">
        <v>1104</v>
      </c>
      <c r="I30" s="10">
        <f t="shared" si="0"/>
        <v>0</v>
      </c>
      <c r="N30" s="18"/>
      <c r="O30" s="10">
        <f t="shared" si="1"/>
        <v>0</v>
      </c>
    </row>
    <row r="31" spans="2:15" x14ac:dyDescent="0.25">
      <c r="B31" s="4" t="s">
        <v>1098</v>
      </c>
      <c r="C31" t="s">
        <v>1105</v>
      </c>
      <c r="I31" s="10">
        <f t="shared" si="0"/>
        <v>0</v>
      </c>
      <c r="N31" s="18"/>
      <c r="O31" s="10">
        <f t="shared" si="1"/>
        <v>0</v>
      </c>
    </row>
    <row r="32" spans="2:15" x14ac:dyDescent="0.25">
      <c r="B32" s="4" t="s">
        <v>1097</v>
      </c>
      <c r="C32" t="s">
        <v>1106</v>
      </c>
      <c r="I32" s="10">
        <f t="shared" si="0"/>
        <v>0</v>
      </c>
      <c r="N32" s="18"/>
      <c r="O32" s="10">
        <f t="shared" si="1"/>
        <v>0</v>
      </c>
    </row>
    <row r="33" spans="2:15" x14ac:dyDescent="0.25">
      <c r="B33" t="s">
        <v>953</v>
      </c>
      <c r="C33" t="s">
        <v>1015</v>
      </c>
      <c r="D33" s="10">
        <v>116023612.19999999</v>
      </c>
      <c r="E33" s="10">
        <v>415706010.04000002</v>
      </c>
      <c r="F33" s="10">
        <v>0</v>
      </c>
      <c r="G33" s="10">
        <v>73373790</v>
      </c>
      <c r="H33" s="10">
        <v>605103412.24000001</v>
      </c>
      <c r="I33" s="10">
        <f t="shared" si="0"/>
        <v>0</v>
      </c>
      <c r="J33" s="10">
        <v>114408692.45999999</v>
      </c>
      <c r="K33" s="10">
        <v>335066376.70999998</v>
      </c>
      <c r="L33" s="10">
        <v>0</v>
      </c>
      <c r="M33" s="10">
        <v>57190517.57</v>
      </c>
      <c r="N33" s="17">
        <v>506665586.74000001</v>
      </c>
      <c r="O33" s="10">
        <f t="shared" si="1"/>
        <v>0</v>
      </c>
    </row>
    <row r="34" spans="2:15" x14ac:dyDescent="0.25">
      <c r="B34" t="s">
        <v>954</v>
      </c>
      <c r="C34" t="s">
        <v>1029</v>
      </c>
      <c r="D34" s="10">
        <v>0</v>
      </c>
      <c r="E34" s="10">
        <v>1488220180.26</v>
      </c>
      <c r="F34" s="10">
        <v>0</v>
      </c>
      <c r="G34" s="10">
        <v>29995930.739999998</v>
      </c>
      <c r="H34" s="10">
        <v>1518216111</v>
      </c>
      <c r="I34" s="10">
        <f t="shared" si="0"/>
        <v>0</v>
      </c>
      <c r="J34" s="10">
        <v>0</v>
      </c>
      <c r="K34" s="10">
        <v>1078881194.3800001</v>
      </c>
      <c r="L34" s="10">
        <v>0</v>
      </c>
      <c r="M34" s="10">
        <v>930536.64</v>
      </c>
      <c r="N34" s="17">
        <v>1079811731.02</v>
      </c>
      <c r="O34" s="10">
        <f t="shared" si="1"/>
        <v>0</v>
      </c>
    </row>
    <row r="35" spans="2:15" x14ac:dyDescent="0.25">
      <c r="B35" t="s">
        <v>955</v>
      </c>
      <c r="C35" t="s">
        <v>1030</v>
      </c>
      <c r="D35" s="10">
        <v>0</v>
      </c>
      <c r="E35" s="10">
        <v>584940154.07000005</v>
      </c>
      <c r="F35" s="10">
        <v>0</v>
      </c>
      <c r="G35" s="10">
        <v>58240000</v>
      </c>
      <c r="H35" s="17">
        <v>643180154.07000005</v>
      </c>
      <c r="I35" s="10">
        <f t="shared" si="0"/>
        <v>0</v>
      </c>
      <c r="J35" s="10">
        <v>0</v>
      </c>
      <c r="K35" s="10">
        <v>461460174.83000004</v>
      </c>
      <c r="L35" s="10">
        <v>0</v>
      </c>
      <c r="M35" s="10">
        <v>39009386.280000001</v>
      </c>
      <c r="N35" s="17">
        <v>500469561.11000001</v>
      </c>
      <c r="O35" s="10">
        <f t="shared" si="1"/>
        <v>0</v>
      </c>
    </row>
    <row r="36" spans="2:15" x14ac:dyDescent="0.25">
      <c r="B36" t="s">
        <v>956</v>
      </c>
      <c r="C36" t="s">
        <v>1031</v>
      </c>
      <c r="D36" s="10">
        <v>0</v>
      </c>
      <c r="E36" s="10">
        <v>325607372.76999998</v>
      </c>
      <c r="F36" s="10">
        <v>0</v>
      </c>
      <c r="G36" s="10">
        <v>0</v>
      </c>
      <c r="H36" s="17">
        <v>325607372.76999998</v>
      </c>
      <c r="I36" s="10">
        <f t="shared" si="0"/>
        <v>0</v>
      </c>
      <c r="J36" s="10">
        <v>0</v>
      </c>
      <c r="K36" s="10">
        <v>247413823.32999998</v>
      </c>
      <c r="L36" s="10">
        <v>0</v>
      </c>
      <c r="M36" s="10">
        <v>0</v>
      </c>
      <c r="N36" s="17">
        <v>247413823.32999998</v>
      </c>
      <c r="O36" s="10">
        <f t="shared" si="1"/>
        <v>0</v>
      </c>
    </row>
    <row r="37" spans="2:15" x14ac:dyDescent="0.25">
      <c r="B37" t="s">
        <v>957</v>
      </c>
      <c r="C37" t="s">
        <v>1032</v>
      </c>
      <c r="D37" s="10">
        <v>0</v>
      </c>
      <c r="E37" s="10">
        <v>374732912.07999998</v>
      </c>
      <c r="F37" s="10">
        <v>0</v>
      </c>
      <c r="G37" s="10">
        <v>497878</v>
      </c>
      <c r="H37" s="17">
        <v>375230790.07999998</v>
      </c>
      <c r="I37" s="10">
        <f t="shared" si="0"/>
        <v>0</v>
      </c>
      <c r="J37" s="10">
        <v>0</v>
      </c>
      <c r="K37" s="10">
        <v>321076346.63999999</v>
      </c>
      <c r="L37" s="10">
        <v>0</v>
      </c>
      <c r="M37" s="10">
        <v>444898</v>
      </c>
      <c r="N37" s="17">
        <v>321521244.63999999</v>
      </c>
      <c r="O37" s="10">
        <f t="shared" si="1"/>
        <v>0</v>
      </c>
    </row>
    <row r="38" spans="2:15" x14ac:dyDescent="0.25">
      <c r="B38" t="s">
        <v>958</v>
      </c>
      <c r="C38" t="s">
        <v>1033</v>
      </c>
      <c r="D38" s="10">
        <v>0</v>
      </c>
      <c r="E38" s="10">
        <v>178869117.88999999</v>
      </c>
      <c r="F38" s="10">
        <v>0</v>
      </c>
      <c r="G38" s="10">
        <v>749601.74</v>
      </c>
      <c r="H38" s="17">
        <v>179618719.63</v>
      </c>
      <c r="I38" s="10">
        <f t="shared" si="0"/>
        <v>0</v>
      </c>
      <c r="J38" s="10">
        <v>0</v>
      </c>
      <c r="K38" s="10">
        <v>157237635.25999999</v>
      </c>
      <c r="L38" s="10">
        <v>0</v>
      </c>
      <c r="M38" s="10">
        <v>0</v>
      </c>
      <c r="N38" s="17">
        <v>157237635.25999999</v>
      </c>
      <c r="O38" s="10">
        <f t="shared" si="1"/>
        <v>0</v>
      </c>
    </row>
    <row r="39" spans="2:15" x14ac:dyDescent="0.25">
      <c r="B39" t="s">
        <v>959</v>
      </c>
      <c r="C39" t="s">
        <v>1034</v>
      </c>
      <c r="D39" s="10">
        <v>268789404.30000001</v>
      </c>
      <c r="E39" s="10">
        <v>268870822.54000002</v>
      </c>
      <c r="F39" s="10">
        <v>0</v>
      </c>
      <c r="G39" s="10">
        <v>9366421.5199999996</v>
      </c>
      <c r="H39" s="17">
        <v>547026648.36000001</v>
      </c>
      <c r="I39" s="10">
        <f t="shared" si="0"/>
        <v>0</v>
      </c>
      <c r="J39" s="10">
        <v>266220342.66999999</v>
      </c>
      <c r="K39" s="10">
        <v>248780508.72</v>
      </c>
      <c r="L39" s="10">
        <v>0</v>
      </c>
      <c r="M39" s="10">
        <v>8875782.2100000009</v>
      </c>
      <c r="N39" s="17">
        <v>523876633.60000002</v>
      </c>
      <c r="O39" s="10">
        <f t="shared" si="1"/>
        <v>0</v>
      </c>
    </row>
    <row r="40" spans="2:15" x14ac:dyDescent="0.25">
      <c r="B40" t="s">
        <v>960</v>
      </c>
      <c r="C40" t="s">
        <v>1035</v>
      </c>
      <c r="D40" s="10">
        <v>0</v>
      </c>
      <c r="E40" s="10">
        <v>16361806.23</v>
      </c>
      <c r="F40" s="10">
        <v>0</v>
      </c>
      <c r="G40" s="10">
        <v>0</v>
      </c>
      <c r="H40" s="17">
        <v>16361806.23</v>
      </c>
      <c r="I40" s="10">
        <f t="shared" si="0"/>
        <v>0</v>
      </c>
      <c r="J40" s="10">
        <v>0</v>
      </c>
      <c r="K40" s="10">
        <v>13286323.99</v>
      </c>
      <c r="L40" s="10">
        <v>0</v>
      </c>
      <c r="M40" s="10">
        <v>0</v>
      </c>
      <c r="N40" s="17">
        <v>13286323.99</v>
      </c>
      <c r="O40" s="10">
        <f t="shared" si="1"/>
        <v>0</v>
      </c>
    </row>
    <row r="41" spans="2:15" x14ac:dyDescent="0.25">
      <c r="B41" t="s">
        <v>961</v>
      </c>
      <c r="C41" t="s">
        <v>1036</v>
      </c>
      <c r="D41" s="10">
        <v>0</v>
      </c>
      <c r="E41" s="10">
        <v>97511792.659999996</v>
      </c>
      <c r="F41" s="10">
        <v>0</v>
      </c>
      <c r="G41" s="10">
        <v>0</v>
      </c>
      <c r="H41" s="17">
        <v>97511792.659999996</v>
      </c>
      <c r="I41" s="10">
        <f t="shared" si="0"/>
        <v>0</v>
      </c>
      <c r="J41" s="10">
        <v>0</v>
      </c>
      <c r="K41" s="10">
        <v>83051004.269999996</v>
      </c>
      <c r="L41" s="10">
        <v>0</v>
      </c>
      <c r="M41" s="10">
        <v>0</v>
      </c>
      <c r="N41" s="17">
        <v>83051004.269999996</v>
      </c>
      <c r="O41" s="10">
        <f t="shared" si="1"/>
        <v>0</v>
      </c>
    </row>
    <row r="42" spans="2:15" x14ac:dyDescent="0.25">
      <c r="B42" s="4" t="s">
        <v>1107</v>
      </c>
      <c r="C42" s="15" t="s">
        <v>1108</v>
      </c>
      <c r="H42" s="18"/>
      <c r="I42" s="10">
        <f t="shared" si="0"/>
        <v>0</v>
      </c>
      <c r="N42" s="18"/>
      <c r="O42" s="10">
        <f t="shared" si="1"/>
        <v>0</v>
      </c>
    </row>
    <row r="43" spans="2:15" x14ac:dyDescent="0.25">
      <c r="B43" t="s">
        <v>962</v>
      </c>
      <c r="C43" t="s">
        <v>1017</v>
      </c>
      <c r="D43" s="10">
        <v>0</v>
      </c>
      <c r="E43" s="10">
        <v>348703185.69</v>
      </c>
      <c r="F43" s="10">
        <v>0</v>
      </c>
      <c r="G43" s="10">
        <v>33186546.119999997</v>
      </c>
      <c r="H43" s="17">
        <v>381889731.81</v>
      </c>
      <c r="I43" s="10">
        <f t="shared" si="0"/>
        <v>0</v>
      </c>
      <c r="J43" s="10">
        <v>0</v>
      </c>
      <c r="K43" s="10">
        <v>327164760.59999996</v>
      </c>
      <c r="L43" s="10">
        <v>0</v>
      </c>
      <c r="M43" s="10">
        <v>20844937.890000001</v>
      </c>
      <c r="N43" s="17">
        <v>348009698.49000001</v>
      </c>
      <c r="O43" s="10">
        <f t="shared" si="1"/>
        <v>0</v>
      </c>
    </row>
    <row r="44" spans="2:15" x14ac:dyDescent="0.25">
      <c r="B44" t="s">
        <v>963</v>
      </c>
      <c r="C44" t="s">
        <v>1018</v>
      </c>
      <c r="D44" s="10">
        <v>0</v>
      </c>
      <c r="E44" s="10">
        <v>49913544.310000002</v>
      </c>
      <c r="F44" s="10">
        <v>0</v>
      </c>
      <c r="G44" s="10">
        <v>0</v>
      </c>
      <c r="H44" s="17">
        <v>49913544.310000002</v>
      </c>
      <c r="I44" s="10">
        <f t="shared" si="0"/>
        <v>0</v>
      </c>
      <c r="J44" s="10">
        <v>0</v>
      </c>
      <c r="K44" s="10">
        <v>49913544.310000002</v>
      </c>
      <c r="L44" s="10">
        <v>0</v>
      </c>
      <c r="M44" s="10">
        <v>0</v>
      </c>
      <c r="N44" s="17">
        <v>49913544.310000002</v>
      </c>
      <c r="O44" s="10">
        <f t="shared" si="1"/>
        <v>0</v>
      </c>
    </row>
    <row r="45" spans="2:15" x14ac:dyDescent="0.25">
      <c r="B45" t="s">
        <v>964</v>
      </c>
      <c r="C45" t="s">
        <v>1019</v>
      </c>
      <c r="D45" s="10">
        <v>0</v>
      </c>
      <c r="E45" s="10">
        <v>179370564.58000001</v>
      </c>
      <c r="F45" s="10">
        <v>0</v>
      </c>
      <c r="G45" s="10">
        <v>2628450</v>
      </c>
      <c r="H45" s="17">
        <v>181999014.58000001</v>
      </c>
      <c r="I45" s="10">
        <f t="shared" si="0"/>
        <v>0</v>
      </c>
      <c r="J45" s="10">
        <v>0</v>
      </c>
      <c r="K45" s="10">
        <v>163961211.91999999</v>
      </c>
      <c r="L45" s="10">
        <v>0</v>
      </c>
      <c r="M45" s="10">
        <v>2372557.2000000002</v>
      </c>
      <c r="N45" s="17">
        <v>166333769.12</v>
      </c>
      <c r="O45" s="10">
        <f t="shared" si="1"/>
        <v>0</v>
      </c>
    </row>
    <row r="46" spans="2:15" x14ac:dyDescent="0.25">
      <c r="B46" t="s">
        <v>965</v>
      </c>
      <c r="C46" t="s">
        <v>1020</v>
      </c>
      <c r="D46" s="10">
        <v>0</v>
      </c>
      <c r="E46" s="10">
        <v>78678196.290000007</v>
      </c>
      <c r="F46" s="10">
        <v>0</v>
      </c>
      <c r="G46" s="10">
        <v>0</v>
      </c>
      <c r="H46" s="17">
        <v>78678196.290000007</v>
      </c>
      <c r="I46" s="10">
        <f t="shared" si="0"/>
        <v>0</v>
      </c>
      <c r="J46" s="10">
        <v>0</v>
      </c>
      <c r="K46" s="10">
        <v>77370850.550000012</v>
      </c>
      <c r="L46" s="10">
        <v>0</v>
      </c>
      <c r="M46" s="10">
        <v>0</v>
      </c>
      <c r="N46" s="17">
        <v>77370850.550000012</v>
      </c>
      <c r="O46" s="10">
        <f t="shared" si="1"/>
        <v>0</v>
      </c>
    </row>
    <row r="47" spans="2:15" x14ac:dyDescent="0.25">
      <c r="B47" t="s">
        <v>966</v>
      </c>
      <c r="C47" t="s">
        <v>1021</v>
      </c>
      <c r="D47" s="10">
        <v>0</v>
      </c>
      <c r="E47" s="10">
        <v>50060027.469999999</v>
      </c>
      <c r="F47" s="10">
        <v>0</v>
      </c>
      <c r="G47" s="10">
        <v>0</v>
      </c>
      <c r="H47" s="17">
        <v>50060027.469999999</v>
      </c>
      <c r="I47" s="10">
        <f t="shared" si="0"/>
        <v>0</v>
      </c>
      <c r="J47" s="10">
        <v>0</v>
      </c>
      <c r="K47" s="10">
        <v>49796364.18</v>
      </c>
      <c r="L47" s="10">
        <v>0</v>
      </c>
      <c r="M47" s="10">
        <v>0</v>
      </c>
      <c r="N47" s="17">
        <v>49796364.18</v>
      </c>
      <c r="O47" s="10">
        <f t="shared" si="1"/>
        <v>0</v>
      </c>
    </row>
    <row r="48" spans="2:15" x14ac:dyDescent="0.25">
      <c r="B48" t="s">
        <v>967</v>
      </c>
      <c r="C48" t="s">
        <v>1016</v>
      </c>
      <c r="D48" s="10">
        <v>659566337.48000002</v>
      </c>
      <c r="E48" s="10">
        <v>481612952.51999998</v>
      </c>
      <c r="F48" s="10">
        <v>0</v>
      </c>
      <c r="G48" s="10">
        <v>32213179.16</v>
      </c>
      <c r="H48" s="17">
        <v>1173392469.1600001</v>
      </c>
      <c r="I48" s="10">
        <f t="shared" si="0"/>
        <v>0</v>
      </c>
      <c r="J48" s="10">
        <v>650029345.78999996</v>
      </c>
      <c r="K48" s="10">
        <v>439730899.08999997</v>
      </c>
      <c r="L48" s="10">
        <v>0</v>
      </c>
      <c r="M48" s="10">
        <v>27390388.350000001</v>
      </c>
      <c r="N48" s="17">
        <v>1117150633.23</v>
      </c>
      <c r="O48" s="10">
        <f t="shared" si="1"/>
        <v>0</v>
      </c>
    </row>
    <row r="49" spans="2:15" x14ac:dyDescent="0.25">
      <c r="B49" t="s">
        <v>225</v>
      </c>
      <c r="C49" t="s">
        <v>1022</v>
      </c>
      <c r="D49" s="10">
        <v>0</v>
      </c>
      <c r="E49" s="10">
        <v>19113384.760000002</v>
      </c>
      <c r="F49" s="10">
        <v>0</v>
      </c>
      <c r="G49" s="10">
        <v>2646916683.8099999</v>
      </c>
      <c r="H49" s="17">
        <v>2666030068.5799999</v>
      </c>
      <c r="I49" s="10">
        <f t="shared" si="0"/>
        <v>9.9997520446777344E-3</v>
      </c>
      <c r="J49" s="10">
        <v>0</v>
      </c>
      <c r="K49" s="10">
        <v>18354680.899999999</v>
      </c>
      <c r="L49" s="10">
        <v>0</v>
      </c>
      <c r="M49" s="10">
        <v>615709948.75999999</v>
      </c>
      <c r="N49" s="17">
        <v>634064629.65999997</v>
      </c>
      <c r="O49" s="10">
        <f t="shared" si="1"/>
        <v>0</v>
      </c>
    </row>
    <row r="50" spans="2:15" x14ac:dyDescent="0.25">
      <c r="B50" t="s">
        <v>227</v>
      </c>
      <c r="C50" t="s">
        <v>1023</v>
      </c>
      <c r="D50" s="10">
        <v>0</v>
      </c>
      <c r="E50" s="10">
        <v>323834346.75</v>
      </c>
      <c r="F50" s="10">
        <v>0</v>
      </c>
      <c r="G50" s="10">
        <v>1446482724.4000001</v>
      </c>
      <c r="H50" s="17">
        <v>1770317071.1500001</v>
      </c>
      <c r="I50" s="10">
        <f t="shared" si="0"/>
        <v>0</v>
      </c>
      <c r="J50" s="10">
        <v>0</v>
      </c>
      <c r="K50" s="17">
        <v>71260166.680000007</v>
      </c>
      <c r="L50" s="17">
        <v>0</v>
      </c>
      <c r="M50" s="17">
        <v>586379978.88999999</v>
      </c>
      <c r="N50" s="17">
        <v>657640145.57000005</v>
      </c>
      <c r="O50" s="10">
        <f t="shared" si="1"/>
        <v>0</v>
      </c>
    </row>
    <row r="51" spans="2:15" x14ac:dyDescent="0.25">
      <c r="B51" t="s">
        <v>229</v>
      </c>
      <c r="C51" t="s">
        <v>1024</v>
      </c>
      <c r="D51" s="10">
        <v>0</v>
      </c>
      <c r="E51" s="10">
        <v>8429858.5099999998</v>
      </c>
      <c r="F51" s="10">
        <v>0</v>
      </c>
      <c r="G51" s="10">
        <v>1642495062.98</v>
      </c>
      <c r="H51" s="17">
        <v>1650924921.49</v>
      </c>
      <c r="I51" s="10">
        <f t="shared" si="0"/>
        <v>0</v>
      </c>
      <c r="J51" s="10">
        <v>0</v>
      </c>
      <c r="K51" s="10">
        <v>5030998.99</v>
      </c>
      <c r="L51" s="10">
        <v>0</v>
      </c>
      <c r="M51" s="10">
        <v>888299212.94000006</v>
      </c>
      <c r="N51" s="17">
        <v>893330211.92999995</v>
      </c>
      <c r="O51" s="10">
        <f t="shared" si="1"/>
        <v>0</v>
      </c>
    </row>
    <row r="52" spans="2:15" x14ac:dyDescent="0.25">
      <c r="B52" t="s">
        <v>231</v>
      </c>
      <c r="C52" t="s">
        <v>1025</v>
      </c>
      <c r="D52" s="10">
        <v>0</v>
      </c>
      <c r="E52" s="10">
        <v>133144660.5</v>
      </c>
      <c r="F52" s="10">
        <v>0</v>
      </c>
      <c r="G52" s="10">
        <v>626152186.85000002</v>
      </c>
      <c r="H52" s="17">
        <v>759296847.35000002</v>
      </c>
      <c r="I52" s="10">
        <f t="shared" si="0"/>
        <v>0</v>
      </c>
      <c r="J52" s="10">
        <v>0</v>
      </c>
      <c r="K52" s="10">
        <v>100016831.66</v>
      </c>
      <c r="L52" s="10">
        <v>0</v>
      </c>
      <c r="M52" s="10">
        <v>259709685.99000001</v>
      </c>
      <c r="N52" s="17">
        <v>359726517.64999998</v>
      </c>
      <c r="O52" s="10">
        <f t="shared" si="1"/>
        <v>0</v>
      </c>
    </row>
    <row r="53" spans="2:15" x14ac:dyDescent="0.25">
      <c r="B53" t="s">
        <v>968</v>
      </c>
      <c r="C53" t="s">
        <v>1026</v>
      </c>
      <c r="D53" s="10">
        <v>0</v>
      </c>
      <c r="E53" s="10">
        <v>3800579</v>
      </c>
      <c r="F53" s="10">
        <v>0</v>
      </c>
      <c r="G53" s="10">
        <v>347464357.87</v>
      </c>
      <c r="H53" s="17">
        <v>351264936.87</v>
      </c>
      <c r="I53" s="10">
        <f t="shared" si="0"/>
        <v>0</v>
      </c>
      <c r="J53" s="10">
        <v>0</v>
      </c>
      <c r="K53" s="10">
        <v>3285956.7</v>
      </c>
      <c r="L53" s="10">
        <v>0</v>
      </c>
      <c r="M53" s="10">
        <v>70834304.5</v>
      </c>
      <c r="N53" s="17">
        <v>74120261.200000003</v>
      </c>
      <c r="O53" s="10">
        <f t="shared" si="1"/>
        <v>0</v>
      </c>
    </row>
    <row r="54" spans="2:15" x14ac:dyDescent="0.25">
      <c r="B54" t="s">
        <v>969</v>
      </c>
      <c r="C54" t="s">
        <v>1027</v>
      </c>
      <c r="H54" s="18"/>
      <c r="I54" s="10">
        <f t="shared" si="0"/>
        <v>0</v>
      </c>
      <c r="N54" s="18"/>
      <c r="O54" s="10">
        <f t="shared" si="1"/>
        <v>0</v>
      </c>
    </row>
    <row r="55" spans="2:15" x14ac:dyDescent="0.25">
      <c r="B55" t="s">
        <v>970</v>
      </c>
      <c r="C55" t="s">
        <v>1028</v>
      </c>
      <c r="D55" s="10">
        <v>0</v>
      </c>
      <c r="E55" s="10">
        <v>27223574.759999998</v>
      </c>
      <c r="F55" s="10">
        <v>0</v>
      </c>
      <c r="G55" s="10">
        <v>91875544.170000002</v>
      </c>
      <c r="H55" s="17">
        <v>119099118.93000001</v>
      </c>
      <c r="I55" s="10">
        <f t="shared" si="0"/>
        <v>0</v>
      </c>
      <c r="J55" s="10">
        <v>0</v>
      </c>
      <c r="K55" s="10">
        <v>26296395.68</v>
      </c>
      <c r="L55" s="10">
        <v>0</v>
      </c>
      <c r="M55" s="10">
        <v>65173259.130000003</v>
      </c>
      <c r="N55" s="17">
        <v>91469654.810000002</v>
      </c>
      <c r="O55" s="10">
        <f t="shared" si="1"/>
        <v>0</v>
      </c>
    </row>
    <row r="56" spans="2:15" x14ac:dyDescent="0.25">
      <c r="B56" t="s">
        <v>233</v>
      </c>
      <c r="C56" t="s">
        <v>1046</v>
      </c>
      <c r="D56" s="10">
        <v>0</v>
      </c>
      <c r="E56" s="10">
        <v>0</v>
      </c>
      <c r="F56" s="10">
        <v>0</v>
      </c>
      <c r="G56" s="17">
        <v>983985588.27999997</v>
      </c>
      <c r="H56" s="17">
        <v>983985588.27999997</v>
      </c>
      <c r="I56" s="10">
        <f t="shared" si="0"/>
        <v>0</v>
      </c>
      <c r="J56" s="10">
        <v>0</v>
      </c>
      <c r="K56" s="10">
        <v>0</v>
      </c>
      <c r="L56" s="10">
        <v>0</v>
      </c>
      <c r="M56" s="10">
        <v>591966159.30999994</v>
      </c>
      <c r="N56" s="17">
        <v>591966159.30999994</v>
      </c>
      <c r="O56" s="10">
        <f t="shared" si="1"/>
        <v>0</v>
      </c>
    </row>
    <row r="57" spans="2:15" x14ac:dyDescent="0.25">
      <c r="B57" t="s">
        <v>235</v>
      </c>
      <c r="C57" t="s">
        <v>1047</v>
      </c>
      <c r="D57" s="10">
        <v>0</v>
      </c>
      <c r="E57" s="10">
        <v>0</v>
      </c>
      <c r="F57" s="10">
        <v>0</v>
      </c>
      <c r="G57" s="10">
        <v>111696960.45999999</v>
      </c>
      <c r="H57" s="17">
        <v>111696960.45999999</v>
      </c>
      <c r="I57" s="10">
        <f t="shared" si="0"/>
        <v>0</v>
      </c>
      <c r="J57" s="10">
        <v>0</v>
      </c>
      <c r="K57" s="10">
        <v>0</v>
      </c>
      <c r="L57" s="10">
        <v>0</v>
      </c>
      <c r="M57" s="10">
        <v>81032759.430000007</v>
      </c>
      <c r="N57" s="17">
        <v>81032759.430000007</v>
      </c>
      <c r="O57" s="10">
        <f t="shared" si="1"/>
        <v>0</v>
      </c>
    </row>
    <row r="58" spans="2:15" x14ac:dyDescent="0.25">
      <c r="B58" t="s">
        <v>237</v>
      </c>
      <c r="C58" t="s">
        <v>1048</v>
      </c>
      <c r="D58" s="10">
        <v>0</v>
      </c>
      <c r="E58" s="10">
        <v>0</v>
      </c>
      <c r="F58" s="10">
        <v>0</v>
      </c>
      <c r="G58" s="10">
        <v>49251355.050000004</v>
      </c>
      <c r="H58" s="17">
        <v>49251355.050000004</v>
      </c>
      <c r="I58" s="10">
        <f t="shared" si="0"/>
        <v>0</v>
      </c>
      <c r="J58" s="10">
        <v>0</v>
      </c>
      <c r="K58" s="10">
        <v>0</v>
      </c>
      <c r="L58" s="10">
        <v>0</v>
      </c>
      <c r="M58" s="10">
        <v>29391693.620000001</v>
      </c>
      <c r="N58" s="17">
        <v>29391693.620000001</v>
      </c>
      <c r="O58" s="10">
        <f t="shared" si="1"/>
        <v>0</v>
      </c>
    </row>
    <row r="59" spans="2:15" x14ac:dyDescent="0.25">
      <c r="B59" t="s">
        <v>971</v>
      </c>
      <c r="C59" t="s">
        <v>1045</v>
      </c>
      <c r="D59" s="10">
        <v>19454579.550000001</v>
      </c>
      <c r="E59" s="10">
        <v>36789214.240000002</v>
      </c>
      <c r="F59" s="10">
        <v>0</v>
      </c>
      <c r="G59" s="10">
        <v>0</v>
      </c>
      <c r="H59" s="17">
        <v>56243793.789999999</v>
      </c>
      <c r="I59" s="10">
        <f t="shared" si="0"/>
        <v>0</v>
      </c>
      <c r="J59" s="10">
        <v>18699516.739999998</v>
      </c>
      <c r="K59" s="10">
        <v>26607222.440000001</v>
      </c>
      <c r="L59" s="10">
        <v>0</v>
      </c>
      <c r="M59" s="10">
        <v>0</v>
      </c>
      <c r="N59" s="17">
        <v>45306739.18</v>
      </c>
      <c r="O59" s="10">
        <f t="shared" si="1"/>
        <v>0</v>
      </c>
    </row>
    <row r="60" spans="2:15" x14ac:dyDescent="0.25">
      <c r="B60" t="s">
        <v>972</v>
      </c>
      <c r="C60" t="s">
        <v>1049</v>
      </c>
      <c r="D60" s="10">
        <v>0</v>
      </c>
      <c r="E60" s="10">
        <v>0</v>
      </c>
      <c r="F60" s="10">
        <v>0</v>
      </c>
      <c r="G60" s="10">
        <v>46974339.960000001</v>
      </c>
      <c r="H60" s="17">
        <v>46974339.960000001</v>
      </c>
      <c r="I60" s="10">
        <f t="shared" si="0"/>
        <v>0</v>
      </c>
      <c r="J60" s="10">
        <v>0</v>
      </c>
      <c r="K60" s="10">
        <v>0</v>
      </c>
      <c r="L60" s="10">
        <v>0</v>
      </c>
      <c r="M60" s="10">
        <v>27230075.859999999</v>
      </c>
      <c r="N60" s="17">
        <v>27230075.859999999</v>
      </c>
      <c r="O60" s="10">
        <f t="shared" si="1"/>
        <v>0</v>
      </c>
    </row>
    <row r="61" spans="2:15" x14ac:dyDescent="0.25">
      <c r="B61" t="s">
        <v>239</v>
      </c>
      <c r="C61" t="s">
        <v>1050</v>
      </c>
      <c r="D61" s="10">
        <v>340000</v>
      </c>
      <c r="E61" s="10">
        <v>142990815.84999999</v>
      </c>
      <c r="F61" s="10">
        <v>0</v>
      </c>
      <c r="G61" s="10">
        <v>0</v>
      </c>
      <c r="H61" s="17">
        <v>143330815.84999999</v>
      </c>
      <c r="I61" s="10">
        <f t="shared" si="0"/>
        <v>0</v>
      </c>
      <c r="J61" s="10">
        <v>340000</v>
      </c>
      <c r="K61" s="10">
        <v>126498517.26000001</v>
      </c>
      <c r="L61" s="10">
        <v>0</v>
      </c>
      <c r="M61" s="10">
        <v>0</v>
      </c>
      <c r="N61" s="17">
        <v>126838517.26000001</v>
      </c>
      <c r="O61" s="10">
        <f t="shared" si="1"/>
        <v>0</v>
      </c>
    </row>
    <row r="62" spans="2:15" x14ac:dyDescent="0.25">
      <c r="B62" t="s">
        <v>973</v>
      </c>
      <c r="C62" s="15" t="s">
        <v>1056</v>
      </c>
      <c r="D62" s="10">
        <v>0</v>
      </c>
      <c r="E62" s="10">
        <v>0</v>
      </c>
      <c r="F62" s="10">
        <v>0</v>
      </c>
      <c r="G62" s="10">
        <v>0</v>
      </c>
      <c r="H62" s="10">
        <v>0</v>
      </c>
      <c r="I62" s="10">
        <f t="shared" si="0"/>
        <v>0</v>
      </c>
      <c r="J62" s="10">
        <v>0</v>
      </c>
      <c r="K62" s="10">
        <v>0</v>
      </c>
      <c r="L62" s="10">
        <v>0</v>
      </c>
      <c r="M62" s="10">
        <v>0</v>
      </c>
      <c r="N62" s="17">
        <v>0</v>
      </c>
      <c r="O62" s="10">
        <f t="shared" si="1"/>
        <v>0</v>
      </c>
    </row>
    <row r="63" spans="2:15" x14ac:dyDescent="0.25">
      <c r="B63" t="s">
        <v>532</v>
      </c>
      <c r="C63" t="s">
        <v>1051</v>
      </c>
      <c r="D63" s="10">
        <v>49928653.840000004</v>
      </c>
      <c r="E63" s="10">
        <v>33419512.43</v>
      </c>
      <c r="F63" s="10">
        <v>0</v>
      </c>
      <c r="G63" s="10">
        <v>0</v>
      </c>
      <c r="H63" s="17">
        <v>83348166.270000011</v>
      </c>
      <c r="I63" s="10">
        <f t="shared" si="0"/>
        <v>0</v>
      </c>
      <c r="J63" s="10">
        <v>48817516.43</v>
      </c>
      <c r="K63" s="10">
        <v>12121512.279999999</v>
      </c>
      <c r="L63" s="10">
        <v>0</v>
      </c>
      <c r="M63" s="10">
        <v>0</v>
      </c>
      <c r="N63" s="17">
        <v>60939028.710000001</v>
      </c>
      <c r="O63" s="10">
        <f t="shared" si="1"/>
        <v>0</v>
      </c>
    </row>
    <row r="64" spans="2:15" x14ac:dyDescent="0.25">
      <c r="B64" t="s">
        <v>293</v>
      </c>
      <c r="C64" t="s">
        <v>1052</v>
      </c>
      <c r="D64" s="10">
        <v>164672661.78999999</v>
      </c>
      <c r="E64" s="10">
        <v>319866035.49000001</v>
      </c>
      <c r="F64" s="10">
        <v>0</v>
      </c>
      <c r="G64" s="10">
        <v>28914262.739999998</v>
      </c>
      <c r="H64" s="17">
        <v>513452960.01999998</v>
      </c>
      <c r="I64" s="10">
        <f t="shared" si="0"/>
        <v>0</v>
      </c>
      <c r="J64" s="10">
        <v>162530856.30000001</v>
      </c>
      <c r="K64" s="10">
        <v>280942021.06</v>
      </c>
      <c r="L64" s="10">
        <v>0</v>
      </c>
      <c r="M64" s="10">
        <v>14590521.539999999</v>
      </c>
      <c r="N64" s="17">
        <v>458063398.89999998</v>
      </c>
      <c r="O64" s="10">
        <f t="shared" si="1"/>
        <v>0</v>
      </c>
    </row>
    <row r="65" spans="2:15" x14ac:dyDescent="0.25">
      <c r="B65" t="s">
        <v>537</v>
      </c>
      <c r="C65" t="s">
        <v>1053</v>
      </c>
      <c r="D65" s="10">
        <v>21462179.199999999</v>
      </c>
      <c r="E65" s="10">
        <v>33256039.91</v>
      </c>
      <c r="F65" s="10">
        <v>0</v>
      </c>
      <c r="G65" s="10">
        <v>0</v>
      </c>
      <c r="H65" s="17">
        <v>54718219.109999999</v>
      </c>
      <c r="I65" s="10">
        <f t="shared" si="0"/>
        <v>0</v>
      </c>
      <c r="J65" s="10">
        <v>21233870.350000001</v>
      </c>
      <c r="K65" s="10">
        <v>27293906.75</v>
      </c>
      <c r="L65" s="10">
        <v>0</v>
      </c>
      <c r="M65" s="10">
        <v>0</v>
      </c>
      <c r="N65" s="17">
        <v>48527777.100000001</v>
      </c>
      <c r="O65" s="10">
        <f t="shared" si="1"/>
        <v>0</v>
      </c>
    </row>
    <row r="66" spans="2:15" x14ac:dyDescent="0.25">
      <c r="B66" t="s">
        <v>538</v>
      </c>
      <c r="C66" t="s">
        <v>1054</v>
      </c>
      <c r="D66" s="10">
        <v>340317300.87</v>
      </c>
      <c r="E66" s="10">
        <v>438528974.76999998</v>
      </c>
      <c r="F66" s="10">
        <v>0</v>
      </c>
      <c r="G66" s="10">
        <v>68913198.639999986</v>
      </c>
      <c r="H66" s="17">
        <v>847759474.27999997</v>
      </c>
      <c r="I66" s="10">
        <f t="shared" si="0"/>
        <v>0</v>
      </c>
      <c r="J66" s="10">
        <v>337548765.70999998</v>
      </c>
      <c r="K66" s="10">
        <v>279485291.92000002</v>
      </c>
      <c r="L66" s="10">
        <v>0</v>
      </c>
      <c r="M66" s="10">
        <v>20283622.75</v>
      </c>
      <c r="N66" s="17">
        <v>637317680.38</v>
      </c>
      <c r="O66" s="10">
        <f t="shared" si="1"/>
        <v>0</v>
      </c>
    </row>
    <row r="67" spans="2:15" x14ac:dyDescent="0.25">
      <c r="B67" t="s">
        <v>539</v>
      </c>
      <c r="C67" t="s">
        <v>1055</v>
      </c>
      <c r="D67" s="10">
        <v>53015226.990000002</v>
      </c>
      <c r="E67" s="10">
        <v>104036640.79000001</v>
      </c>
      <c r="F67" s="10">
        <v>0</v>
      </c>
      <c r="G67" s="10">
        <v>2695771.17</v>
      </c>
      <c r="H67" s="17">
        <v>159747638.94999999</v>
      </c>
      <c r="I67" s="10">
        <f>H67-SUM(D67:G67)</f>
        <v>0</v>
      </c>
      <c r="J67" s="10">
        <v>52327830.75</v>
      </c>
      <c r="K67" s="10">
        <v>79663131.909999996</v>
      </c>
      <c r="L67" s="10">
        <v>0</v>
      </c>
      <c r="M67" s="10">
        <v>0</v>
      </c>
      <c r="N67" s="17">
        <v>131990962.66</v>
      </c>
      <c r="O67" s="10">
        <f>N67-SUM(J67:M67)</f>
        <v>0</v>
      </c>
    </row>
    <row r="68" spans="2:15" x14ac:dyDescent="0.25">
      <c r="B68" t="s">
        <v>540</v>
      </c>
      <c r="I68" s="10">
        <f>H68-SUM(D68:G68)</f>
        <v>0</v>
      </c>
      <c r="N68" s="17"/>
      <c r="O68" s="10">
        <f>N68-SUM(J68:M68)</f>
        <v>0</v>
      </c>
    </row>
    <row r="69" spans="2:15" x14ac:dyDescent="0.25">
      <c r="B69" s="4" t="s">
        <v>1002</v>
      </c>
      <c r="C69" s="15" t="s">
        <v>1109</v>
      </c>
      <c r="D69" s="10">
        <v>0</v>
      </c>
      <c r="E69" s="10">
        <v>4183639744.8200002</v>
      </c>
      <c r="F69" s="10">
        <v>0</v>
      </c>
      <c r="G69" s="10">
        <v>1910157309.52</v>
      </c>
      <c r="H69" s="10">
        <v>6093797054.3400002</v>
      </c>
      <c r="I69" s="10">
        <f>H69-SUM(D69:G69)</f>
        <v>0</v>
      </c>
      <c r="J69" s="10">
        <v>0</v>
      </c>
      <c r="K69" s="10">
        <v>2454308275.9699998</v>
      </c>
      <c r="L69" s="10">
        <v>0</v>
      </c>
      <c r="M69" s="10">
        <v>480819644.91000003</v>
      </c>
      <c r="N69" s="17">
        <v>2935127920.8800001</v>
      </c>
      <c r="O69" s="10">
        <f>N69-SUM(J69:M69)</f>
        <v>0</v>
      </c>
    </row>
    <row r="70" spans="2:15" x14ac:dyDescent="0.25">
      <c r="B70" t="s">
        <v>202</v>
      </c>
      <c r="C70" t="s">
        <v>203</v>
      </c>
      <c r="N70" s="17"/>
    </row>
    <row r="71" spans="2:15" x14ac:dyDescent="0.25">
      <c r="B71" t="s">
        <v>204</v>
      </c>
      <c r="C71" t="s">
        <v>205</v>
      </c>
      <c r="D71" s="10">
        <v>-29.99</v>
      </c>
      <c r="E71" s="10">
        <f>-3000+30+0.07</f>
        <v>-2969.93</v>
      </c>
      <c r="G71" s="10">
        <f>3000-0.07</f>
        <v>2999.93</v>
      </c>
    </row>
    <row r="72" spans="2:15" x14ac:dyDescent="0.25">
      <c r="B72" t="s">
        <v>218</v>
      </c>
      <c r="C72" t="s">
        <v>1057</v>
      </c>
    </row>
    <row r="73" spans="2:15" x14ac:dyDescent="0.25">
      <c r="B73" t="s">
        <v>220</v>
      </c>
      <c r="C73" t="s">
        <v>1058</v>
      </c>
    </row>
    <row r="74" spans="2:15" x14ac:dyDescent="0.25">
      <c r="B74" t="s">
        <v>222</v>
      </c>
    </row>
    <row r="75" spans="2:15" x14ac:dyDescent="0.25">
      <c r="B75" t="s">
        <v>618</v>
      </c>
    </row>
    <row r="76" spans="2:15" x14ac:dyDescent="0.25">
      <c r="B76" t="s">
        <v>202</v>
      </c>
      <c r="C76" t="s">
        <v>203</v>
      </c>
    </row>
    <row r="77" spans="2:15" x14ac:dyDescent="0.25">
      <c r="B77" t="s">
        <v>204</v>
      </c>
      <c r="C77" t="s">
        <v>205</v>
      </c>
    </row>
    <row r="78" spans="2:15" x14ac:dyDescent="0.25">
      <c r="B78" t="s">
        <v>209</v>
      </c>
      <c r="C78" t="s">
        <v>1007</v>
      </c>
    </row>
    <row r="79" spans="2:15" x14ac:dyDescent="0.25">
      <c r="B79" t="s">
        <v>211</v>
      </c>
      <c r="C79" t="s">
        <v>1078</v>
      </c>
    </row>
    <row r="80" spans="2:15" x14ac:dyDescent="0.25">
      <c r="B80" t="s">
        <v>213</v>
      </c>
      <c r="C80" t="s">
        <v>1059</v>
      </c>
    </row>
    <row r="81" spans="2:3" x14ac:dyDescent="0.25">
      <c r="B81" t="s">
        <v>618</v>
      </c>
    </row>
    <row r="82" spans="2:3" x14ac:dyDescent="0.25">
      <c r="B82" t="s">
        <v>721</v>
      </c>
      <c r="C82" t="s">
        <v>1060</v>
      </c>
    </row>
    <row r="83" spans="2:3" x14ac:dyDescent="0.25">
      <c r="B83" t="s">
        <v>725</v>
      </c>
      <c r="C83" t="s">
        <v>1061</v>
      </c>
    </row>
    <row r="84" spans="2:3" x14ac:dyDescent="0.25">
      <c r="B84" t="s">
        <v>976</v>
      </c>
      <c r="C84" t="s">
        <v>1063</v>
      </c>
    </row>
    <row r="85" spans="2:3" x14ac:dyDescent="0.25">
      <c r="B85" t="s">
        <v>954</v>
      </c>
      <c r="C85" t="s">
        <v>1062</v>
      </c>
    </row>
    <row r="86" spans="2:3" x14ac:dyDescent="0.25">
      <c r="B86" t="s">
        <v>962</v>
      </c>
      <c r="C86" t="s">
        <v>1015</v>
      </c>
    </row>
    <row r="87" spans="2:3" x14ac:dyDescent="0.25">
      <c r="B87" s="4" t="s">
        <v>977</v>
      </c>
      <c r="C87" t="s">
        <v>1110</v>
      </c>
    </row>
    <row r="88" spans="2:3" x14ac:dyDescent="0.25">
      <c r="B88" s="4" t="s">
        <v>1111</v>
      </c>
      <c r="C88" t="s">
        <v>1112</v>
      </c>
    </row>
    <row r="89" spans="2:3" x14ac:dyDescent="0.25">
      <c r="B89" s="4" t="s">
        <v>1113</v>
      </c>
      <c r="C89" t="s">
        <v>1117</v>
      </c>
    </row>
    <row r="90" spans="2:3" x14ac:dyDescent="0.25">
      <c r="B90" s="4" t="s">
        <v>1114</v>
      </c>
      <c r="C90" t="s">
        <v>1118</v>
      </c>
    </row>
    <row r="91" spans="2:3" x14ac:dyDescent="0.25">
      <c r="B91" s="4" t="s">
        <v>1115</v>
      </c>
      <c r="C91" t="s">
        <v>1119</v>
      </c>
    </row>
    <row r="92" spans="2:3" x14ac:dyDescent="0.25">
      <c r="B92" s="4" t="s">
        <v>1116</v>
      </c>
      <c r="C92" t="s">
        <v>1120</v>
      </c>
    </row>
    <row r="93" spans="2:3" x14ac:dyDescent="0.25">
      <c r="B93" t="s">
        <v>978</v>
      </c>
      <c r="C93" t="s">
        <v>1070</v>
      </c>
    </row>
    <row r="94" spans="2:3" x14ac:dyDescent="0.25">
      <c r="B94" t="s">
        <v>979</v>
      </c>
      <c r="C94" t="s">
        <v>1071</v>
      </c>
    </row>
    <row r="95" spans="2:3" x14ac:dyDescent="0.25">
      <c r="B95" t="s">
        <v>980</v>
      </c>
      <c r="C95" t="s">
        <v>1072</v>
      </c>
    </row>
    <row r="96" spans="2:3" x14ac:dyDescent="0.25">
      <c r="B96" t="s">
        <v>981</v>
      </c>
    </row>
    <row r="97" spans="2:3" x14ac:dyDescent="0.25">
      <c r="B97" t="s">
        <v>982</v>
      </c>
    </row>
    <row r="98" spans="2:3" x14ac:dyDescent="0.25">
      <c r="B98" t="s">
        <v>983</v>
      </c>
    </row>
    <row r="99" spans="2:3" x14ac:dyDescent="0.25">
      <c r="B99" t="s">
        <v>984</v>
      </c>
      <c r="C99" t="s">
        <v>1121</v>
      </c>
    </row>
    <row r="100" spans="2:3" x14ac:dyDescent="0.25">
      <c r="B100" t="s">
        <v>520</v>
      </c>
      <c r="C100" t="s">
        <v>1064</v>
      </c>
    </row>
    <row r="101" spans="2:3" x14ac:dyDescent="0.25">
      <c r="B101" t="s">
        <v>521</v>
      </c>
      <c r="C101" t="s">
        <v>1052</v>
      </c>
    </row>
    <row r="102" spans="2:3" x14ac:dyDescent="0.25">
      <c r="B102" t="s">
        <v>522</v>
      </c>
      <c r="C102" t="s">
        <v>1065</v>
      </c>
    </row>
    <row r="103" spans="2:3" x14ac:dyDescent="0.25">
      <c r="B103" t="s">
        <v>523</v>
      </c>
      <c r="C103" t="s">
        <v>1066</v>
      </c>
    </row>
    <row r="104" spans="2:3" x14ac:dyDescent="0.25">
      <c r="B104" s="4" t="s">
        <v>530</v>
      </c>
      <c r="C104" t="s">
        <v>1122</v>
      </c>
    </row>
    <row r="105" spans="2:3" x14ac:dyDescent="0.25">
      <c r="B105" t="s">
        <v>985</v>
      </c>
      <c r="C105" t="s">
        <v>1130</v>
      </c>
    </row>
    <row r="106" spans="2:3" x14ac:dyDescent="0.25">
      <c r="B106" t="s">
        <v>986</v>
      </c>
    </row>
    <row r="107" spans="2:3" x14ac:dyDescent="0.25">
      <c r="B107" t="s">
        <v>987</v>
      </c>
    </row>
    <row r="108" spans="2:3" x14ac:dyDescent="0.25">
      <c r="B108" s="4" t="s">
        <v>531</v>
      </c>
      <c r="C108" t="s">
        <v>1124</v>
      </c>
    </row>
    <row r="109" spans="2:3" x14ac:dyDescent="0.25">
      <c r="B109" s="4" t="s">
        <v>1123</v>
      </c>
      <c r="C109" t="s">
        <v>1074</v>
      </c>
    </row>
    <row r="110" spans="2:3" x14ac:dyDescent="0.25">
      <c r="B110" t="s">
        <v>532</v>
      </c>
      <c r="C110" t="s">
        <v>1067</v>
      </c>
    </row>
    <row r="111" spans="2:3" x14ac:dyDescent="0.25">
      <c r="B111" t="s">
        <v>242</v>
      </c>
      <c r="C111" t="s">
        <v>1073</v>
      </c>
    </row>
    <row r="112" spans="2:3" x14ac:dyDescent="0.25">
      <c r="B112" t="s">
        <v>293</v>
      </c>
      <c r="C112" t="s">
        <v>1068</v>
      </c>
    </row>
    <row r="113" spans="2:3" x14ac:dyDescent="0.25">
      <c r="B113" t="s">
        <v>202</v>
      </c>
      <c r="C113" t="s">
        <v>203</v>
      </c>
    </row>
    <row r="114" spans="2:3" x14ac:dyDescent="0.25">
      <c r="B114" t="s">
        <v>204</v>
      </c>
      <c r="C114" t="s">
        <v>205</v>
      </c>
    </row>
    <row r="115" spans="2:3" x14ac:dyDescent="0.25">
      <c r="B115" t="s">
        <v>218</v>
      </c>
      <c r="C115" t="s">
        <v>1052</v>
      </c>
    </row>
    <row r="116" spans="2:3" x14ac:dyDescent="0.25">
      <c r="B116" t="s">
        <v>220</v>
      </c>
      <c r="C116" t="s">
        <v>1055</v>
      </c>
    </row>
    <row r="117" spans="2:3" x14ac:dyDescent="0.25">
      <c r="B117" t="s">
        <v>642</v>
      </c>
      <c r="C117" t="s">
        <v>1075</v>
      </c>
    </row>
    <row r="118" spans="2:3" x14ac:dyDescent="0.25">
      <c r="B118" t="s">
        <v>641</v>
      </c>
      <c r="C118" t="s">
        <v>1076</v>
      </c>
    </row>
    <row r="119" spans="2:3" x14ac:dyDescent="0.25">
      <c r="B119" t="s">
        <v>202</v>
      </c>
      <c r="C119" t="s">
        <v>203</v>
      </c>
    </row>
    <row r="120" spans="2:3" x14ac:dyDescent="0.25">
      <c r="B120" t="s">
        <v>204</v>
      </c>
      <c r="C120" t="s">
        <v>205</v>
      </c>
    </row>
    <row r="121" spans="2:3" x14ac:dyDescent="0.25">
      <c r="B121" t="s">
        <v>721</v>
      </c>
      <c r="C121" t="s">
        <v>1079</v>
      </c>
    </row>
    <row r="122" spans="2:3" x14ac:dyDescent="0.25">
      <c r="B122" t="s">
        <v>722</v>
      </c>
      <c r="C122" t="s">
        <v>1080</v>
      </c>
    </row>
    <row r="123" spans="2:3" x14ac:dyDescent="0.25">
      <c r="B123" t="s">
        <v>725</v>
      </c>
      <c r="C123" t="s">
        <v>1081</v>
      </c>
    </row>
    <row r="124" spans="2:3" x14ac:dyDescent="0.25">
      <c r="B124" t="s">
        <v>976</v>
      </c>
      <c r="C124" t="s">
        <v>1082</v>
      </c>
    </row>
    <row r="125" spans="2:3" x14ac:dyDescent="0.25">
      <c r="B125" t="s">
        <v>620</v>
      </c>
      <c r="C125" t="s">
        <v>1083</v>
      </c>
    </row>
    <row r="126" spans="2:3" x14ac:dyDescent="0.25">
      <c r="B126" t="s">
        <v>202</v>
      </c>
      <c r="C126" t="s">
        <v>203</v>
      </c>
    </row>
    <row r="127" spans="2:3" x14ac:dyDescent="0.25">
      <c r="B127" t="s">
        <v>204</v>
      </c>
      <c r="C127" t="s">
        <v>205</v>
      </c>
    </row>
    <row r="128" spans="2:3" x14ac:dyDescent="0.25">
      <c r="B128" t="s">
        <v>218</v>
      </c>
      <c r="C128" t="s">
        <v>1084</v>
      </c>
    </row>
    <row r="129" spans="2:3" x14ac:dyDescent="0.25">
      <c r="B129" t="s">
        <v>220</v>
      </c>
      <c r="C129" t="s">
        <v>1085</v>
      </c>
    </row>
    <row r="130" spans="2:3" x14ac:dyDescent="0.25">
      <c r="B130" t="s">
        <v>222</v>
      </c>
      <c r="C130" t="s">
        <v>1086</v>
      </c>
    </row>
    <row r="131" spans="2:3" x14ac:dyDescent="0.25">
      <c r="B131" t="s">
        <v>516</v>
      </c>
      <c r="C131" t="s">
        <v>1087</v>
      </c>
    </row>
    <row r="132" spans="2:3" x14ac:dyDescent="0.25">
      <c r="B132" t="s">
        <v>517</v>
      </c>
      <c r="C132" t="s">
        <v>1131</v>
      </c>
    </row>
    <row r="133" spans="2:3" x14ac:dyDescent="0.25">
      <c r="B133" t="s">
        <v>518</v>
      </c>
      <c r="C133" t="s">
        <v>1088</v>
      </c>
    </row>
    <row r="134" spans="2:3" x14ac:dyDescent="0.25">
      <c r="B134" t="s">
        <v>991</v>
      </c>
    </row>
    <row r="135" spans="2:3" x14ac:dyDescent="0.25">
      <c r="B135" t="s">
        <v>618</v>
      </c>
      <c r="C135" t="s">
        <v>1132</v>
      </c>
    </row>
    <row r="136" spans="2:3" x14ac:dyDescent="0.25">
      <c r="B136" s="4" t="s">
        <v>642</v>
      </c>
      <c r="C136" t="s">
        <v>1133</v>
      </c>
    </row>
    <row r="137" spans="2:3" x14ac:dyDescent="0.25">
      <c r="B137" t="s">
        <v>640</v>
      </c>
    </row>
    <row r="138" spans="2:3" x14ac:dyDescent="0.25">
      <c r="B138" t="s">
        <v>639</v>
      </c>
    </row>
    <row r="139" spans="2:3" x14ac:dyDescent="0.25">
      <c r="B139" t="s">
        <v>638</v>
      </c>
    </row>
    <row r="140" spans="2:3" x14ac:dyDescent="0.25">
      <c r="B140" t="s">
        <v>632</v>
      </c>
      <c r="C140" t="s">
        <v>1089</v>
      </c>
    </row>
    <row r="141" spans="2:3" x14ac:dyDescent="0.25">
      <c r="B141" t="s">
        <v>992</v>
      </c>
    </row>
    <row r="142" spans="2:3" x14ac:dyDescent="0.25">
      <c r="B142" t="s">
        <v>688</v>
      </c>
    </row>
    <row r="143" spans="2:3" x14ac:dyDescent="0.25">
      <c r="B143" t="s">
        <v>993</v>
      </c>
    </row>
    <row r="144" spans="2:3" x14ac:dyDescent="0.25">
      <c r="B144" t="s">
        <v>202</v>
      </c>
      <c r="C144" t="s">
        <v>203</v>
      </c>
    </row>
    <row r="145" spans="2:3" x14ac:dyDescent="0.25">
      <c r="B145" t="s">
        <v>204</v>
      </c>
      <c r="C145" t="s">
        <v>205</v>
      </c>
    </row>
    <row r="146" spans="2:3" x14ac:dyDescent="0.25">
      <c r="B146" t="s">
        <v>218</v>
      </c>
      <c r="C146" t="s">
        <v>1069</v>
      </c>
    </row>
    <row r="147" spans="2:3" x14ac:dyDescent="0.25">
      <c r="B147" t="s">
        <v>220</v>
      </c>
      <c r="C147" t="s">
        <v>1090</v>
      </c>
    </row>
    <row r="148" spans="2:3" x14ac:dyDescent="0.25">
      <c r="B148" t="s">
        <v>222</v>
      </c>
      <c r="C148" t="s">
        <v>1078</v>
      </c>
    </row>
    <row r="149" spans="2:3" x14ac:dyDescent="0.25">
      <c r="B149" t="s">
        <v>202</v>
      </c>
      <c r="C149" t="s">
        <v>203</v>
      </c>
    </row>
    <row r="150" spans="2:3" x14ac:dyDescent="0.25">
      <c r="B150" t="s">
        <v>204</v>
      </c>
      <c r="C150" t="s">
        <v>205</v>
      </c>
    </row>
    <row r="151" spans="2:3" x14ac:dyDescent="0.25">
      <c r="B151" t="s">
        <v>209</v>
      </c>
      <c r="C151" t="s">
        <v>1095</v>
      </c>
    </row>
    <row r="152" spans="2:3" x14ac:dyDescent="0.25">
      <c r="B152" t="s">
        <v>218</v>
      </c>
      <c r="C152" t="s">
        <v>1096</v>
      </c>
    </row>
    <row r="153" spans="2:3" x14ac:dyDescent="0.25">
      <c r="B153" t="s">
        <v>220</v>
      </c>
      <c r="C153" t="s">
        <v>1090</v>
      </c>
    </row>
    <row r="154" spans="2:3" x14ac:dyDescent="0.25">
      <c r="B154" t="s">
        <v>222</v>
      </c>
      <c r="C154" t="s">
        <v>1078</v>
      </c>
    </row>
    <row r="155" spans="2:3" x14ac:dyDescent="0.25">
      <c r="B155" s="4" t="s">
        <v>618</v>
      </c>
      <c r="C155" t="s">
        <v>1125</v>
      </c>
    </row>
    <row r="156" spans="2:3" x14ac:dyDescent="0.25">
      <c r="B156" s="4" t="s">
        <v>642</v>
      </c>
      <c r="C156" t="s">
        <v>1126</v>
      </c>
    </row>
    <row r="157" spans="2:3" x14ac:dyDescent="0.25">
      <c r="B157" s="4" t="s">
        <v>641</v>
      </c>
      <c r="C157" t="s">
        <v>1127</v>
      </c>
    </row>
    <row r="158" spans="2:3" x14ac:dyDescent="0.25">
      <c r="B158" s="4" t="s">
        <v>640</v>
      </c>
      <c r="C158" t="s">
        <v>1128</v>
      </c>
    </row>
    <row r="159" spans="2:3" x14ac:dyDescent="0.25">
      <c r="B159" s="4" t="s">
        <v>639</v>
      </c>
      <c r="C159" t="s">
        <v>1129</v>
      </c>
    </row>
    <row r="160" spans="2:3" x14ac:dyDescent="0.25">
      <c r="B160" t="s">
        <v>997</v>
      </c>
    </row>
    <row r="161" spans="2:3" x14ac:dyDescent="0.25">
      <c r="B161" t="s">
        <v>558</v>
      </c>
    </row>
    <row r="162" spans="2:3" x14ac:dyDescent="0.25">
      <c r="B162" t="s">
        <v>520</v>
      </c>
      <c r="C162" t="s">
        <v>1052</v>
      </c>
    </row>
    <row r="163" spans="2:3" x14ac:dyDescent="0.25">
      <c r="B163" t="s">
        <v>521</v>
      </c>
      <c r="C163" t="s">
        <v>1055</v>
      </c>
    </row>
    <row r="164" spans="2:3" x14ac:dyDescent="0.25">
      <c r="B164" t="s">
        <v>202</v>
      </c>
      <c r="C164" t="s">
        <v>203</v>
      </c>
    </row>
    <row r="165" spans="2:3" x14ac:dyDescent="0.25">
      <c r="B165" t="s">
        <v>204</v>
      </c>
      <c r="C165" t="s">
        <v>205</v>
      </c>
    </row>
    <row r="166" spans="2:3" x14ac:dyDescent="0.25">
      <c r="B166" t="s">
        <v>218</v>
      </c>
      <c r="C166" t="s">
        <v>1091</v>
      </c>
    </row>
    <row r="167" spans="2:3" x14ac:dyDescent="0.25">
      <c r="B167" t="s">
        <v>220</v>
      </c>
      <c r="C167" t="s">
        <v>1092</v>
      </c>
    </row>
    <row r="168" spans="2:3" x14ac:dyDescent="0.25">
      <c r="B168" t="s">
        <v>222</v>
      </c>
      <c r="C168" t="s">
        <v>1093</v>
      </c>
    </row>
    <row r="169" spans="2:3" x14ac:dyDescent="0.25">
      <c r="B169" t="s">
        <v>688</v>
      </c>
      <c r="C169" t="s">
        <v>1094</v>
      </c>
    </row>
    <row r="170" spans="2:3" x14ac:dyDescent="0.25">
      <c r="B170" t="s">
        <v>689</v>
      </c>
    </row>
    <row r="171" spans="2:3" x14ac:dyDescent="0.25">
      <c r="B171" t="s">
        <v>202</v>
      </c>
      <c r="C171" t="s">
        <v>203</v>
      </c>
    </row>
    <row r="172" spans="2:3" x14ac:dyDescent="0.25">
      <c r="B172" t="s">
        <v>204</v>
      </c>
      <c r="C172" t="s">
        <v>205</v>
      </c>
    </row>
    <row r="173" spans="2:3" x14ac:dyDescent="0.25">
      <c r="B173" t="s">
        <v>209</v>
      </c>
      <c r="C173" t="s">
        <v>1007</v>
      </c>
    </row>
    <row r="174" spans="2:3" x14ac:dyDescent="0.25">
      <c r="B174" t="s">
        <v>211</v>
      </c>
      <c r="C174" t="s">
        <v>1077</v>
      </c>
    </row>
    <row r="175" spans="2:3" x14ac:dyDescent="0.25">
      <c r="B175" t="s">
        <v>218</v>
      </c>
      <c r="C175" t="s">
        <v>1078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DAR</vt:lpstr>
      <vt:lpstr>DA</vt:lpstr>
      <vt:lpstr>DepEd</vt:lpstr>
      <vt:lpstr>DOE</vt:lpstr>
      <vt:lpstr>DENR</vt:lpstr>
      <vt:lpstr>DOH</vt:lpstr>
      <vt:lpstr>DSWD</vt:lpstr>
      <vt:lpstr>PCW</vt:lpstr>
      <vt:lpstr>TESDA</vt:lpstr>
      <vt:lpstr>Judiciary</vt:lpstr>
      <vt:lpstr>DA Discrepancy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 Montesa</dc:creator>
  <cp:lastModifiedBy>AJ Montesa</cp:lastModifiedBy>
  <dcterms:created xsi:type="dcterms:W3CDTF">2026-05-18T21:19:12Z</dcterms:created>
  <dcterms:modified xsi:type="dcterms:W3CDTF">2026-09-07T09:18:59Z</dcterms:modified>
</cp:coreProperties>
</file>
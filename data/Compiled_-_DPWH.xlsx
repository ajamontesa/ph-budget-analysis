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\GitHub Repositories\ph-budget-analysis\data\"/>
    </mc:Choice>
  </mc:AlternateContent>
  <xr:revisionPtr revIDLastSave="0" documentId="13_ncr:1_{E14EBF8C-EF7A-4FD2-9DF0-DABA5498B750}" xr6:coauthVersionLast="47" xr6:coauthVersionMax="47" xr10:uidLastSave="{00000000-0000-0000-0000-000000000000}"/>
  <bookViews>
    <workbookView xWindow="11040" yWindow="480" windowWidth="15150" windowHeight="14145" firstSheet="5" activeTab="7" xr2:uid="{5E488CEF-EF67-4855-9179-68AD58577D3C}"/>
  </bookViews>
  <sheets>
    <sheet name="DPWH_OSec" sheetId="1" r:id="rId1"/>
    <sheet name="DPWH_UA" sheetId="9" r:id="rId2"/>
    <sheet name="NewAppro_ByProgram" sheetId="3" r:id="rId3"/>
    <sheet name="NewAppro_ByOperUnit" sheetId="4" r:id="rId4"/>
    <sheet name="2019_Veto" sheetId="6" r:id="rId5"/>
    <sheet name="2025_Veto" sheetId="10" r:id="rId6"/>
    <sheet name="2014-2017" sheetId="11" r:id="rId7"/>
    <sheet name="2018-2027" sheetId="12" r:id="rId8"/>
    <sheet name="UACS_2026" sheetId="2" r:id="rId9"/>
    <sheet name="Sheet7" sheetId="7" r:id="rId10"/>
  </sheets>
  <definedNames>
    <definedName name="_xlnm._FilterDatabase" localSheetId="3" hidden="1">NewAppro_ByOperUnit!$A$1:$D$1854</definedName>
    <definedName name="_xlnm._FilterDatabase" localSheetId="2" hidden="1">NewAppro_ByProgram!$A$1:$C$1</definedName>
    <definedName name="_xlnm._FilterDatabase" localSheetId="8" hidden="1">UACS_2026!$H$3:$M$92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40" i="12" l="1"/>
  <c r="G40" i="12"/>
  <c r="L40" i="12"/>
  <c r="K40" i="12"/>
  <c r="Q40" i="12"/>
  <c r="P40" i="12"/>
  <c r="L32" i="12"/>
  <c r="K32" i="12"/>
  <c r="Q32" i="12"/>
  <c r="P32" i="12"/>
  <c r="AM40" i="12"/>
  <c r="AU40" i="12"/>
  <c r="AR40" i="12"/>
  <c r="AQ40" i="12"/>
  <c r="AP40" i="12"/>
  <c r="AL40" i="12"/>
  <c r="AK40" i="12"/>
  <c r="AH40" i="12"/>
  <c r="AG40" i="12"/>
  <c r="AD40" i="12"/>
  <c r="AC40" i="12"/>
  <c r="AB40" i="12"/>
  <c r="Y40" i="12"/>
  <c r="X40" i="12"/>
  <c r="U40" i="12"/>
  <c r="T40" i="12"/>
  <c r="U32" i="12"/>
  <c r="T32" i="12"/>
  <c r="Y32" i="12"/>
  <c r="X32" i="12"/>
  <c r="AD32" i="12"/>
  <c r="AC32" i="12"/>
  <c r="AB32" i="12"/>
  <c r="AH32" i="12"/>
  <c r="AG32" i="12"/>
  <c r="AL32" i="12"/>
  <c r="AK32" i="12"/>
  <c r="AR32" i="12"/>
  <c r="AQ32" i="12"/>
  <c r="AP32" i="12"/>
  <c r="AU32" i="12"/>
  <c r="AU19" i="12"/>
  <c r="AR19" i="12"/>
  <c r="AQ19" i="12"/>
  <c r="AP19" i="12"/>
  <c r="AL19" i="12"/>
  <c r="AK19" i="12"/>
  <c r="AH19" i="12"/>
  <c r="AG19" i="12"/>
  <c r="AD19" i="12"/>
  <c r="AC19" i="12"/>
  <c r="AB19" i="12"/>
  <c r="Y19" i="12"/>
  <c r="X19" i="12"/>
  <c r="U19" i="12"/>
  <c r="T19" i="12"/>
  <c r="Q19" i="12"/>
  <c r="P19" i="12"/>
  <c r="L19" i="12"/>
  <c r="K19" i="12"/>
  <c r="H19" i="12"/>
  <c r="G19" i="12"/>
  <c r="AD6" i="12"/>
  <c r="AU6" i="12"/>
  <c r="AR6" i="12"/>
  <c r="AQ6" i="12"/>
  <c r="AP6" i="12"/>
  <c r="AL6" i="12"/>
  <c r="AK6" i="12"/>
  <c r="AH6" i="12"/>
  <c r="AG6" i="12"/>
  <c r="AC6" i="12"/>
  <c r="AB6" i="12"/>
  <c r="Y6" i="12"/>
  <c r="X6" i="12"/>
  <c r="U6" i="12"/>
  <c r="T6" i="12"/>
  <c r="Q6" i="12"/>
  <c r="P6" i="12"/>
  <c r="L6" i="12"/>
  <c r="K6" i="12"/>
  <c r="H6" i="12"/>
  <c r="G6" i="12"/>
  <c r="T48" i="11"/>
  <c r="S48" i="11"/>
  <c r="P48" i="11"/>
  <c r="O48" i="11"/>
  <c r="L48" i="11"/>
  <c r="K48" i="11"/>
  <c r="H48" i="11"/>
  <c r="G48" i="11"/>
  <c r="T35" i="11"/>
  <c r="S35" i="11"/>
  <c r="P35" i="11"/>
  <c r="O35" i="11"/>
  <c r="L35" i="11"/>
  <c r="K35" i="11"/>
  <c r="H35" i="11"/>
  <c r="G35" i="11"/>
  <c r="T31" i="11"/>
  <c r="S31" i="11"/>
  <c r="P31" i="11"/>
  <c r="O31" i="11"/>
  <c r="L31" i="11"/>
  <c r="K31" i="11"/>
  <c r="H31" i="11"/>
  <c r="G31" i="11"/>
  <c r="T20" i="11"/>
  <c r="S20" i="11"/>
  <c r="P20" i="11"/>
  <c r="O20" i="11"/>
  <c r="L20" i="11"/>
  <c r="K20" i="11"/>
  <c r="H20" i="11"/>
  <c r="G20" i="11"/>
  <c r="T6" i="11"/>
  <c r="S6" i="11"/>
  <c r="P6" i="11"/>
  <c r="O6" i="11"/>
  <c r="L6" i="11"/>
  <c r="K6" i="11"/>
  <c r="H6" i="11"/>
  <c r="G6" i="11"/>
  <c r="AU106" i="12"/>
  <c r="T101" i="12"/>
  <c r="H101" i="12"/>
  <c r="G101" i="12"/>
  <c r="T97" i="12"/>
  <c r="H97" i="12"/>
  <c r="G97" i="12"/>
  <c r="T96" i="12"/>
  <c r="H96" i="12"/>
  <c r="G96" i="12"/>
  <c r="T93" i="12"/>
  <c r="H93" i="12"/>
  <c r="T91" i="12"/>
  <c r="H91" i="12"/>
  <c r="G91" i="12"/>
  <c r="T90" i="12"/>
  <c r="H90" i="12"/>
  <c r="G90" i="12"/>
  <c r="T87" i="12"/>
  <c r="H87" i="12"/>
  <c r="G87" i="12"/>
  <c r="T85" i="12"/>
  <c r="AU83" i="12"/>
  <c r="AR83" i="12"/>
  <c r="AQ83" i="12"/>
  <c r="AP83" i="12"/>
  <c r="AL83" i="12"/>
  <c r="AK83" i="12"/>
  <c r="AG83" i="12"/>
  <c r="AD83" i="12"/>
  <c r="AB83" i="12"/>
  <c r="AK78" i="12"/>
  <c r="AU42" i="12"/>
  <c r="AR42" i="12"/>
  <c r="AQ42" i="12"/>
  <c r="AP42" i="12"/>
  <c r="AL42" i="12"/>
  <c r="AK42" i="12"/>
  <c r="AG42" i="12"/>
  <c r="AD42" i="12"/>
  <c r="AC42" i="12"/>
  <c r="AB42" i="12"/>
  <c r="Y42" i="12"/>
  <c r="X42" i="12"/>
  <c r="U42" i="12"/>
  <c r="T42" i="12"/>
  <c r="Q42" i="12"/>
  <c r="P42" i="12"/>
  <c r="L42" i="12"/>
  <c r="K42" i="12"/>
  <c r="H42" i="12"/>
  <c r="G42" i="12"/>
  <c r="AR41" i="12"/>
  <c r="AQ41" i="12"/>
  <c r="AP41" i="12"/>
  <c r="AL41" i="12"/>
  <c r="AK41" i="12"/>
  <c r="AG41" i="12"/>
  <c r="AD41" i="12"/>
  <c r="AC41" i="12"/>
  <c r="AB41" i="12"/>
  <c r="Y41" i="12"/>
  <c r="X41" i="12"/>
  <c r="U41" i="12"/>
  <c r="T41" i="12"/>
  <c r="Q41" i="12"/>
  <c r="P41" i="12"/>
  <c r="L41" i="12"/>
  <c r="K41" i="12"/>
  <c r="H41" i="12"/>
  <c r="G41" i="12"/>
  <c r="AU39" i="12"/>
  <c r="AR39" i="12"/>
  <c r="AQ39" i="12"/>
  <c r="AP39" i="12"/>
  <c r="AL39" i="12"/>
  <c r="AK39" i="12"/>
  <c r="AG39" i="12"/>
  <c r="AD39" i="12"/>
  <c r="AB39" i="12"/>
  <c r="Y39" i="12"/>
  <c r="X39" i="12"/>
  <c r="U39" i="12"/>
  <c r="T39" i="12"/>
  <c r="L39" i="12"/>
  <c r="K39" i="12"/>
  <c r="AU38" i="12"/>
  <c r="AR38" i="12"/>
  <c r="AQ38" i="12"/>
  <c r="AP38" i="12"/>
  <c r="AL38" i="12"/>
  <c r="AK38" i="12"/>
  <c r="AG38" i="12"/>
  <c r="AD38" i="12"/>
  <c r="AC38" i="12"/>
  <c r="AB38" i="12"/>
  <c r="Y38" i="12"/>
  <c r="X38" i="12"/>
  <c r="U38" i="12"/>
  <c r="T38" i="12"/>
  <c r="Q38" i="12"/>
  <c r="P38" i="12"/>
  <c r="L38" i="12"/>
  <c r="K38" i="12"/>
  <c r="H38" i="12"/>
  <c r="G38" i="12"/>
  <c r="AU36" i="12"/>
  <c r="AR36" i="12"/>
  <c r="AQ36" i="12"/>
  <c r="AP36" i="12"/>
  <c r="AL36" i="12"/>
  <c r="AK36" i="12"/>
  <c r="AG36" i="12"/>
  <c r="AD36" i="12"/>
  <c r="AC36" i="12"/>
  <c r="AB36" i="12"/>
  <c r="Y36" i="12"/>
  <c r="X36" i="12"/>
  <c r="U36" i="12"/>
  <c r="T36" i="12"/>
  <c r="Q36" i="12"/>
  <c r="P36" i="12"/>
  <c r="L36" i="12"/>
  <c r="K36" i="12"/>
  <c r="H36" i="12"/>
  <c r="G36" i="12"/>
  <c r="AR30" i="12"/>
  <c r="AQ30" i="12"/>
  <c r="AP30" i="12"/>
  <c r="AL30" i="12"/>
  <c r="AK30" i="12"/>
  <c r="AG30" i="12"/>
  <c r="AD30" i="12"/>
  <c r="AC30" i="12"/>
  <c r="AB30" i="12"/>
  <c r="Y30" i="12"/>
  <c r="X30" i="12"/>
  <c r="U30" i="12"/>
  <c r="T30" i="12"/>
  <c r="Q30" i="12"/>
  <c r="P30" i="12"/>
  <c r="L30" i="12"/>
  <c r="K30" i="12"/>
  <c r="H30" i="12"/>
  <c r="G30" i="12"/>
  <c r="AR25" i="12"/>
  <c r="AQ25" i="12"/>
  <c r="AP25" i="12"/>
  <c r="AL25" i="12"/>
  <c r="AK25" i="12"/>
  <c r="AG25" i="12"/>
  <c r="AD25" i="12"/>
  <c r="AC25" i="12"/>
  <c r="AB25" i="12"/>
  <c r="Y25" i="12"/>
  <c r="X25" i="12"/>
  <c r="U25" i="12"/>
  <c r="T25" i="12"/>
  <c r="Q25" i="12"/>
  <c r="P25" i="12"/>
  <c r="L25" i="12"/>
  <c r="K25" i="12"/>
  <c r="H25" i="12"/>
  <c r="G25" i="12"/>
  <c r="AU24" i="12"/>
  <c r="AR24" i="12"/>
  <c r="AQ24" i="12"/>
  <c r="AP24" i="12"/>
  <c r="AL24" i="12"/>
  <c r="AK24" i="12"/>
  <c r="AG24" i="12"/>
  <c r="AD24" i="12"/>
  <c r="AC24" i="12"/>
  <c r="AB24" i="12"/>
  <c r="Y24" i="12"/>
  <c r="X24" i="12"/>
  <c r="U24" i="12"/>
  <c r="T24" i="12"/>
  <c r="Q24" i="12"/>
  <c r="P24" i="12"/>
  <c r="L24" i="12"/>
  <c r="K24" i="12"/>
  <c r="H24" i="12"/>
  <c r="AU23" i="12"/>
  <c r="AR23" i="12"/>
  <c r="AQ23" i="12"/>
  <c r="AP23" i="12"/>
  <c r="AL23" i="12"/>
  <c r="AK23" i="12"/>
  <c r="AG23" i="12"/>
  <c r="AD23" i="12"/>
  <c r="AC23" i="12"/>
  <c r="AB23" i="12"/>
  <c r="Y23" i="12"/>
  <c r="X23" i="12"/>
  <c r="U23" i="12"/>
  <c r="T23" i="12"/>
  <c r="Q23" i="12"/>
  <c r="P23" i="12"/>
  <c r="L23" i="12"/>
  <c r="K23" i="12"/>
  <c r="H23" i="12"/>
  <c r="G23" i="12"/>
  <c r="AU12" i="12"/>
  <c r="AR12" i="12"/>
  <c r="AQ12" i="12"/>
  <c r="AP12" i="12"/>
  <c r="AL12" i="12"/>
  <c r="AK12" i="12"/>
  <c r="AG12" i="12"/>
  <c r="AD12" i="12"/>
  <c r="AC12" i="12"/>
  <c r="AB12" i="12"/>
  <c r="Y12" i="12"/>
  <c r="X12" i="12"/>
  <c r="U12" i="12"/>
  <c r="T12" i="12"/>
  <c r="Q12" i="12"/>
  <c r="P12" i="12"/>
  <c r="AG10" i="12"/>
  <c r="AU7" i="12"/>
  <c r="AR7" i="12"/>
  <c r="AQ7" i="12"/>
  <c r="AP7" i="12"/>
  <c r="AL7" i="12"/>
  <c r="AK7" i="12"/>
  <c r="AG7" i="12"/>
  <c r="AD7" i="12"/>
  <c r="AC7" i="12"/>
  <c r="AB7" i="12"/>
  <c r="Y7" i="12"/>
  <c r="X7" i="12"/>
  <c r="U7" i="12"/>
  <c r="T7" i="12"/>
  <c r="Q7" i="12"/>
  <c r="P7" i="12"/>
  <c r="L7" i="12"/>
  <c r="K7" i="12"/>
  <c r="H7" i="12"/>
  <c r="G7" i="12"/>
  <c r="AU5" i="12"/>
  <c r="AR5" i="12"/>
  <c r="AQ5" i="12"/>
  <c r="AP5" i="12"/>
  <c r="AL5" i="12"/>
  <c r="AK5" i="12"/>
  <c r="AG5" i="12"/>
  <c r="AD5" i="12"/>
  <c r="AB5" i="12"/>
  <c r="Y5" i="12"/>
  <c r="X5" i="12"/>
  <c r="U5" i="12"/>
  <c r="T5" i="12"/>
  <c r="L5" i="12"/>
  <c r="K5" i="12"/>
  <c r="AQ3" i="12"/>
  <c r="AQ2" i="12"/>
  <c r="T21" i="11"/>
  <c r="S21" i="11"/>
  <c r="Q42" i="1"/>
  <c r="C1812" i="4"/>
  <c r="C1810" i="4"/>
  <c r="C1853" i="4"/>
  <c r="C1723" i="4"/>
  <c r="C1851" i="4"/>
  <c r="C1850" i="4"/>
  <c r="C1806" i="4"/>
  <c r="C1763" i="4"/>
  <c r="C1764" i="4"/>
  <c r="C1660" i="4"/>
  <c r="C1680" i="4"/>
  <c r="C1679" i="4"/>
  <c r="C1739" i="4"/>
  <c r="C1738" i="4"/>
  <c r="C1688" i="4"/>
  <c r="C1691" i="4"/>
  <c r="C1690" i="4"/>
  <c r="C1689" i="4"/>
  <c r="C1722" i="4"/>
  <c r="C1721" i="4"/>
  <c r="C1802" i="4" l="1"/>
  <c r="C1678" i="4"/>
  <c r="C1791" i="4"/>
  <c r="C1744" i="4"/>
  <c r="C1743" i="4"/>
  <c r="C1675" i="4"/>
  <c r="C1760" i="4"/>
  <c r="C1674" i="4"/>
  <c r="C1700" i="4"/>
  <c r="C1801" i="4"/>
  <c r="C1799" i="4"/>
  <c r="C1823" i="4"/>
  <c r="C1735" i="4"/>
  <c r="C1706" i="4"/>
  <c r="C1774" i="4"/>
  <c r="C1684" i="4"/>
  <c r="C1835" i="4"/>
  <c r="C1834" i="4"/>
  <c r="C1833" i="4"/>
  <c r="C1831" i="4"/>
  <c r="C1828" i="4"/>
  <c r="C1829" i="4"/>
  <c r="C1830" i="4"/>
  <c r="C1655" i="4"/>
  <c r="C1783" i="4"/>
  <c r="C1759" i="4"/>
  <c r="C1769" i="4"/>
  <c r="C1821" i="4"/>
  <c r="C1757" i="4"/>
  <c r="C1756" i="4"/>
  <c r="C1755" i="4"/>
  <c r="C1717" i="4"/>
  <c r="C1716" i="4"/>
  <c r="C1782" i="4"/>
  <c r="C1781" i="4"/>
  <c r="C1780" i="4"/>
  <c r="C1795" i="4"/>
  <c r="C1730" i="4"/>
  <c r="C1729" i="4"/>
  <c r="C1728" i="4"/>
  <c r="C1727" i="4"/>
  <c r="C1715" i="4"/>
  <c r="C1714" i="4"/>
  <c r="C1752" i="4"/>
  <c r="C1751" i="4"/>
  <c r="C1750" i="4"/>
  <c r="C1845" i="4"/>
  <c r="C1692" i="4"/>
  <c r="C1620" i="4"/>
  <c r="D1419" i="4"/>
  <c r="C594" i="4"/>
  <c r="C382" i="4"/>
  <c r="S40" i="1"/>
  <c r="M92" i="2" l="1"/>
  <c r="J92" i="2"/>
  <c r="B92" i="2"/>
  <c r="M91" i="2"/>
  <c r="J91" i="2"/>
  <c r="B91" i="2"/>
  <c r="M90" i="2"/>
  <c r="J90" i="2"/>
  <c r="B90" i="2"/>
  <c r="M89" i="2"/>
  <c r="J89" i="2"/>
  <c r="D89" i="2"/>
  <c r="B89" i="2"/>
  <c r="M88" i="2"/>
  <c r="J88" i="2"/>
  <c r="D88" i="2"/>
  <c r="B88" i="2"/>
  <c r="M87" i="2"/>
  <c r="J87" i="2"/>
  <c r="D87" i="2"/>
  <c r="B87" i="2"/>
  <c r="M86" i="2"/>
  <c r="J86" i="2"/>
  <c r="D86" i="2"/>
  <c r="B86" i="2"/>
  <c r="M85" i="2"/>
  <c r="J85" i="2"/>
  <c r="D85" i="2"/>
  <c r="B85" i="2"/>
  <c r="M84" i="2"/>
  <c r="J84" i="2"/>
  <c r="D84" i="2"/>
  <c r="B84" i="2"/>
  <c r="J83" i="2"/>
  <c r="D83" i="2"/>
  <c r="B83" i="2"/>
  <c r="M82" i="2"/>
  <c r="J82" i="2"/>
  <c r="D82" i="2"/>
  <c r="B82" i="2"/>
  <c r="M81" i="2"/>
  <c r="J81" i="2"/>
  <c r="D81" i="2"/>
  <c r="B81" i="2"/>
  <c r="M80" i="2"/>
  <c r="J80" i="2"/>
  <c r="D80" i="2"/>
  <c r="B80" i="2"/>
  <c r="M79" i="2"/>
  <c r="J79" i="2"/>
  <c r="D79" i="2"/>
  <c r="B79" i="2"/>
  <c r="M78" i="2"/>
  <c r="J78" i="2"/>
  <c r="D78" i="2"/>
  <c r="B78" i="2"/>
  <c r="M77" i="2"/>
  <c r="J77" i="2"/>
  <c r="D77" i="2"/>
  <c r="B77" i="2"/>
  <c r="M76" i="2"/>
  <c r="J76" i="2"/>
  <c r="D76" i="2"/>
  <c r="B76" i="2"/>
  <c r="M75" i="2"/>
  <c r="J75" i="2"/>
  <c r="D75" i="2"/>
  <c r="B75" i="2"/>
  <c r="M74" i="2"/>
  <c r="J74" i="2"/>
  <c r="M73" i="2"/>
  <c r="J73" i="2"/>
  <c r="M72" i="2"/>
  <c r="J72" i="2"/>
  <c r="M71" i="2"/>
  <c r="J71" i="2"/>
  <c r="M70" i="2"/>
  <c r="J70" i="2"/>
  <c r="D70" i="2"/>
  <c r="B70" i="2"/>
  <c r="M69" i="2"/>
  <c r="J69" i="2"/>
  <c r="D69" i="2"/>
  <c r="B69" i="2"/>
  <c r="M68" i="2"/>
  <c r="J68" i="2"/>
  <c r="D68" i="2"/>
  <c r="B68" i="2"/>
  <c r="M67" i="2"/>
  <c r="J67" i="2"/>
  <c r="D67" i="2"/>
  <c r="B67" i="2"/>
  <c r="M66" i="2"/>
  <c r="J66" i="2"/>
  <c r="D66" i="2"/>
  <c r="B66" i="2"/>
  <c r="M65" i="2"/>
  <c r="J65" i="2"/>
  <c r="D65" i="2"/>
  <c r="B65" i="2"/>
  <c r="M64" i="2"/>
  <c r="J64" i="2"/>
  <c r="D64" i="2"/>
  <c r="B64" i="2"/>
  <c r="M63" i="2"/>
  <c r="J63" i="2"/>
  <c r="D63" i="2"/>
  <c r="B63" i="2"/>
  <c r="M62" i="2"/>
  <c r="J62" i="2"/>
  <c r="D62" i="2"/>
  <c r="B62" i="2"/>
  <c r="M61" i="2"/>
  <c r="J61" i="2"/>
  <c r="D61" i="2"/>
  <c r="B61" i="2"/>
  <c r="M60" i="2"/>
  <c r="J60" i="2"/>
  <c r="D60" i="2"/>
  <c r="B60" i="2"/>
  <c r="M59" i="2"/>
  <c r="J59" i="2"/>
  <c r="D59" i="2"/>
  <c r="B59" i="2"/>
  <c r="M58" i="2"/>
  <c r="J58" i="2"/>
  <c r="M57" i="2"/>
  <c r="J57" i="2"/>
  <c r="B57" i="2"/>
  <c r="M56" i="2"/>
  <c r="J56" i="2"/>
  <c r="B56" i="2"/>
  <c r="M55" i="2"/>
  <c r="J55" i="2"/>
  <c r="B55" i="2"/>
  <c r="M54" i="2"/>
  <c r="J54" i="2"/>
  <c r="B54" i="2"/>
  <c r="M53" i="2"/>
  <c r="J53" i="2"/>
  <c r="B53" i="2"/>
  <c r="M52" i="2"/>
  <c r="J52" i="2"/>
  <c r="B52" i="2"/>
  <c r="M51" i="2"/>
  <c r="J51" i="2"/>
  <c r="B51" i="2"/>
  <c r="M50" i="2"/>
  <c r="J50" i="2"/>
  <c r="B50" i="2"/>
  <c r="M49" i="2"/>
  <c r="J49" i="2"/>
  <c r="B49" i="2"/>
  <c r="M48" i="2"/>
  <c r="J48" i="2"/>
  <c r="B48" i="2"/>
  <c r="M47" i="2"/>
  <c r="J47" i="2"/>
  <c r="B47" i="2"/>
  <c r="M46" i="2"/>
  <c r="J46" i="2"/>
  <c r="B46" i="2"/>
  <c r="M45" i="2"/>
  <c r="J45" i="2"/>
  <c r="B45" i="2"/>
  <c r="L44" i="2"/>
  <c r="M44" i="2" s="1"/>
  <c r="J44" i="2"/>
  <c r="I44" i="2"/>
  <c r="B44" i="2"/>
  <c r="M43" i="2"/>
  <c r="J43" i="2"/>
  <c r="B43" i="2"/>
  <c r="M42" i="2"/>
  <c r="J42" i="2"/>
  <c r="B42" i="2"/>
  <c r="M41" i="2"/>
  <c r="J41" i="2"/>
  <c r="B41" i="2"/>
  <c r="M40" i="2"/>
  <c r="J40" i="2"/>
  <c r="B40" i="2"/>
  <c r="M39" i="2"/>
  <c r="J39" i="2"/>
  <c r="B39" i="2"/>
  <c r="M38" i="2"/>
  <c r="J38" i="2"/>
  <c r="B38" i="2"/>
  <c r="M37" i="2"/>
  <c r="J37" i="2"/>
  <c r="B37" i="2"/>
  <c r="M36" i="2"/>
  <c r="J36" i="2"/>
  <c r="B36" i="2"/>
  <c r="M35" i="2"/>
  <c r="J35" i="2"/>
  <c r="B35" i="2"/>
  <c r="M34" i="2"/>
  <c r="J34" i="2"/>
  <c r="B34" i="2"/>
  <c r="M33" i="2"/>
  <c r="J33" i="2"/>
  <c r="M32" i="2"/>
  <c r="J32" i="2"/>
  <c r="B32" i="2"/>
  <c r="M31" i="2"/>
  <c r="J31" i="2"/>
  <c r="B31" i="2"/>
  <c r="M30" i="2"/>
  <c r="J30" i="2"/>
  <c r="B30" i="2"/>
  <c r="M29" i="2"/>
  <c r="J29" i="2"/>
  <c r="M28" i="2"/>
  <c r="J28" i="2"/>
  <c r="B28" i="2"/>
  <c r="M27" i="2"/>
  <c r="J27" i="2"/>
  <c r="B27" i="2"/>
  <c r="M26" i="2"/>
  <c r="J26" i="2"/>
  <c r="B26" i="2"/>
  <c r="M25" i="2"/>
  <c r="J25" i="2"/>
  <c r="B25" i="2"/>
  <c r="M24" i="2"/>
  <c r="J24" i="2"/>
  <c r="B24" i="2"/>
  <c r="M23" i="2"/>
  <c r="J23" i="2"/>
  <c r="B23" i="2"/>
  <c r="M22" i="2"/>
  <c r="J22" i="2"/>
  <c r="M21" i="2"/>
  <c r="J21" i="2"/>
  <c r="B21" i="2"/>
  <c r="M20" i="2"/>
  <c r="J20" i="2"/>
  <c r="B20" i="2"/>
  <c r="M19" i="2"/>
  <c r="J19" i="2"/>
  <c r="B19" i="2"/>
  <c r="M18" i="2"/>
  <c r="J18" i="2"/>
  <c r="B18" i="2"/>
  <c r="M17" i="2"/>
  <c r="J17" i="2"/>
  <c r="M16" i="2"/>
  <c r="J16" i="2"/>
  <c r="B16" i="2"/>
  <c r="M15" i="2"/>
  <c r="J15" i="2"/>
  <c r="B15" i="2"/>
  <c r="M14" i="2"/>
  <c r="J14" i="2"/>
  <c r="B14" i="2"/>
  <c r="M13" i="2"/>
  <c r="J13" i="2"/>
  <c r="M12" i="2"/>
  <c r="J12" i="2"/>
  <c r="B12" i="2"/>
  <c r="M11" i="2"/>
  <c r="J11" i="2"/>
  <c r="B11" i="2"/>
  <c r="M10" i="2"/>
  <c r="J10" i="2"/>
  <c r="B10" i="2"/>
  <c r="M9" i="2"/>
  <c r="J9" i="2"/>
  <c r="M8" i="2"/>
  <c r="J8" i="2"/>
  <c r="B8" i="2"/>
  <c r="M7" i="2"/>
  <c r="J7" i="2"/>
  <c r="B7" i="2"/>
  <c r="M6" i="2"/>
  <c r="J6" i="2"/>
  <c r="B6" i="2"/>
  <c r="M5" i="2"/>
  <c r="J5" i="2"/>
  <c r="M4" i="2"/>
  <c r="J4" i="2"/>
  <c r="B4" i="2"/>
  <c r="B3" i="2"/>
  <c r="B2" i="2"/>
  <c r="M1" i="2"/>
  <c r="L1" i="2"/>
  <c r="K1" i="2"/>
  <c r="Q3" i="1"/>
  <c r="R3" i="1"/>
  <c r="Q4" i="1"/>
  <c r="S4" i="1"/>
  <c r="R5" i="1"/>
  <c r="Q6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</calcChain>
</file>

<file path=xl/sharedStrings.xml><?xml version="1.0" encoding="utf-8"?>
<sst xmlns="http://schemas.openxmlformats.org/spreadsheetml/2006/main" count="7116" uniqueCount="849">
  <si>
    <t>NEP</t>
  </si>
  <si>
    <t>GAA</t>
  </si>
  <si>
    <t>Actual Obligations</t>
  </si>
  <si>
    <t>DPWH New + Automatic Appropriations (thousand pesos)</t>
  </si>
  <si>
    <t>FY</t>
  </si>
  <si>
    <t>Share of the Total Budget</t>
  </si>
  <si>
    <t>PREXC</t>
  </si>
  <si>
    <t>PREXC_6D</t>
  </si>
  <si>
    <t>Program</t>
  </si>
  <si>
    <t>Subprogram</t>
  </si>
  <si>
    <t>SubprogramCategory</t>
  </si>
  <si>
    <t>100000000000000</t>
  </si>
  <si>
    <t>General Administration and Support</t>
  </si>
  <si>
    <t>General Admin + Support</t>
  </si>
  <si>
    <t>NEP2026v1</t>
  </si>
  <si>
    <t>NEP2026v2</t>
  </si>
  <si>
    <t>200000000000000</t>
  </si>
  <si>
    <t>Support to Operations</t>
  </si>
  <si>
    <t>NGA Budget</t>
  </si>
  <si>
    <t>Foreign-Assisted</t>
  </si>
  <si>
    <t>Total</t>
  </si>
  <si>
    <t>310100000000000</t>
  </si>
  <si>
    <t>ASSET PRESERVATION PROGRAM</t>
  </si>
  <si>
    <t>Preventive Maintenance</t>
  </si>
  <si>
    <t>310101000000000</t>
  </si>
  <si>
    <t>Preventive Maintenance - Primary Roads</t>
  </si>
  <si>
    <t>Preventive Maintenance of Roads</t>
  </si>
  <si>
    <t>Roads/Bridges</t>
  </si>
  <si>
    <t>310102000000000</t>
  </si>
  <si>
    <t>Preventive Maintenance - Secondary Roads</t>
  </si>
  <si>
    <t>310103000000000</t>
  </si>
  <si>
    <t>Preventive Maintenance - Tertiary Roads</t>
  </si>
  <si>
    <t>Rehabilitation/ Reconstruction/ Upgrading of Damaged Paved Roads</t>
  </si>
  <si>
    <t>310104000000000</t>
  </si>
  <si>
    <t>Rehabilitation/Reconstruction/Upgrading of Damaged Roads - Primary Roads</t>
  </si>
  <si>
    <t>Rehabilitation/Reconstruction/Upgrading of Damaged Roads</t>
  </si>
  <si>
    <t>310105000000000</t>
  </si>
  <si>
    <t>Rehabilitation/Reconstruction/Upgrading of Damaged Roads - Secondary Roads</t>
  </si>
  <si>
    <t>310106000000000</t>
  </si>
  <si>
    <t>Rehabilitation/Reconstruction/Upgrading of Damaged Roads - Tertiary Roads</t>
  </si>
  <si>
    <t>Rehabilitation/ Reconstruction of Roads with Slips, Slope Collapse, and Landslide</t>
  </si>
  <si>
    <t>310107000000000</t>
  </si>
  <si>
    <t>Rehabilitation/Reconstruction/Upgrading of Roads with Slips, Slope Collapse and Landslide - Primary Roads</t>
  </si>
  <si>
    <t>Rehabilitation/Reconstruction/Upgrading of Roads with Slips, Slope Collapse and Landslide</t>
  </si>
  <si>
    <t>310108000000000</t>
  </si>
  <si>
    <t>Rehabilitation/Reconstruction/Upgrading of Roads with Slips, Slope Collapse and Landslide - Secondary Roads</t>
  </si>
  <si>
    <t>310109000000000</t>
  </si>
  <si>
    <t>Rehabilitation/Reconstruction/Upgrading of Roads with Slips, Slope Collapse and Landslide - Tertiary Roads</t>
  </si>
  <si>
    <t>Construction/ Upgrading/ Rehabilitation of Drainage along National Roads</t>
  </si>
  <si>
    <t>310110000000000</t>
  </si>
  <si>
    <t>Construction/Upgrading/Rehabilitation of Drainage along National Roads - Primary Roads</t>
  </si>
  <si>
    <t>Construction/Upgrading/Rehabilitation of Drainage along National Roads</t>
  </si>
  <si>
    <t>Water/Drainage</t>
  </si>
  <si>
    <t>310111000000000</t>
  </si>
  <si>
    <t>Construction/Upgrading/Rehabilitation of Drainage along National Roads - Secondary Roads</t>
  </si>
  <si>
    <t>310112000000000</t>
  </si>
  <si>
    <t>Construction/Upgrading/Rehabilitation of Drainage along National Roads - Tertiary Roads</t>
  </si>
  <si>
    <t>310200000000000</t>
  </si>
  <si>
    <t>NETWORK DEVELOPMENT PROGRAM</t>
  </si>
  <si>
    <t>Road Widening</t>
  </si>
  <si>
    <t>310201000000000</t>
  </si>
  <si>
    <t>Road Widening - Primary Roads</t>
  </si>
  <si>
    <t>310202000000000</t>
  </si>
  <si>
    <t>Road Widening - Secondary Roads</t>
  </si>
  <si>
    <t>310203000000000</t>
  </si>
  <si>
    <t>Road Widening - Tertiary Roads</t>
  </si>
  <si>
    <t>310204000000000</t>
  </si>
  <si>
    <t>Construction of By-pass and Diversion Roads</t>
  </si>
  <si>
    <t>310205000000000</t>
  </si>
  <si>
    <t>Construction of Missing Links / New Roads</t>
  </si>
  <si>
    <t>310206000000000</t>
  </si>
  <si>
    <t>Construction of Flyovers / Interchanges / Underpasses / Long Span Bridges</t>
  </si>
  <si>
    <t>Off-Carriageway Improvement</t>
  </si>
  <si>
    <t>310207000000000</t>
  </si>
  <si>
    <t>Off-Carriageway Improvement - Primary Roads</t>
  </si>
  <si>
    <t>310208000000000</t>
  </si>
  <si>
    <t>Off-Carriageway Improvement - Secondary Roads</t>
  </si>
  <si>
    <t>310209000000000</t>
  </si>
  <si>
    <t>Off-Carriageway Improvement - Tertiary Roads</t>
  </si>
  <si>
    <t>Paving of Unpaved Roads</t>
  </si>
  <si>
    <t>310210000000000</t>
  </si>
  <si>
    <t>Paving of Unpaved Roads - Primary Roads</t>
  </si>
  <si>
    <t>310211000000000</t>
  </si>
  <si>
    <t>Paving of Unpaved Roads - Secondary Roads</t>
  </si>
  <si>
    <t>310212000000000</t>
  </si>
  <si>
    <t>Paving of Unpaved Roads - Tertiary Roads</t>
  </si>
  <si>
    <t>310300000000000</t>
  </si>
  <si>
    <t>BRIDGE PROGRAM</t>
  </si>
  <si>
    <t>310301000000000</t>
  </si>
  <si>
    <t>Replacement of Bridges (Temporary to Permanent)</t>
  </si>
  <si>
    <t>310302000000000</t>
  </si>
  <si>
    <t>Replacement of Permanent Weak Bridges</t>
  </si>
  <si>
    <t>310303000000000</t>
  </si>
  <si>
    <t>Retrofitting / Strengthening of Permanent Bridges</t>
  </si>
  <si>
    <t>310304000000000</t>
  </si>
  <si>
    <t>Rehabilitation / Major Repair of Permanent Bridges</t>
  </si>
  <si>
    <t xml:space="preserve">310305000000000 </t>
  </si>
  <si>
    <t>Widening of Permanent Bridges</t>
  </si>
  <si>
    <t>310306000000000</t>
  </si>
  <si>
    <t>Construction of New Bridges</t>
  </si>
  <si>
    <t>320100000000000</t>
  </si>
  <si>
    <t>FLOOD MANAGEMENT PROGRAM</t>
  </si>
  <si>
    <t>320101000000000</t>
  </si>
  <si>
    <t>Construction / Maintenance of Flood Mitigation Structures and Drainage Systems</t>
  </si>
  <si>
    <t>Flood</t>
  </si>
  <si>
    <t>320102000000000</t>
  </si>
  <si>
    <t>Construction / Rehabilitation of Flood Mitigation Facilities within Major River Basins and Principal Rivers</t>
  </si>
  <si>
    <t>300200000000000</t>
  </si>
  <si>
    <t>CONVERGENCE AND SPECIAL SUPPORT PROGRAM</t>
  </si>
  <si>
    <t>300200100003000</t>
  </si>
  <si>
    <t>Rehabilitation of Disaster-Related Infrastructure and Other Facilities</t>
  </si>
  <si>
    <t>Others</t>
  </si>
  <si>
    <t>300201000000000</t>
  </si>
  <si>
    <t>Construction / Improvement of Access Roads leading to Airports</t>
  </si>
  <si>
    <t>300202000000000</t>
  </si>
  <si>
    <t>Construction / Improvement of Access Roads leading to Seaports</t>
  </si>
  <si>
    <t>300203000000000</t>
  </si>
  <si>
    <t>Construction / Improvement of Access Roads leading to Declared Tourism Destinations</t>
  </si>
  <si>
    <t>300204000000000</t>
  </si>
  <si>
    <t>Construction / Improvement of Access Roads leading to Trades, Industries, and Economic Zones</t>
  </si>
  <si>
    <t>300205000000000</t>
  </si>
  <si>
    <t>Construction / Rehabilitation of Water Supply / Septage and Sewerage / Rain Water Collector Systems</t>
  </si>
  <si>
    <t>300207000000000</t>
  </si>
  <si>
    <t>Construction / Improvement of Various Infrastructure in Support of National Security</t>
  </si>
  <si>
    <t>300209000000000</t>
  </si>
  <si>
    <t>Construction / Improvement of Access Roads leading to Railway Stations</t>
  </si>
  <si>
    <t>300213000000000</t>
  </si>
  <si>
    <t>Construction / Rehabilitation / Improvement of Facilities for Persons with Disabilities (PWDs) and Elderlies / Senior Citizens, including Gender-Responsive Facilities</t>
  </si>
  <si>
    <t>Facilities/Buildings</t>
  </si>
  <si>
    <t>300214000000000</t>
  </si>
  <si>
    <t>Special Road Fund - Motor Vehicle User's Charge (MVUC) as per RA 11239</t>
  </si>
  <si>
    <t>Sustainable Infrastructure Projects Alleviating Gaps (SIPAG)</t>
  </si>
  <si>
    <t>300215000000000</t>
  </si>
  <si>
    <t>Sustainable Infrastructure Projects Alleviating Gaps (SIPAG) - Access Roads and/or Bridges from the National Road/s leading to Major/Strategic Public Buildings/Facilities</t>
  </si>
  <si>
    <t>300216000000000</t>
  </si>
  <si>
    <t>Sustainable Infrastructure Projects Alleviating Gaps (SIPAG) - Access Roads and/or Bridges from the National Roads connecting to Indigenous People (IP) Communities</t>
  </si>
  <si>
    <t>300217000000000</t>
  </si>
  <si>
    <t>Sustainable Infrastructure Projects Alleviating Gaps (SIPAG) - Interjurisdictional Roads and/or Bridges (or, roads that traverse multiple LGU jurisdictions)</t>
  </si>
  <si>
    <t>300218000000000</t>
  </si>
  <si>
    <t>Sustainable Infrastructure Projects Alleviating Gaps (SIPAG) - Coastal Roads / Causeway for Environmental Protection/Conservation</t>
  </si>
  <si>
    <t>300219000000000</t>
  </si>
  <si>
    <t>Sustainable Infrastructure Projects Alleviating Gaps (SIPAG) - Flood Mitigation Structures protecting Major/Strategic Public Buildings/Facilities</t>
  </si>
  <si>
    <t>300231000000000</t>
  </si>
  <si>
    <t>Sustainable Infrastructure Projects Alleviating Gaps (SIPAG) - Major/Strategic Public Buildings/Facilities Structural and Resilience Program</t>
  </si>
  <si>
    <t>300232000000000</t>
  </si>
  <si>
    <t>Sustainable Infrastructure Projects Alleviating Gaps (SIPAG) - Evacuation Centers / Quarantine Facilities / Public Health Facilities</t>
  </si>
  <si>
    <t>300233000000000</t>
  </si>
  <si>
    <t>Sustainable Infrastructure Projects Alleviating Gaps (SIPAG) - Coastal Roads to Augment Resiliency of Coastal Communities</t>
  </si>
  <si>
    <t>300234000000000</t>
  </si>
  <si>
    <t>300235000000000</t>
  </si>
  <si>
    <t>Sustainable Infrastructure Projects Alleviating Gaps (SIPAG) - Major/Strategic Public Buildings/Facilities</t>
  </si>
  <si>
    <t>300243100001000</t>
  </si>
  <si>
    <t>Sustainable Infrastructure Projects Alleviating Gaps (SIPAG) - Interjurisdictional Roads and/or Bridges (roads traversing multiple LGUs)</t>
  </si>
  <si>
    <t>300244100001000</t>
  </si>
  <si>
    <t>Sustainable Infrastructure Projects Alleviating Gaps (SIPAG) - Evacuation Centers / Public Health Facilities</t>
  </si>
  <si>
    <t>Sustainable Infrastructure Projects Alleviating Gaps (SIPAG) - Public Water Supply System</t>
  </si>
  <si>
    <t>Sustainable Infrastructure Projects Alleviating Gaps (SIPAG) - Local Ports and Boat Landings</t>
  </si>
  <si>
    <t>Sustainable Infrastructure Projects Alleviating Gaps (SIPAG) - Climate-Resilient and Green Infrastructure Features</t>
  </si>
  <si>
    <t>Basic Infrastructure Program</t>
  </si>
  <si>
    <t>300221000000000</t>
  </si>
  <si>
    <t>Basic Infrastructure Program (BIP) - Access Roads and/or Bridges from the National Road/s leading to Major/Strategic Public Buildings/Facilities</t>
  </si>
  <si>
    <t>300222000000000</t>
  </si>
  <si>
    <t>Basic Infrastructure Program (BIP) - Access Roads and/or Bridges from the National Roads connecting to Indigenous People (IP) Communities</t>
  </si>
  <si>
    <t>300223000000000</t>
  </si>
  <si>
    <t>Basic Infrastructure Program (BIP) - Interjurisdictional Roads and/or Bridges (or, roads that traverse multiple LGU jurisdictions)</t>
  </si>
  <si>
    <t>300224000000000</t>
  </si>
  <si>
    <t>Basic Infrastructure Program (BIP) - Coastal Roads / Causeway for Environmental Protection/Conservation</t>
  </si>
  <si>
    <t>300225000000000</t>
  </si>
  <si>
    <t>Basic Infrastructure Program (BIP) - Flood Mitigation Structures protecting Major/Strategic Public Buildings/Facilities</t>
  </si>
  <si>
    <t>300226000000000</t>
  </si>
  <si>
    <t>Basic Infrastructure Program (BIP) - Multi-Purpose Buldings/Facilities to support Social Services</t>
  </si>
  <si>
    <t>300227000000000</t>
  </si>
  <si>
    <t>Basic Infrastructure Program (BIP) - Major/Strategic Public Buildings/Facilities Structural and Resilience Program</t>
  </si>
  <si>
    <t>300228000000000</t>
  </si>
  <si>
    <t>Basic Infrastructure Program (BIP) - Evacuation Centers / Quarantine Facilities / Public Health Facilities</t>
  </si>
  <si>
    <t>300230000000000</t>
  </si>
  <si>
    <t>Basic Infrastructure Program (BIP) - Public Water Supply System</t>
  </si>
  <si>
    <t xml:space="preserve">300236000000000 </t>
  </si>
  <si>
    <t>Basic Infrastructure Program (BIP) - Coastal Roads to Augment Resiliency of Coastal Communities</t>
  </si>
  <si>
    <t>300237000000000</t>
  </si>
  <si>
    <t>300238000000000</t>
  </si>
  <si>
    <t>Basic Infrastructure Program (BIP) - Major/Strategic Public Buildings/Facilities</t>
  </si>
  <si>
    <t xml:space="preserve">300239100001000 </t>
  </si>
  <si>
    <t>Basic Infrastructure Program (BIP) - Interjurisdictional Roads and/or Bridges (roads traversing multiple LGUs)</t>
  </si>
  <si>
    <t>300240100001000</t>
  </si>
  <si>
    <t>Basic Infrastructure Program (BIP) - Evacuation Centers / Public Health Facilities</t>
  </si>
  <si>
    <t>300241100001000</t>
  </si>
  <si>
    <t>Basic Infrastructure Program (BIP) - Local Ports and Boat Landing</t>
  </si>
  <si>
    <t>300100000000000</t>
  </si>
  <si>
    <t>LOCAL PROGRAM</t>
  </si>
  <si>
    <t>300105201000000</t>
  </si>
  <si>
    <t>Buildings and Other Structures - Multipurpose / Facilities - National Building Program</t>
  </si>
  <si>
    <t>300110200000000</t>
  </si>
  <si>
    <t>Public-Private Partnership Strategic Support Fund (including ROW, Subsidy, and Variations)</t>
  </si>
  <si>
    <t>Asset Preservation Program</t>
  </si>
  <si>
    <t>Network Development Program</t>
  </si>
  <si>
    <t>Bridge Program</t>
  </si>
  <si>
    <t>Flood Management Program</t>
  </si>
  <si>
    <t>Local Program</t>
  </si>
  <si>
    <t>Convergence and Special Support Program</t>
  </si>
  <si>
    <t>Office</t>
  </si>
  <si>
    <t>Central Office</t>
  </si>
  <si>
    <t>Regional Office I - Proper</t>
  </si>
  <si>
    <t>Regional Office II - Proper</t>
  </si>
  <si>
    <t>Regional Office III - Proper</t>
  </si>
  <si>
    <t>Regional Office IVA - Proper</t>
  </si>
  <si>
    <t>Regional Office V - Proper</t>
  </si>
  <si>
    <t>Regional Office VI - Proper</t>
  </si>
  <si>
    <t>Regional Office VII - Proper</t>
  </si>
  <si>
    <t>Regional Office VIII - Proper</t>
  </si>
  <si>
    <t>Regional Office IX - Proper</t>
  </si>
  <si>
    <t>Regional Office X - Proper</t>
  </si>
  <si>
    <t>Regional Office XI - Proper</t>
  </si>
  <si>
    <t>Regional Office XII - Proper</t>
  </si>
  <si>
    <t>NCR Regional Office - Proper</t>
  </si>
  <si>
    <t>Regional Office CAR - Proper</t>
  </si>
  <si>
    <t>Regional Office XIII - Proper</t>
  </si>
  <si>
    <t>Regional Office IVB - Proper</t>
  </si>
  <si>
    <t>Las Piñas-Muntinlupa D.E. Office</t>
  </si>
  <si>
    <t>Malabon-Navotas D.E. Office</t>
  </si>
  <si>
    <t>Metro Manila 1st D.E. Office</t>
  </si>
  <si>
    <t>Metro Manila 2nd D.E. Office</t>
  </si>
  <si>
    <t>Metro Manila 3rd D.E. Office</t>
  </si>
  <si>
    <t>North Manila D.E. Office</t>
  </si>
  <si>
    <t>Quezon City 1st D.E. Office</t>
  </si>
  <si>
    <t>Quezon City 2nd D.E. Office</t>
  </si>
  <si>
    <t>South Manila D.E. Office</t>
  </si>
  <si>
    <t>Ilocos Norte 1st D.E. Office</t>
  </si>
  <si>
    <t>Ilocos Norte 2nd D.E. Office</t>
  </si>
  <si>
    <t>Ilocos Sur 1st D.E. Office</t>
  </si>
  <si>
    <t>Ilocos Sur 2nd D.E. Office</t>
  </si>
  <si>
    <t>La Union 1st D.E. Office</t>
  </si>
  <si>
    <t>La Union 2nd D.E. Office</t>
  </si>
  <si>
    <t>Pangasinan 4th D.E. Office</t>
  </si>
  <si>
    <t>Pangasinan 1st D.E. Office</t>
  </si>
  <si>
    <t>Pangasinan 2nd D.E. Office</t>
  </si>
  <si>
    <t>Pangasinan 3rd D.E. Office</t>
  </si>
  <si>
    <t>Abra D.E. Office</t>
  </si>
  <si>
    <t>Apayao 1st D.E. Office</t>
  </si>
  <si>
    <t>Apayao 2nd D.E. Office</t>
  </si>
  <si>
    <t>Baguio City D.E. Office</t>
  </si>
  <si>
    <t>Benguet 1st D.E. Office</t>
  </si>
  <si>
    <t>Benguet 2nd D.E. Office</t>
  </si>
  <si>
    <t>Ifugao 1st D.E. Office</t>
  </si>
  <si>
    <t>Ifugao 2nd D.E. Office</t>
  </si>
  <si>
    <t>Lower Kalinga D.E. Office</t>
  </si>
  <si>
    <t>Mountain Province First D.E. Office</t>
  </si>
  <si>
    <t>Batanes D.E. Office</t>
  </si>
  <si>
    <t>Cagayan 1st D.E. Office</t>
  </si>
  <si>
    <t>Cagayan 2nd D.E. Office</t>
  </si>
  <si>
    <t>Cagayan 3rd D.E. Office</t>
  </si>
  <si>
    <t>Isabela 1st D.E. Office</t>
  </si>
  <si>
    <t>Isabela 2nd D.E. Office</t>
  </si>
  <si>
    <t>Isabela 3rd D.E. Office</t>
  </si>
  <si>
    <t>Isabela 4th D.E. Office</t>
  </si>
  <si>
    <t>Nueva Vizcaya D.E. Office</t>
  </si>
  <si>
    <t>Nueva Vizcaya 2nd D.E. Office</t>
  </si>
  <si>
    <t>Quirino D.E. Office</t>
  </si>
  <si>
    <t>Aurora D.E. Office</t>
  </si>
  <si>
    <t>Bataan 1st D.E. Office</t>
  </si>
  <si>
    <t>Bataan 2nd D.E. Office</t>
  </si>
  <si>
    <t>Bulacan 1st D.E. Office</t>
  </si>
  <si>
    <t>Bulacan 2nd D.E. Office</t>
  </si>
  <si>
    <t>Nueva Ecija 1st D.E. Office</t>
  </si>
  <si>
    <t>Nueva Ecija 2nd D.E. Office</t>
  </si>
  <si>
    <t>Pampanga 3rd D.E. Office</t>
  </si>
  <si>
    <t>Pampanga 1st D.E. Office</t>
  </si>
  <si>
    <t>Pampanga 2nd D.E. Office</t>
  </si>
  <si>
    <t>Tarlac 2nd D.E. Office</t>
  </si>
  <si>
    <t>Tarlac D.E. Office</t>
  </si>
  <si>
    <t>Zambales 1st D.E. Office</t>
  </si>
  <si>
    <t>Zambales 2nd D.E. Office</t>
  </si>
  <si>
    <t>Batangas 1st D.E. Office</t>
  </si>
  <si>
    <t>Batangas 2nd D.E. Office</t>
  </si>
  <si>
    <t>Batangas 3rd D.E. Office</t>
  </si>
  <si>
    <t>Batangas 4th D.E. Office</t>
  </si>
  <si>
    <t>Cavite 2nd D.E. Office</t>
  </si>
  <si>
    <t>Cavite D.E. Office</t>
  </si>
  <si>
    <t>Laguna 3rd D.E. Office</t>
  </si>
  <si>
    <t>Laguna 1st D.E. Office</t>
  </si>
  <si>
    <t>Laguna 2nd D.E. Office</t>
  </si>
  <si>
    <t>Quezon 1st D.E. Office</t>
  </si>
  <si>
    <t>Quezon 2nd D.E. Office</t>
  </si>
  <si>
    <t>Quezon 3rd D.E. Office</t>
  </si>
  <si>
    <t>Quezon 4th D.E. Office</t>
  </si>
  <si>
    <t>Rizal 1st D.E. Office</t>
  </si>
  <si>
    <t>Rizal 2nd D.E. Office</t>
  </si>
  <si>
    <t>Marinduque D.E. Office</t>
  </si>
  <si>
    <t>Mindoro Occidental D.E. Office</t>
  </si>
  <si>
    <t>Mindoro Oriental D.E. Office</t>
  </si>
  <si>
    <t>Palawan 1st D.E. Office</t>
  </si>
  <si>
    <t>Palawan 2nd D.E. Office</t>
  </si>
  <si>
    <t>Palawan 3rd D.E. Office</t>
  </si>
  <si>
    <t>Romblon D.E. Office</t>
  </si>
  <si>
    <t>Southern Mindoro D.E. Office</t>
  </si>
  <si>
    <t>Albay 1st D.E. Office</t>
  </si>
  <si>
    <t>Albay 2nd D.E. Office</t>
  </si>
  <si>
    <t>Albay 3rd D.E. Office</t>
  </si>
  <si>
    <t>Camarines Norte D.E. Office</t>
  </si>
  <si>
    <t>Camarines Sur 2nd D.E. Office</t>
  </si>
  <si>
    <t>Camarines Sur 3rd D.E. Office</t>
  </si>
  <si>
    <t>Camarines Sur 4th D.E. Office</t>
  </si>
  <si>
    <t>Camarines Sur 5th D.E. Office</t>
  </si>
  <si>
    <t>Camarines Sur 1st D.E. Office</t>
  </si>
  <si>
    <t>Catanduanes D.E. Office</t>
  </si>
  <si>
    <t>Masbate 1st D.E. Office</t>
  </si>
  <si>
    <t>Masbate 2nd D.E. Office</t>
  </si>
  <si>
    <t>Masbate 3rd D.E. Office</t>
  </si>
  <si>
    <t>Sorsogon D.E. Office</t>
  </si>
  <si>
    <t>Sorsogon 2nd D.E. Office</t>
  </si>
  <si>
    <t>Aklan D.E. Office</t>
  </si>
  <si>
    <t>Antique D.E. Office</t>
  </si>
  <si>
    <t>Bacolod City D.E. Office</t>
  </si>
  <si>
    <t>Capiz 1st D.E. Office</t>
  </si>
  <si>
    <t>Capiz 2nd D.E. Office</t>
  </si>
  <si>
    <t>Guimaras D.E. Office</t>
  </si>
  <si>
    <t>Iloilo City D.E. Office</t>
  </si>
  <si>
    <t>Iloilo 1st D.E. Office</t>
  </si>
  <si>
    <t>Iloilo 2nd D.E. Office</t>
  </si>
  <si>
    <t>Iloilo 3rd D.E. Office</t>
  </si>
  <si>
    <t>Iloilo 4th D.E. Office</t>
  </si>
  <si>
    <t>Negros Occidental 1st D.E. Office</t>
  </si>
  <si>
    <t>Negros Occidental 2nd D.E. Office</t>
  </si>
  <si>
    <t>Negros Occidental 3rd D.E. Office</t>
  </si>
  <si>
    <t>Negros Occidental 4th D.E. Office</t>
  </si>
  <si>
    <t>Bohol 1st D.E. Office</t>
  </si>
  <si>
    <t>Bohol 2nd D.E. Office</t>
  </si>
  <si>
    <t>Bohol 3rd D.E. Office</t>
  </si>
  <si>
    <t>Cebu City D.E. Office</t>
  </si>
  <si>
    <t>Cebu 1st D.E. Office</t>
  </si>
  <si>
    <t>Cebu 2nd D.E. Office</t>
  </si>
  <si>
    <t>Cebu 3rd D.E. Office</t>
  </si>
  <si>
    <t>Cebu 4th D.E. Office</t>
  </si>
  <si>
    <t>Cebu 5th D.E. Office</t>
  </si>
  <si>
    <t>Cebu 6th D.E. Office</t>
  </si>
  <si>
    <t>Negros Oriental 1st D.E. Office</t>
  </si>
  <si>
    <t>Negros Oriental 2nd D.E. Office</t>
  </si>
  <si>
    <t>Negros Oriental 3rd D.E. Office</t>
  </si>
  <si>
    <t>Siquijor D.E. Office</t>
  </si>
  <si>
    <t>Tacloban City D.E. Office</t>
  </si>
  <si>
    <t>Biliran D.E. Office</t>
  </si>
  <si>
    <t>Eastern Samar D.E. Office</t>
  </si>
  <si>
    <t>Leyte 1st D.E. Office</t>
  </si>
  <si>
    <t>Leyte 2nd D.E. Office</t>
  </si>
  <si>
    <t>Leyte 3rd D.E. Office</t>
  </si>
  <si>
    <t>Leyte 4th D.E. Office</t>
  </si>
  <si>
    <t>Leyte 5th D.E. Office</t>
  </si>
  <si>
    <t>Northern Samar 1st D.E. Office</t>
  </si>
  <si>
    <t>Northern Samar 2nd D.E. Office</t>
  </si>
  <si>
    <t>Samar 1st D.E. Office</t>
  </si>
  <si>
    <t>Samar 2nd D.E. Office</t>
  </si>
  <si>
    <t>Isabela City D.E. Office</t>
  </si>
  <si>
    <t>Zamboanga del Norte 1st D.E. Office</t>
  </si>
  <si>
    <t>Zamboanga del Norte 2nd D.E. Office</t>
  </si>
  <si>
    <t>Zamboanga del Norte 3rd D.E. Office</t>
  </si>
  <si>
    <t>Zamboanga del Sur 1st D.E. Office</t>
  </si>
  <si>
    <t>Zamboanga del Sur 2nd D.E. Office</t>
  </si>
  <si>
    <t>Zamboanga Sibugay 2nd D.E. Office</t>
  </si>
  <si>
    <t>Zamboanga Sibugay 1st D.E. Office</t>
  </si>
  <si>
    <t>Bukidnon 1st D.E. Office</t>
  </si>
  <si>
    <t>Bukidnon 2nd D.E. Office</t>
  </si>
  <si>
    <t>Bukidnon 3rd D.E. Office</t>
  </si>
  <si>
    <t>Cagayan de Oro City 1st D.E. Office</t>
  </si>
  <si>
    <t>Cagayan de Oro City 2nd D.E. Office</t>
  </si>
  <si>
    <t>Camiguin D.E. Office</t>
  </si>
  <si>
    <t>Lanao del Norte 1st D.E. Office</t>
  </si>
  <si>
    <t>Lanao del Norte 2nd D.E. Office</t>
  </si>
  <si>
    <t>Misamis Occidental D.E. Office</t>
  </si>
  <si>
    <t>Misamis Occidental 2nd D.E. Office</t>
  </si>
  <si>
    <t>Misamis Oriental 1st D.E. Office</t>
  </si>
  <si>
    <t>Misamis Oriental 2nd D.E. Office</t>
  </si>
  <si>
    <t>Davao de Oro 1st D.E. Office</t>
  </si>
  <si>
    <t>Davao City D.E. Office</t>
  </si>
  <si>
    <t>Davao City 2nd D.E. Office</t>
  </si>
  <si>
    <t>Davao del Norte D.E. Office</t>
  </si>
  <si>
    <t>Davao del Sur D.E. Office</t>
  </si>
  <si>
    <t>Davao Occidental D.E. Office</t>
  </si>
  <si>
    <t>Davao Oriental 1st D.E. Office</t>
  </si>
  <si>
    <t>Davao Oriental 2nd D.E. Office</t>
  </si>
  <si>
    <t>Cotabato 1st D.E. Office</t>
  </si>
  <si>
    <t>Cotabato 2nd D.E. Office</t>
  </si>
  <si>
    <t>Sarangani D.E. Office</t>
  </si>
  <si>
    <t>South Cotabato 1st D.E. Office</t>
  </si>
  <si>
    <t>South Cotabato 2nd D.E. Office</t>
  </si>
  <si>
    <t>Sultan Kudarat 1st D.E. Office</t>
  </si>
  <si>
    <t>Sultan Kudarat 2nd D.E. Office</t>
  </si>
  <si>
    <t>Agusan del Norte D.E. Office</t>
  </si>
  <si>
    <t>Agusan del Sur 1st D.E. Office</t>
  </si>
  <si>
    <t>Agusan del Sur 2nd D.E. Office</t>
  </si>
  <si>
    <t>Butuan City D.E. Office</t>
  </si>
  <si>
    <t>Dinagat Islands D.E. Office</t>
  </si>
  <si>
    <t>Surigao del Norte 2nd D.E. Office</t>
  </si>
  <si>
    <t>Surigao del Norte 1st D.E. Office</t>
  </si>
  <si>
    <t>Surigao del Sur 1st D.E. Office</t>
  </si>
  <si>
    <t>Surigao del Sur 2nd D.E. Office</t>
  </si>
  <si>
    <t>Upper Kalinga D.E. Office</t>
  </si>
  <si>
    <t>Mountain Province 2nd D.E. Office</t>
  </si>
  <si>
    <t>Cavite Third D.E. Office</t>
  </si>
  <si>
    <t>Cotabato 3rd D.E. Office</t>
  </si>
  <si>
    <t>Cebu 7th D.E. Office</t>
  </si>
  <si>
    <t>Iligan City D.E. Office</t>
  </si>
  <si>
    <t>Davao de Oro 2nd D.E. Office</t>
  </si>
  <si>
    <t>Zamboanga del Norte 4th D.E. Office</t>
  </si>
  <si>
    <t>Bulacan 3rd D.E. Office</t>
  </si>
  <si>
    <t>Southern Leyte 2nd D.E. Office</t>
  </si>
  <si>
    <t>Zamboanga City 1st D.E. Office</t>
  </si>
  <si>
    <t>Bukidnon 4th D.E. Office</t>
  </si>
  <si>
    <t>Negros Occidental 5th D.E. Office</t>
  </si>
  <si>
    <t>Bataan 3rd D.E. Office</t>
  </si>
  <si>
    <t>Davao del Norte 2nd D.E. Office</t>
  </si>
  <si>
    <t>Iloilo 6th D.E. Office</t>
  </si>
  <si>
    <t>Davao City 3rd D.E. Office</t>
  </si>
  <si>
    <t>Cotabato City D.E. Office</t>
  </si>
  <si>
    <t>Cavite 5th D.E. Office</t>
  </si>
  <si>
    <t>Southern Leyte D.E. Office</t>
  </si>
  <si>
    <t>Southern Sub Leyte D.E. Office</t>
  </si>
  <si>
    <t>2026</t>
  </si>
  <si>
    <t>2025</t>
  </si>
  <si>
    <t>2024</t>
  </si>
  <si>
    <t>2023</t>
  </si>
  <si>
    <t>2022</t>
  </si>
  <si>
    <t>2021</t>
  </si>
  <si>
    <t>2020</t>
  </si>
  <si>
    <t>Zamboanga City 2nd D.E. Office</t>
  </si>
  <si>
    <t>Road Board</t>
  </si>
  <si>
    <t>DPWH New Appropriations (thousand pesos)</t>
  </si>
  <si>
    <t>Total Budget (thousand pesos)</t>
  </si>
  <si>
    <t>GAA_Veto</t>
  </si>
  <si>
    <t>Vetoed</t>
  </si>
  <si>
    <t>National Bridges</t>
  </si>
  <si>
    <t>National Roads</t>
  </si>
  <si>
    <t>Flood Control Structures / Facilities</t>
  </si>
  <si>
    <t>Drainage / Protection Works</t>
  </si>
  <si>
    <t>Multipurpose / Facilities</t>
  </si>
  <si>
    <t>School Buildings</t>
  </si>
  <si>
    <t>Local Roads</t>
  </si>
  <si>
    <t>Local Bridges</t>
  </si>
  <si>
    <t>Water Supply</t>
  </si>
  <si>
    <t>Activity</t>
  </si>
  <si>
    <t>Year</t>
  </si>
  <si>
    <t>CPI</t>
  </si>
  <si>
    <t>GDP Deflator</t>
  </si>
  <si>
    <t>Price Index (2018=100)</t>
  </si>
  <si>
    <t>Allotments</t>
  </si>
  <si>
    <t>Obligations</t>
  </si>
  <si>
    <t>2019</t>
  </si>
  <si>
    <t>2018</t>
  </si>
  <si>
    <t>2017</t>
  </si>
  <si>
    <t>2016</t>
  </si>
  <si>
    <t>2015</t>
  </si>
  <si>
    <t>2014</t>
  </si>
  <si>
    <t>Regional Office NIR - Proper</t>
  </si>
  <si>
    <t>0100000</t>
  </si>
  <si>
    <t>0300001</t>
  </si>
  <si>
    <t>0300002</t>
  </si>
  <si>
    <t>0300003</t>
  </si>
  <si>
    <t>0300004</t>
  </si>
  <si>
    <t>0300005</t>
  </si>
  <si>
    <t>0300006</t>
  </si>
  <si>
    <t>0300007</t>
  </si>
  <si>
    <t>0300008</t>
  </si>
  <si>
    <t>0300009</t>
  </si>
  <si>
    <t>0300010</t>
  </si>
  <si>
    <t>0300011</t>
  </si>
  <si>
    <t>0300012</t>
  </si>
  <si>
    <t>0300013</t>
  </si>
  <si>
    <t>0300014</t>
  </si>
  <si>
    <t>0300016</t>
  </si>
  <si>
    <t>0300017</t>
  </si>
  <si>
    <t>0300018</t>
  </si>
  <si>
    <t>1800001</t>
  </si>
  <si>
    <t>1800002</t>
  </si>
  <si>
    <t>1800003</t>
  </si>
  <si>
    <t>1800004</t>
  </si>
  <si>
    <t>1800005</t>
  </si>
  <si>
    <t>1800006</t>
  </si>
  <si>
    <t>1800007</t>
  </si>
  <si>
    <t>1800008</t>
  </si>
  <si>
    <t>1800009</t>
  </si>
  <si>
    <t>1800010</t>
  </si>
  <si>
    <t>1800011</t>
  </si>
  <si>
    <t>1800013</t>
  </si>
  <si>
    <t>1800014</t>
  </si>
  <si>
    <t>1800015</t>
  </si>
  <si>
    <t>1800016</t>
  </si>
  <si>
    <t>1800017</t>
  </si>
  <si>
    <t>1800018</t>
  </si>
  <si>
    <t>1800019</t>
  </si>
  <si>
    <t>1800020</t>
  </si>
  <si>
    <t>1800021</t>
  </si>
  <si>
    <t>1800022</t>
  </si>
  <si>
    <t>1800023</t>
  </si>
  <si>
    <t>1800024</t>
  </si>
  <si>
    <t>1800025</t>
  </si>
  <si>
    <t>1800026</t>
  </si>
  <si>
    <t>1800027</t>
  </si>
  <si>
    <t>1800028</t>
  </si>
  <si>
    <t>1800029</t>
  </si>
  <si>
    <t>1800030</t>
  </si>
  <si>
    <t>1800031</t>
  </si>
  <si>
    <t>1800032</t>
  </si>
  <si>
    <t>1800033</t>
  </si>
  <si>
    <t>1800034</t>
  </si>
  <si>
    <t>1800035</t>
  </si>
  <si>
    <t>1800036</t>
  </si>
  <si>
    <t>1800037</t>
  </si>
  <si>
    <t>1800038</t>
  </si>
  <si>
    <t>1800039</t>
  </si>
  <si>
    <t>1800040</t>
  </si>
  <si>
    <t>1800041</t>
  </si>
  <si>
    <t>1800042</t>
  </si>
  <si>
    <t>1800043</t>
  </si>
  <si>
    <t>1800044</t>
  </si>
  <si>
    <t>1800045</t>
  </si>
  <si>
    <t>1800046</t>
  </si>
  <si>
    <t>1800047</t>
  </si>
  <si>
    <t>1800048</t>
  </si>
  <si>
    <t>1800049</t>
  </si>
  <si>
    <t>1800050</t>
  </si>
  <si>
    <t>1800051</t>
  </si>
  <si>
    <t>1800052</t>
  </si>
  <si>
    <t>1800053</t>
  </si>
  <si>
    <t>1800054</t>
  </si>
  <si>
    <t>1800055</t>
  </si>
  <si>
    <t>1800056</t>
  </si>
  <si>
    <t>1800057</t>
  </si>
  <si>
    <t>1800058</t>
  </si>
  <si>
    <t>1800059</t>
  </si>
  <si>
    <t>1800060</t>
  </si>
  <si>
    <t>1800061</t>
  </si>
  <si>
    <t>1800062</t>
  </si>
  <si>
    <t>1800063</t>
  </si>
  <si>
    <t>1800064</t>
  </si>
  <si>
    <t>1800065</t>
  </si>
  <si>
    <t>1800066</t>
  </si>
  <si>
    <t>1800067</t>
  </si>
  <si>
    <t>1800068</t>
  </si>
  <si>
    <t>1800069</t>
  </si>
  <si>
    <t>1800070</t>
  </si>
  <si>
    <t>1800071</t>
  </si>
  <si>
    <t>1800072</t>
  </si>
  <si>
    <t>1800074</t>
  </si>
  <si>
    <t>1800075</t>
  </si>
  <si>
    <t>1800076</t>
  </si>
  <si>
    <t>1800077</t>
  </si>
  <si>
    <t>1800078</t>
  </si>
  <si>
    <t>1800079</t>
  </si>
  <si>
    <t>1800080</t>
  </si>
  <si>
    <t>1800081</t>
  </si>
  <si>
    <t>1800082</t>
  </si>
  <si>
    <t>1800083</t>
  </si>
  <si>
    <t>1800084</t>
  </si>
  <si>
    <t>1800085</t>
  </si>
  <si>
    <t>1800086</t>
  </si>
  <si>
    <t>1800087</t>
  </si>
  <si>
    <t>1800088</t>
  </si>
  <si>
    <t>1800089</t>
  </si>
  <si>
    <t>1800090</t>
  </si>
  <si>
    <t>1800091</t>
  </si>
  <si>
    <t>1800092</t>
  </si>
  <si>
    <t>1800093</t>
  </si>
  <si>
    <t>1800094</t>
  </si>
  <si>
    <t>1800095</t>
  </si>
  <si>
    <t>1800096</t>
  </si>
  <si>
    <t>1800097</t>
  </si>
  <si>
    <t>1800098</t>
  </si>
  <si>
    <t>1800099</t>
  </si>
  <si>
    <t>1800100</t>
  </si>
  <si>
    <t>1800101</t>
  </si>
  <si>
    <t>1800102</t>
  </si>
  <si>
    <t>1800103</t>
  </si>
  <si>
    <t>1800104</t>
  </si>
  <si>
    <t>1800105</t>
  </si>
  <si>
    <t>1800106</t>
  </si>
  <si>
    <t>1800107</t>
  </si>
  <si>
    <t>1800108</t>
  </si>
  <si>
    <t>1800109</t>
  </si>
  <si>
    <t>1800110</t>
  </si>
  <si>
    <t>1800111</t>
  </si>
  <si>
    <t>1800112</t>
  </si>
  <si>
    <t>1800113</t>
  </si>
  <si>
    <t>1800114</t>
  </si>
  <si>
    <t>1800115</t>
  </si>
  <si>
    <t>1800116</t>
  </si>
  <si>
    <t>1800117</t>
  </si>
  <si>
    <t>1800118</t>
  </si>
  <si>
    <t>1800119</t>
  </si>
  <si>
    <t>1800120</t>
  </si>
  <si>
    <t>1800121</t>
  </si>
  <si>
    <t>1800122</t>
  </si>
  <si>
    <t>1800123</t>
  </si>
  <si>
    <t>1800124</t>
  </si>
  <si>
    <t>1800125</t>
  </si>
  <si>
    <t>1800126</t>
  </si>
  <si>
    <t>1800127</t>
  </si>
  <si>
    <t>1800128</t>
  </si>
  <si>
    <t>1800129</t>
  </si>
  <si>
    <t>1800130</t>
  </si>
  <si>
    <t>1800131</t>
  </si>
  <si>
    <t>1800132</t>
  </si>
  <si>
    <t>1800133</t>
  </si>
  <si>
    <t>1800134</t>
  </si>
  <si>
    <t>1800135</t>
  </si>
  <si>
    <t>1800136</t>
  </si>
  <si>
    <t>1800138</t>
  </si>
  <si>
    <t>1800139</t>
  </si>
  <si>
    <t>1800140</t>
  </si>
  <si>
    <t>1800141</t>
  </si>
  <si>
    <t>1800142</t>
  </si>
  <si>
    <t>1800143</t>
  </si>
  <si>
    <t>1800144</t>
  </si>
  <si>
    <t>1800145</t>
  </si>
  <si>
    <t>1800146</t>
  </si>
  <si>
    <t>1800147</t>
  </si>
  <si>
    <t>1800148</t>
  </si>
  <si>
    <t>1800149</t>
  </si>
  <si>
    <t>1800150</t>
  </si>
  <si>
    <t>1800151</t>
  </si>
  <si>
    <t>1800152</t>
  </si>
  <si>
    <t>1800153</t>
  </si>
  <si>
    <t>1800154</t>
  </si>
  <si>
    <t>1800155</t>
  </si>
  <si>
    <t>1800156</t>
  </si>
  <si>
    <t>1800157</t>
  </si>
  <si>
    <t>1800158</t>
  </si>
  <si>
    <t>1800159</t>
  </si>
  <si>
    <t>1800160</t>
  </si>
  <si>
    <t>1800161</t>
  </si>
  <si>
    <t>1800162</t>
  </si>
  <si>
    <t>1800163</t>
  </si>
  <si>
    <t>1800164</t>
  </si>
  <si>
    <t>1800165</t>
  </si>
  <si>
    <t>1800166</t>
  </si>
  <si>
    <t>1800168</t>
  </si>
  <si>
    <t>1800169</t>
  </si>
  <si>
    <t>1800170</t>
  </si>
  <si>
    <t>1800171</t>
  </si>
  <si>
    <t>1800172</t>
  </si>
  <si>
    <t>1800173</t>
  </si>
  <si>
    <t>1800174</t>
  </si>
  <si>
    <t>1800175</t>
  </si>
  <si>
    <t>1800176</t>
  </si>
  <si>
    <t>1800177</t>
  </si>
  <si>
    <t>1800178</t>
  </si>
  <si>
    <t>1800179</t>
  </si>
  <si>
    <t>1800180</t>
  </si>
  <si>
    <t>1800181</t>
  </si>
  <si>
    <t>1800182</t>
  </si>
  <si>
    <t>1800183</t>
  </si>
  <si>
    <t>Sulu 1st D.E. Office</t>
  </si>
  <si>
    <t>Sulu 2nd D.E. Office</t>
  </si>
  <si>
    <t>1800184</t>
  </si>
  <si>
    <t>1800185</t>
  </si>
  <si>
    <t>1800189</t>
  </si>
  <si>
    <t>1800190</t>
  </si>
  <si>
    <t>1800191</t>
  </si>
  <si>
    <t>1800192</t>
  </si>
  <si>
    <t>1800193</t>
  </si>
  <si>
    <t>1800194</t>
  </si>
  <si>
    <t>1800196</t>
  </si>
  <si>
    <t>1800197</t>
  </si>
  <si>
    <t>1800198</t>
  </si>
  <si>
    <t>1800199</t>
  </si>
  <si>
    <t>1800200</t>
  </si>
  <si>
    <t>1800201</t>
  </si>
  <si>
    <t>1800202</t>
  </si>
  <si>
    <t>1800203</t>
  </si>
  <si>
    <t>1800204</t>
  </si>
  <si>
    <t>1800206</t>
  </si>
  <si>
    <t>1800207</t>
  </si>
  <si>
    <t>Construction/ Rehabilitation of Water Supply/ Septage and Sewerage/ Rain Water Collectors</t>
  </si>
  <si>
    <t>Construction/Maintenance of Flood Mitigation Structures and Drainage Systems</t>
  </si>
  <si>
    <t>Construction/Rehabilitation of Flood Mitigation Facilities within Major River Basins and Principal Rivers</t>
  </si>
  <si>
    <t>SIPAG - Flood Mitigation Structures protecting Public Infrastructures/Facilities</t>
  </si>
  <si>
    <t>SIPAG - Maior/Strategic Public Buildings/ Facilities Structural and Resilience Program</t>
  </si>
  <si>
    <t>BIP - Flood Mitigation Structures protecting Public Infrastructures/Facilities</t>
  </si>
  <si>
    <t>BIP - Multi-Purpose Buildings/ Facilities to support Social Services</t>
  </si>
  <si>
    <t>BIP - Major/Strategic Public Buildings/Facilities Structural and Resilience Program</t>
  </si>
  <si>
    <t>BIP - Evacuation Centers/ Quarantine Facilities/ Public Health Facilities</t>
  </si>
  <si>
    <t>BIP - Public Water Supply System</t>
  </si>
  <si>
    <t>NEP2014_Page</t>
  </si>
  <si>
    <t>GAA2014_Page</t>
  </si>
  <si>
    <t>NEP2014_Amount</t>
  </si>
  <si>
    <t>GAA_2014_Amount</t>
  </si>
  <si>
    <t>NEP2015_Page</t>
  </si>
  <si>
    <t>GAA2015_Page</t>
  </si>
  <si>
    <t>NEP2015_Amount</t>
  </si>
  <si>
    <t>GAA_2015_Amount</t>
  </si>
  <si>
    <t>NEP2016_Page</t>
  </si>
  <si>
    <t>GAA2016_Page</t>
  </si>
  <si>
    <t>NEP2016_Amount</t>
  </si>
  <si>
    <t>GAA_2016_Amount</t>
  </si>
  <si>
    <t>NEP2017_Page</t>
  </si>
  <si>
    <t>GAA2017_Page</t>
  </si>
  <si>
    <t>NEP2017_Amount</t>
  </si>
  <si>
    <t>GAA_2017_Amount</t>
  </si>
  <si>
    <t>GENERAL ADMINISTRATION AND SUPPORT</t>
  </si>
  <si>
    <t>SUPPORT TO OPERATIONS</t>
  </si>
  <si>
    <t>OPERATIONS</t>
  </si>
  <si>
    <t>MFO 1: National Road Network Services</t>
  </si>
  <si>
    <t>1. Assets Preservation based on Pavement Management System/ Highway Development and Management</t>
  </si>
  <si>
    <t>Preventive Maintenance - National Arterial Roads</t>
  </si>
  <si>
    <t>Preventive Maintenance - National Secondary Roads</t>
  </si>
  <si>
    <t>Preventive Maintenance - National Tertiary Roads</t>
  </si>
  <si>
    <t>Rehabilitation/ Reconstruction/ Upgrading of Damaged Paved National Roads including drainage - National Arterial Roads</t>
  </si>
  <si>
    <t>Rehabilitation/ Reconstruction/ Upgrading of Damaged Paved National Roads including drainage - National Secondary Roads</t>
  </si>
  <si>
    <t>Rehabilitation/ Reconstruction/ Upgrading of Damaged Paved National Roads including drainage - National Tertiary Roads</t>
  </si>
  <si>
    <t>Rehabilitation/ Reconstruction of Critical Sections along National Roads, such as Slips/ Emergencies/ Protection Works - Arterial Roads</t>
  </si>
  <si>
    <t>Rehabilitation/ Reconstruction of Critical Sections along National Roads, such as Slips/ Emergencies/ Protection Works - Secondary Roads</t>
  </si>
  <si>
    <t>Rehabilitation/ Reconstruction of Critical Sections along National Roads, such as Slips/ Emergencies/ Protection Works - Tertiary Roads</t>
  </si>
  <si>
    <t>Construction/ Rehabilitation of Drainage/ Protection Works along National Roads</t>
  </si>
  <si>
    <t>Construction/ Upgrading/ Rehabilitation of Drainage along National Roads - Primary Roads</t>
  </si>
  <si>
    <t>Construction/ Upgrading/ Rehabilitation of Drainage along National Roads - Secondary Roads</t>
  </si>
  <si>
    <t>Construction/ Upgrading/ Rehabilitation of Drainage along National Roads - Tertiary Roads</t>
  </si>
  <si>
    <t>2. Network Development</t>
  </si>
  <si>
    <t>Widening of National Roads - Arterial Roads</t>
  </si>
  <si>
    <t>Widening of National Roads - Secondary Roads</t>
  </si>
  <si>
    <t>Widening of National Roads - Tertiary Roads</t>
  </si>
  <si>
    <t>Construction of By-passes/  Diversion Roads</t>
  </si>
  <si>
    <t>Construction of Missing Gaps, New Roads, etc.</t>
  </si>
  <si>
    <t>Construction of Flyovers/ Interchanges/ Underpasses</t>
  </si>
  <si>
    <t>Off-Carriageway Improvement (paving of shoulders, loading and unloading bays, etc.)</t>
  </si>
  <si>
    <t>Off-Carriageway Improvement including drainage - Primary Roads</t>
  </si>
  <si>
    <t>Off-Carriageway Improvement including drainage - Secondary Roads</t>
  </si>
  <si>
    <t>Off-Carriageway Improvement including drainage - Tertiary Roads</t>
  </si>
  <si>
    <t>3. Road Upgrading (unpaved to paved) based on Gravel Road Strategies, Traffic Benchmark for Upgrading to Paved Road Standards)</t>
  </si>
  <si>
    <t>Road Upgrading (unpaved to paved) - National Arterial Roads</t>
  </si>
  <si>
    <t>Road Upgrading (unpaved to paved) - National Secondary Roads</t>
  </si>
  <si>
    <t>Road Upgrading (unpaved to paved) - National Tertiary Roads</t>
  </si>
  <si>
    <t>4. Construction and Maintenance of Bridges along National Roads</t>
  </si>
  <si>
    <t>Rehabilitation/ Major Repair of Permanent Bridges</t>
  </si>
  <si>
    <t>Retrofitting/ Strengthening of Permanent Bridges</t>
  </si>
  <si>
    <t>Rehabilitation/ Reconstruction/ Replacement/ Retrofitting of Existing Permanent Bridges</t>
  </si>
  <si>
    <t>Major Repair/ Maintenance of Existing Permanent Bridges</t>
  </si>
  <si>
    <t>Widening of Permanent Bridges - from 1 lane to 2 lanes</t>
  </si>
  <si>
    <t>Widening of Permanent Bridges - to more than 2 lanes</t>
  </si>
  <si>
    <t>Construction of Bridges - New</t>
  </si>
  <si>
    <t>Construction of Bridges - On-Going</t>
  </si>
  <si>
    <t>MFO 2: Flood Management Services</t>
  </si>
  <si>
    <t>5. Flood Control and Drainage Projects</t>
  </si>
  <si>
    <t>Construction/Rehabilitation of Flood Mitigation Facilities along Major River Basins and Principal Rivers</t>
  </si>
  <si>
    <t>Construction/Rehabilitation of Flood Mitigation Facilities along Major River Basins</t>
  </si>
  <si>
    <t>Construction/Rehabilitation of Flood Mitigation Facilities along Principal Rivers</t>
  </si>
  <si>
    <t>MFO 3: Construction and Maintenance Services of Other Infrastructure</t>
  </si>
  <si>
    <t>6. Construction/ Improvement of Access Roads leading to Airports, Seaports, and Declared Tourism Destinations</t>
  </si>
  <si>
    <t>Construction/ Improvement of Access Roads leading to Airports</t>
  </si>
  <si>
    <t>Construction/ Improvement of Access Roads leading to Seaports</t>
  </si>
  <si>
    <t>Construction/ Improvement of Access Roads leading to Declared Tourism Destinations</t>
  </si>
  <si>
    <t>7. Construction/ Rehabilitation of Water Supply/ Septage and Sewerage/ Rain Water Collectors</t>
  </si>
  <si>
    <t>8. Construction of Accessibility Facilities for Physically Challenged Persons</t>
  </si>
  <si>
    <t>Locally-Funded Projects</t>
  </si>
  <si>
    <t>Building and Other Structures</t>
  </si>
  <si>
    <t>Health Facilities</t>
  </si>
  <si>
    <t>Multipurpose Facilities</t>
  </si>
  <si>
    <t>Government Buildings</t>
  </si>
  <si>
    <t>Flood Control and Drainage</t>
  </si>
  <si>
    <t>Flood Control Structures/ Facilities</t>
  </si>
  <si>
    <t>Drainage/Protection Works</t>
  </si>
  <si>
    <t>Roads and Bridges</t>
  </si>
  <si>
    <t>Traffic Decongestion</t>
  </si>
  <si>
    <t>Farm-to-Market Roads</t>
  </si>
  <si>
    <t>Water Management</t>
  </si>
  <si>
    <t>Foreign-Assisted Projects</t>
  </si>
  <si>
    <t>Flood Control Structures/Facilities</t>
  </si>
  <si>
    <t>NEP2018_Page</t>
  </si>
  <si>
    <t>GAA2018_Page</t>
  </si>
  <si>
    <t>NEP2018_Amount</t>
  </si>
  <si>
    <t>GAA_2018_Amount</t>
  </si>
  <si>
    <t>NEP2019_Page</t>
  </si>
  <si>
    <t>GAA2019_Page</t>
  </si>
  <si>
    <t>NEP2019_Amount</t>
  </si>
  <si>
    <t>GAA_2019_Amount</t>
  </si>
  <si>
    <t>GAAveto_2019_Amount</t>
  </si>
  <si>
    <t>NEP2020_Page</t>
  </si>
  <si>
    <t>GAA2020_Page</t>
  </si>
  <si>
    <t>NEP2020_Amount</t>
  </si>
  <si>
    <t>GAA_2020_Amount</t>
  </si>
  <si>
    <t>NEP2021_Page</t>
  </si>
  <si>
    <t>GAA2021_Page</t>
  </si>
  <si>
    <t>NEP2021_Amount</t>
  </si>
  <si>
    <t>GAA_2021_Amount</t>
  </si>
  <si>
    <t>NEP2022_Page</t>
  </si>
  <si>
    <t>GAA2022_Page</t>
  </si>
  <si>
    <t>NEP2022_Amount</t>
  </si>
  <si>
    <t>GAA_2022_Amount</t>
  </si>
  <si>
    <t>NEP2023_Page</t>
  </si>
  <si>
    <t>GAA2023_Page</t>
  </si>
  <si>
    <t>NEP2023_Amount</t>
  </si>
  <si>
    <t>GAA_2023_Amount</t>
  </si>
  <si>
    <t>NEP2024_Page</t>
  </si>
  <si>
    <t>GAA2024_Page</t>
  </si>
  <si>
    <t>NEP2024_Amount</t>
  </si>
  <si>
    <t>GAA_2024_Amount</t>
  </si>
  <si>
    <t>NEP2025_Page</t>
  </si>
  <si>
    <t>GAA2025_Page</t>
  </si>
  <si>
    <t>NEP2025_Amount</t>
  </si>
  <si>
    <t>GAA_2025_Amount</t>
  </si>
  <si>
    <t>GAAveto_2025_Amount</t>
  </si>
  <si>
    <t>NEP2026_Page</t>
  </si>
  <si>
    <t>GAA2026_Page</t>
  </si>
  <si>
    <t>NEP2026_Amount</t>
  </si>
  <si>
    <t>NEPrev2026_Amount</t>
  </si>
  <si>
    <t>GAA_2026_Amount</t>
  </si>
  <si>
    <t>NEP2027_Page</t>
  </si>
  <si>
    <t>GAA2027_Page</t>
  </si>
  <si>
    <t>NEP2027_Amount</t>
  </si>
  <si>
    <t>GAA_2027_Amount</t>
  </si>
  <si>
    <t>OO 1: Ensure Safe and Reliable National Road System</t>
  </si>
  <si>
    <t>Rehabilitation/ Reconstruction/ Upgrading of Damaged Paved Roads - Primary Roads</t>
  </si>
  <si>
    <t>Rehabilitation/ Reconstruction/ Upgrading of Damaged Paved Roads - Secondary Roads</t>
  </si>
  <si>
    <t>Rehabilitation/ Reconstruction/ Upgrading of Damaged Paved Roads - Tertiary Roads</t>
  </si>
  <si>
    <t>Rehabilitation/ Reconstruction of Roads with Slips, Slope Collapse, and Landslide - Primary Roads</t>
  </si>
  <si>
    <t>Rehabilitation/ Reconstruction of Roads with Slips, Slope Collapse, and Landslide - Secondary Roads</t>
  </si>
  <si>
    <t>Rehabilitation/ Reconstruction of Roads with Slips, Slope Collapse, and Landslide - Tertiary Roads</t>
  </si>
  <si>
    <t>Construction of By-Pass and  Diversion Roads</t>
  </si>
  <si>
    <t>Construction of Missing Links/ New Roads</t>
  </si>
  <si>
    <t>Construction of Flyovers/ Interchanges/ Underpasses/ Long Span Bridges</t>
  </si>
  <si>
    <t>OO 2: Protect Lives and Properties Against Major Floods</t>
  </si>
  <si>
    <t>Construction/ Improvement of Access Roads leading to Railway Stations</t>
  </si>
  <si>
    <t>Construction/ Improvement of Access Roads leading to Trade, Industries and Economic Zones</t>
  </si>
  <si>
    <t>Construction/ Improvement of Various Infrastructure in Support of National Security</t>
  </si>
  <si>
    <t>Improvement of Capacity of Provincial Bridges along Provincial Roads</t>
  </si>
  <si>
    <t>Restoration and Rehabilitation of the Banaue Rice Terraces</t>
  </si>
  <si>
    <t>South East Asian Games and Para Games Related Infrastructure</t>
  </si>
  <si>
    <t>2020 ASEAN Games Related Infrastructure</t>
  </si>
  <si>
    <t>Construction/ Rehabilitation of Accessibility Facilities for Physically Challenged Persons</t>
  </si>
  <si>
    <t>Pasig River Ferry Convergence Program</t>
  </si>
  <si>
    <t>Construction/ Rehabilitation/ Improvement of Facilities for Persons with Disabilities (PWD) and Elderlies/ Senior Citizens, including Gender-Responsive Facilities</t>
  </si>
  <si>
    <t>Special Road Fund - Motor Vehicle User's Charge (MVUC) as per R.A. 11239</t>
  </si>
  <si>
    <t>SIPAG - Access Roads and/or Bridges from the National Road/s leading to Major/ Strategic Public Buildings/ Facilities</t>
  </si>
  <si>
    <t>SIPAG - Access Roads and/or Bridges from the National Roads connecting to Indigenous People (IP) Communities</t>
  </si>
  <si>
    <t>SIPAG - Interjurisdictional Roads and/or Bridges (or, roads that traverse multiple LGU jurisdictions)</t>
  </si>
  <si>
    <t>SIPAG - Coastal Roads/Causeway for environmental protection/conservation</t>
  </si>
  <si>
    <t>SIPAG - Multi-Purpose Buildings/ Facilities to support Social Services</t>
  </si>
  <si>
    <t>SIPAG - Public Water Supply System</t>
  </si>
  <si>
    <t>SIPAG - Local Ports and Boat Landings</t>
  </si>
  <si>
    <t>SIPAG - Evacuation Centers/ Quarantine Facilities/ Public Health Facilities</t>
  </si>
  <si>
    <t>SIPAG - Climate-Resilient and Green Infrastructure Features</t>
  </si>
  <si>
    <t>Basic Infrastructure Program (BIP)</t>
  </si>
  <si>
    <t>BIP - Access Roads and/or Bridges from the National Road/s leading to Major/ Strategic Public Buildings/ Facilities</t>
  </si>
  <si>
    <t>BIP - Access Roads and/or Bridges from the National Roads connecting to Indigenous People (IP) Communities</t>
  </si>
  <si>
    <t>BIP - Interjurisdictional Roads and/or Bridges (or, roads that traverse multiple LGU jurisdictions)</t>
  </si>
  <si>
    <t>BIP - Coastal Roads/Causeway for environmental protection/conservation</t>
  </si>
  <si>
    <t>BIP - Local Ports and Boat Landings</t>
  </si>
  <si>
    <t>National Roads and Bridges</t>
  </si>
  <si>
    <t>Local Roads and Bridges</t>
  </si>
  <si>
    <t>Water Management Facilities</t>
  </si>
  <si>
    <t>National Building Program</t>
  </si>
  <si>
    <t>Philippine Seismic Risk Reduction and Resilience Project (PSRRRP), IBRD Loan No. 9251-PH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</si>
</sst>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3" fontId="4" fillId="0" borderId="0" xfId="0" applyNumberFormat="1" applyFont="1"/>
    <xf numFmtId="3" fontId="0" fillId="0" borderId="0" xfId="0" applyNumberFormat="1"/>
    <xf numFmtId="3" fontId="5" fillId="0" borderId="0" xfId="0" applyNumberFormat="1" applyFont="1"/>
    <xf numFmtId="3" fontId="2" fillId="0" borderId="0" xfId="0" applyNumberFormat="1" applyFont="1"/>
    <xf numFmtId="3" fontId="0" fillId="2" borderId="0" xfId="0" applyNumberFormat="1" applyFill="1"/>
    <xf numFmtId="164" fontId="0" fillId="0" borderId="0" xfId="1" applyNumberFormat="1" applyFont="1"/>
    <xf numFmtId="49" fontId="0" fillId="0" borderId="0" xfId="0" applyNumberFormat="1"/>
    <xf numFmtId="0" fontId="3" fillId="3" borderId="0" xfId="0" applyFont="1" applyFill="1"/>
    <xf numFmtId="0" fontId="0" fillId="3" borderId="0" xfId="0" applyFill="1"/>
    <xf numFmtId="3" fontId="6" fillId="3" borderId="0" xfId="0" applyNumberFormat="1" applyFont="1" applyFill="1"/>
    <xf numFmtId="3" fontId="3" fillId="3" borderId="0" xfId="0" applyNumberFormat="1" applyFont="1" applyFill="1"/>
    <xf numFmtId="0" fontId="3" fillId="0" borderId="0" xfId="0" applyFont="1"/>
    <xf numFmtId="3" fontId="3" fillId="0" borderId="0" xfId="0" applyNumberFormat="1" applyFont="1"/>
    <xf numFmtId="3" fontId="5" fillId="3" borderId="0" xfId="0" applyNumberFormat="1" applyFont="1" applyFill="1"/>
    <xf numFmtId="0" fontId="6" fillId="4" borderId="0" xfId="0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5" fillId="0" borderId="0" xfId="0" applyFont="1"/>
    <xf numFmtId="0" fontId="3" fillId="4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0" fillId="0" borderId="0" xfId="0" applyNumberFormat="1"/>
    <xf numFmtId="0" fontId="7" fillId="0" borderId="0" xfId="0" applyFont="1"/>
    <xf numFmtId="0" fontId="0" fillId="0" borderId="0" xfId="0" quotePrefix="1"/>
    <xf numFmtId="0" fontId="0" fillId="5" borderId="0" xfId="0" applyFill="1"/>
    <xf numFmtId="0" fontId="8" fillId="0" borderId="0" xfId="0" applyFont="1"/>
    <xf numFmtId="3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6" fillId="0" borderId="0" xfId="0" applyNumberFormat="1" applyFont="1"/>
    <xf numFmtId="3" fontId="2" fillId="5" borderId="0" xfId="0" applyNumberFormat="1" applyFont="1" applyFill="1"/>
    <xf numFmtId="3" fontId="10" fillId="5" borderId="0" xfId="0" applyNumberFormat="1" applyFont="1" applyFill="1"/>
    <xf numFmtId="3" fontId="11" fillId="4" borderId="0" xfId="0" applyNumberFormat="1" applyFont="1" applyFill="1" applyAlignment="1">
      <alignment horizontal="center"/>
    </xf>
    <xf numFmtId="3" fontId="5" fillId="5" borderId="0" xfId="0" applyNumberFormat="1" applyFont="1" applyFill="1"/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E563-FD3B-44C6-BAEC-23209D7A8A5D}">
  <dimension ref="A1:X42"/>
  <sheetViews>
    <sheetView topLeftCell="B19" workbookViewId="0">
      <selection activeCell="W41" sqref="W41"/>
    </sheetView>
  </sheetViews>
  <sheetFormatPr defaultRowHeight="15" x14ac:dyDescent="0.25"/>
  <cols>
    <col min="2" max="4" width="15.7109375" customWidth="1"/>
    <col min="7" max="9" width="15.7109375" customWidth="1"/>
    <col min="12" max="14" width="15.7109375" customWidth="1"/>
  </cols>
  <sheetData>
    <row r="1" spans="1:24" x14ac:dyDescent="0.25">
      <c r="B1" s="22" t="s">
        <v>3</v>
      </c>
      <c r="G1" s="22" t="s">
        <v>425</v>
      </c>
      <c r="L1" s="22" t="s">
        <v>426</v>
      </c>
      <c r="Q1" s="22" t="s">
        <v>5</v>
      </c>
      <c r="U1" s="22" t="s">
        <v>442</v>
      </c>
    </row>
    <row r="2" spans="1:24" x14ac:dyDescent="0.25">
      <c r="A2" s="20" t="s">
        <v>4</v>
      </c>
      <c r="B2" s="20" t="s">
        <v>0</v>
      </c>
      <c r="C2" s="20" t="s">
        <v>1</v>
      </c>
      <c r="D2" s="20" t="s">
        <v>2</v>
      </c>
      <c r="E2" s="20"/>
      <c r="F2" s="20" t="s">
        <v>4</v>
      </c>
      <c r="G2" s="20" t="s">
        <v>0</v>
      </c>
      <c r="H2" s="20" t="s">
        <v>1</v>
      </c>
      <c r="I2" s="20" t="s">
        <v>2</v>
      </c>
      <c r="J2" s="20"/>
      <c r="K2" s="20" t="s">
        <v>4</v>
      </c>
      <c r="L2" s="20" t="s">
        <v>0</v>
      </c>
      <c r="M2" s="20" t="s">
        <v>1</v>
      </c>
      <c r="N2" s="20" t="s">
        <v>2</v>
      </c>
      <c r="O2" s="20"/>
      <c r="P2" s="20" t="s">
        <v>4</v>
      </c>
      <c r="Q2" s="20" t="s">
        <v>0</v>
      </c>
      <c r="R2" s="20" t="s">
        <v>1</v>
      </c>
      <c r="S2" s="20" t="s">
        <v>2</v>
      </c>
      <c r="U2" s="20" t="s">
        <v>439</v>
      </c>
      <c r="V2" s="20" t="s">
        <v>440</v>
      </c>
      <c r="W2" s="20" t="s">
        <v>441</v>
      </c>
      <c r="X2" s="20"/>
    </row>
    <row r="3" spans="1:24" x14ac:dyDescent="0.25">
      <c r="A3">
        <v>1988</v>
      </c>
      <c r="B3" s="2">
        <v>4698397</v>
      </c>
      <c r="C3" s="2">
        <v>8932576</v>
      </c>
      <c r="F3">
        <v>1988</v>
      </c>
      <c r="K3">
        <v>1988</v>
      </c>
      <c r="L3" s="2">
        <v>169728000</v>
      </c>
      <c r="M3" s="2">
        <v>190688933</v>
      </c>
      <c r="P3">
        <v>1988</v>
      </c>
      <c r="Q3" s="6">
        <f t="shared" ref="Q3:S40" si="0">B3/L3</f>
        <v>2.7681920484539969E-2</v>
      </c>
      <c r="R3" s="6">
        <f t="shared" si="0"/>
        <v>4.6843704348589546E-2</v>
      </c>
      <c r="U3">
        <v>1988</v>
      </c>
      <c r="V3" s="21">
        <v>16.949822627532672</v>
      </c>
      <c r="W3" s="21">
        <v>19.015989545816918</v>
      </c>
    </row>
    <row r="4" spans="1:24" x14ac:dyDescent="0.25">
      <c r="A4">
        <v>1989</v>
      </c>
      <c r="B4" s="2">
        <v>11951218</v>
      </c>
      <c r="D4" s="2">
        <v>9710323</v>
      </c>
      <c r="F4">
        <v>1989</v>
      </c>
      <c r="K4">
        <v>1989</v>
      </c>
      <c r="L4" s="2">
        <v>228940000</v>
      </c>
      <c r="N4" s="2">
        <v>173341449</v>
      </c>
      <c r="P4">
        <v>1989</v>
      </c>
      <c r="Q4" s="6">
        <f t="shared" si="0"/>
        <v>5.2202402376168432E-2</v>
      </c>
      <c r="S4" s="6">
        <f t="shared" si="0"/>
        <v>5.6018471381302462E-2</v>
      </c>
      <c r="U4">
        <v>1989</v>
      </c>
      <c r="V4" s="21">
        <v>18.76821532565393</v>
      </c>
      <c r="W4" s="21">
        <v>20.746433460101695</v>
      </c>
    </row>
    <row r="5" spans="1:24" x14ac:dyDescent="0.25">
      <c r="A5">
        <v>1990</v>
      </c>
      <c r="C5" s="2">
        <v>13724821</v>
      </c>
      <c r="F5">
        <v>1990</v>
      </c>
      <c r="K5">
        <v>1990</v>
      </c>
      <c r="M5" s="2">
        <v>211755541</v>
      </c>
      <c r="P5">
        <v>1990</v>
      </c>
      <c r="R5" s="6">
        <f t="shared" si="0"/>
        <v>6.481445980202237E-2</v>
      </c>
      <c r="U5">
        <v>1990</v>
      </c>
      <c r="V5" s="21">
        <v>21.329254891476364</v>
      </c>
      <c r="W5" s="21">
        <v>23.434515309241004</v>
      </c>
    </row>
    <row r="6" spans="1:24" x14ac:dyDescent="0.25">
      <c r="A6">
        <v>1991</v>
      </c>
      <c r="B6" s="2">
        <v>14262614</v>
      </c>
      <c r="D6" s="2">
        <v>23663038</v>
      </c>
      <c r="F6">
        <v>1991</v>
      </c>
      <c r="K6">
        <v>1991</v>
      </c>
      <c r="L6" s="2">
        <v>254383983</v>
      </c>
      <c r="N6" s="2">
        <v>293160746</v>
      </c>
      <c r="P6">
        <v>1991</v>
      </c>
      <c r="Q6" s="6">
        <f t="shared" si="0"/>
        <v>5.6067264266398409E-2</v>
      </c>
      <c r="S6" s="6">
        <f t="shared" si="0"/>
        <v>8.0716938822361986E-2</v>
      </c>
      <c r="U6">
        <v>1991</v>
      </c>
      <c r="V6" s="21">
        <v>25.462958412430684</v>
      </c>
      <c r="W6" s="21">
        <v>27.276632131326501</v>
      </c>
    </row>
    <row r="7" spans="1:24" x14ac:dyDescent="0.25">
      <c r="A7">
        <v>1992</v>
      </c>
      <c r="C7" s="2">
        <v>26030964</v>
      </c>
      <c r="D7" s="2">
        <v>22008494</v>
      </c>
      <c r="F7">
        <v>1992</v>
      </c>
      <c r="I7" s="2"/>
      <c r="K7">
        <v>1992</v>
      </c>
      <c r="M7" s="2">
        <v>328136991</v>
      </c>
      <c r="N7" s="2">
        <v>286602815</v>
      </c>
      <c r="P7">
        <v>1992</v>
      </c>
      <c r="R7" s="6">
        <f t="shared" si="0"/>
        <v>7.93295626947466E-2</v>
      </c>
      <c r="S7" s="6">
        <f t="shared" si="0"/>
        <v>7.6790920563707649E-2</v>
      </c>
      <c r="U7">
        <v>1992</v>
      </c>
      <c r="V7" s="21">
        <v>27.652674544402533</v>
      </c>
      <c r="W7" s="21">
        <v>29.426539129098416</v>
      </c>
    </row>
    <row r="8" spans="1:24" x14ac:dyDescent="0.25">
      <c r="A8">
        <v>1993</v>
      </c>
      <c r="B8" s="2">
        <v>18598192</v>
      </c>
      <c r="C8" s="2">
        <v>23791136</v>
      </c>
      <c r="D8" s="2">
        <v>18701937</v>
      </c>
      <c r="F8">
        <v>1993</v>
      </c>
      <c r="H8" s="2"/>
      <c r="I8" s="2"/>
      <c r="K8">
        <v>1993</v>
      </c>
      <c r="L8" s="2">
        <v>330237082</v>
      </c>
      <c r="M8" s="2">
        <v>339358757</v>
      </c>
      <c r="N8" s="2">
        <v>313749337</v>
      </c>
      <c r="P8">
        <v>1993</v>
      </c>
      <c r="Q8" s="6">
        <f t="shared" si="0"/>
        <v>5.6317697235466729E-2</v>
      </c>
      <c r="R8" s="6">
        <f t="shared" si="0"/>
        <v>7.0106150229681558E-2</v>
      </c>
      <c r="S8" s="6">
        <f t="shared" si="0"/>
        <v>5.9607893290942633E-2</v>
      </c>
      <c r="U8">
        <v>1993</v>
      </c>
      <c r="V8" s="21">
        <v>29.514752352388559</v>
      </c>
      <c r="W8" s="21">
        <v>31.43037520688145</v>
      </c>
    </row>
    <row r="9" spans="1:24" x14ac:dyDescent="0.25">
      <c r="A9">
        <v>1994</v>
      </c>
      <c r="B9" s="2">
        <v>18822666</v>
      </c>
      <c r="C9" s="2">
        <v>24417509</v>
      </c>
      <c r="D9" s="2">
        <v>30430496</v>
      </c>
      <c r="F9">
        <v>1994</v>
      </c>
      <c r="G9" s="2"/>
      <c r="H9" s="2"/>
      <c r="K9">
        <v>1994</v>
      </c>
      <c r="L9" s="2">
        <v>362038357</v>
      </c>
      <c r="M9" s="2">
        <v>373777958</v>
      </c>
      <c r="N9" s="2">
        <v>327768086</v>
      </c>
      <c r="P9">
        <v>1994</v>
      </c>
      <c r="Q9" s="6">
        <f t="shared" si="0"/>
        <v>5.1990806046001363E-2</v>
      </c>
      <c r="R9" s="6">
        <f t="shared" si="0"/>
        <v>6.5326241094184584E-2</v>
      </c>
      <c r="S9" s="6">
        <f t="shared" si="0"/>
        <v>9.284154650736802E-2</v>
      </c>
      <c r="U9">
        <v>1994</v>
      </c>
      <c r="V9" s="21">
        <v>33.200683497228944</v>
      </c>
      <c r="W9" s="21">
        <v>34.592343402544948</v>
      </c>
    </row>
    <row r="10" spans="1:24" x14ac:dyDescent="0.25">
      <c r="A10">
        <v>1995</v>
      </c>
      <c r="B10" s="2">
        <v>22382233</v>
      </c>
      <c r="C10" s="2">
        <v>24966195</v>
      </c>
      <c r="D10" s="2">
        <v>26553429</v>
      </c>
      <c r="F10">
        <v>1995</v>
      </c>
      <c r="G10" s="2"/>
      <c r="K10">
        <v>1995</v>
      </c>
      <c r="L10" s="2">
        <v>384713251</v>
      </c>
      <c r="M10" s="2">
        <v>392450105</v>
      </c>
      <c r="N10" s="2">
        <v>372081474</v>
      </c>
      <c r="P10">
        <v>1995</v>
      </c>
      <c r="Q10" s="6">
        <f t="shared" si="0"/>
        <v>5.8179002001675272E-2</v>
      </c>
      <c r="R10" s="6">
        <f t="shared" si="0"/>
        <v>6.3616227087007662E-2</v>
      </c>
      <c r="S10" s="6">
        <f t="shared" si="0"/>
        <v>7.1364555495176313E-2</v>
      </c>
      <c r="U10">
        <v>1995</v>
      </c>
      <c r="V10" s="21">
        <v>35.477769848930336</v>
      </c>
      <c r="W10" s="21">
        <v>37.235995396298257</v>
      </c>
    </row>
    <row r="11" spans="1:24" x14ac:dyDescent="0.25">
      <c r="A11">
        <v>1996</v>
      </c>
      <c r="B11" s="2">
        <v>31490269</v>
      </c>
      <c r="C11" s="2">
        <v>41146304</v>
      </c>
      <c r="D11" s="2">
        <v>39420164</v>
      </c>
      <c r="F11">
        <v>1996</v>
      </c>
      <c r="K11">
        <v>1996</v>
      </c>
      <c r="L11" s="2">
        <v>415557000</v>
      </c>
      <c r="M11" s="2">
        <v>445734562</v>
      </c>
      <c r="N11" s="2">
        <v>416139474</v>
      </c>
      <c r="P11">
        <v>1996</v>
      </c>
      <c r="Q11" s="6">
        <f t="shared" si="0"/>
        <v>7.5778458791453396E-2</v>
      </c>
      <c r="R11" s="6">
        <f t="shared" si="0"/>
        <v>9.2311226249491507E-2</v>
      </c>
      <c r="S11" s="6">
        <f t="shared" si="0"/>
        <v>9.4728249692553806E-2</v>
      </c>
      <c r="U11">
        <v>1996</v>
      </c>
      <c r="V11" s="21">
        <v>38.426514764802647</v>
      </c>
      <c r="W11" s="21">
        <v>40.099058227478636</v>
      </c>
    </row>
    <row r="12" spans="1:24" x14ac:dyDescent="0.25">
      <c r="A12">
        <v>1997</v>
      </c>
      <c r="B12" s="3">
        <v>37991444</v>
      </c>
      <c r="C12" s="3">
        <v>54411671</v>
      </c>
      <c r="D12" s="3">
        <v>45098080</v>
      </c>
      <c r="F12">
        <v>1997</v>
      </c>
      <c r="G12" s="3"/>
      <c r="H12" s="3"/>
      <c r="I12" s="3"/>
      <c r="K12">
        <v>1997</v>
      </c>
      <c r="L12" s="2">
        <v>476170000</v>
      </c>
      <c r="M12" s="2">
        <v>493469067</v>
      </c>
      <c r="N12" s="2">
        <v>491783023</v>
      </c>
      <c r="P12">
        <v>1997</v>
      </c>
      <c r="Q12" s="6">
        <f t="shared" si="0"/>
        <v>7.9785463174916527E-2</v>
      </c>
      <c r="R12" s="6">
        <f t="shared" si="0"/>
        <v>0.110263590240399</v>
      </c>
      <c r="S12" s="6">
        <f t="shared" si="0"/>
        <v>9.1703206273552065E-2</v>
      </c>
      <c r="U12">
        <v>1997</v>
      </c>
      <c r="V12" s="21">
        <v>40.599848980575196</v>
      </c>
      <c r="W12" s="21">
        <v>42.609185393132513</v>
      </c>
    </row>
    <row r="13" spans="1:24" x14ac:dyDescent="0.25">
      <c r="A13">
        <v>1998</v>
      </c>
      <c r="B13" s="3">
        <v>46842867</v>
      </c>
      <c r="C13" s="3">
        <v>35693455</v>
      </c>
      <c r="D13" s="3">
        <v>49676221</v>
      </c>
      <c r="F13">
        <v>1998</v>
      </c>
      <c r="G13" s="3"/>
      <c r="H13" s="3"/>
      <c r="I13" s="3"/>
      <c r="K13">
        <v>1998</v>
      </c>
      <c r="L13" s="2">
        <v>540788000</v>
      </c>
      <c r="M13" s="2">
        <v>528263186</v>
      </c>
      <c r="N13" s="2">
        <v>537433373</v>
      </c>
      <c r="P13">
        <v>1998</v>
      </c>
      <c r="Q13" s="6">
        <f t="shared" si="0"/>
        <v>8.6619649474470581E-2</v>
      </c>
      <c r="R13" s="6">
        <f t="shared" si="0"/>
        <v>6.7567560916501193E-2</v>
      </c>
      <c r="S13" s="6">
        <f t="shared" si="0"/>
        <v>9.2432333933233427E-2</v>
      </c>
      <c r="U13">
        <v>1998</v>
      </c>
      <c r="V13" s="21">
        <v>44.405914177543714</v>
      </c>
      <c r="W13" s="21">
        <v>47.042956767421572</v>
      </c>
    </row>
    <row r="14" spans="1:24" x14ac:dyDescent="0.25">
      <c r="A14">
        <v>1999</v>
      </c>
      <c r="B14" s="3">
        <v>37604956</v>
      </c>
      <c r="C14" s="3">
        <v>38129438</v>
      </c>
      <c r="D14" s="3">
        <v>47648912</v>
      </c>
      <c r="F14">
        <v>1999</v>
      </c>
      <c r="G14" s="3"/>
      <c r="H14" s="3"/>
      <c r="I14" s="3"/>
      <c r="K14">
        <v>1999</v>
      </c>
      <c r="L14" s="2">
        <v>579481000</v>
      </c>
      <c r="M14" s="2">
        <v>593580491</v>
      </c>
      <c r="N14" s="2">
        <v>580385020</v>
      </c>
      <c r="P14">
        <v>1999</v>
      </c>
      <c r="Q14" s="6">
        <f t="shared" si="0"/>
        <v>6.4894200154966261E-2</v>
      </c>
      <c r="R14" s="6">
        <f t="shared" si="0"/>
        <v>6.423633960031884E-2</v>
      </c>
      <c r="S14" s="6">
        <f t="shared" si="0"/>
        <v>8.2098797105411167E-2</v>
      </c>
      <c r="U14">
        <v>1999</v>
      </c>
      <c r="V14" s="21">
        <v>47.130772905359059</v>
      </c>
      <c r="W14" s="21">
        <v>50.022958597842347</v>
      </c>
    </row>
    <row r="15" spans="1:24" x14ac:dyDescent="0.25">
      <c r="A15">
        <v>2000</v>
      </c>
      <c r="B15" s="3">
        <v>42382986</v>
      </c>
      <c r="C15" s="3">
        <v>52878547</v>
      </c>
      <c r="D15" s="3">
        <v>64508642</v>
      </c>
      <c r="F15">
        <v>2000</v>
      </c>
      <c r="G15" s="3"/>
      <c r="H15" s="3"/>
      <c r="I15" s="3"/>
      <c r="K15">
        <v>2000</v>
      </c>
      <c r="L15" s="2">
        <v>651000000</v>
      </c>
      <c r="M15" s="2">
        <v>649484000</v>
      </c>
      <c r="N15" s="2">
        <v>682459835</v>
      </c>
      <c r="P15">
        <v>2000</v>
      </c>
      <c r="Q15" s="6">
        <f t="shared" si="0"/>
        <v>6.5104433179723503E-2</v>
      </c>
      <c r="R15" s="6">
        <f t="shared" si="0"/>
        <v>8.1416242740390832E-2</v>
      </c>
      <c r="S15" s="6">
        <f t="shared" si="0"/>
        <v>9.4523719480136145E-2</v>
      </c>
      <c r="U15">
        <v>2000</v>
      </c>
      <c r="V15" s="21">
        <v>50.232415705758065</v>
      </c>
      <c r="W15" s="21">
        <v>52.932760856076719</v>
      </c>
    </row>
    <row r="16" spans="1:24" x14ac:dyDescent="0.25">
      <c r="A16">
        <v>2001</v>
      </c>
      <c r="B16" s="3">
        <v>47733933</v>
      </c>
      <c r="C16" s="3">
        <v>44590138</v>
      </c>
      <c r="D16" s="3">
        <v>55054763</v>
      </c>
      <c r="F16">
        <v>2001</v>
      </c>
      <c r="G16" s="3"/>
      <c r="H16" s="3"/>
      <c r="I16" s="3"/>
      <c r="K16">
        <v>2001</v>
      </c>
      <c r="L16" s="2">
        <v>725000000</v>
      </c>
      <c r="M16" s="2">
        <v>699878018</v>
      </c>
      <c r="N16" s="2">
        <v>707093084</v>
      </c>
      <c r="P16">
        <v>2001</v>
      </c>
      <c r="Q16" s="6">
        <f t="shared" si="0"/>
        <v>6.5839907586206892E-2</v>
      </c>
      <c r="R16" s="6">
        <f t="shared" si="0"/>
        <v>6.3711299473903471E-2</v>
      </c>
      <c r="S16" s="6">
        <f t="shared" si="0"/>
        <v>7.7860700727770099E-2</v>
      </c>
      <c r="U16">
        <v>2001</v>
      </c>
      <c r="V16" s="21">
        <v>52.946353156107214</v>
      </c>
      <c r="W16" s="21">
        <v>55.906979790278896</v>
      </c>
    </row>
    <row r="17" spans="1:23" x14ac:dyDescent="0.25">
      <c r="A17">
        <v>2002</v>
      </c>
      <c r="B17" s="3">
        <v>44332691</v>
      </c>
      <c r="C17" s="3">
        <v>48278881</v>
      </c>
      <c r="D17" s="3">
        <v>47590447</v>
      </c>
      <c r="F17">
        <v>2002</v>
      </c>
      <c r="G17" s="3"/>
      <c r="H17" s="3"/>
      <c r="I17" s="3"/>
      <c r="K17">
        <v>2002</v>
      </c>
      <c r="L17" s="2">
        <v>780790170</v>
      </c>
      <c r="M17" s="3">
        <v>769804730</v>
      </c>
      <c r="N17" s="2">
        <v>742022356</v>
      </c>
      <c r="P17">
        <v>2002</v>
      </c>
      <c r="Q17" s="6">
        <f t="shared" si="0"/>
        <v>5.6779263755331343E-2</v>
      </c>
      <c r="R17" s="6">
        <f t="shared" si="0"/>
        <v>6.2715750005848891E-2</v>
      </c>
      <c r="S17" s="6">
        <f t="shared" si="0"/>
        <v>6.4136136351126333E-2</v>
      </c>
      <c r="U17">
        <v>2002</v>
      </c>
      <c r="V17" s="21">
        <v>54.387961781644783</v>
      </c>
      <c r="W17" s="21">
        <v>58.272455436030377</v>
      </c>
    </row>
    <row r="18" spans="1:23" x14ac:dyDescent="0.25">
      <c r="A18">
        <v>2003</v>
      </c>
      <c r="B18" s="3">
        <v>51530186</v>
      </c>
      <c r="C18" s="3">
        <v>53241400</v>
      </c>
      <c r="D18" s="3">
        <v>53312414</v>
      </c>
      <c r="F18">
        <v>2003</v>
      </c>
      <c r="G18" s="3"/>
      <c r="H18" s="3"/>
      <c r="I18" s="3"/>
      <c r="K18">
        <v>2003</v>
      </c>
      <c r="L18" s="2">
        <v>804200000</v>
      </c>
      <c r="M18" s="3">
        <v>811462000</v>
      </c>
      <c r="N18" s="2">
        <v>825113313</v>
      </c>
      <c r="P18">
        <v>2003</v>
      </c>
      <c r="Q18" s="6">
        <f t="shared" si="0"/>
        <v>6.4076331758269087E-2</v>
      </c>
      <c r="R18" s="6">
        <f t="shared" si="0"/>
        <v>6.561169839129867E-2</v>
      </c>
      <c r="S18" s="6">
        <f t="shared" si="0"/>
        <v>6.4612233447262288E-2</v>
      </c>
      <c r="U18">
        <v>2003</v>
      </c>
      <c r="V18" s="21">
        <v>55.611144857858484</v>
      </c>
      <c r="W18" s="21">
        <v>60.132588742389423</v>
      </c>
    </row>
    <row r="19" spans="1:23" x14ac:dyDescent="0.25">
      <c r="A19">
        <v>2004</v>
      </c>
      <c r="B19" s="3">
        <v>48171121</v>
      </c>
      <c r="C19" s="3">
        <v>47192701</v>
      </c>
      <c r="D19" s="3">
        <v>57936619</v>
      </c>
      <c r="F19">
        <v>2004</v>
      </c>
      <c r="G19" s="3"/>
      <c r="H19" s="3"/>
      <c r="I19" s="3">
        <v>47227822</v>
      </c>
      <c r="K19">
        <v>2004</v>
      </c>
      <c r="L19" s="2">
        <v>864763579</v>
      </c>
      <c r="M19" s="4">
        <v>861628593</v>
      </c>
      <c r="N19" s="4">
        <v>867009830</v>
      </c>
      <c r="P19">
        <v>2004</v>
      </c>
      <c r="Q19" s="6">
        <f t="shared" si="0"/>
        <v>5.5704382295684078E-2</v>
      </c>
      <c r="R19" s="6">
        <f t="shared" si="0"/>
        <v>5.4771512207696667E-2</v>
      </c>
      <c r="S19" s="6">
        <f t="shared" si="0"/>
        <v>6.6823485726799664E-2</v>
      </c>
      <c r="U19">
        <v>2004</v>
      </c>
      <c r="V19" s="21">
        <v>58.286857837075956</v>
      </c>
      <c r="W19" s="21">
        <v>63.674854345094609</v>
      </c>
    </row>
    <row r="20" spans="1:23" x14ac:dyDescent="0.25">
      <c r="A20">
        <v>2005</v>
      </c>
      <c r="B20" s="3">
        <v>49469623</v>
      </c>
      <c r="C20" s="3">
        <v>49469623</v>
      </c>
      <c r="D20" s="3">
        <v>50669829</v>
      </c>
      <c r="F20">
        <v>2005</v>
      </c>
      <c r="G20" s="3">
        <v>42472572</v>
      </c>
      <c r="H20" s="3">
        <v>42472572</v>
      </c>
      <c r="I20" s="3"/>
      <c r="K20">
        <v>2005</v>
      </c>
      <c r="L20" s="2">
        <v>907589726</v>
      </c>
      <c r="M20" s="4">
        <v>918618726</v>
      </c>
      <c r="N20" s="2">
        <v>947553728</v>
      </c>
      <c r="P20">
        <v>2005</v>
      </c>
      <c r="Q20" s="6">
        <f t="shared" si="0"/>
        <v>5.4506592111863553E-2</v>
      </c>
      <c r="R20" s="6">
        <f t="shared" si="0"/>
        <v>5.3852182194683455E-2</v>
      </c>
      <c r="S20" s="6">
        <f t="shared" si="0"/>
        <v>5.3474359820153652E-2</v>
      </c>
      <c r="U20">
        <v>2005</v>
      </c>
      <c r="V20" s="21">
        <v>62.131147505176138</v>
      </c>
      <c r="W20" s="21">
        <v>67.438607138753099</v>
      </c>
    </row>
    <row r="21" spans="1:23" x14ac:dyDescent="0.25">
      <c r="A21">
        <v>2006</v>
      </c>
      <c r="B21" s="3">
        <v>62328186</v>
      </c>
      <c r="C21" s="3">
        <v>62328186</v>
      </c>
      <c r="D21" s="3">
        <v>85289372</v>
      </c>
      <c r="F21">
        <v>2006</v>
      </c>
      <c r="G21" s="3">
        <v>55078613</v>
      </c>
      <c r="H21" s="3"/>
      <c r="I21" s="3">
        <v>29028537</v>
      </c>
      <c r="K21">
        <v>2006</v>
      </c>
      <c r="L21" s="3">
        <v>1053277000</v>
      </c>
      <c r="M21" s="4">
        <v>1053277000</v>
      </c>
      <c r="N21" s="2">
        <v>1044827405</v>
      </c>
      <c r="P21">
        <v>2006</v>
      </c>
      <c r="Q21" s="6">
        <f t="shared" si="0"/>
        <v>5.9175493246316019E-2</v>
      </c>
      <c r="R21" s="6">
        <f t="shared" si="0"/>
        <v>5.9175493246316019E-2</v>
      </c>
      <c r="S21" s="6">
        <f t="shared" si="0"/>
        <v>8.1630106170501912E-2</v>
      </c>
      <c r="U21">
        <v>2006</v>
      </c>
      <c r="V21" s="21">
        <v>65.527664797162387</v>
      </c>
      <c r="W21" s="21">
        <v>70.885789987022918</v>
      </c>
    </row>
    <row r="22" spans="1:23" x14ac:dyDescent="0.25">
      <c r="A22">
        <v>2007</v>
      </c>
      <c r="B22" s="3">
        <v>73567928</v>
      </c>
      <c r="C22" s="3">
        <v>79505300</v>
      </c>
      <c r="D22" s="3">
        <v>106300396</v>
      </c>
      <c r="F22">
        <v>2007</v>
      </c>
      <c r="G22" s="3">
        <v>65286040</v>
      </c>
      <c r="H22" s="3">
        <v>71223412</v>
      </c>
      <c r="I22" s="1">
        <v>127099928</v>
      </c>
      <c r="K22">
        <v>2007</v>
      </c>
      <c r="L22" s="2">
        <v>1126339000</v>
      </c>
      <c r="M22" s="4">
        <v>1126139000</v>
      </c>
      <c r="N22" s="2">
        <v>1155508758</v>
      </c>
      <c r="P22">
        <v>2007</v>
      </c>
      <c r="Q22" s="6">
        <f t="shared" si="0"/>
        <v>6.5315973254943677E-2</v>
      </c>
      <c r="R22" s="6">
        <f t="shared" si="0"/>
        <v>7.059989930195118E-2</v>
      </c>
      <c r="S22" s="6">
        <f t="shared" si="0"/>
        <v>9.1994452888430639E-2</v>
      </c>
      <c r="U22">
        <v>2007</v>
      </c>
      <c r="V22" s="21">
        <v>67.455270269945586</v>
      </c>
      <c r="W22" s="21">
        <v>73.128821776554702</v>
      </c>
    </row>
    <row r="23" spans="1:23" x14ac:dyDescent="0.25">
      <c r="A23">
        <v>2008</v>
      </c>
      <c r="B23" s="3">
        <v>94461603</v>
      </c>
      <c r="C23" s="3">
        <v>102424216</v>
      </c>
      <c r="D23" s="3">
        <v>137911625</v>
      </c>
      <c r="F23">
        <v>2008</v>
      </c>
      <c r="G23" s="3">
        <v>86754923</v>
      </c>
      <c r="H23" s="3">
        <v>94717536</v>
      </c>
      <c r="I23" s="1">
        <v>117734633</v>
      </c>
      <c r="K23">
        <v>2008</v>
      </c>
      <c r="L23" s="2">
        <v>1227000000</v>
      </c>
      <c r="M23" s="4">
        <v>1226700000</v>
      </c>
      <c r="N23" s="2">
        <v>1314613561</v>
      </c>
      <c r="P23">
        <v>2008</v>
      </c>
      <c r="Q23" s="6">
        <f t="shared" si="0"/>
        <v>7.6985821515892422E-2</v>
      </c>
      <c r="R23" s="6">
        <f t="shared" si="0"/>
        <v>8.3495733268117711E-2</v>
      </c>
      <c r="S23" s="6">
        <f t="shared" si="0"/>
        <v>0.10490658935169771</v>
      </c>
      <c r="U23">
        <v>2008</v>
      </c>
      <c r="V23" s="21">
        <v>72.975976029106505</v>
      </c>
      <c r="W23" s="21">
        <v>78.378897984327708</v>
      </c>
    </row>
    <row r="24" spans="1:23" x14ac:dyDescent="0.25">
      <c r="A24">
        <v>2009</v>
      </c>
      <c r="B24" s="3">
        <v>119988414</v>
      </c>
      <c r="C24" s="3">
        <v>137513763</v>
      </c>
      <c r="D24" s="3">
        <v>158794739</v>
      </c>
      <c r="F24">
        <v>2009</v>
      </c>
      <c r="G24" s="3">
        <v>112364674</v>
      </c>
      <c r="H24" s="3">
        <v>129890023</v>
      </c>
      <c r="I24" s="1">
        <v>193333433</v>
      </c>
      <c r="K24">
        <v>2009</v>
      </c>
      <c r="L24" s="2">
        <v>1415000000</v>
      </c>
      <c r="M24" s="4">
        <v>1426001790</v>
      </c>
      <c r="N24" s="2">
        <v>1434145554</v>
      </c>
      <c r="P24">
        <v>2009</v>
      </c>
      <c r="Q24" s="6">
        <f t="shared" si="0"/>
        <v>8.4797465724381627E-2</v>
      </c>
      <c r="R24" s="6">
        <f t="shared" si="0"/>
        <v>9.6433092836440262E-2</v>
      </c>
      <c r="S24" s="6">
        <f t="shared" si="0"/>
        <v>0.11072428356877924</v>
      </c>
      <c r="U24">
        <v>2009</v>
      </c>
      <c r="V24" s="21">
        <v>76.05031563584005</v>
      </c>
      <c r="W24" s="21">
        <v>80.525114872627142</v>
      </c>
    </row>
    <row r="25" spans="1:23" x14ac:dyDescent="0.25">
      <c r="A25">
        <v>2010</v>
      </c>
      <c r="B25" s="3">
        <v>105250589</v>
      </c>
      <c r="C25" s="3">
        <v>135574457</v>
      </c>
      <c r="D25" s="3">
        <v>141779472</v>
      </c>
      <c r="F25">
        <v>2010</v>
      </c>
      <c r="G25" s="3">
        <v>96607120</v>
      </c>
      <c r="H25" s="3">
        <v>126930988</v>
      </c>
      <c r="I25" s="1">
        <v>126930988</v>
      </c>
      <c r="K25">
        <v>2010</v>
      </c>
      <c r="L25" s="2">
        <v>1541000000</v>
      </c>
      <c r="M25" s="4">
        <v>1540600000</v>
      </c>
      <c r="N25" s="2">
        <v>1472977429</v>
      </c>
      <c r="P25">
        <v>2010</v>
      </c>
      <c r="Q25" s="6">
        <f t="shared" si="0"/>
        <v>6.8300187540558083E-2</v>
      </c>
      <c r="R25" s="6">
        <f t="shared" si="0"/>
        <v>8.8001075554978575E-2</v>
      </c>
      <c r="S25" s="6">
        <f t="shared" si="0"/>
        <v>9.6253662282017219E-2</v>
      </c>
      <c r="U25">
        <v>2010</v>
      </c>
      <c r="V25" s="21">
        <v>78.928072248182104</v>
      </c>
      <c r="W25" s="21">
        <v>84.044774528053651</v>
      </c>
    </row>
    <row r="26" spans="1:23" x14ac:dyDescent="0.25">
      <c r="A26">
        <v>2011</v>
      </c>
      <c r="B26" s="3">
        <v>110629868</v>
      </c>
      <c r="C26" s="3">
        <v>110629868</v>
      </c>
      <c r="D26" s="3">
        <v>122004823</v>
      </c>
      <c r="F26">
        <v>2011</v>
      </c>
      <c r="G26" s="3">
        <v>100826083</v>
      </c>
      <c r="H26" s="3">
        <v>100826083</v>
      </c>
      <c r="I26" s="3">
        <v>100826083</v>
      </c>
      <c r="K26">
        <v>2011</v>
      </c>
      <c r="L26" s="2">
        <v>1645000000</v>
      </c>
      <c r="M26" s="4">
        <v>1645000000</v>
      </c>
      <c r="N26" s="2">
        <v>1580016548</v>
      </c>
      <c r="P26">
        <v>2011</v>
      </c>
      <c r="Q26" s="6">
        <f t="shared" si="0"/>
        <v>6.725219939209727E-2</v>
      </c>
      <c r="R26" s="6">
        <f t="shared" si="0"/>
        <v>6.725219939209727E-2</v>
      </c>
      <c r="S26" s="6">
        <f t="shared" si="0"/>
        <v>7.7217433674625038E-2</v>
      </c>
      <c r="U26">
        <v>2011</v>
      </c>
      <c r="V26" s="21">
        <v>82.65222786415417</v>
      </c>
      <c r="W26" s="21">
        <v>87.338326006588233</v>
      </c>
    </row>
    <row r="27" spans="1:23" x14ac:dyDescent="0.25">
      <c r="A27">
        <v>2012</v>
      </c>
      <c r="B27" s="3">
        <v>125541856</v>
      </c>
      <c r="C27" s="3">
        <v>125741856</v>
      </c>
      <c r="D27" s="3">
        <v>157625460</v>
      </c>
      <c r="F27">
        <v>2012</v>
      </c>
      <c r="G27" s="3">
        <v>109633405</v>
      </c>
      <c r="H27" s="3">
        <v>109833405</v>
      </c>
      <c r="I27" s="3">
        <v>157238447</v>
      </c>
      <c r="K27">
        <v>2012</v>
      </c>
      <c r="L27" s="2">
        <v>1816000000</v>
      </c>
      <c r="M27" s="4">
        <v>1816000000</v>
      </c>
      <c r="N27" s="5">
        <v>1828981259</v>
      </c>
      <c r="P27">
        <v>2012</v>
      </c>
      <c r="Q27" s="6">
        <f t="shared" si="0"/>
        <v>6.9130977973568278E-2</v>
      </c>
      <c r="R27" s="6">
        <f t="shared" si="0"/>
        <v>6.9241110132158584E-2</v>
      </c>
      <c r="S27" s="6">
        <f t="shared" si="0"/>
        <v>8.6182107785063966E-2</v>
      </c>
      <c r="U27">
        <v>2012</v>
      </c>
      <c r="V27" s="21">
        <v>85.272804774083554</v>
      </c>
      <c r="W27" s="21">
        <v>89.080006027003904</v>
      </c>
    </row>
    <row r="28" spans="1:23" x14ac:dyDescent="0.25">
      <c r="A28">
        <v>2013</v>
      </c>
      <c r="B28" s="3">
        <v>165573782</v>
      </c>
      <c r="C28" s="3">
        <v>169326887</v>
      </c>
      <c r="D28" s="3">
        <v>200609571</v>
      </c>
      <c r="F28">
        <v>2013</v>
      </c>
      <c r="G28" s="3">
        <v>151764428</v>
      </c>
      <c r="H28" s="3">
        <v>168929896</v>
      </c>
      <c r="I28" s="3">
        <v>200080257</v>
      </c>
      <c r="K28">
        <v>2013</v>
      </c>
      <c r="L28" s="2">
        <v>2006000000</v>
      </c>
      <c r="M28" s="5">
        <v>2005900000</v>
      </c>
      <c r="N28" s="2">
        <v>1998375515</v>
      </c>
      <c r="P28">
        <v>2013</v>
      </c>
      <c r="Q28" s="6">
        <f t="shared" si="0"/>
        <v>8.253927318045863E-2</v>
      </c>
      <c r="R28" s="6">
        <f t="shared" si="0"/>
        <v>8.4414420958173392E-2</v>
      </c>
      <c r="S28" s="6">
        <f t="shared" si="0"/>
        <v>0.10038632353839663</v>
      </c>
      <c r="U28">
        <v>2013</v>
      </c>
      <c r="V28" s="21">
        <v>87.475134981528825</v>
      </c>
      <c r="W28" s="21">
        <v>90.916001391149138</v>
      </c>
    </row>
    <row r="29" spans="1:23" x14ac:dyDescent="0.25">
      <c r="A29">
        <v>2014</v>
      </c>
      <c r="B29" s="3">
        <v>212972702</v>
      </c>
      <c r="C29" s="3">
        <v>219341196</v>
      </c>
      <c r="D29" s="3">
        <v>191822102</v>
      </c>
      <c r="F29">
        <v>2014</v>
      </c>
      <c r="G29" s="3">
        <v>200265553</v>
      </c>
      <c r="H29" s="3">
        <v>206634047</v>
      </c>
      <c r="I29" s="3">
        <v>163420313</v>
      </c>
      <c r="K29">
        <v>2014</v>
      </c>
      <c r="L29" s="5">
        <v>2268000000</v>
      </c>
      <c r="M29" s="2">
        <v>2264628500</v>
      </c>
      <c r="N29" s="2">
        <v>2019062065</v>
      </c>
      <c r="P29">
        <v>2014</v>
      </c>
      <c r="Q29" s="6">
        <f t="shared" si="0"/>
        <v>9.3903307760141094E-2</v>
      </c>
      <c r="R29" s="6">
        <f t="shared" si="0"/>
        <v>9.685526610656009E-2</v>
      </c>
      <c r="S29" s="6">
        <f t="shared" si="0"/>
        <v>9.5005550015125464E-2</v>
      </c>
      <c r="U29">
        <v>2014</v>
      </c>
      <c r="V29" s="21">
        <v>90.622335890878091</v>
      </c>
      <c r="W29" s="21">
        <v>93.691717191293918</v>
      </c>
    </row>
    <row r="30" spans="1:23" x14ac:dyDescent="0.25">
      <c r="A30">
        <v>2015</v>
      </c>
      <c r="B30" s="3">
        <v>300519120</v>
      </c>
      <c r="C30" s="3">
        <v>303164052</v>
      </c>
      <c r="D30" s="3">
        <v>351260073</v>
      </c>
      <c r="F30">
        <v>2015</v>
      </c>
      <c r="G30" s="3">
        <v>287825956</v>
      </c>
      <c r="H30" s="3">
        <v>290470888</v>
      </c>
      <c r="I30" s="3">
        <v>269895757</v>
      </c>
      <c r="K30">
        <v>2015</v>
      </c>
      <c r="L30" s="2">
        <v>2606000000</v>
      </c>
      <c r="M30" s="2">
        <v>2606000000</v>
      </c>
      <c r="N30" s="2">
        <v>2414640618</v>
      </c>
      <c r="P30">
        <v>2015</v>
      </c>
      <c r="Q30" s="6">
        <f t="shared" si="0"/>
        <v>0.11531815809669993</v>
      </c>
      <c r="R30" s="6">
        <f t="shared" si="0"/>
        <v>0.11633309746738296</v>
      </c>
      <c r="S30" s="6">
        <f t="shared" si="0"/>
        <v>0.14547095347503178</v>
      </c>
      <c r="U30">
        <v>2015</v>
      </c>
      <c r="V30" s="21">
        <v>91.233304916169359</v>
      </c>
      <c r="W30" s="21">
        <v>93.017434027087404</v>
      </c>
    </row>
    <row r="31" spans="1:23" x14ac:dyDescent="0.25">
      <c r="A31">
        <v>2016</v>
      </c>
      <c r="B31" s="3">
        <v>391166733</v>
      </c>
      <c r="C31" s="3">
        <v>397108480</v>
      </c>
      <c r="D31" s="3">
        <v>425841691</v>
      </c>
      <c r="F31">
        <v>2016</v>
      </c>
      <c r="G31" s="3">
        <v>378345417</v>
      </c>
      <c r="H31" s="3">
        <v>384287164</v>
      </c>
      <c r="I31" s="3">
        <v>371732890</v>
      </c>
      <c r="K31">
        <v>2016</v>
      </c>
      <c r="L31" s="2">
        <v>3001800000</v>
      </c>
      <c r="M31" s="2">
        <v>3001800000</v>
      </c>
      <c r="N31" s="2">
        <v>2682814855</v>
      </c>
      <c r="P31">
        <v>2016</v>
      </c>
      <c r="Q31" s="6">
        <f t="shared" si="0"/>
        <v>0.13031072456526085</v>
      </c>
      <c r="R31" s="6">
        <f t="shared" si="0"/>
        <v>0.13229011926177628</v>
      </c>
      <c r="S31" s="6">
        <f t="shared" si="0"/>
        <v>0.1587294368101298</v>
      </c>
      <c r="U31">
        <v>2016</v>
      </c>
      <c r="V31" s="21">
        <v>92.377095765842569</v>
      </c>
      <c r="W31" s="21">
        <v>94.208347159094075</v>
      </c>
    </row>
    <row r="32" spans="1:23" x14ac:dyDescent="0.25">
      <c r="A32">
        <v>2017</v>
      </c>
      <c r="B32" s="3">
        <v>458610024</v>
      </c>
      <c r="C32" s="3">
        <v>467664437</v>
      </c>
      <c r="D32" s="3">
        <v>621940729</v>
      </c>
      <c r="F32">
        <v>2017</v>
      </c>
      <c r="G32" s="3">
        <v>445666600</v>
      </c>
      <c r="H32" s="3">
        <v>454721013</v>
      </c>
      <c r="I32" s="3">
        <v>534646915</v>
      </c>
      <c r="K32">
        <v>2017</v>
      </c>
      <c r="L32" s="2">
        <v>3350000000</v>
      </c>
      <c r="M32" s="2">
        <v>3350000000</v>
      </c>
      <c r="N32" s="2">
        <v>3315324632</v>
      </c>
      <c r="P32">
        <v>2017</v>
      </c>
      <c r="Q32" s="6">
        <f t="shared" si="0"/>
        <v>0.13689851462686567</v>
      </c>
      <c r="R32" s="6">
        <f t="shared" si="0"/>
        <v>0.13960132447761195</v>
      </c>
      <c r="S32" s="6">
        <f t="shared" si="0"/>
        <v>0.18759572531659097</v>
      </c>
      <c r="U32">
        <v>2017</v>
      </c>
      <c r="V32" s="21">
        <v>95.012787723785152</v>
      </c>
      <c r="W32" s="21">
        <v>96.394225704398309</v>
      </c>
    </row>
    <row r="33" spans="1:23" x14ac:dyDescent="0.25">
      <c r="A33">
        <v>2018</v>
      </c>
      <c r="B33" s="3">
        <v>643252706</v>
      </c>
      <c r="C33" s="3">
        <v>650873878</v>
      </c>
      <c r="D33" s="3">
        <v>696256453</v>
      </c>
      <c r="F33">
        <v>2018</v>
      </c>
      <c r="G33" s="3">
        <v>630243311</v>
      </c>
      <c r="H33" s="3">
        <v>637864483</v>
      </c>
      <c r="I33" s="3">
        <v>687845032</v>
      </c>
      <c r="K33">
        <v>2018</v>
      </c>
      <c r="L33" s="2">
        <v>3767000000</v>
      </c>
      <c r="M33" s="2">
        <v>3767000000</v>
      </c>
      <c r="N33" s="2">
        <v>3531765293</v>
      </c>
      <c r="P33">
        <v>2018</v>
      </c>
      <c r="Q33" s="6">
        <f t="shared" si="0"/>
        <v>0.17075994319086807</v>
      </c>
      <c r="R33" s="6">
        <f t="shared" si="0"/>
        <v>0.17278308415184496</v>
      </c>
      <c r="S33" s="6">
        <f t="shared" si="0"/>
        <v>0.19714120142128028</v>
      </c>
      <c r="U33">
        <v>2018</v>
      </c>
      <c r="V33" s="21">
        <v>100</v>
      </c>
      <c r="W33" s="21">
        <v>100</v>
      </c>
    </row>
    <row r="34" spans="1:23" x14ac:dyDescent="0.25">
      <c r="A34">
        <v>2019</v>
      </c>
      <c r="B34" s="3">
        <v>555665568</v>
      </c>
      <c r="C34" s="3">
        <v>464555273</v>
      </c>
      <c r="D34" s="3">
        <v>480547225</v>
      </c>
      <c r="F34">
        <v>2019</v>
      </c>
      <c r="G34" s="3">
        <v>544521283</v>
      </c>
      <c r="H34" s="3">
        <v>454016273</v>
      </c>
      <c r="I34" s="3">
        <v>440006760</v>
      </c>
      <c r="K34">
        <v>2019</v>
      </c>
      <c r="L34" s="2">
        <v>3757022550</v>
      </c>
      <c r="M34" s="2">
        <v>3661648309</v>
      </c>
      <c r="N34" s="2">
        <v>3610502682</v>
      </c>
      <c r="P34">
        <v>2019</v>
      </c>
      <c r="Q34" s="6">
        <f t="shared" si="0"/>
        <v>0.14790051446457247</v>
      </c>
      <c r="R34" s="6">
        <f t="shared" si="0"/>
        <v>0.12687053310340188</v>
      </c>
      <c r="S34" s="6">
        <f t="shared" si="0"/>
        <v>0.1330970414163509</v>
      </c>
      <c r="U34">
        <v>2019</v>
      </c>
      <c r="V34" s="21">
        <v>102.375</v>
      </c>
      <c r="W34" s="21">
        <v>100.69707629720594</v>
      </c>
    </row>
    <row r="35" spans="1:23" x14ac:dyDescent="0.25">
      <c r="A35">
        <v>2020</v>
      </c>
      <c r="B35" s="3">
        <v>534285525</v>
      </c>
      <c r="C35" s="3">
        <v>581674912</v>
      </c>
      <c r="D35" s="3">
        <v>466060236</v>
      </c>
      <c r="F35">
        <v>2020</v>
      </c>
      <c r="G35" s="3">
        <v>533496624</v>
      </c>
      <c r="H35" s="3">
        <v>580886011</v>
      </c>
      <c r="I35" s="3">
        <v>445099551</v>
      </c>
      <c r="K35">
        <v>2020</v>
      </c>
      <c r="L35" s="2">
        <v>4100000000</v>
      </c>
      <c r="M35" s="2">
        <v>4100000000</v>
      </c>
      <c r="N35" s="2">
        <v>4309031072</v>
      </c>
      <c r="P35">
        <v>2020</v>
      </c>
      <c r="Q35" s="6">
        <f t="shared" si="0"/>
        <v>0.13031354268292683</v>
      </c>
      <c r="R35" s="6">
        <f t="shared" si="0"/>
        <v>0.14187192975609755</v>
      </c>
      <c r="S35" s="6">
        <f t="shared" si="0"/>
        <v>0.10815894065569644</v>
      </c>
      <c r="U35">
        <v>2020</v>
      </c>
      <c r="V35" s="21">
        <v>104.825</v>
      </c>
      <c r="W35" s="21">
        <v>102.35907166034491</v>
      </c>
    </row>
    <row r="36" spans="1:23" x14ac:dyDescent="0.25">
      <c r="A36">
        <v>2021</v>
      </c>
      <c r="B36" s="3">
        <v>667324243</v>
      </c>
      <c r="C36" s="3">
        <v>695672672</v>
      </c>
      <c r="D36" s="3">
        <v>662189884</v>
      </c>
      <c r="F36">
        <v>2021</v>
      </c>
      <c r="G36" s="3">
        <v>666474289</v>
      </c>
      <c r="H36" s="3">
        <v>694822718</v>
      </c>
      <c r="I36" s="3">
        <v>640420761</v>
      </c>
      <c r="K36">
        <v>2021</v>
      </c>
      <c r="L36" s="2">
        <v>4506000000</v>
      </c>
      <c r="M36" s="2">
        <v>4506000000</v>
      </c>
      <c r="N36" s="2">
        <v>4600787009</v>
      </c>
      <c r="P36">
        <v>2021</v>
      </c>
      <c r="Q36" s="6">
        <f t="shared" si="0"/>
        <v>0.14809681380381715</v>
      </c>
      <c r="R36" s="6">
        <f t="shared" si="0"/>
        <v>0.15438807634265425</v>
      </c>
      <c r="S36" s="6">
        <f t="shared" si="0"/>
        <v>0.14392969783313869</v>
      </c>
      <c r="U36">
        <v>2021</v>
      </c>
      <c r="V36" s="21">
        <v>108.941666666667</v>
      </c>
      <c r="W36" s="21">
        <v>104.69539542498735</v>
      </c>
    </row>
    <row r="37" spans="1:23" x14ac:dyDescent="0.25">
      <c r="A37">
        <v>2022</v>
      </c>
      <c r="B37" s="3">
        <v>686111700</v>
      </c>
      <c r="C37" s="3">
        <v>786600136</v>
      </c>
      <c r="D37" s="3">
        <v>856524795</v>
      </c>
      <c r="F37">
        <v>2022</v>
      </c>
      <c r="G37" s="3">
        <v>685237086</v>
      </c>
      <c r="H37" s="3">
        <v>785725522</v>
      </c>
      <c r="I37" s="3">
        <v>772779440</v>
      </c>
      <c r="K37">
        <v>2022</v>
      </c>
      <c r="L37" s="2">
        <v>5023600000</v>
      </c>
      <c r="M37" s="2">
        <v>5023600000</v>
      </c>
      <c r="N37" s="2">
        <v>5175214715</v>
      </c>
      <c r="P37">
        <v>2022</v>
      </c>
      <c r="Q37" s="6">
        <f t="shared" si="0"/>
        <v>0.13657769328768213</v>
      </c>
      <c r="R37" s="6">
        <f t="shared" si="0"/>
        <v>0.15658096504498767</v>
      </c>
      <c r="S37" s="6">
        <f t="shared" si="0"/>
        <v>0.16550517073570348</v>
      </c>
      <c r="U37">
        <v>2022</v>
      </c>
      <c r="V37" s="21">
        <v>115.283333333333</v>
      </c>
      <c r="W37" s="21">
        <v>110.44175736359693</v>
      </c>
    </row>
    <row r="38" spans="1:23" x14ac:dyDescent="0.25">
      <c r="A38">
        <v>2023</v>
      </c>
      <c r="B38" s="3">
        <v>718355413</v>
      </c>
      <c r="C38" s="3">
        <v>894165876</v>
      </c>
      <c r="D38" s="3">
        <v>967934766</v>
      </c>
      <c r="F38">
        <v>2023</v>
      </c>
      <c r="G38" s="3">
        <v>717310577</v>
      </c>
      <c r="H38" s="3">
        <v>893121040</v>
      </c>
      <c r="I38" s="3">
        <v>890034785</v>
      </c>
      <c r="K38">
        <v>2023</v>
      </c>
      <c r="L38" s="2">
        <v>5268000000</v>
      </c>
      <c r="M38" s="2">
        <v>5268000000</v>
      </c>
      <c r="N38" s="2">
        <v>5472628209</v>
      </c>
      <c r="P38">
        <v>2023</v>
      </c>
      <c r="Q38" s="6">
        <f t="shared" si="0"/>
        <v>0.13636207536066819</v>
      </c>
      <c r="R38" s="6">
        <f t="shared" si="0"/>
        <v>0.16973535990888383</v>
      </c>
      <c r="S38" s="6">
        <f t="shared" si="0"/>
        <v>0.17686835813333432</v>
      </c>
      <c r="U38">
        <v>2023</v>
      </c>
      <c r="V38" s="21">
        <v>122.175</v>
      </c>
      <c r="W38" s="21">
        <v>115.52366091142055</v>
      </c>
    </row>
    <row r="39" spans="1:23" x14ac:dyDescent="0.25">
      <c r="A39">
        <v>2024</v>
      </c>
      <c r="B39" s="3">
        <v>822200000</v>
      </c>
      <c r="C39" s="3">
        <v>997884938</v>
      </c>
      <c r="D39" s="3">
        <v>1239713181</v>
      </c>
      <c r="F39">
        <v>2024</v>
      </c>
      <c r="G39" s="3">
        <v>821106746</v>
      </c>
      <c r="H39" s="3">
        <v>996791684</v>
      </c>
      <c r="I39" s="3">
        <v>1023992212</v>
      </c>
      <c r="K39">
        <v>2024</v>
      </c>
      <c r="L39" s="2">
        <v>5767600000</v>
      </c>
      <c r="M39" s="2">
        <v>5767600000</v>
      </c>
      <c r="N39" s="2">
        <v>6273082250</v>
      </c>
      <c r="P39">
        <v>2024</v>
      </c>
      <c r="Q39" s="6">
        <f t="shared" si="0"/>
        <v>0.14255496220264929</v>
      </c>
      <c r="R39" s="6">
        <f t="shared" si="0"/>
        <v>0.17301562833761011</v>
      </c>
      <c r="S39" s="6">
        <f t="shared" si="0"/>
        <v>0.19762425098124611</v>
      </c>
      <c r="U39">
        <v>2024</v>
      </c>
      <c r="V39" s="21">
        <v>126.10000000000001</v>
      </c>
      <c r="W39" s="21">
        <v>118.87849451647079</v>
      </c>
    </row>
    <row r="40" spans="1:23" x14ac:dyDescent="0.25">
      <c r="A40">
        <v>2025</v>
      </c>
      <c r="B40" s="3">
        <v>900000000</v>
      </c>
      <c r="C40" s="3">
        <v>1088800308</v>
      </c>
      <c r="D40" s="3">
        <v>1077193706</v>
      </c>
      <c r="F40">
        <v>2025</v>
      </c>
      <c r="G40" s="3">
        <v>898898439</v>
      </c>
      <c r="H40" s="2">
        <v>1087698747</v>
      </c>
      <c r="I40" s="2">
        <v>906931690</v>
      </c>
      <c r="K40">
        <v>2025</v>
      </c>
      <c r="L40" s="2">
        <v>6352390000</v>
      </c>
      <c r="M40" s="2">
        <v>6326324300</v>
      </c>
      <c r="N40" s="3">
        <v>6392668440</v>
      </c>
      <c r="P40">
        <v>2025</v>
      </c>
      <c r="Q40" s="6">
        <f t="shared" si="0"/>
        <v>0.14167895862816987</v>
      </c>
      <c r="R40" s="6">
        <f t="shared" si="0"/>
        <v>0.17210630634284746</v>
      </c>
      <c r="S40" s="6">
        <f t="shared" si="0"/>
        <v>0.16850454800061554</v>
      </c>
      <c r="U40">
        <v>2025</v>
      </c>
      <c r="V40" s="21">
        <v>128.19166666666669</v>
      </c>
      <c r="W40" s="21">
        <v>120.58363573707116</v>
      </c>
    </row>
    <row r="41" spans="1:23" x14ac:dyDescent="0.25">
      <c r="A41">
        <v>2026</v>
      </c>
      <c r="B41" s="3">
        <v>881312559</v>
      </c>
      <c r="C41" s="3">
        <v>530898861</v>
      </c>
      <c r="D41" s="3"/>
      <c r="F41">
        <v>2026</v>
      </c>
      <c r="G41" s="2">
        <v>880008893</v>
      </c>
      <c r="H41" s="2">
        <v>529595195</v>
      </c>
      <c r="I41" s="2"/>
      <c r="K41">
        <v>2026</v>
      </c>
      <c r="L41" s="2">
        <v>6793162000</v>
      </c>
      <c r="M41" s="2">
        <v>6793162000</v>
      </c>
      <c r="N41" s="2"/>
      <c r="P41">
        <v>2026</v>
      </c>
      <c r="Q41" s="6">
        <f>B41/L41</f>
        <v>0.12973524832765654</v>
      </c>
      <c r="R41" s="6">
        <f>C41/M41</f>
        <v>7.8151950593847164E-2</v>
      </c>
      <c r="S41" s="6"/>
      <c r="U41">
        <v>2026</v>
      </c>
      <c r="V41">
        <v>133.80000000000001</v>
      </c>
      <c r="W41">
        <v>124.2</v>
      </c>
    </row>
    <row r="42" spans="1:23" x14ac:dyDescent="0.25">
      <c r="A42">
        <v>2027</v>
      </c>
      <c r="B42" s="3">
        <v>643953276</v>
      </c>
      <c r="C42" s="3"/>
      <c r="D42" s="3"/>
      <c r="F42">
        <v>2027</v>
      </c>
      <c r="G42" s="2">
        <v>642612015</v>
      </c>
      <c r="H42" s="2"/>
      <c r="I42" s="2"/>
      <c r="K42">
        <v>2027</v>
      </c>
      <c r="L42" s="2">
        <v>7200186000</v>
      </c>
      <c r="M42" s="2"/>
      <c r="N42" s="2"/>
      <c r="P42">
        <v>2027</v>
      </c>
      <c r="Q42" s="6">
        <f>B42/L42</f>
        <v>8.9435644579181711E-2</v>
      </c>
      <c r="R42" s="6"/>
      <c r="S42" s="6"/>
      <c r="U42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50EE-DCC4-4B6F-B001-29881A3E17AC}">
  <dimension ref="A1:C16"/>
  <sheetViews>
    <sheetView workbookViewId="0">
      <selection activeCell="C10" sqref="C10"/>
    </sheetView>
  </sheetViews>
  <sheetFormatPr defaultRowHeight="15" x14ac:dyDescent="0.25"/>
  <cols>
    <col min="2" max="3" width="18.7109375" customWidth="1"/>
  </cols>
  <sheetData>
    <row r="1" spans="1:3" x14ac:dyDescent="0.25">
      <c r="A1" s="20" t="s">
        <v>4</v>
      </c>
      <c r="B1" s="20" t="s">
        <v>443</v>
      </c>
      <c r="C1" s="20" t="s">
        <v>444</v>
      </c>
    </row>
    <row r="2" spans="1:3" x14ac:dyDescent="0.25">
      <c r="A2">
        <v>2011</v>
      </c>
      <c r="B2" s="2">
        <v>810509</v>
      </c>
      <c r="C2" s="2"/>
    </row>
    <row r="3" spans="1:3" x14ac:dyDescent="0.25">
      <c r="A3">
        <v>2012</v>
      </c>
      <c r="B3" s="2">
        <v>19000</v>
      </c>
      <c r="C3" s="2"/>
    </row>
    <row r="4" spans="1:3" x14ac:dyDescent="0.25">
      <c r="A4">
        <v>2013</v>
      </c>
      <c r="B4" s="2">
        <v>0</v>
      </c>
      <c r="C4" s="2">
        <v>0</v>
      </c>
    </row>
    <row r="5" spans="1:3" x14ac:dyDescent="0.25">
      <c r="A5">
        <v>2014</v>
      </c>
      <c r="B5" s="2">
        <v>44056</v>
      </c>
      <c r="C5" s="2">
        <v>43434</v>
      </c>
    </row>
    <row r="6" spans="1:3" x14ac:dyDescent="0.25">
      <c r="A6">
        <v>2015</v>
      </c>
      <c r="B6" s="2">
        <v>0</v>
      </c>
      <c r="C6" s="2">
        <v>0</v>
      </c>
    </row>
    <row r="7" spans="1:3" x14ac:dyDescent="0.25">
      <c r="A7">
        <v>2016</v>
      </c>
      <c r="B7" s="2">
        <v>0</v>
      </c>
      <c r="C7" s="2">
        <v>0</v>
      </c>
    </row>
    <row r="8" spans="1:3" x14ac:dyDescent="0.25">
      <c r="A8">
        <v>2017</v>
      </c>
      <c r="B8" s="2">
        <v>0</v>
      </c>
      <c r="C8" s="2">
        <v>0</v>
      </c>
    </row>
    <row r="9" spans="1:3" x14ac:dyDescent="0.25">
      <c r="A9">
        <v>2018</v>
      </c>
      <c r="B9" s="2">
        <v>11451457</v>
      </c>
      <c r="C9" s="2">
        <v>7632828</v>
      </c>
    </row>
    <row r="10" spans="1:3" x14ac:dyDescent="0.25">
      <c r="A10">
        <v>2019</v>
      </c>
      <c r="B10" s="2">
        <v>8000</v>
      </c>
      <c r="C10" s="2">
        <v>8000</v>
      </c>
    </row>
    <row r="11" spans="1:3" x14ac:dyDescent="0.25">
      <c r="A11">
        <v>2020</v>
      </c>
      <c r="B11" s="2">
        <v>1844472</v>
      </c>
      <c r="C11" s="2">
        <v>1797272</v>
      </c>
    </row>
    <row r="12" spans="1:3" x14ac:dyDescent="0.25">
      <c r="A12">
        <v>2021</v>
      </c>
      <c r="B12" s="2">
        <v>1360000</v>
      </c>
      <c r="C12" s="2">
        <v>1310000</v>
      </c>
    </row>
    <row r="13" spans="1:3" x14ac:dyDescent="0.25">
      <c r="A13">
        <v>2022</v>
      </c>
      <c r="B13" s="2">
        <v>16264154</v>
      </c>
      <c r="C13" s="2">
        <v>15106436</v>
      </c>
    </row>
    <row r="14" spans="1:3" x14ac:dyDescent="0.25">
      <c r="A14">
        <v>2023</v>
      </c>
      <c r="B14" s="2">
        <v>89325839</v>
      </c>
      <c r="C14" s="2">
        <v>51715404</v>
      </c>
    </row>
    <row r="15" spans="1:3" x14ac:dyDescent="0.25">
      <c r="A15">
        <v>2024</v>
      </c>
      <c r="B15" s="2">
        <v>244741966</v>
      </c>
      <c r="C15" s="2">
        <v>132192394</v>
      </c>
    </row>
    <row r="16" spans="1:3" x14ac:dyDescent="0.25">
      <c r="A16">
        <v>2025</v>
      </c>
      <c r="B16" s="2">
        <v>59075362</v>
      </c>
      <c r="C16" s="2">
        <v>29622528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B1A4-80AE-41C7-AE6A-65E0F80FF056}">
  <dimension ref="A1:E113"/>
  <sheetViews>
    <sheetView workbookViewId="0">
      <selection activeCell="A82" sqref="A82"/>
    </sheetView>
  </sheetViews>
  <sheetFormatPr defaultRowHeight="15" x14ac:dyDescent="0.25"/>
  <cols>
    <col min="2" max="2" width="40.7109375" customWidth="1"/>
    <col min="3" max="5" width="18.7109375" customWidth="1"/>
  </cols>
  <sheetData>
    <row r="1" spans="1:5" x14ac:dyDescent="0.25">
      <c r="A1" s="15" t="s">
        <v>4</v>
      </c>
      <c r="B1" s="15" t="s">
        <v>8</v>
      </c>
      <c r="C1" s="16" t="s">
        <v>0</v>
      </c>
      <c r="D1" s="16" t="s">
        <v>1</v>
      </c>
      <c r="E1" s="16" t="s">
        <v>428</v>
      </c>
    </row>
    <row r="2" spans="1:5" x14ac:dyDescent="0.25">
      <c r="A2" s="17">
        <v>2027</v>
      </c>
      <c r="B2" s="17" t="s">
        <v>12</v>
      </c>
      <c r="C2" s="3">
        <v>18078293000</v>
      </c>
      <c r="D2" s="3"/>
    </row>
    <row r="3" spans="1:5" x14ac:dyDescent="0.25">
      <c r="A3" s="17">
        <v>2027</v>
      </c>
      <c r="B3" s="17" t="s">
        <v>17</v>
      </c>
      <c r="C3" s="3">
        <v>51609648000</v>
      </c>
      <c r="D3" s="3"/>
    </row>
    <row r="4" spans="1:5" x14ac:dyDescent="0.25">
      <c r="A4" s="17">
        <v>2027</v>
      </c>
      <c r="B4" s="17" t="s">
        <v>194</v>
      </c>
      <c r="C4" s="3">
        <v>76500584000</v>
      </c>
      <c r="D4" s="3"/>
    </row>
    <row r="5" spans="1:5" x14ac:dyDescent="0.25">
      <c r="A5" s="17">
        <v>2027</v>
      </c>
      <c r="B5" s="17" t="s">
        <v>195</v>
      </c>
      <c r="C5" s="3">
        <v>176637644000</v>
      </c>
      <c r="D5" s="3"/>
    </row>
    <row r="6" spans="1:5" x14ac:dyDescent="0.25">
      <c r="A6" s="17">
        <v>2027</v>
      </c>
      <c r="B6" s="17" t="s">
        <v>196</v>
      </c>
      <c r="C6" s="3">
        <v>44410122000</v>
      </c>
      <c r="D6" s="3"/>
    </row>
    <row r="7" spans="1:5" x14ac:dyDescent="0.25">
      <c r="A7" s="17">
        <v>2027</v>
      </c>
      <c r="B7" s="17" t="s">
        <v>197</v>
      </c>
      <c r="C7" s="3">
        <v>103450431000</v>
      </c>
      <c r="D7" s="3"/>
    </row>
    <row r="8" spans="1:5" x14ac:dyDescent="0.25">
      <c r="A8" s="17">
        <v>2027</v>
      </c>
      <c r="B8" s="17" t="s">
        <v>198</v>
      </c>
      <c r="C8" s="3">
        <v>14616645000</v>
      </c>
      <c r="D8" s="3"/>
    </row>
    <row r="9" spans="1:5" x14ac:dyDescent="0.25">
      <c r="A9" s="17">
        <v>2027</v>
      </c>
      <c r="B9" s="17" t="s">
        <v>199</v>
      </c>
      <c r="C9" s="3">
        <v>157308648000</v>
      </c>
      <c r="D9" s="3"/>
    </row>
    <row r="10" spans="1:5" x14ac:dyDescent="0.25">
      <c r="A10" s="17">
        <v>2026</v>
      </c>
      <c r="B10" s="17" t="s">
        <v>12</v>
      </c>
      <c r="C10" s="3">
        <v>20468476000</v>
      </c>
      <c r="D10" s="3">
        <v>16616854000</v>
      </c>
    </row>
    <row r="11" spans="1:5" x14ac:dyDescent="0.25">
      <c r="A11" s="17">
        <v>2026</v>
      </c>
      <c r="B11" s="17" t="s">
        <v>17</v>
      </c>
      <c r="C11" s="3">
        <v>82426508000</v>
      </c>
      <c r="D11" s="3">
        <v>29601046000</v>
      </c>
    </row>
    <row r="12" spans="1:5" x14ac:dyDescent="0.25">
      <c r="A12" s="17">
        <v>2026</v>
      </c>
      <c r="B12" s="17" t="s">
        <v>194</v>
      </c>
      <c r="C12" s="3">
        <v>108277054000</v>
      </c>
      <c r="D12" s="3">
        <v>99436874000</v>
      </c>
    </row>
    <row r="13" spans="1:5" x14ac:dyDescent="0.25">
      <c r="A13" s="17">
        <v>2026</v>
      </c>
      <c r="B13" s="17" t="s">
        <v>195</v>
      </c>
      <c r="C13" s="3">
        <v>182541418000</v>
      </c>
      <c r="D13" s="3">
        <v>96827514000</v>
      </c>
    </row>
    <row r="14" spans="1:5" x14ac:dyDescent="0.25">
      <c r="A14" s="17">
        <v>2026</v>
      </c>
      <c r="B14" s="17" t="s">
        <v>196</v>
      </c>
      <c r="C14" s="3">
        <v>52265623000</v>
      </c>
      <c r="D14" s="3">
        <v>34052594000</v>
      </c>
    </row>
    <row r="15" spans="1:5" x14ac:dyDescent="0.25">
      <c r="A15" s="17">
        <v>2026</v>
      </c>
      <c r="B15" s="17" t="s">
        <v>197</v>
      </c>
      <c r="C15" s="3">
        <v>250825557000</v>
      </c>
      <c r="D15" s="3">
        <v>4760870000</v>
      </c>
    </row>
    <row r="16" spans="1:5" x14ac:dyDescent="0.25">
      <c r="A16" s="17">
        <v>2026</v>
      </c>
      <c r="B16" s="17" t="s">
        <v>198</v>
      </c>
      <c r="C16" s="3">
        <v>15413844000</v>
      </c>
      <c r="D16" s="3">
        <v>7800526000</v>
      </c>
    </row>
    <row r="17" spans="1:5" x14ac:dyDescent="0.25">
      <c r="A17" s="17">
        <v>2026</v>
      </c>
      <c r="B17" s="17" t="s">
        <v>199</v>
      </c>
      <c r="C17" s="3">
        <v>167790413000</v>
      </c>
      <c r="D17" s="3">
        <v>240498917000</v>
      </c>
    </row>
    <row r="18" spans="1:5" x14ac:dyDescent="0.25">
      <c r="A18" s="17">
        <v>2025</v>
      </c>
      <c r="B18" s="17" t="s">
        <v>12</v>
      </c>
      <c r="C18" s="3">
        <v>17614782000</v>
      </c>
      <c r="D18" s="3">
        <v>13314782000</v>
      </c>
    </row>
    <row r="19" spans="1:5" x14ac:dyDescent="0.25">
      <c r="A19" s="17">
        <v>2025</v>
      </c>
      <c r="B19" s="17" t="s">
        <v>17</v>
      </c>
      <c r="C19" s="3">
        <v>88751746000</v>
      </c>
      <c r="D19" s="3">
        <v>10345107000</v>
      </c>
    </row>
    <row r="20" spans="1:5" x14ac:dyDescent="0.25">
      <c r="A20" s="17">
        <v>2025</v>
      </c>
      <c r="B20" s="17" t="s">
        <v>194</v>
      </c>
      <c r="C20" s="3">
        <v>98392600000</v>
      </c>
      <c r="D20" s="3">
        <v>154063738000</v>
      </c>
    </row>
    <row r="21" spans="1:5" x14ac:dyDescent="0.25">
      <c r="A21" s="17">
        <v>2025</v>
      </c>
      <c r="B21" s="17" t="s">
        <v>195</v>
      </c>
      <c r="C21" s="3">
        <v>140855999000</v>
      </c>
      <c r="D21" s="3">
        <v>112671305000</v>
      </c>
    </row>
    <row r="22" spans="1:5" x14ac:dyDescent="0.25">
      <c r="A22" s="17">
        <v>2025</v>
      </c>
      <c r="B22" s="17" t="s">
        <v>196</v>
      </c>
      <c r="C22" s="3">
        <v>59497584000</v>
      </c>
      <c r="D22" s="3">
        <v>42564250000</v>
      </c>
    </row>
    <row r="23" spans="1:5" x14ac:dyDescent="0.25">
      <c r="A23" s="17">
        <v>2025</v>
      </c>
      <c r="B23" s="17" t="s">
        <v>197</v>
      </c>
      <c r="C23" s="3">
        <v>254289481000</v>
      </c>
      <c r="D23" s="3">
        <v>249811719000</v>
      </c>
      <c r="E23" s="2">
        <v>7473500000</v>
      </c>
    </row>
    <row r="24" spans="1:5" x14ac:dyDescent="0.25">
      <c r="A24" s="17">
        <v>2025</v>
      </c>
      <c r="B24" s="17" t="s">
        <v>198</v>
      </c>
      <c r="C24" s="3">
        <v>17996897000</v>
      </c>
      <c r="D24" s="3">
        <v>18743524000</v>
      </c>
      <c r="E24" s="2">
        <v>550000000</v>
      </c>
    </row>
    <row r="25" spans="1:5" x14ac:dyDescent="0.25">
      <c r="A25" s="17">
        <v>2025</v>
      </c>
      <c r="B25" s="17" t="s">
        <v>199</v>
      </c>
      <c r="C25" s="3">
        <v>221499350000</v>
      </c>
      <c r="D25" s="3">
        <v>486184322000</v>
      </c>
      <c r="E25" s="2">
        <v>18042200000</v>
      </c>
    </row>
    <row r="26" spans="1:5" x14ac:dyDescent="0.25">
      <c r="A26" s="17">
        <v>2024</v>
      </c>
      <c r="B26" s="17" t="s">
        <v>12</v>
      </c>
      <c r="C26" s="3">
        <v>17409200000</v>
      </c>
      <c r="D26" s="3">
        <v>12764081000</v>
      </c>
    </row>
    <row r="27" spans="1:5" x14ac:dyDescent="0.25">
      <c r="A27" s="17">
        <v>2024</v>
      </c>
      <c r="B27" s="17" t="s">
        <v>17</v>
      </c>
      <c r="C27" s="3">
        <v>79227187000</v>
      </c>
      <c r="D27" s="3">
        <v>11730987000</v>
      </c>
    </row>
    <row r="28" spans="1:5" x14ac:dyDescent="0.25">
      <c r="A28" s="17">
        <v>2024</v>
      </c>
      <c r="B28" s="17" t="s">
        <v>194</v>
      </c>
      <c r="C28" s="3">
        <v>115588386000</v>
      </c>
      <c r="D28" s="3">
        <v>139033180000</v>
      </c>
    </row>
    <row r="29" spans="1:5" x14ac:dyDescent="0.25">
      <c r="A29" s="17">
        <v>2024</v>
      </c>
      <c r="B29" s="17" t="s">
        <v>195</v>
      </c>
      <c r="C29" s="3">
        <v>148111529000</v>
      </c>
      <c r="D29" s="3">
        <v>132328352000</v>
      </c>
    </row>
    <row r="30" spans="1:5" x14ac:dyDescent="0.25">
      <c r="A30" s="17">
        <v>2024</v>
      </c>
      <c r="B30" s="17" t="s">
        <v>196</v>
      </c>
      <c r="C30" s="3">
        <v>45838980000</v>
      </c>
      <c r="D30" s="3">
        <v>24755275000</v>
      </c>
    </row>
    <row r="31" spans="1:5" x14ac:dyDescent="0.25">
      <c r="A31" s="17">
        <v>2024</v>
      </c>
      <c r="B31" s="17" t="s">
        <v>197</v>
      </c>
      <c r="C31" s="3">
        <v>215642581000</v>
      </c>
      <c r="D31" s="3">
        <v>244577911000</v>
      </c>
    </row>
    <row r="32" spans="1:5" x14ac:dyDescent="0.25">
      <c r="A32" s="17">
        <v>2024</v>
      </c>
      <c r="B32" s="17" t="s">
        <v>198</v>
      </c>
      <c r="C32" s="3">
        <v>25200103000</v>
      </c>
      <c r="D32" s="3">
        <v>20610736000</v>
      </c>
    </row>
    <row r="33" spans="1:4" x14ac:dyDescent="0.25">
      <c r="A33" s="17">
        <v>2024</v>
      </c>
      <c r="B33" s="17" t="s">
        <v>199</v>
      </c>
      <c r="C33" s="3">
        <v>174088780000</v>
      </c>
      <c r="D33" s="3">
        <v>410991162000</v>
      </c>
    </row>
    <row r="34" spans="1:4" x14ac:dyDescent="0.25">
      <c r="A34" s="17">
        <v>2023</v>
      </c>
      <c r="B34" s="17" t="s">
        <v>12</v>
      </c>
      <c r="C34" s="3">
        <v>16133073000</v>
      </c>
      <c r="D34" s="3">
        <v>12587834000</v>
      </c>
    </row>
    <row r="35" spans="1:4" x14ac:dyDescent="0.25">
      <c r="A35" s="17">
        <v>2023</v>
      </c>
      <c r="B35" s="17" t="s">
        <v>17</v>
      </c>
      <c r="C35" s="3">
        <v>60675732000</v>
      </c>
      <c r="D35" s="3">
        <v>9823955000</v>
      </c>
    </row>
    <row r="36" spans="1:4" x14ac:dyDescent="0.25">
      <c r="A36" s="17">
        <v>2023</v>
      </c>
      <c r="B36" s="17" t="s">
        <v>194</v>
      </c>
      <c r="C36" s="3">
        <v>88537603000</v>
      </c>
      <c r="D36" s="3">
        <v>124589416000</v>
      </c>
    </row>
    <row r="37" spans="1:4" x14ac:dyDescent="0.25">
      <c r="A37" s="17">
        <v>2023</v>
      </c>
      <c r="B37" s="17" t="s">
        <v>195</v>
      </c>
      <c r="C37" s="3">
        <v>140438002000</v>
      </c>
      <c r="D37" s="3">
        <v>119175417000</v>
      </c>
    </row>
    <row r="38" spans="1:4" x14ac:dyDescent="0.25">
      <c r="A38" s="17">
        <v>2023</v>
      </c>
      <c r="B38" s="17" t="s">
        <v>196</v>
      </c>
      <c r="C38" s="3">
        <v>37989938000</v>
      </c>
      <c r="D38" s="3">
        <v>31213455000</v>
      </c>
    </row>
    <row r="39" spans="1:4" x14ac:dyDescent="0.25">
      <c r="A39" s="17">
        <v>2023</v>
      </c>
      <c r="B39" s="17" t="s">
        <v>197</v>
      </c>
      <c r="C39" s="3">
        <v>131795078000</v>
      </c>
      <c r="D39" s="3">
        <v>185775213000</v>
      </c>
    </row>
    <row r="40" spans="1:4" x14ac:dyDescent="0.25">
      <c r="A40" s="17">
        <v>2023</v>
      </c>
      <c r="B40" s="17" t="s">
        <v>198</v>
      </c>
      <c r="C40" s="3">
        <v>27787529000</v>
      </c>
      <c r="D40" s="3">
        <v>21668767000</v>
      </c>
    </row>
    <row r="41" spans="1:4" x14ac:dyDescent="0.25">
      <c r="A41" s="17">
        <v>2023</v>
      </c>
      <c r="B41" s="17" t="s">
        <v>199</v>
      </c>
      <c r="C41" s="3">
        <v>213953622000</v>
      </c>
      <c r="D41" s="3">
        <v>388286983000</v>
      </c>
    </row>
    <row r="42" spans="1:4" x14ac:dyDescent="0.25">
      <c r="A42" s="17">
        <v>2022</v>
      </c>
      <c r="B42" s="17" t="s">
        <v>12</v>
      </c>
      <c r="C42" s="3">
        <v>16402397000</v>
      </c>
      <c r="D42" s="3">
        <v>10404843000</v>
      </c>
    </row>
    <row r="43" spans="1:4" x14ac:dyDescent="0.25">
      <c r="A43" s="17">
        <v>2022</v>
      </c>
      <c r="B43" s="17" t="s">
        <v>17</v>
      </c>
      <c r="C43" s="3">
        <v>52458156000</v>
      </c>
      <c r="D43" s="3">
        <v>8308417000</v>
      </c>
    </row>
    <row r="44" spans="1:4" x14ac:dyDescent="0.25">
      <c r="A44" s="17">
        <v>2022</v>
      </c>
      <c r="B44" s="17" t="s">
        <v>194</v>
      </c>
      <c r="C44" s="3">
        <v>63287367000</v>
      </c>
      <c r="D44" s="3">
        <v>117481826000</v>
      </c>
    </row>
    <row r="45" spans="1:4" x14ac:dyDescent="0.25">
      <c r="A45" s="17">
        <v>2022</v>
      </c>
      <c r="B45" s="17" t="s">
        <v>195</v>
      </c>
      <c r="C45" s="3">
        <v>148861538000</v>
      </c>
      <c r="D45" s="3">
        <v>126950442000</v>
      </c>
    </row>
    <row r="46" spans="1:4" x14ac:dyDescent="0.25">
      <c r="A46" s="17">
        <v>2022</v>
      </c>
      <c r="B46" s="17" t="s">
        <v>196</v>
      </c>
      <c r="C46" s="3">
        <v>35363258000</v>
      </c>
      <c r="D46" s="3">
        <v>25382854000</v>
      </c>
    </row>
    <row r="47" spans="1:4" x14ac:dyDescent="0.25">
      <c r="A47" s="17">
        <v>2022</v>
      </c>
      <c r="B47" s="17" t="s">
        <v>197</v>
      </c>
      <c r="C47" s="3">
        <v>131113404000</v>
      </c>
      <c r="D47" s="3">
        <v>128966729000</v>
      </c>
    </row>
    <row r="48" spans="1:4" x14ac:dyDescent="0.25">
      <c r="A48" s="17">
        <v>2022</v>
      </c>
      <c r="B48" s="17" t="s">
        <v>198</v>
      </c>
      <c r="C48" s="3">
        <v>31212220000</v>
      </c>
      <c r="D48" s="3">
        <v>15433220000</v>
      </c>
    </row>
    <row r="49" spans="1:4" x14ac:dyDescent="0.25">
      <c r="A49" s="17">
        <v>2022</v>
      </c>
      <c r="B49" s="17" t="s">
        <v>199</v>
      </c>
      <c r="C49" s="3">
        <v>206538746000</v>
      </c>
      <c r="D49" s="3">
        <v>352797191000</v>
      </c>
    </row>
    <row r="50" spans="1:4" x14ac:dyDescent="0.25">
      <c r="A50" s="17">
        <v>2021</v>
      </c>
      <c r="B50" s="17" t="s">
        <v>12</v>
      </c>
      <c r="C50" s="3">
        <v>15238226000</v>
      </c>
      <c r="D50" s="3">
        <v>12821668000</v>
      </c>
    </row>
    <row r="51" spans="1:4" x14ac:dyDescent="0.25">
      <c r="A51" s="17">
        <v>2021</v>
      </c>
      <c r="B51" s="17" t="s">
        <v>17</v>
      </c>
      <c r="C51" s="3">
        <v>38133610000</v>
      </c>
      <c r="D51" s="3">
        <v>21578651000</v>
      </c>
    </row>
    <row r="52" spans="1:4" x14ac:dyDescent="0.25">
      <c r="A52" s="17">
        <v>2021</v>
      </c>
      <c r="B52" s="17" t="s">
        <v>194</v>
      </c>
      <c r="C52" s="3">
        <v>58966220000</v>
      </c>
      <c r="D52" s="3">
        <v>66017227000</v>
      </c>
    </row>
    <row r="53" spans="1:4" x14ac:dyDescent="0.25">
      <c r="A53" s="17">
        <v>2021</v>
      </c>
      <c r="B53" s="17" t="s">
        <v>195</v>
      </c>
      <c r="C53" s="3">
        <v>157463478000</v>
      </c>
      <c r="D53" s="3">
        <v>124464283000</v>
      </c>
    </row>
    <row r="54" spans="1:4" x14ac:dyDescent="0.25">
      <c r="A54" s="17">
        <v>2021</v>
      </c>
      <c r="B54" s="17" t="s">
        <v>196</v>
      </c>
      <c r="C54" s="3">
        <v>44427070000</v>
      </c>
      <c r="D54" s="3">
        <v>25355149000</v>
      </c>
    </row>
    <row r="55" spans="1:4" x14ac:dyDescent="0.25">
      <c r="A55" s="17">
        <v>2021</v>
      </c>
      <c r="B55" s="17" t="s">
        <v>197</v>
      </c>
      <c r="C55" s="3">
        <v>125867055000</v>
      </c>
      <c r="D55" s="3">
        <v>101813674000</v>
      </c>
    </row>
    <row r="56" spans="1:4" x14ac:dyDescent="0.25">
      <c r="A56" s="17">
        <v>2021</v>
      </c>
      <c r="B56" s="17" t="s">
        <v>198</v>
      </c>
      <c r="C56" s="3">
        <v>176158808000</v>
      </c>
      <c r="D56" s="3">
        <v>280623791000</v>
      </c>
    </row>
    <row r="57" spans="1:4" x14ac:dyDescent="0.25">
      <c r="A57" s="17">
        <v>2021</v>
      </c>
      <c r="B57" s="17" t="s">
        <v>199</v>
      </c>
      <c r="C57" s="3">
        <v>50219822000</v>
      </c>
      <c r="D57" s="3">
        <v>62148275000</v>
      </c>
    </row>
    <row r="58" spans="1:4" x14ac:dyDescent="0.25">
      <c r="A58" s="17">
        <v>2020</v>
      </c>
      <c r="B58" s="17" t="s">
        <v>12</v>
      </c>
      <c r="C58" s="3">
        <v>14996063000</v>
      </c>
      <c r="D58" s="3">
        <v>14996063000</v>
      </c>
    </row>
    <row r="59" spans="1:4" x14ac:dyDescent="0.25">
      <c r="A59" s="17">
        <v>2020</v>
      </c>
      <c r="B59" s="17" t="s">
        <v>17</v>
      </c>
      <c r="C59" s="3">
        <v>76535080000</v>
      </c>
      <c r="D59" s="3">
        <v>34801080000</v>
      </c>
    </row>
    <row r="60" spans="1:4" x14ac:dyDescent="0.25">
      <c r="A60" s="17">
        <v>2020</v>
      </c>
      <c r="B60" s="17" t="s">
        <v>194</v>
      </c>
      <c r="C60" s="3">
        <v>51786212000</v>
      </c>
      <c r="D60" s="3">
        <v>52871311000</v>
      </c>
    </row>
    <row r="61" spans="1:4" x14ac:dyDescent="0.25">
      <c r="A61" s="17">
        <v>2020</v>
      </c>
      <c r="B61" s="17" t="s">
        <v>195</v>
      </c>
      <c r="C61" s="3">
        <v>119137979000</v>
      </c>
      <c r="D61" s="3">
        <v>113387360000</v>
      </c>
    </row>
    <row r="62" spans="1:4" x14ac:dyDescent="0.25">
      <c r="A62" s="17">
        <v>2020</v>
      </c>
      <c r="B62" s="17" t="s">
        <v>196</v>
      </c>
      <c r="C62" s="3">
        <v>32876607000</v>
      </c>
      <c r="D62" s="3">
        <v>30169696000</v>
      </c>
    </row>
    <row r="63" spans="1:4" x14ac:dyDescent="0.25">
      <c r="A63" s="17">
        <v>2020</v>
      </c>
      <c r="B63" s="17" t="s">
        <v>197</v>
      </c>
      <c r="C63" s="3">
        <v>95469176000</v>
      </c>
      <c r="D63" s="3">
        <v>90123209000</v>
      </c>
    </row>
    <row r="64" spans="1:4" x14ac:dyDescent="0.25">
      <c r="A64" s="17">
        <v>2020</v>
      </c>
      <c r="B64" s="17" t="s">
        <v>198</v>
      </c>
      <c r="C64" s="3">
        <v>96961123000</v>
      </c>
      <c r="D64" s="3">
        <v>198815904000</v>
      </c>
    </row>
    <row r="65" spans="1:5" x14ac:dyDescent="0.25">
      <c r="A65" s="17">
        <v>2020</v>
      </c>
      <c r="B65" s="17" t="s">
        <v>199</v>
      </c>
      <c r="C65" s="3">
        <v>45734384000</v>
      </c>
      <c r="D65" s="3">
        <v>45721388000</v>
      </c>
    </row>
    <row r="66" spans="1:5" x14ac:dyDescent="0.25">
      <c r="A66" s="17">
        <v>2019</v>
      </c>
      <c r="B66" s="17" t="s">
        <v>12</v>
      </c>
      <c r="C66" s="3">
        <v>10464001000</v>
      </c>
      <c r="D66" s="3">
        <v>12579419000</v>
      </c>
      <c r="E66" s="2">
        <v>350000000</v>
      </c>
    </row>
    <row r="67" spans="1:5" x14ac:dyDescent="0.25">
      <c r="A67" s="17">
        <v>2019</v>
      </c>
      <c r="B67" s="17" t="s">
        <v>17</v>
      </c>
      <c r="C67" s="3">
        <v>50010599000</v>
      </c>
      <c r="D67" s="3">
        <v>31469324000</v>
      </c>
      <c r="E67" s="2">
        <v>460000000</v>
      </c>
    </row>
    <row r="68" spans="1:5" x14ac:dyDescent="0.25">
      <c r="A68" s="17">
        <v>2019</v>
      </c>
      <c r="B68" s="17" t="s">
        <v>194</v>
      </c>
      <c r="C68" s="3">
        <v>58989345000</v>
      </c>
      <c r="D68" s="3">
        <v>45474681000</v>
      </c>
    </row>
    <row r="69" spans="1:5" x14ac:dyDescent="0.25">
      <c r="A69" s="17">
        <v>2019</v>
      </c>
      <c r="B69" s="17" t="s">
        <v>195</v>
      </c>
      <c r="C69" s="3">
        <v>122915623000</v>
      </c>
      <c r="D69" s="3">
        <v>95291979000</v>
      </c>
    </row>
    <row r="70" spans="1:5" x14ac:dyDescent="0.25">
      <c r="A70" s="17">
        <v>2019</v>
      </c>
      <c r="B70" s="17" t="s">
        <v>196</v>
      </c>
      <c r="C70" s="3">
        <v>33699071000</v>
      </c>
      <c r="D70" s="3">
        <v>24287254000</v>
      </c>
    </row>
    <row r="71" spans="1:5" x14ac:dyDescent="0.25">
      <c r="A71" s="17">
        <v>2019</v>
      </c>
      <c r="B71" s="17" t="s">
        <v>197</v>
      </c>
      <c r="C71" s="3">
        <v>114297069000</v>
      </c>
      <c r="D71" s="3">
        <v>90723796000</v>
      </c>
    </row>
    <row r="72" spans="1:5" x14ac:dyDescent="0.25">
      <c r="A72" s="17">
        <v>2019</v>
      </c>
      <c r="B72" s="17" t="s">
        <v>198</v>
      </c>
      <c r="C72" s="3">
        <v>119889578000</v>
      </c>
      <c r="D72" s="3">
        <v>123878468000</v>
      </c>
      <c r="E72" s="2">
        <v>94564241000</v>
      </c>
    </row>
    <row r="73" spans="1:5" x14ac:dyDescent="0.25">
      <c r="A73" s="17">
        <v>2019</v>
      </c>
      <c r="B73" s="17" t="s">
        <v>199</v>
      </c>
      <c r="C73" s="3">
        <v>34255997000</v>
      </c>
      <c r="D73" s="3">
        <v>30311352000</v>
      </c>
    </row>
    <row r="74" spans="1:5" x14ac:dyDescent="0.25">
      <c r="A74" s="17">
        <v>2018</v>
      </c>
      <c r="B74" s="17" t="s">
        <v>12</v>
      </c>
      <c r="C74" s="3">
        <v>9386410000</v>
      </c>
      <c r="D74" s="3">
        <v>9456410000</v>
      </c>
    </row>
    <row r="75" spans="1:5" x14ac:dyDescent="0.25">
      <c r="A75" s="17">
        <v>2018</v>
      </c>
      <c r="B75" s="17" t="s">
        <v>17</v>
      </c>
      <c r="C75" s="3">
        <v>79390254000</v>
      </c>
      <c r="D75" s="3">
        <v>44526076000</v>
      </c>
    </row>
    <row r="76" spans="1:5" x14ac:dyDescent="0.25">
      <c r="A76" s="17">
        <v>2018</v>
      </c>
      <c r="B76" s="17" t="s">
        <v>194</v>
      </c>
      <c r="C76" s="3">
        <v>65235283000</v>
      </c>
      <c r="D76" s="3">
        <v>64982093000</v>
      </c>
    </row>
    <row r="77" spans="1:5" x14ac:dyDescent="0.25">
      <c r="A77" s="17">
        <v>2018</v>
      </c>
      <c r="B77" s="17" t="s">
        <v>195</v>
      </c>
      <c r="C77" s="3">
        <v>190352107000</v>
      </c>
      <c r="D77" s="3">
        <v>185507020000</v>
      </c>
    </row>
    <row r="78" spans="1:5" x14ac:dyDescent="0.25">
      <c r="A78" s="17">
        <v>2018</v>
      </c>
      <c r="B78" s="17" t="s">
        <v>196</v>
      </c>
      <c r="C78" s="3">
        <v>38829490000</v>
      </c>
      <c r="D78" s="3">
        <v>35734451000</v>
      </c>
    </row>
    <row r="79" spans="1:5" x14ac:dyDescent="0.25">
      <c r="A79" s="17">
        <v>2018</v>
      </c>
      <c r="B79" s="17" t="s">
        <v>197</v>
      </c>
      <c r="C79" s="3">
        <v>128233006000</v>
      </c>
      <c r="D79" s="3">
        <v>127734500000</v>
      </c>
    </row>
    <row r="80" spans="1:5" x14ac:dyDescent="0.25">
      <c r="A80" s="17">
        <v>2018</v>
      </c>
      <c r="B80" s="17" t="s">
        <v>198</v>
      </c>
      <c r="C80" s="3">
        <v>65831937000</v>
      </c>
      <c r="D80" s="3">
        <v>118960456000</v>
      </c>
    </row>
    <row r="81" spans="1:4" x14ac:dyDescent="0.25">
      <c r="A81" s="17">
        <v>2018</v>
      </c>
      <c r="B81" s="17" t="s">
        <v>199</v>
      </c>
      <c r="C81" s="3">
        <v>52984824000</v>
      </c>
      <c r="D81" s="3">
        <v>50963477000</v>
      </c>
    </row>
    <row r="82" spans="1:4" x14ac:dyDescent="0.25">
      <c r="A82" s="17"/>
      <c r="B82" s="17"/>
      <c r="C82" s="2"/>
      <c r="D82" s="2"/>
    </row>
    <row r="83" spans="1:4" x14ac:dyDescent="0.25">
      <c r="A83" s="17"/>
      <c r="B83" s="17"/>
      <c r="C83" s="2"/>
      <c r="D83" s="2"/>
    </row>
    <row r="84" spans="1:4" x14ac:dyDescent="0.25">
      <c r="A84" s="17"/>
      <c r="B84" s="17"/>
      <c r="C84" s="2"/>
      <c r="D84" s="2"/>
    </row>
    <row r="85" spans="1:4" x14ac:dyDescent="0.25">
      <c r="A85" s="17"/>
      <c r="B85" s="17"/>
      <c r="C85" s="2"/>
      <c r="D85" s="2"/>
    </row>
    <row r="86" spans="1:4" x14ac:dyDescent="0.25">
      <c r="A86" s="17"/>
      <c r="B86" s="17"/>
      <c r="C86" s="2"/>
      <c r="D86" s="2"/>
    </row>
    <row r="87" spans="1:4" x14ac:dyDescent="0.25">
      <c r="A87" s="17"/>
      <c r="B87" s="17"/>
      <c r="C87" s="2"/>
      <c r="D87" s="2"/>
    </row>
    <row r="88" spans="1:4" x14ac:dyDescent="0.25">
      <c r="A88" s="17"/>
      <c r="B88" s="17"/>
      <c r="C88" s="2"/>
      <c r="D88" s="2"/>
    </row>
    <row r="89" spans="1:4" x14ac:dyDescent="0.25">
      <c r="A89" s="17"/>
      <c r="B89" s="17"/>
      <c r="C89" s="2"/>
      <c r="D89" s="2"/>
    </row>
    <row r="90" spans="1:4" x14ac:dyDescent="0.25">
      <c r="A90" s="17"/>
      <c r="B90" s="17"/>
      <c r="C90" s="2"/>
      <c r="D90" s="2"/>
    </row>
    <row r="91" spans="1:4" x14ac:dyDescent="0.25">
      <c r="A91" s="17"/>
      <c r="B91" s="17"/>
      <c r="C91" s="2"/>
      <c r="D91" s="2"/>
    </row>
    <row r="92" spans="1:4" x14ac:dyDescent="0.25">
      <c r="A92" s="17"/>
      <c r="B92" s="17"/>
      <c r="C92" s="2"/>
      <c r="D92" s="2"/>
    </row>
    <row r="93" spans="1:4" x14ac:dyDescent="0.25">
      <c r="A93" s="17"/>
      <c r="B93" s="17"/>
      <c r="C93" s="2"/>
      <c r="D93" s="2"/>
    </row>
    <row r="94" spans="1:4" x14ac:dyDescent="0.25">
      <c r="A94" s="17"/>
      <c r="B94" s="17"/>
      <c r="C94" s="2"/>
      <c r="D94" s="2"/>
    </row>
    <row r="95" spans="1:4" x14ac:dyDescent="0.25">
      <c r="A95" s="17"/>
      <c r="B95" s="17"/>
      <c r="C95" s="2"/>
      <c r="D95" s="2"/>
    </row>
    <row r="96" spans="1:4" x14ac:dyDescent="0.25">
      <c r="A96" s="17"/>
      <c r="B96" s="17"/>
      <c r="C96" s="2"/>
      <c r="D96" s="2"/>
    </row>
    <row r="97" spans="1:4" x14ac:dyDescent="0.25">
      <c r="A97" s="17"/>
      <c r="B97" s="17"/>
      <c r="C97" s="2"/>
      <c r="D97" s="2"/>
    </row>
    <row r="98" spans="1:4" x14ac:dyDescent="0.25">
      <c r="A98" s="17"/>
      <c r="B98" s="17"/>
      <c r="C98" s="2"/>
      <c r="D98" s="2"/>
    </row>
    <row r="99" spans="1:4" x14ac:dyDescent="0.25">
      <c r="A99" s="17"/>
      <c r="B99" s="17"/>
      <c r="C99" s="2"/>
      <c r="D99" s="2"/>
    </row>
    <row r="100" spans="1:4" x14ac:dyDescent="0.25">
      <c r="A100" s="17"/>
      <c r="B100" s="17"/>
      <c r="C100" s="2"/>
      <c r="D100" s="2"/>
    </row>
    <row r="101" spans="1:4" x14ac:dyDescent="0.25">
      <c r="A101" s="17"/>
      <c r="B101" s="17"/>
      <c r="C101" s="2"/>
      <c r="D101" s="2"/>
    </row>
    <row r="102" spans="1:4" x14ac:dyDescent="0.25">
      <c r="A102" s="17"/>
      <c r="B102" s="17"/>
      <c r="C102" s="2"/>
      <c r="D102" s="2"/>
    </row>
    <row r="103" spans="1:4" x14ac:dyDescent="0.25">
      <c r="A103" s="17"/>
      <c r="B103" s="17"/>
      <c r="C103" s="2"/>
      <c r="D103" s="2"/>
    </row>
    <row r="104" spans="1:4" x14ac:dyDescent="0.25">
      <c r="A104" s="17"/>
      <c r="B104" s="17"/>
      <c r="C104" s="2"/>
      <c r="D104" s="2"/>
    </row>
    <row r="105" spans="1:4" x14ac:dyDescent="0.25">
      <c r="A105" s="17"/>
      <c r="B105" s="17"/>
      <c r="C105" s="2"/>
      <c r="D105" s="2"/>
    </row>
    <row r="106" spans="1:4" x14ac:dyDescent="0.25">
      <c r="A106" s="17"/>
      <c r="B106" s="17"/>
      <c r="C106" s="2"/>
      <c r="D106" s="2"/>
    </row>
    <row r="107" spans="1:4" x14ac:dyDescent="0.25">
      <c r="A107" s="17"/>
      <c r="B107" s="17"/>
      <c r="C107" s="2"/>
      <c r="D107" s="2"/>
    </row>
    <row r="108" spans="1:4" x14ac:dyDescent="0.25">
      <c r="A108" s="17"/>
      <c r="B108" s="17"/>
      <c r="C108" s="2"/>
      <c r="D108" s="2"/>
    </row>
    <row r="109" spans="1:4" x14ac:dyDescent="0.25">
      <c r="A109" s="17"/>
      <c r="B109" s="17"/>
      <c r="C109" s="2"/>
      <c r="D109" s="2"/>
    </row>
    <row r="110" spans="1:4" x14ac:dyDescent="0.25">
      <c r="A110" s="17"/>
      <c r="B110" s="17"/>
      <c r="C110" s="2"/>
      <c r="D110" s="2"/>
    </row>
    <row r="111" spans="1:4" x14ac:dyDescent="0.25">
      <c r="A111" s="17"/>
      <c r="B111" s="17"/>
      <c r="C111" s="2"/>
      <c r="D111" s="2"/>
    </row>
    <row r="112" spans="1:4" x14ac:dyDescent="0.25">
      <c r="A112" s="17"/>
      <c r="B112" s="17"/>
      <c r="C112" s="2"/>
      <c r="D112" s="2"/>
    </row>
    <row r="113" spans="1:4" x14ac:dyDescent="0.25">
      <c r="A113" s="17"/>
      <c r="B113" s="17"/>
      <c r="C113" s="2"/>
      <c r="D113" s="2"/>
    </row>
  </sheetData>
  <autoFilter ref="A1:C1" xr:uid="{A0075366-8957-4DF2-B95F-D94B1B53F7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6E8D-2582-4D86-8278-015D7B4A4EDA}">
  <dimension ref="A1:F2854"/>
  <sheetViews>
    <sheetView workbookViewId="0">
      <pane xSplit="2" ySplit="1" topLeftCell="C184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" width="40.7109375" customWidth="1"/>
    <col min="3" max="4" width="18.7109375" style="2" customWidth="1"/>
    <col min="6" max="6" width="12.7109375" style="2" customWidth="1"/>
  </cols>
  <sheetData>
    <row r="1" spans="1:4" x14ac:dyDescent="0.25">
      <c r="A1" s="18" t="s">
        <v>4</v>
      </c>
      <c r="B1" s="18" t="s">
        <v>200</v>
      </c>
      <c r="C1" s="19" t="s">
        <v>1</v>
      </c>
      <c r="D1" s="19" t="s">
        <v>0</v>
      </c>
    </row>
    <row r="2" spans="1:4" x14ac:dyDescent="0.25">
      <c r="A2" t="s">
        <v>452</v>
      </c>
      <c r="B2" t="s">
        <v>201</v>
      </c>
      <c r="D2" s="2">
        <v>510030446000</v>
      </c>
    </row>
    <row r="3" spans="1:4" x14ac:dyDescent="0.25">
      <c r="A3" t="s">
        <v>453</v>
      </c>
      <c r="B3" t="s">
        <v>202</v>
      </c>
      <c r="D3" s="2">
        <v>173499000</v>
      </c>
    </row>
    <row r="4" spans="1:4" x14ac:dyDescent="0.25">
      <c r="A4" t="s">
        <v>454</v>
      </c>
      <c r="B4" t="s">
        <v>203</v>
      </c>
      <c r="D4" s="2">
        <v>172229000</v>
      </c>
    </row>
    <row r="5" spans="1:4" x14ac:dyDescent="0.25">
      <c r="A5" t="s">
        <v>455</v>
      </c>
      <c r="B5" t="s">
        <v>204</v>
      </c>
      <c r="D5" s="2">
        <v>248365000</v>
      </c>
    </row>
    <row r="6" spans="1:4" x14ac:dyDescent="0.25">
      <c r="A6" t="s">
        <v>456</v>
      </c>
      <c r="B6" t="s">
        <v>205</v>
      </c>
      <c r="D6" s="2">
        <v>168903000</v>
      </c>
    </row>
    <row r="7" spans="1:4" x14ac:dyDescent="0.25">
      <c r="A7" t="s">
        <v>457</v>
      </c>
      <c r="B7" t="s">
        <v>206</v>
      </c>
      <c r="D7" s="2">
        <v>188661000</v>
      </c>
    </row>
    <row r="8" spans="1:4" x14ac:dyDescent="0.25">
      <c r="A8" t="s">
        <v>458</v>
      </c>
      <c r="B8" t="s">
        <v>207</v>
      </c>
      <c r="D8" s="2">
        <v>167504000</v>
      </c>
    </row>
    <row r="9" spans="1:4" x14ac:dyDescent="0.25">
      <c r="A9" t="s">
        <v>459</v>
      </c>
      <c r="B9" t="s">
        <v>208</v>
      </c>
      <c r="D9" s="2">
        <v>177513000</v>
      </c>
    </row>
    <row r="10" spans="1:4" x14ac:dyDescent="0.25">
      <c r="A10" t="s">
        <v>460</v>
      </c>
      <c r="B10" t="s">
        <v>209</v>
      </c>
      <c r="D10" s="2">
        <v>175121000</v>
      </c>
    </row>
    <row r="11" spans="1:4" x14ac:dyDescent="0.25">
      <c r="A11" t="s">
        <v>461</v>
      </c>
      <c r="B11" t="s">
        <v>210</v>
      </c>
      <c r="D11" s="2">
        <v>161875000</v>
      </c>
    </row>
    <row r="12" spans="1:4" x14ac:dyDescent="0.25">
      <c r="A12" t="s">
        <v>462</v>
      </c>
      <c r="B12" t="s">
        <v>211</v>
      </c>
      <c r="D12" s="2">
        <v>173293000</v>
      </c>
    </row>
    <row r="13" spans="1:4" x14ac:dyDescent="0.25">
      <c r="A13" t="s">
        <v>463</v>
      </c>
      <c r="B13" t="s">
        <v>212</v>
      </c>
      <c r="D13" s="2">
        <v>184623000</v>
      </c>
    </row>
    <row r="14" spans="1:4" x14ac:dyDescent="0.25">
      <c r="A14" t="s">
        <v>464</v>
      </c>
      <c r="B14" t="s">
        <v>213</v>
      </c>
      <c r="D14" s="2">
        <v>179210000</v>
      </c>
    </row>
    <row r="15" spans="1:4" x14ac:dyDescent="0.25">
      <c r="A15" t="s">
        <v>465</v>
      </c>
      <c r="B15" t="s">
        <v>214</v>
      </c>
      <c r="D15" s="2">
        <v>156704000</v>
      </c>
    </row>
    <row r="16" spans="1:4" x14ac:dyDescent="0.25">
      <c r="A16" t="s">
        <v>466</v>
      </c>
      <c r="B16" t="s">
        <v>215</v>
      </c>
      <c r="D16" s="2">
        <v>187273000</v>
      </c>
    </row>
    <row r="17" spans="1:4" x14ac:dyDescent="0.25">
      <c r="A17" t="s">
        <v>467</v>
      </c>
      <c r="B17" t="s">
        <v>216</v>
      </c>
      <c r="D17" s="2">
        <v>174105000</v>
      </c>
    </row>
    <row r="18" spans="1:4" x14ac:dyDescent="0.25">
      <c r="A18" t="s">
        <v>468</v>
      </c>
      <c r="B18" t="s">
        <v>217</v>
      </c>
      <c r="D18" s="2">
        <v>166178000</v>
      </c>
    </row>
    <row r="19" spans="1:4" x14ac:dyDescent="0.25">
      <c r="A19" t="s">
        <v>469</v>
      </c>
      <c r="B19" t="s">
        <v>451</v>
      </c>
      <c r="D19" s="2">
        <v>50527000</v>
      </c>
    </row>
    <row r="20" spans="1:4" x14ac:dyDescent="0.25">
      <c r="A20" t="s">
        <v>470</v>
      </c>
      <c r="B20" t="s">
        <v>218</v>
      </c>
      <c r="D20" s="2">
        <v>1170070000</v>
      </c>
    </row>
    <row r="21" spans="1:4" x14ac:dyDescent="0.25">
      <c r="A21" t="s">
        <v>471</v>
      </c>
      <c r="B21" t="s">
        <v>219</v>
      </c>
      <c r="D21" s="2">
        <v>803715000</v>
      </c>
    </row>
    <row r="22" spans="1:4" x14ac:dyDescent="0.25">
      <c r="A22" t="s">
        <v>472</v>
      </c>
      <c r="B22" t="s">
        <v>220</v>
      </c>
      <c r="D22" s="2">
        <v>1120630000</v>
      </c>
    </row>
    <row r="23" spans="1:4" x14ac:dyDescent="0.25">
      <c r="A23" t="s">
        <v>473</v>
      </c>
      <c r="B23" t="s">
        <v>221</v>
      </c>
      <c r="D23" s="2">
        <v>959838000</v>
      </c>
    </row>
    <row r="24" spans="1:4" x14ac:dyDescent="0.25">
      <c r="A24" t="s">
        <v>474</v>
      </c>
      <c r="B24" t="s">
        <v>222</v>
      </c>
      <c r="D24" s="2">
        <v>2893031000</v>
      </c>
    </row>
    <row r="25" spans="1:4" x14ac:dyDescent="0.25">
      <c r="A25" t="s">
        <v>475</v>
      </c>
      <c r="B25" t="s">
        <v>223</v>
      </c>
      <c r="D25" s="2">
        <v>1024869000</v>
      </c>
    </row>
    <row r="26" spans="1:4" x14ac:dyDescent="0.25">
      <c r="A26" t="s">
        <v>476</v>
      </c>
      <c r="B26" t="s">
        <v>224</v>
      </c>
      <c r="D26" s="2">
        <v>1321562000</v>
      </c>
    </row>
    <row r="27" spans="1:4" x14ac:dyDescent="0.25">
      <c r="A27" t="s">
        <v>477</v>
      </c>
      <c r="B27" t="s">
        <v>225</v>
      </c>
      <c r="D27" s="2">
        <v>250467000</v>
      </c>
    </row>
    <row r="28" spans="1:4" x14ac:dyDescent="0.25">
      <c r="A28" t="s">
        <v>478</v>
      </c>
      <c r="B28" t="s">
        <v>226</v>
      </c>
      <c r="D28" s="2">
        <v>644253000</v>
      </c>
    </row>
    <row r="29" spans="1:4" x14ac:dyDescent="0.25">
      <c r="A29" t="s">
        <v>479</v>
      </c>
      <c r="B29" t="s">
        <v>227</v>
      </c>
      <c r="D29" s="2">
        <v>414229000</v>
      </c>
    </row>
    <row r="30" spans="1:4" x14ac:dyDescent="0.25">
      <c r="A30" t="s">
        <v>480</v>
      </c>
      <c r="B30" t="s">
        <v>228</v>
      </c>
      <c r="D30" s="2">
        <v>641892000</v>
      </c>
    </row>
    <row r="31" spans="1:4" x14ac:dyDescent="0.25">
      <c r="A31" t="s">
        <v>481</v>
      </c>
      <c r="B31" t="s">
        <v>229</v>
      </c>
      <c r="D31" s="2">
        <v>99134000</v>
      </c>
    </row>
    <row r="32" spans="1:4" x14ac:dyDescent="0.25">
      <c r="A32" t="s">
        <v>482</v>
      </c>
      <c r="B32" t="s">
        <v>230</v>
      </c>
      <c r="D32" s="2">
        <v>137005000</v>
      </c>
    </row>
    <row r="33" spans="1:4" x14ac:dyDescent="0.25">
      <c r="A33" t="s">
        <v>483</v>
      </c>
      <c r="B33" t="s">
        <v>231</v>
      </c>
      <c r="D33" s="2">
        <v>661083000</v>
      </c>
    </row>
    <row r="34" spans="1:4" x14ac:dyDescent="0.25">
      <c r="A34" t="s">
        <v>484</v>
      </c>
      <c r="B34" t="s">
        <v>232</v>
      </c>
      <c r="D34" s="2">
        <v>1053351000</v>
      </c>
    </row>
    <row r="35" spans="1:4" x14ac:dyDescent="0.25">
      <c r="A35" t="s">
        <v>485</v>
      </c>
      <c r="B35" t="s">
        <v>233</v>
      </c>
      <c r="D35" s="2">
        <v>660381000</v>
      </c>
    </row>
    <row r="36" spans="1:4" x14ac:dyDescent="0.25">
      <c r="A36" t="s">
        <v>486</v>
      </c>
      <c r="B36" t="s">
        <v>234</v>
      </c>
      <c r="D36" s="2">
        <v>352283000</v>
      </c>
    </row>
    <row r="37" spans="1:4" x14ac:dyDescent="0.25">
      <c r="A37" t="s">
        <v>487</v>
      </c>
      <c r="B37" t="s">
        <v>235</v>
      </c>
      <c r="D37" s="2">
        <v>979583000</v>
      </c>
    </row>
    <row r="38" spans="1:4" x14ac:dyDescent="0.25">
      <c r="A38" t="s">
        <v>488</v>
      </c>
      <c r="B38" t="s">
        <v>236</v>
      </c>
      <c r="D38" s="2">
        <v>967832000</v>
      </c>
    </row>
    <row r="39" spans="1:4" x14ac:dyDescent="0.25">
      <c r="A39" t="s">
        <v>489</v>
      </c>
      <c r="B39" t="s">
        <v>237</v>
      </c>
      <c r="D39" s="2">
        <v>726547000</v>
      </c>
    </row>
    <row r="40" spans="1:4" x14ac:dyDescent="0.25">
      <c r="A40" t="s">
        <v>490</v>
      </c>
      <c r="B40" t="s">
        <v>238</v>
      </c>
      <c r="D40" s="2">
        <v>245215000</v>
      </c>
    </row>
    <row r="41" spans="1:4" x14ac:dyDescent="0.25">
      <c r="A41" t="s">
        <v>491</v>
      </c>
      <c r="B41" t="s">
        <v>239</v>
      </c>
      <c r="D41" s="2">
        <v>821300000</v>
      </c>
    </row>
    <row r="42" spans="1:4" x14ac:dyDescent="0.25">
      <c r="A42" t="s">
        <v>492</v>
      </c>
      <c r="B42" t="s">
        <v>240</v>
      </c>
      <c r="D42" s="2">
        <v>516218000</v>
      </c>
    </row>
    <row r="43" spans="1:4" x14ac:dyDescent="0.25">
      <c r="A43" t="s">
        <v>493</v>
      </c>
      <c r="B43" t="s">
        <v>241</v>
      </c>
      <c r="D43" s="2">
        <v>199695000</v>
      </c>
    </row>
    <row r="44" spans="1:4" x14ac:dyDescent="0.25">
      <c r="A44" t="s">
        <v>494</v>
      </c>
      <c r="B44" t="s">
        <v>242</v>
      </c>
      <c r="D44" s="2">
        <v>579010000</v>
      </c>
    </row>
    <row r="45" spans="1:4" x14ac:dyDescent="0.25">
      <c r="A45" t="s">
        <v>495</v>
      </c>
      <c r="B45" t="s">
        <v>243</v>
      </c>
      <c r="D45" s="2">
        <v>469362000</v>
      </c>
    </row>
    <row r="46" spans="1:4" x14ac:dyDescent="0.25">
      <c r="A46" t="s">
        <v>496</v>
      </c>
      <c r="B46" t="s">
        <v>244</v>
      </c>
      <c r="D46" s="2">
        <v>640020000</v>
      </c>
    </row>
    <row r="47" spans="1:4" x14ac:dyDescent="0.25">
      <c r="A47" t="s">
        <v>497</v>
      </c>
      <c r="B47" t="s">
        <v>245</v>
      </c>
      <c r="D47" s="2">
        <v>722471000</v>
      </c>
    </row>
    <row r="48" spans="1:4" x14ac:dyDescent="0.25">
      <c r="A48" t="s">
        <v>498</v>
      </c>
      <c r="B48" t="s">
        <v>246</v>
      </c>
      <c r="D48" s="2">
        <v>573598000</v>
      </c>
    </row>
    <row r="49" spans="1:4" x14ac:dyDescent="0.25">
      <c r="A49" t="s">
        <v>499</v>
      </c>
      <c r="B49" t="s">
        <v>247</v>
      </c>
      <c r="D49" s="2">
        <v>442242000</v>
      </c>
    </row>
    <row r="50" spans="1:4" x14ac:dyDescent="0.25">
      <c r="A50" t="s">
        <v>500</v>
      </c>
      <c r="B50" t="s">
        <v>248</v>
      </c>
      <c r="D50" s="2">
        <v>939521000</v>
      </c>
    </row>
    <row r="51" spans="1:4" x14ac:dyDescent="0.25">
      <c r="A51" t="s">
        <v>501</v>
      </c>
      <c r="B51" t="s">
        <v>249</v>
      </c>
      <c r="D51" s="2">
        <v>479626000</v>
      </c>
    </row>
    <row r="52" spans="1:4" x14ac:dyDescent="0.25">
      <c r="A52" t="s">
        <v>502</v>
      </c>
      <c r="B52" t="s">
        <v>250</v>
      </c>
      <c r="D52" s="2">
        <v>512887000</v>
      </c>
    </row>
    <row r="53" spans="1:4" x14ac:dyDescent="0.25">
      <c r="A53" t="s">
        <v>503</v>
      </c>
      <c r="B53" t="s">
        <v>251</v>
      </c>
      <c r="D53" s="2">
        <v>1333737000</v>
      </c>
    </row>
    <row r="54" spans="1:4" x14ac:dyDescent="0.25">
      <c r="A54" t="s">
        <v>504</v>
      </c>
      <c r="B54" t="s">
        <v>252</v>
      </c>
      <c r="D54" s="2">
        <v>1472393000</v>
      </c>
    </row>
    <row r="55" spans="1:4" x14ac:dyDescent="0.25">
      <c r="A55" t="s">
        <v>505</v>
      </c>
      <c r="B55" t="s">
        <v>253</v>
      </c>
      <c r="D55" s="2">
        <v>1527535000</v>
      </c>
    </row>
    <row r="56" spans="1:4" x14ac:dyDescent="0.25">
      <c r="A56" t="s">
        <v>506</v>
      </c>
      <c r="B56" t="s">
        <v>254</v>
      </c>
      <c r="D56" s="2">
        <v>1576451000</v>
      </c>
    </row>
    <row r="57" spans="1:4" x14ac:dyDescent="0.25">
      <c r="A57" t="s">
        <v>507</v>
      </c>
      <c r="B57" t="s">
        <v>255</v>
      </c>
      <c r="D57" s="2">
        <v>73509000</v>
      </c>
    </row>
    <row r="58" spans="1:4" x14ac:dyDescent="0.25">
      <c r="A58" t="s">
        <v>508</v>
      </c>
      <c r="B58" t="s">
        <v>256</v>
      </c>
      <c r="D58" s="2">
        <v>259857000</v>
      </c>
    </row>
    <row r="59" spans="1:4" x14ac:dyDescent="0.25">
      <c r="A59" t="s">
        <v>509</v>
      </c>
      <c r="B59" t="s">
        <v>257</v>
      </c>
      <c r="D59" s="2">
        <v>370037000</v>
      </c>
    </row>
    <row r="60" spans="1:4" x14ac:dyDescent="0.25">
      <c r="A60" t="s">
        <v>510</v>
      </c>
      <c r="B60" t="s">
        <v>258</v>
      </c>
      <c r="D60" s="2">
        <v>466622000</v>
      </c>
    </row>
    <row r="61" spans="1:4" x14ac:dyDescent="0.25">
      <c r="A61" t="s">
        <v>511</v>
      </c>
      <c r="B61" t="s">
        <v>259</v>
      </c>
      <c r="D61" s="2">
        <v>441999000</v>
      </c>
    </row>
    <row r="62" spans="1:4" x14ac:dyDescent="0.25">
      <c r="A62" t="s">
        <v>512</v>
      </c>
      <c r="B62" t="s">
        <v>260</v>
      </c>
      <c r="D62" s="2">
        <v>398727000</v>
      </c>
    </row>
    <row r="63" spans="1:4" x14ac:dyDescent="0.25">
      <c r="A63" t="s">
        <v>513</v>
      </c>
      <c r="B63" t="s">
        <v>261</v>
      </c>
      <c r="D63" s="2">
        <v>2350438000</v>
      </c>
    </row>
    <row r="64" spans="1:4" x14ac:dyDescent="0.25">
      <c r="A64" t="s">
        <v>514</v>
      </c>
      <c r="B64" t="s">
        <v>262</v>
      </c>
      <c r="D64" s="2">
        <v>3448647000</v>
      </c>
    </row>
    <row r="65" spans="1:4" x14ac:dyDescent="0.25">
      <c r="A65" t="s">
        <v>515</v>
      </c>
      <c r="B65" t="s">
        <v>263</v>
      </c>
      <c r="D65" s="2">
        <v>2834047000</v>
      </c>
    </row>
    <row r="66" spans="1:4" x14ac:dyDescent="0.25">
      <c r="A66" t="s">
        <v>516</v>
      </c>
      <c r="B66" t="s">
        <v>264</v>
      </c>
      <c r="D66" s="2">
        <v>354523000</v>
      </c>
    </row>
    <row r="67" spans="1:4" x14ac:dyDescent="0.25">
      <c r="A67" t="s">
        <v>517</v>
      </c>
      <c r="B67" t="s">
        <v>265</v>
      </c>
      <c r="D67" s="2">
        <v>800754000</v>
      </c>
    </row>
    <row r="68" spans="1:4" x14ac:dyDescent="0.25">
      <c r="A68" t="s">
        <v>518</v>
      </c>
      <c r="B68" t="s">
        <v>266</v>
      </c>
      <c r="D68" s="2">
        <v>811633000</v>
      </c>
    </row>
    <row r="69" spans="1:4" x14ac:dyDescent="0.25">
      <c r="A69" t="s">
        <v>519</v>
      </c>
      <c r="B69" t="s">
        <v>267</v>
      </c>
      <c r="D69" s="2">
        <v>594175000</v>
      </c>
    </row>
    <row r="70" spans="1:4" x14ac:dyDescent="0.25">
      <c r="A70" t="s">
        <v>520</v>
      </c>
      <c r="B70" t="s">
        <v>268</v>
      </c>
      <c r="D70" s="2">
        <v>178723000</v>
      </c>
    </row>
    <row r="71" spans="1:4" x14ac:dyDescent="0.25">
      <c r="A71" t="s">
        <v>521</v>
      </c>
      <c r="B71" t="s">
        <v>269</v>
      </c>
      <c r="D71" s="2">
        <v>929767000</v>
      </c>
    </row>
    <row r="72" spans="1:4" x14ac:dyDescent="0.25">
      <c r="A72" t="s">
        <v>522</v>
      </c>
      <c r="B72" t="s">
        <v>270</v>
      </c>
      <c r="D72" s="2">
        <v>561567000</v>
      </c>
    </row>
    <row r="73" spans="1:4" x14ac:dyDescent="0.25">
      <c r="A73" t="s">
        <v>523</v>
      </c>
      <c r="B73" t="s">
        <v>271</v>
      </c>
      <c r="D73" s="2">
        <v>1540985000</v>
      </c>
    </row>
    <row r="74" spans="1:4" x14ac:dyDescent="0.25">
      <c r="A74" t="s">
        <v>524</v>
      </c>
      <c r="B74" t="s">
        <v>272</v>
      </c>
      <c r="D74" s="2">
        <v>167454000</v>
      </c>
    </row>
    <row r="75" spans="1:4" x14ac:dyDescent="0.25">
      <c r="A75" t="s">
        <v>525</v>
      </c>
      <c r="B75" t="s">
        <v>273</v>
      </c>
      <c r="D75" s="2">
        <v>1749474000</v>
      </c>
    </row>
    <row r="76" spans="1:4" x14ac:dyDescent="0.25">
      <c r="A76" t="s">
        <v>526</v>
      </c>
      <c r="B76" t="s">
        <v>274</v>
      </c>
      <c r="D76" s="2">
        <v>751095000</v>
      </c>
    </row>
    <row r="77" spans="1:4" x14ac:dyDescent="0.25">
      <c r="A77" t="s">
        <v>527</v>
      </c>
      <c r="B77" t="s">
        <v>275</v>
      </c>
      <c r="D77" s="2">
        <v>1465054000</v>
      </c>
    </row>
    <row r="78" spans="1:4" x14ac:dyDescent="0.25">
      <c r="A78" t="s">
        <v>528</v>
      </c>
      <c r="B78" t="s">
        <v>276</v>
      </c>
      <c r="D78" s="2">
        <v>1421997000</v>
      </c>
    </row>
    <row r="79" spans="1:4" x14ac:dyDescent="0.25">
      <c r="A79" t="s">
        <v>529</v>
      </c>
      <c r="B79" t="s">
        <v>277</v>
      </c>
      <c r="D79" s="2">
        <v>1786287000</v>
      </c>
    </row>
    <row r="80" spans="1:4" x14ac:dyDescent="0.25">
      <c r="A80" t="s">
        <v>530</v>
      </c>
      <c r="B80" t="s">
        <v>278</v>
      </c>
      <c r="D80" s="2">
        <v>1078945000</v>
      </c>
    </row>
    <row r="81" spans="1:4" x14ac:dyDescent="0.25">
      <c r="A81" t="s">
        <v>531</v>
      </c>
      <c r="B81" t="s">
        <v>279</v>
      </c>
      <c r="D81" s="2">
        <v>562628000</v>
      </c>
    </row>
    <row r="82" spans="1:4" x14ac:dyDescent="0.25">
      <c r="A82" t="s">
        <v>532</v>
      </c>
      <c r="B82" t="s">
        <v>280</v>
      </c>
      <c r="D82" s="2">
        <v>1399488000</v>
      </c>
    </row>
    <row r="83" spans="1:4" x14ac:dyDescent="0.25">
      <c r="A83" t="s">
        <v>533</v>
      </c>
      <c r="B83" t="s">
        <v>281</v>
      </c>
      <c r="D83" s="2">
        <v>771446000</v>
      </c>
    </row>
    <row r="84" spans="1:4" x14ac:dyDescent="0.25">
      <c r="A84" t="s">
        <v>534</v>
      </c>
      <c r="B84" t="s">
        <v>282</v>
      </c>
      <c r="D84" s="2">
        <v>487225000</v>
      </c>
    </row>
    <row r="85" spans="1:4" x14ac:dyDescent="0.25">
      <c r="A85" t="s">
        <v>535</v>
      </c>
      <c r="B85" t="s">
        <v>283</v>
      </c>
      <c r="D85" s="2">
        <v>619471000</v>
      </c>
    </row>
    <row r="86" spans="1:4" x14ac:dyDescent="0.25">
      <c r="A86" t="s">
        <v>536</v>
      </c>
      <c r="B86" t="s">
        <v>284</v>
      </c>
      <c r="D86" s="2">
        <v>865974000</v>
      </c>
    </row>
    <row r="87" spans="1:4" x14ac:dyDescent="0.25">
      <c r="A87" t="s">
        <v>537</v>
      </c>
      <c r="B87" t="s">
        <v>285</v>
      </c>
      <c r="D87" s="2">
        <v>1792421000</v>
      </c>
    </row>
    <row r="88" spans="1:4" x14ac:dyDescent="0.25">
      <c r="A88" t="s">
        <v>538</v>
      </c>
      <c r="B88" t="s">
        <v>286</v>
      </c>
      <c r="D88" s="2">
        <v>161352000</v>
      </c>
    </row>
    <row r="89" spans="1:4" x14ac:dyDescent="0.25">
      <c r="A89" t="s">
        <v>539</v>
      </c>
      <c r="B89" t="s">
        <v>287</v>
      </c>
      <c r="D89" s="2">
        <v>489932000</v>
      </c>
    </row>
    <row r="90" spans="1:4" x14ac:dyDescent="0.25">
      <c r="A90" t="s">
        <v>540</v>
      </c>
      <c r="B90" t="s">
        <v>288</v>
      </c>
      <c r="D90" s="2">
        <v>971754000</v>
      </c>
    </row>
    <row r="91" spans="1:4" x14ac:dyDescent="0.25">
      <c r="A91" t="s">
        <v>541</v>
      </c>
      <c r="B91" t="s">
        <v>289</v>
      </c>
      <c r="D91" s="2">
        <v>884753000</v>
      </c>
    </row>
    <row r="92" spans="1:4" x14ac:dyDescent="0.25">
      <c r="A92" t="s">
        <v>542</v>
      </c>
      <c r="B92" t="s">
        <v>290</v>
      </c>
      <c r="D92" s="2">
        <v>425056000</v>
      </c>
    </row>
    <row r="93" spans="1:4" x14ac:dyDescent="0.25">
      <c r="A93" t="s">
        <v>543</v>
      </c>
      <c r="B93" t="s">
        <v>291</v>
      </c>
      <c r="D93" s="2">
        <v>497568000</v>
      </c>
    </row>
    <row r="94" spans="1:4" x14ac:dyDescent="0.25">
      <c r="A94" t="s">
        <v>544</v>
      </c>
      <c r="B94" t="s">
        <v>292</v>
      </c>
      <c r="D94" s="2">
        <v>632293000</v>
      </c>
    </row>
    <row r="95" spans="1:4" x14ac:dyDescent="0.25">
      <c r="A95" t="s">
        <v>545</v>
      </c>
      <c r="B95" t="s">
        <v>293</v>
      </c>
      <c r="D95" s="2">
        <v>709750000</v>
      </c>
    </row>
    <row r="96" spans="1:4" x14ac:dyDescent="0.25">
      <c r="A96" t="s">
        <v>546</v>
      </c>
      <c r="B96" t="s">
        <v>294</v>
      </c>
      <c r="D96" s="2">
        <v>701689000</v>
      </c>
    </row>
    <row r="97" spans="1:4" x14ac:dyDescent="0.25">
      <c r="A97" t="s">
        <v>547</v>
      </c>
      <c r="B97" t="s">
        <v>295</v>
      </c>
      <c r="D97" s="2">
        <v>398087000</v>
      </c>
    </row>
    <row r="98" spans="1:4" x14ac:dyDescent="0.25">
      <c r="A98" t="s">
        <v>548</v>
      </c>
      <c r="B98" t="s">
        <v>296</v>
      </c>
      <c r="D98" s="2">
        <v>381552000</v>
      </c>
    </row>
    <row r="99" spans="1:4" x14ac:dyDescent="0.25">
      <c r="A99" t="s">
        <v>549</v>
      </c>
      <c r="B99" t="s">
        <v>297</v>
      </c>
      <c r="D99" s="2">
        <v>368535000</v>
      </c>
    </row>
    <row r="100" spans="1:4" x14ac:dyDescent="0.25">
      <c r="A100" t="s">
        <v>550</v>
      </c>
      <c r="B100" t="s">
        <v>298</v>
      </c>
      <c r="D100" s="2">
        <v>537512000</v>
      </c>
    </row>
    <row r="101" spans="1:4" x14ac:dyDescent="0.25">
      <c r="A101" t="s">
        <v>551</v>
      </c>
      <c r="B101" t="s">
        <v>299</v>
      </c>
      <c r="D101" s="2">
        <v>192695000</v>
      </c>
    </row>
    <row r="102" spans="1:4" x14ac:dyDescent="0.25">
      <c r="A102" t="s">
        <v>552</v>
      </c>
      <c r="B102" t="s">
        <v>300</v>
      </c>
      <c r="D102" s="2">
        <v>397577000</v>
      </c>
    </row>
    <row r="103" spans="1:4" x14ac:dyDescent="0.25">
      <c r="A103" t="s">
        <v>553</v>
      </c>
      <c r="B103" t="s">
        <v>301</v>
      </c>
      <c r="D103" s="2">
        <v>540471000</v>
      </c>
    </row>
    <row r="104" spans="1:4" x14ac:dyDescent="0.25">
      <c r="A104" t="s">
        <v>554</v>
      </c>
      <c r="B104" t="s">
        <v>302</v>
      </c>
      <c r="D104" s="2">
        <v>467768000</v>
      </c>
    </row>
    <row r="105" spans="1:4" x14ac:dyDescent="0.25">
      <c r="A105" t="s">
        <v>555</v>
      </c>
      <c r="B105" t="s">
        <v>303</v>
      </c>
      <c r="D105" s="2">
        <v>487832000</v>
      </c>
    </row>
    <row r="106" spans="1:4" x14ac:dyDescent="0.25">
      <c r="A106" t="s">
        <v>556</v>
      </c>
      <c r="B106" t="s">
        <v>304</v>
      </c>
      <c r="D106" s="2">
        <v>565128000</v>
      </c>
    </row>
    <row r="107" spans="1:4" x14ac:dyDescent="0.25">
      <c r="A107" t="s">
        <v>557</v>
      </c>
      <c r="B107" t="s">
        <v>305</v>
      </c>
      <c r="D107" s="2">
        <v>319146000</v>
      </c>
    </row>
    <row r="108" spans="1:4" x14ac:dyDescent="0.25">
      <c r="A108" t="s">
        <v>558</v>
      </c>
      <c r="B108" t="s">
        <v>306</v>
      </c>
      <c r="D108" s="2">
        <v>734283000</v>
      </c>
    </row>
    <row r="109" spans="1:4" x14ac:dyDescent="0.25">
      <c r="A109" t="s">
        <v>559</v>
      </c>
      <c r="B109" t="s">
        <v>307</v>
      </c>
      <c r="D109" s="2">
        <v>1383746000</v>
      </c>
    </row>
    <row r="110" spans="1:4" x14ac:dyDescent="0.25">
      <c r="A110" t="s">
        <v>560</v>
      </c>
      <c r="B110" t="s">
        <v>308</v>
      </c>
      <c r="D110" s="2">
        <v>76066000</v>
      </c>
    </row>
    <row r="111" spans="1:4" x14ac:dyDescent="0.25">
      <c r="A111" t="s">
        <v>561</v>
      </c>
      <c r="B111" t="s">
        <v>309</v>
      </c>
      <c r="D111" s="2">
        <v>406036000</v>
      </c>
    </row>
    <row r="112" spans="1:4" x14ac:dyDescent="0.25">
      <c r="A112" t="s">
        <v>562</v>
      </c>
      <c r="B112" t="s">
        <v>310</v>
      </c>
      <c r="D112" s="2">
        <v>983976000</v>
      </c>
    </row>
    <row r="113" spans="1:4" x14ac:dyDescent="0.25">
      <c r="A113" t="s">
        <v>563</v>
      </c>
      <c r="B113" t="s">
        <v>311</v>
      </c>
      <c r="D113" s="2">
        <v>141519000</v>
      </c>
    </row>
    <row r="114" spans="1:4" x14ac:dyDescent="0.25">
      <c r="A114" t="s">
        <v>564</v>
      </c>
      <c r="B114" t="s">
        <v>312</v>
      </c>
      <c r="D114" s="2">
        <v>962540000</v>
      </c>
    </row>
    <row r="115" spans="1:4" x14ac:dyDescent="0.25">
      <c r="A115" t="s">
        <v>565</v>
      </c>
      <c r="B115" t="s">
        <v>313</v>
      </c>
      <c r="D115" s="2">
        <v>566280000</v>
      </c>
    </row>
    <row r="116" spans="1:4" x14ac:dyDescent="0.25">
      <c r="A116" t="s">
        <v>566</v>
      </c>
      <c r="B116" t="s">
        <v>314</v>
      </c>
      <c r="D116" s="2">
        <v>732039000</v>
      </c>
    </row>
    <row r="117" spans="1:4" x14ac:dyDescent="0.25">
      <c r="A117" t="s">
        <v>567</v>
      </c>
      <c r="B117" t="s">
        <v>315</v>
      </c>
      <c r="D117" s="2">
        <v>682039000</v>
      </c>
    </row>
    <row r="118" spans="1:4" x14ac:dyDescent="0.25">
      <c r="A118" t="s">
        <v>568</v>
      </c>
      <c r="B118" t="s">
        <v>316</v>
      </c>
      <c r="D118" s="2">
        <v>501580000</v>
      </c>
    </row>
    <row r="119" spans="1:4" x14ac:dyDescent="0.25">
      <c r="A119" t="s">
        <v>569</v>
      </c>
      <c r="B119" t="s">
        <v>317</v>
      </c>
      <c r="D119" s="2">
        <v>732645000</v>
      </c>
    </row>
    <row r="120" spans="1:4" x14ac:dyDescent="0.25">
      <c r="A120" t="s">
        <v>570</v>
      </c>
      <c r="B120" t="s">
        <v>318</v>
      </c>
      <c r="D120" s="2">
        <v>385980000</v>
      </c>
    </row>
    <row r="121" spans="1:4" x14ac:dyDescent="0.25">
      <c r="A121" t="s">
        <v>571</v>
      </c>
      <c r="B121" t="s">
        <v>319</v>
      </c>
      <c r="D121" s="2">
        <v>275538000</v>
      </c>
    </row>
    <row r="122" spans="1:4" x14ac:dyDescent="0.25">
      <c r="A122" t="s">
        <v>572</v>
      </c>
      <c r="B122" t="s">
        <v>320</v>
      </c>
      <c r="D122" s="2">
        <v>401909000</v>
      </c>
    </row>
    <row r="123" spans="1:4" x14ac:dyDescent="0.25">
      <c r="A123" t="s">
        <v>573</v>
      </c>
      <c r="B123" t="s">
        <v>321</v>
      </c>
      <c r="D123" s="2">
        <v>797023000</v>
      </c>
    </row>
    <row r="124" spans="1:4" x14ac:dyDescent="0.25">
      <c r="A124" t="s">
        <v>574</v>
      </c>
      <c r="B124" t="s">
        <v>322</v>
      </c>
      <c r="D124" s="2">
        <v>303977000</v>
      </c>
    </row>
    <row r="125" spans="1:4" x14ac:dyDescent="0.25">
      <c r="A125" t="s">
        <v>575</v>
      </c>
      <c r="B125" t="s">
        <v>323</v>
      </c>
      <c r="D125" s="2">
        <v>915587000</v>
      </c>
    </row>
    <row r="126" spans="1:4" x14ac:dyDescent="0.25">
      <c r="A126" t="s">
        <v>576</v>
      </c>
      <c r="B126" t="s">
        <v>324</v>
      </c>
      <c r="D126" s="2">
        <v>386448000</v>
      </c>
    </row>
    <row r="127" spans="1:4" x14ac:dyDescent="0.25">
      <c r="A127" t="s">
        <v>577</v>
      </c>
      <c r="B127" t="s">
        <v>325</v>
      </c>
      <c r="D127" s="2">
        <v>344535000</v>
      </c>
    </row>
    <row r="128" spans="1:4" x14ac:dyDescent="0.25">
      <c r="A128" t="s">
        <v>578</v>
      </c>
      <c r="B128" t="s">
        <v>326</v>
      </c>
      <c r="D128" s="2">
        <v>302618000</v>
      </c>
    </row>
    <row r="129" spans="1:4" x14ac:dyDescent="0.25">
      <c r="A129" t="s">
        <v>579</v>
      </c>
      <c r="B129" t="s">
        <v>327</v>
      </c>
      <c r="D129" s="2">
        <v>253377000</v>
      </c>
    </row>
    <row r="130" spans="1:4" x14ac:dyDescent="0.25">
      <c r="A130" t="s">
        <v>580</v>
      </c>
      <c r="B130" t="s">
        <v>328</v>
      </c>
      <c r="D130" s="2">
        <v>925296000</v>
      </c>
    </row>
    <row r="131" spans="1:4" x14ac:dyDescent="0.25">
      <c r="A131" t="s">
        <v>581</v>
      </c>
      <c r="B131" t="s">
        <v>329</v>
      </c>
      <c r="D131" s="2">
        <v>397078000</v>
      </c>
    </row>
    <row r="132" spans="1:4" x14ac:dyDescent="0.25">
      <c r="A132" t="s">
        <v>582</v>
      </c>
      <c r="B132" t="s">
        <v>330</v>
      </c>
      <c r="D132" s="2">
        <v>801976000</v>
      </c>
    </row>
    <row r="133" spans="1:4" x14ac:dyDescent="0.25">
      <c r="A133" t="s">
        <v>583</v>
      </c>
      <c r="B133" t="s">
        <v>331</v>
      </c>
      <c r="D133" s="2">
        <v>216996000</v>
      </c>
    </row>
    <row r="134" spans="1:4" x14ac:dyDescent="0.25">
      <c r="A134" t="s">
        <v>584</v>
      </c>
      <c r="B134" t="s">
        <v>332</v>
      </c>
      <c r="D134" s="2">
        <v>320716000</v>
      </c>
    </row>
    <row r="135" spans="1:4" x14ac:dyDescent="0.25">
      <c r="A135" t="s">
        <v>585</v>
      </c>
      <c r="B135" t="s">
        <v>333</v>
      </c>
      <c r="D135" s="2">
        <v>449792000</v>
      </c>
    </row>
    <row r="136" spans="1:4" x14ac:dyDescent="0.25">
      <c r="A136" t="s">
        <v>586</v>
      </c>
      <c r="B136" t="s">
        <v>334</v>
      </c>
      <c r="D136" s="2">
        <v>1518098000</v>
      </c>
    </row>
    <row r="137" spans="1:4" x14ac:dyDescent="0.25">
      <c r="A137" t="s">
        <v>587</v>
      </c>
      <c r="B137" t="s">
        <v>335</v>
      </c>
      <c r="D137" s="2">
        <v>509287000</v>
      </c>
    </row>
    <row r="138" spans="1:4" x14ac:dyDescent="0.25">
      <c r="A138" t="s">
        <v>588</v>
      </c>
      <c r="B138" t="s">
        <v>336</v>
      </c>
      <c r="D138" s="2">
        <v>641682000</v>
      </c>
    </row>
    <row r="139" spans="1:4" x14ac:dyDescent="0.25">
      <c r="A139" t="s">
        <v>589</v>
      </c>
      <c r="B139" t="s">
        <v>337</v>
      </c>
      <c r="D139" s="2">
        <v>614220000</v>
      </c>
    </row>
    <row r="140" spans="1:4" x14ac:dyDescent="0.25">
      <c r="A140" t="s">
        <v>590</v>
      </c>
      <c r="B140" t="s">
        <v>338</v>
      </c>
      <c r="D140" s="2">
        <v>795709000</v>
      </c>
    </row>
    <row r="141" spans="1:4" x14ac:dyDescent="0.25">
      <c r="A141" t="s">
        <v>591</v>
      </c>
      <c r="B141" t="s">
        <v>339</v>
      </c>
      <c r="D141" s="2">
        <v>200440000</v>
      </c>
    </row>
    <row r="142" spans="1:4" x14ac:dyDescent="0.25">
      <c r="A142" t="s">
        <v>592</v>
      </c>
      <c r="B142" t="s">
        <v>340</v>
      </c>
      <c r="D142" s="2">
        <v>790197000</v>
      </c>
    </row>
    <row r="143" spans="1:4" x14ac:dyDescent="0.25">
      <c r="A143" t="s">
        <v>593</v>
      </c>
      <c r="B143" t="s">
        <v>341</v>
      </c>
      <c r="D143" s="2">
        <v>519921000</v>
      </c>
    </row>
    <row r="144" spans="1:4" x14ac:dyDescent="0.25">
      <c r="A144" t="s">
        <v>594</v>
      </c>
      <c r="B144" t="s">
        <v>342</v>
      </c>
      <c r="D144" s="2">
        <v>102280000</v>
      </c>
    </row>
    <row r="145" spans="1:4" x14ac:dyDescent="0.25">
      <c r="A145" t="s">
        <v>595</v>
      </c>
      <c r="B145" t="s">
        <v>343</v>
      </c>
      <c r="D145" s="2">
        <v>803621000</v>
      </c>
    </row>
    <row r="146" spans="1:4" x14ac:dyDescent="0.25">
      <c r="A146" t="s">
        <v>596</v>
      </c>
      <c r="B146" t="s">
        <v>344</v>
      </c>
      <c r="D146" s="2">
        <v>676993000</v>
      </c>
    </row>
    <row r="147" spans="1:4" x14ac:dyDescent="0.25">
      <c r="A147" t="s">
        <v>597</v>
      </c>
      <c r="B147" t="s">
        <v>345</v>
      </c>
      <c r="D147" s="2">
        <v>643472000</v>
      </c>
    </row>
    <row r="148" spans="1:4" x14ac:dyDescent="0.25">
      <c r="A148" t="s">
        <v>598</v>
      </c>
      <c r="B148" t="s">
        <v>346</v>
      </c>
      <c r="D148" s="2">
        <v>488607000</v>
      </c>
    </row>
    <row r="149" spans="1:4" x14ac:dyDescent="0.25">
      <c r="A149" t="s">
        <v>599</v>
      </c>
      <c r="B149" t="s">
        <v>347</v>
      </c>
      <c r="D149" s="2">
        <v>659584000</v>
      </c>
    </row>
    <row r="150" spans="1:4" x14ac:dyDescent="0.25">
      <c r="A150" t="s">
        <v>600</v>
      </c>
      <c r="B150" t="s">
        <v>348</v>
      </c>
      <c r="D150" s="2">
        <v>763441000</v>
      </c>
    </row>
    <row r="151" spans="1:4" x14ac:dyDescent="0.25">
      <c r="A151" t="s">
        <v>601</v>
      </c>
      <c r="B151" t="s">
        <v>349</v>
      </c>
      <c r="D151" s="2">
        <v>655921000</v>
      </c>
    </row>
    <row r="152" spans="1:4" x14ac:dyDescent="0.25">
      <c r="A152" t="s">
        <v>602</v>
      </c>
      <c r="B152" t="s">
        <v>350</v>
      </c>
      <c r="D152" s="2">
        <v>122565000</v>
      </c>
    </row>
    <row r="153" spans="1:4" x14ac:dyDescent="0.25">
      <c r="A153" t="s">
        <v>603</v>
      </c>
      <c r="B153" t="s">
        <v>414</v>
      </c>
      <c r="D153" s="2">
        <v>173550000</v>
      </c>
    </row>
    <row r="154" spans="1:4" x14ac:dyDescent="0.25">
      <c r="A154" t="s">
        <v>604</v>
      </c>
      <c r="B154" t="s">
        <v>351</v>
      </c>
      <c r="D154" s="2">
        <v>74390000</v>
      </c>
    </row>
    <row r="155" spans="1:4" x14ac:dyDescent="0.25">
      <c r="A155" t="s">
        <v>605</v>
      </c>
      <c r="B155" t="s">
        <v>405</v>
      </c>
      <c r="D155" s="2">
        <v>324795000</v>
      </c>
    </row>
    <row r="156" spans="1:4" x14ac:dyDescent="0.25">
      <c r="A156" t="s">
        <v>606</v>
      </c>
      <c r="B156" t="s">
        <v>352</v>
      </c>
      <c r="D156" s="2">
        <v>402398000</v>
      </c>
    </row>
    <row r="157" spans="1:4" x14ac:dyDescent="0.25">
      <c r="A157" t="s">
        <v>607</v>
      </c>
      <c r="B157" t="s">
        <v>353</v>
      </c>
      <c r="D157" s="2">
        <v>513647000</v>
      </c>
    </row>
    <row r="158" spans="1:4" x14ac:dyDescent="0.25">
      <c r="A158" t="s">
        <v>608</v>
      </c>
      <c r="B158" t="s">
        <v>354</v>
      </c>
      <c r="D158" s="2">
        <v>629561000</v>
      </c>
    </row>
    <row r="159" spans="1:4" x14ac:dyDescent="0.25">
      <c r="A159" t="s">
        <v>609</v>
      </c>
      <c r="B159" t="s">
        <v>355</v>
      </c>
      <c r="D159" s="2">
        <v>783880000</v>
      </c>
    </row>
    <row r="160" spans="1:4" x14ac:dyDescent="0.25">
      <c r="A160" t="s">
        <v>610</v>
      </c>
      <c r="B160" t="s">
        <v>356</v>
      </c>
      <c r="D160" s="2">
        <v>957020000</v>
      </c>
    </row>
    <row r="161" spans="1:4" x14ac:dyDescent="0.25">
      <c r="A161" t="s">
        <v>611</v>
      </c>
      <c r="B161" t="s">
        <v>357</v>
      </c>
      <c r="D161" s="2">
        <v>409447000</v>
      </c>
    </row>
    <row r="162" spans="1:4" x14ac:dyDescent="0.25">
      <c r="A162" t="s">
        <v>612</v>
      </c>
      <c r="B162" t="s">
        <v>358</v>
      </c>
      <c r="D162" s="2">
        <v>676430000</v>
      </c>
    </row>
    <row r="163" spans="1:4" x14ac:dyDescent="0.25">
      <c r="A163" t="s">
        <v>613</v>
      </c>
      <c r="B163" t="s">
        <v>359</v>
      </c>
      <c r="D163" s="2">
        <v>483698000</v>
      </c>
    </row>
    <row r="164" spans="1:4" x14ac:dyDescent="0.25">
      <c r="A164" t="s">
        <v>614</v>
      </c>
      <c r="B164" t="s">
        <v>360</v>
      </c>
      <c r="D164" s="2">
        <v>201508000</v>
      </c>
    </row>
    <row r="165" spans="1:4" x14ac:dyDescent="0.25">
      <c r="A165" t="s">
        <v>615</v>
      </c>
      <c r="B165" t="s">
        <v>361</v>
      </c>
      <c r="D165" s="2">
        <v>71510000</v>
      </c>
    </row>
    <row r="166" spans="1:4" x14ac:dyDescent="0.25">
      <c r="A166" t="s">
        <v>616</v>
      </c>
      <c r="B166" t="s">
        <v>362</v>
      </c>
      <c r="D166" s="2">
        <v>409323000</v>
      </c>
    </row>
    <row r="167" spans="1:4" x14ac:dyDescent="0.25">
      <c r="A167" t="s">
        <v>617</v>
      </c>
      <c r="B167" t="s">
        <v>363</v>
      </c>
      <c r="D167" s="2">
        <v>774912000</v>
      </c>
    </row>
    <row r="168" spans="1:4" x14ac:dyDescent="0.25">
      <c r="A168" t="s">
        <v>618</v>
      </c>
      <c r="B168" t="s">
        <v>364</v>
      </c>
      <c r="D168" s="2">
        <v>1167761000</v>
      </c>
    </row>
    <row r="169" spans="1:4" x14ac:dyDescent="0.25">
      <c r="A169" t="s">
        <v>619</v>
      </c>
      <c r="B169" t="s">
        <v>365</v>
      </c>
      <c r="D169" s="2">
        <v>613275000</v>
      </c>
    </row>
    <row r="170" spans="1:4" x14ac:dyDescent="0.25">
      <c r="A170" t="s">
        <v>620</v>
      </c>
      <c r="B170" t="s">
        <v>366</v>
      </c>
      <c r="D170" s="2">
        <v>1114484000</v>
      </c>
    </row>
    <row r="171" spans="1:4" x14ac:dyDescent="0.25">
      <c r="A171" t="s">
        <v>621</v>
      </c>
      <c r="B171" t="s">
        <v>367</v>
      </c>
      <c r="D171" s="2">
        <v>208569000</v>
      </c>
    </row>
    <row r="172" spans="1:4" x14ac:dyDescent="0.25">
      <c r="A172" t="s">
        <v>622</v>
      </c>
      <c r="B172" t="s">
        <v>368</v>
      </c>
      <c r="D172" s="2">
        <v>203917000</v>
      </c>
    </row>
    <row r="173" spans="1:4" x14ac:dyDescent="0.25">
      <c r="A173" t="s">
        <v>623</v>
      </c>
      <c r="B173" t="s">
        <v>369</v>
      </c>
      <c r="D173" s="2">
        <v>559480000</v>
      </c>
    </row>
    <row r="174" spans="1:4" x14ac:dyDescent="0.25">
      <c r="A174" t="s">
        <v>624</v>
      </c>
      <c r="B174" t="s">
        <v>370</v>
      </c>
      <c r="D174" s="2">
        <v>533597000</v>
      </c>
    </row>
    <row r="175" spans="1:4" x14ac:dyDescent="0.25">
      <c r="A175" t="s">
        <v>625</v>
      </c>
      <c r="B175" t="s">
        <v>371</v>
      </c>
      <c r="D175" s="2">
        <v>663815000</v>
      </c>
    </row>
    <row r="176" spans="1:4" x14ac:dyDescent="0.25">
      <c r="A176" t="s">
        <v>626</v>
      </c>
      <c r="B176" t="s">
        <v>372</v>
      </c>
      <c r="D176" s="2">
        <v>44653000</v>
      </c>
    </row>
    <row r="177" spans="1:4" x14ac:dyDescent="0.25">
      <c r="A177" t="s">
        <v>627</v>
      </c>
      <c r="B177" t="s">
        <v>373</v>
      </c>
      <c r="D177" s="2">
        <v>161643000</v>
      </c>
    </row>
    <row r="178" spans="1:4" x14ac:dyDescent="0.25">
      <c r="A178" t="s">
        <v>628</v>
      </c>
      <c r="B178" t="s">
        <v>374</v>
      </c>
      <c r="D178" s="2">
        <v>604915000</v>
      </c>
    </row>
    <row r="179" spans="1:4" x14ac:dyDescent="0.25">
      <c r="A179" t="s">
        <v>629</v>
      </c>
      <c r="B179" t="s">
        <v>375</v>
      </c>
      <c r="D179" s="2">
        <v>1032375000</v>
      </c>
    </row>
    <row r="180" spans="1:4" x14ac:dyDescent="0.25">
      <c r="A180" t="s">
        <v>630</v>
      </c>
      <c r="B180" t="s">
        <v>376</v>
      </c>
      <c r="D180" s="2">
        <v>168904000</v>
      </c>
    </row>
    <row r="181" spans="1:4" x14ac:dyDescent="0.25">
      <c r="A181" t="s">
        <v>631</v>
      </c>
      <c r="B181" t="s">
        <v>377</v>
      </c>
      <c r="D181" s="2">
        <v>269180000</v>
      </c>
    </row>
    <row r="182" spans="1:4" x14ac:dyDescent="0.25">
      <c r="A182" t="s">
        <v>632</v>
      </c>
      <c r="B182" t="s">
        <v>378</v>
      </c>
      <c r="D182" s="2">
        <v>189366000</v>
      </c>
    </row>
    <row r="183" spans="1:4" x14ac:dyDescent="0.25">
      <c r="A183" t="s">
        <v>633</v>
      </c>
      <c r="B183" t="s">
        <v>379</v>
      </c>
      <c r="D183" s="2">
        <v>643434000</v>
      </c>
    </row>
    <row r="184" spans="1:4" x14ac:dyDescent="0.25">
      <c r="A184" t="s">
        <v>634</v>
      </c>
      <c r="B184" t="s">
        <v>380</v>
      </c>
      <c r="D184" s="2">
        <v>879084000</v>
      </c>
    </row>
    <row r="185" spans="1:4" x14ac:dyDescent="0.25">
      <c r="A185" t="s">
        <v>635</v>
      </c>
      <c r="B185" t="s">
        <v>381</v>
      </c>
      <c r="D185" s="2">
        <v>309058000</v>
      </c>
    </row>
    <row r="186" spans="1:4" x14ac:dyDescent="0.25">
      <c r="A186" t="s">
        <v>636</v>
      </c>
      <c r="B186" t="s">
        <v>382</v>
      </c>
      <c r="D186" s="2">
        <v>227529000</v>
      </c>
    </row>
    <row r="187" spans="1:4" x14ac:dyDescent="0.25">
      <c r="A187" t="s">
        <v>637</v>
      </c>
      <c r="B187" t="s">
        <v>383</v>
      </c>
      <c r="D187" s="2">
        <v>502492000</v>
      </c>
    </row>
    <row r="188" spans="1:4" x14ac:dyDescent="0.25">
      <c r="A188" t="s">
        <v>638</v>
      </c>
      <c r="B188" t="s">
        <v>384</v>
      </c>
      <c r="D188" s="2">
        <v>702545000</v>
      </c>
    </row>
    <row r="189" spans="1:4" x14ac:dyDescent="0.25">
      <c r="A189" t="s">
        <v>639</v>
      </c>
      <c r="B189" t="s">
        <v>385</v>
      </c>
      <c r="D189" s="2">
        <v>938171000</v>
      </c>
    </row>
    <row r="190" spans="1:4" x14ac:dyDescent="0.25">
      <c r="A190" t="s">
        <v>640</v>
      </c>
      <c r="B190" t="s">
        <v>386</v>
      </c>
      <c r="D190" s="2">
        <v>129359000</v>
      </c>
    </row>
    <row r="191" spans="1:4" x14ac:dyDescent="0.25">
      <c r="A191" t="s">
        <v>641</v>
      </c>
      <c r="B191" t="s">
        <v>387</v>
      </c>
      <c r="D191" s="2">
        <v>93219000</v>
      </c>
    </row>
    <row r="192" spans="1:4" x14ac:dyDescent="0.25">
      <c r="A192" t="s">
        <v>642</v>
      </c>
      <c r="B192" t="s">
        <v>388</v>
      </c>
      <c r="D192" s="2">
        <v>136288000</v>
      </c>
    </row>
    <row r="193" spans="1:4" x14ac:dyDescent="0.25">
      <c r="A193" t="s">
        <v>643</v>
      </c>
      <c r="B193" t="s">
        <v>389</v>
      </c>
      <c r="D193" s="2">
        <v>958541000</v>
      </c>
    </row>
    <row r="194" spans="1:4" x14ac:dyDescent="0.25">
      <c r="A194" t="s">
        <v>644</v>
      </c>
      <c r="B194" t="s">
        <v>390</v>
      </c>
      <c r="D194" s="2">
        <v>685543000</v>
      </c>
    </row>
    <row r="195" spans="1:4" x14ac:dyDescent="0.25">
      <c r="A195" t="s">
        <v>645</v>
      </c>
      <c r="B195" t="s">
        <v>391</v>
      </c>
      <c r="D195" s="2">
        <v>359896000</v>
      </c>
    </row>
    <row r="196" spans="1:4" x14ac:dyDescent="0.25">
      <c r="A196" t="s">
        <v>646</v>
      </c>
      <c r="B196" t="s">
        <v>392</v>
      </c>
      <c r="D196" s="2">
        <v>445372000</v>
      </c>
    </row>
    <row r="197" spans="1:4" x14ac:dyDescent="0.25">
      <c r="A197" t="s">
        <v>647</v>
      </c>
      <c r="B197" t="s">
        <v>393</v>
      </c>
      <c r="D197" s="2">
        <v>683346000</v>
      </c>
    </row>
    <row r="198" spans="1:4" x14ac:dyDescent="0.25">
      <c r="A198" t="s">
        <v>648</v>
      </c>
      <c r="B198" t="s">
        <v>394</v>
      </c>
      <c r="D198" s="2">
        <v>693414000</v>
      </c>
    </row>
    <row r="199" spans="1:4" x14ac:dyDescent="0.25">
      <c r="A199" t="s">
        <v>651</v>
      </c>
      <c r="B199" t="s">
        <v>395</v>
      </c>
      <c r="D199" s="2">
        <v>493895000</v>
      </c>
    </row>
    <row r="200" spans="1:4" x14ac:dyDescent="0.25">
      <c r="A200" t="s">
        <v>652</v>
      </c>
      <c r="B200" t="s">
        <v>396</v>
      </c>
      <c r="D200" s="2">
        <v>425731000</v>
      </c>
    </row>
    <row r="201" spans="1:4" x14ac:dyDescent="0.25">
      <c r="A201" t="s">
        <v>653</v>
      </c>
      <c r="B201" t="s">
        <v>397</v>
      </c>
      <c r="D201" s="2">
        <v>841033000</v>
      </c>
    </row>
    <row r="202" spans="1:4" x14ac:dyDescent="0.25">
      <c r="A202" t="s">
        <v>654</v>
      </c>
      <c r="B202" t="s">
        <v>398</v>
      </c>
      <c r="D202" s="2">
        <v>836143000</v>
      </c>
    </row>
    <row r="203" spans="1:4" x14ac:dyDescent="0.25">
      <c r="A203" t="s">
        <v>655</v>
      </c>
      <c r="B203" t="s">
        <v>399</v>
      </c>
      <c r="D203" s="2">
        <v>828199000</v>
      </c>
    </row>
    <row r="204" spans="1:4" x14ac:dyDescent="0.25">
      <c r="A204" t="s">
        <v>656</v>
      </c>
      <c r="B204" t="s">
        <v>400</v>
      </c>
      <c r="D204" s="2">
        <v>381129000</v>
      </c>
    </row>
    <row r="205" spans="1:4" x14ac:dyDescent="0.25">
      <c r="A205" t="s">
        <v>657</v>
      </c>
      <c r="B205" t="s">
        <v>401</v>
      </c>
      <c r="D205" s="2">
        <v>321941000</v>
      </c>
    </row>
    <row r="206" spans="1:4" x14ac:dyDescent="0.25">
      <c r="A206" t="s">
        <v>658</v>
      </c>
      <c r="B206" t="s">
        <v>402</v>
      </c>
      <c r="D206" s="2">
        <v>1257080000</v>
      </c>
    </row>
    <row r="207" spans="1:4" x14ac:dyDescent="0.25">
      <c r="A207" t="s">
        <v>659</v>
      </c>
      <c r="B207" t="s">
        <v>403</v>
      </c>
      <c r="D207" s="2">
        <v>601546000</v>
      </c>
    </row>
    <row r="208" spans="1:4" x14ac:dyDescent="0.25">
      <c r="A208" t="s">
        <v>660</v>
      </c>
      <c r="B208" t="s">
        <v>404</v>
      </c>
      <c r="D208" s="2">
        <v>46226000</v>
      </c>
    </row>
    <row r="209" spans="1:4" x14ac:dyDescent="0.25">
      <c r="A209" t="s">
        <v>661</v>
      </c>
      <c r="B209" t="s">
        <v>423</v>
      </c>
      <c r="D209" s="2">
        <v>125183000</v>
      </c>
    </row>
    <row r="210" spans="1:4" x14ac:dyDescent="0.25">
      <c r="A210" t="s">
        <v>662</v>
      </c>
      <c r="B210" t="s">
        <v>406</v>
      </c>
      <c r="D210" s="2">
        <v>133817000</v>
      </c>
    </row>
    <row r="211" spans="1:4" x14ac:dyDescent="0.25">
      <c r="A211" t="s">
        <v>663</v>
      </c>
      <c r="B211" t="s">
        <v>407</v>
      </c>
      <c r="D211" s="2">
        <v>501598000</v>
      </c>
    </row>
    <row r="212" spans="1:4" x14ac:dyDescent="0.25">
      <c r="A212" t="s">
        <v>664</v>
      </c>
      <c r="B212" t="s">
        <v>408</v>
      </c>
      <c r="D212" s="2">
        <v>858690000</v>
      </c>
    </row>
    <row r="213" spans="1:4" x14ac:dyDescent="0.25">
      <c r="A213" t="s">
        <v>665</v>
      </c>
      <c r="B213" t="s">
        <v>409</v>
      </c>
      <c r="D213" s="2">
        <v>871729000</v>
      </c>
    </row>
    <row r="214" spans="1:4" x14ac:dyDescent="0.25">
      <c r="A214" t="s">
        <v>666</v>
      </c>
      <c r="B214" t="s">
        <v>410</v>
      </c>
      <c r="D214" s="2">
        <v>442957000</v>
      </c>
    </row>
    <row r="215" spans="1:4" x14ac:dyDescent="0.25">
      <c r="A215" t="s">
        <v>667</v>
      </c>
      <c r="B215" t="s">
        <v>411</v>
      </c>
      <c r="D215" s="2">
        <v>38707000</v>
      </c>
    </row>
    <row r="216" spans="1:4" x14ac:dyDescent="0.25">
      <c r="A216" t="s">
        <v>668</v>
      </c>
      <c r="B216" t="s">
        <v>649</v>
      </c>
      <c r="D216" s="2">
        <v>360000000</v>
      </c>
    </row>
    <row r="217" spans="1:4" x14ac:dyDescent="0.25">
      <c r="A217" t="s">
        <v>669</v>
      </c>
      <c r="B217" t="s">
        <v>650</v>
      </c>
      <c r="D217" s="2">
        <v>215000000</v>
      </c>
    </row>
    <row r="218" spans="1:4" x14ac:dyDescent="0.25">
      <c r="A218" t="s">
        <v>416</v>
      </c>
      <c r="B218" t="s">
        <v>201</v>
      </c>
      <c r="C218" s="2">
        <v>326611163000</v>
      </c>
      <c r="D218" s="2">
        <v>700471901000</v>
      </c>
    </row>
    <row r="219" spans="1:4" x14ac:dyDescent="0.25">
      <c r="A219" t="s">
        <v>416</v>
      </c>
      <c r="B219" t="s">
        <v>202</v>
      </c>
      <c r="C219" s="2">
        <v>170597000</v>
      </c>
      <c r="D219" s="2">
        <v>170597000</v>
      </c>
    </row>
    <row r="220" spans="1:4" x14ac:dyDescent="0.25">
      <c r="A220" t="s">
        <v>416</v>
      </c>
      <c r="B220" t="s">
        <v>203</v>
      </c>
      <c r="C220" s="2">
        <v>165156000</v>
      </c>
      <c r="D220" s="2">
        <v>165156000</v>
      </c>
    </row>
    <row r="221" spans="1:4" x14ac:dyDescent="0.25">
      <c r="A221" t="s">
        <v>416</v>
      </c>
      <c r="B221" t="s">
        <v>204</v>
      </c>
      <c r="C221" s="2">
        <v>252453000</v>
      </c>
      <c r="D221" s="2">
        <v>252453000</v>
      </c>
    </row>
    <row r="222" spans="1:4" x14ac:dyDescent="0.25">
      <c r="A222" t="s">
        <v>416</v>
      </c>
      <c r="B222" t="s">
        <v>205</v>
      </c>
      <c r="C222" s="2">
        <v>165400000</v>
      </c>
      <c r="D222" s="2">
        <v>165400000</v>
      </c>
    </row>
    <row r="223" spans="1:4" x14ac:dyDescent="0.25">
      <c r="A223" t="s">
        <v>416</v>
      </c>
      <c r="B223" t="s">
        <v>206</v>
      </c>
      <c r="C223" s="2">
        <v>182118000</v>
      </c>
      <c r="D223" s="2">
        <v>182118000</v>
      </c>
    </row>
    <row r="224" spans="1:4" x14ac:dyDescent="0.25">
      <c r="A224" t="s">
        <v>416</v>
      </c>
      <c r="B224" t="s">
        <v>207</v>
      </c>
      <c r="C224" s="2">
        <v>169233000</v>
      </c>
      <c r="D224" s="2">
        <v>169233000</v>
      </c>
    </row>
    <row r="225" spans="1:4" x14ac:dyDescent="0.25">
      <c r="A225" t="s">
        <v>416</v>
      </c>
      <c r="B225" t="s">
        <v>208</v>
      </c>
      <c r="C225" s="2">
        <v>183308000</v>
      </c>
      <c r="D225" s="2">
        <v>183308000</v>
      </c>
    </row>
    <row r="226" spans="1:4" x14ac:dyDescent="0.25">
      <c r="A226" t="s">
        <v>416</v>
      </c>
      <c r="B226" t="s">
        <v>209</v>
      </c>
      <c r="C226" s="2">
        <v>171661000</v>
      </c>
      <c r="D226" s="2">
        <v>171661000</v>
      </c>
    </row>
    <row r="227" spans="1:4" x14ac:dyDescent="0.25">
      <c r="A227" t="s">
        <v>416</v>
      </c>
      <c r="B227" t="s">
        <v>210</v>
      </c>
      <c r="C227" s="2">
        <v>164540000</v>
      </c>
      <c r="D227" s="2">
        <v>164540000</v>
      </c>
    </row>
    <row r="228" spans="1:4" x14ac:dyDescent="0.25">
      <c r="A228" t="s">
        <v>416</v>
      </c>
      <c r="B228" t="s">
        <v>211</v>
      </c>
      <c r="C228" s="2">
        <v>170671000</v>
      </c>
      <c r="D228" s="2">
        <v>170671000</v>
      </c>
    </row>
    <row r="229" spans="1:4" x14ac:dyDescent="0.25">
      <c r="A229" t="s">
        <v>416</v>
      </c>
      <c r="B229" t="s">
        <v>212</v>
      </c>
      <c r="C229" s="2">
        <v>179514000</v>
      </c>
      <c r="D229" s="2">
        <v>179514000</v>
      </c>
    </row>
    <row r="230" spans="1:4" x14ac:dyDescent="0.25">
      <c r="A230" t="s">
        <v>416</v>
      </c>
      <c r="B230" t="s">
        <v>213</v>
      </c>
      <c r="C230" s="2">
        <v>176037000</v>
      </c>
      <c r="D230" s="2">
        <v>176037000</v>
      </c>
    </row>
    <row r="231" spans="1:4" x14ac:dyDescent="0.25">
      <c r="A231" t="s">
        <v>416</v>
      </c>
      <c r="B231" t="s">
        <v>214</v>
      </c>
      <c r="C231" s="2">
        <v>157446000</v>
      </c>
      <c r="D231" s="2">
        <v>157446000</v>
      </c>
    </row>
    <row r="232" spans="1:4" x14ac:dyDescent="0.25">
      <c r="A232" t="s">
        <v>416</v>
      </c>
      <c r="B232" t="s">
        <v>215</v>
      </c>
      <c r="C232" s="2">
        <v>180912000</v>
      </c>
      <c r="D232" s="2">
        <v>180912000</v>
      </c>
    </row>
    <row r="233" spans="1:4" x14ac:dyDescent="0.25">
      <c r="A233" t="s">
        <v>416</v>
      </c>
      <c r="B233" t="s">
        <v>216</v>
      </c>
      <c r="C233" s="2">
        <v>165801000</v>
      </c>
      <c r="D233" s="2">
        <v>165801000</v>
      </c>
    </row>
    <row r="234" spans="1:4" x14ac:dyDescent="0.25">
      <c r="A234" t="s">
        <v>416</v>
      </c>
      <c r="B234" t="s">
        <v>217</v>
      </c>
      <c r="C234" s="2">
        <v>172442000</v>
      </c>
      <c r="D234" s="2">
        <v>172442000</v>
      </c>
    </row>
    <row r="235" spans="1:4" x14ac:dyDescent="0.25">
      <c r="A235" t="s">
        <v>416</v>
      </c>
      <c r="B235" t="s">
        <v>218</v>
      </c>
      <c r="C235" s="2">
        <v>909887000</v>
      </c>
      <c r="D235" s="2">
        <v>1138113000</v>
      </c>
    </row>
    <row r="236" spans="1:4" x14ac:dyDescent="0.25">
      <c r="A236" t="s">
        <v>416</v>
      </c>
      <c r="B236" t="s">
        <v>219</v>
      </c>
      <c r="C236" s="2">
        <v>409080000</v>
      </c>
      <c r="D236" s="2">
        <v>2155247000</v>
      </c>
    </row>
    <row r="237" spans="1:4" x14ac:dyDescent="0.25">
      <c r="A237" t="s">
        <v>416</v>
      </c>
      <c r="B237" t="s">
        <v>220</v>
      </c>
      <c r="C237" s="2">
        <v>3336090000</v>
      </c>
      <c r="D237" s="2">
        <v>3539843000</v>
      </c>
    </row>
    <row r="238" spans="1:4" x14ac:dyDescent="0.25">
      <c r="A238" t="s">
        <v>416</v>
      </c>
      <c r="B238" t="s">
        <v>221</v>
      </c>
      <c r="C238" s="2">
        <v>1190006000</v>
      </c>
      <c r="D238" s="2">
        <v>1714927000</v>
      </c>
    </row>
    <row r="239" spans="1:4" x14ac:dyDescent="0.25">
      <c r="A239" t="s">
        <v>416</v>
      </c>
      <c r="B239" t="s">
        <v>222</v>
      </c>
      <c r="C239" s="2">
        <v>3206450000</v>
      </c>
      <c r="D239" s="2">
        <v>2253895000</v>
      </c>
    </row>
    <row r="240" spans="1:4" x14ac:dyDescent="0.25">
      <c r="A240" t="s">
        <v>416</v>
      </c>
      <c r="B240" t="s">
        <v>223</v>
      </c>
      <c r="C240" s="2">
        <v>747310000</v>
      </c>
      <c r="D240" s="2">
        <v>1578788000</v>
      </c>
    </row>
    <row r="241" spans="1:4" x14ac:dyDescent="0.25">
      <c r="A241" t="s">
        <v>416</v>
      </c>
      <c r="B241" t="s">
        <v>224</v>
      </c>
      <c r="C241" s="2">
        <v>1822012000</v>
      </c>
      <c r="D241" s="2">
        <v>2234953000</v>
      </c>
    </row>
    <row r="242" spans="1:4" x14ac:dyDescent="0.25">
      <c r="A242" t="s">
        <v>416</v>
      </c>
      <c r="B242" t="s">
        <v>225</v>
      </c>
      <c r="C242" s="2">
        <v>810877000</v>
      </c>
      <c r="D242" s="2">
        <v>1455589000</v>
      </c>
    </row>
    <row r="243" spans="1:4" x14ac:dyDescent="0.25">
      <c r="A243" t="s">
        <v>416</v>
      </c>
      <c r="B243" t="s">
        <v>226</v>
      </c>
      <c r="C243" s="2">
        <v>781662000</v>
      </c>
      <c r="D243" s="2">
        <v>1441871000</v>
      </c>
    </row>
    <row r="244" spans="1:4" x14ac:dyDescent="0.25">
      <c r="A244" t="s">
        <v>416</v>
      </c>
      <c r="B244" t="s">
        <v>227</v>
      </c>
      <c r="C244" s="2">
        <v>410516000</v>
      </c>
      <c r="D244" s="2">
        <v>1501871000</v>
      </c>
    </row>
    <row r="245" spans="1:4" x14ac:dyDescent="0.25">
      <c r="A245" t="s">
        <v>416</v>
      </c>
      <c r="B245" t="s">
        <v>228</v>
      </c>
      <c r="C245" s="2">
        <v>744147000</v>
      </c>
      <c r="D245" s="2">
        <v>1018519000</v>
      </c>
    </row>
    <row r="246" spans="1:4" x14ac:dyDescent="0.25">
      <c r="A246" t="s">
        <v>416</v>
      </c>
      <c r="B246" t="s">
        <v>229</v>
      </c>
      <c r="C246" s="2">
        <v>652959000</v>
      </c>
      <c r="D246" s="2">
        <v>526167000</v>
      </c>
    </row>
    <row r="247" spans="1:4" x14ac:dyDescent="0.25">
      <c r="A247" t="s">
        <v>416</v>
      </c>
      <c r="B247" t="s">
        <v>230</v>
      </c>
      <c r="C247" s="2">
        <v>1050377000</v>
      </c>
      <c r="D247" s="2">
        <v>1016161000</v>
      </c>
    </row>
    <row r="248" spans="1:4" x14ac:dyDescent="0.25">
      <c r="A248" t="s">
        <v>416</v>
      </c>
      <c r="B248" t="s">
        <v>231</v>
      </c>
      <c r="C248" s="2">
        <v>305559000</v>
      </c>
      <c r="D248" s="2">
        <v>493353000</v>
      </c>
    </row>
    <row r="249" spans="1:4" x14ac:dyDescent="0.25">
      <c r="A249" t="s">
        <v>416</v>
      </c>
      <c r="B249" t="s">
        <v>232</v>
      </c>
      <c r="C249" s="2">
        <v>814496000</v>
      </c>
      <c r="D249" s="2">
        <v>758783000</v>
      </c>
    </row>
    <row r="250" spans="1:4" x14ac:dyDescent="0.25">
      <c r="A250" t="s">
        <v>416</v>
      </c>
      <c r="B250" t="s">
        <v>233</v>
      </c>
      <c r="C250" s="2">
        <v>862956000</v>
      </c>
      <c r="D250" s="2">
        <v>506090000</v>
      </c>
    </row>
    <row r="251" spans="1:4" x14ac:dyDescent="0.25">
      <c r="A251" t="s">
        <v>416</v>
      </c>
      <c r="B251" t="s">
        <v>234</v>
      </c>
      <c r="C251" s="2">
        <v>890708000</v>
      </c>
      <c r="D251" s="2">
        <v>625392000</v>
      </c>
    </row>
    <row r="252" spans="1:4" x14ac:dyDescent="0.25">
      <c r="A252" t="s">
        <v>416</v>
      </c>
      <c r="B252" t="s">
        <v>235</v>
      </c>
      <c r="C252" s="2">
        <v>941750000</v>
      </c>
      <c r="D252" s="2">
        <v>932373000</v>
      </c>
    </row>
    <row r="253" spans="1:4" x14ac:dyDescent="0.25">
      <c r="A253" t="s">
        <v>416</v>
      </c>
      <c r="B253" t="s">
        <v>236</v>
      </c>
      <c r="C253" s="2">
        <v>2009514000</v>
      </c>
      <c r="D253" s="2">
        <v>1341543000</v>
      </c>
    </row>
    <row r="254" spans="1:4" x14ac:dyDescent="0.25">
      <c r="A254" t="s">
        <v>416</v>
      </c>
      <c r="B254" t="s">
        <v>237</v>
      </c>
      <c r="C254" s="2">
        <v>1073775000</v>
      </c>
      <c r="D254" s="2">
        <v>713253000</v>
      </c>
    </row>
    <row r="255" spans="1:4" x14ac:dyDescent="0.25">
      <c r="A255" t="s">
        <v>416</v>
      </c>
      <c r="B255" t="s">
        <v>238</v>
      </c>
      <c r="C255" s="2">
        <v>355692000</v>
      </c>
      <c r="D255" s="2">
        <v>543339000</v>
      </c>
    </row>
    <row r="256" spans="1:4" x14ac:dyDescent="0.25">
      <c r="A256" t="s">
        <v>416</v>
      </c>
      <c r="B256" t="s">
        <v>239</v>
      </c>
      <c r="C256" s="2">
        <v>930791000</v>
      </c>
      <c r="D256" s="2">
        <v>834729000</v>
      </c>
    </row>
    <row r="257" spans="1:4" x14ac:dyDescent="0.25">
      <c r="A257" t="s">
        <v>416</v>
      </c>
      <c r="B257" t="s">
        <v>240</v>
      </c>
      <c r="C257" s="2">
        <v>624837000</v>
      </c>
      <c r="D257" s="2">
        <v>587569000</v>
      </c>
    </row>
    <row r="258" spans="1:4" x14ac:dyDescent="0.25">
      <c r="A258" t="s">
        <v>416</v>
      </c>
      <c r="B258" t="s">
        <v>241</v>
      </c>
      <c r="C258" s="2">
        <v>669715000</v>
      </c>
      <c r="D258" s="2">
        <v>889624000</v>
      </c>
    </row>
    <row r="259" spans="1:4" x14ac:dyDescent="0.25">
      <c r="A259" t="s">
        <v>416</v>
      </c>
      <c r="B259" t="s">
        <v>242</v>
      </c>
      <c r="C259" s="2">
        <v>551863000</v>
      </c>
      <c r="D259" s="2">
        <v>434775000</v>
      </c>
    </row>
    <row r="260" spans="1:4" x14ac:dyDescent="0.25">
      <c r="A260" t="s">
        <v>416</v>
      </c>
      <c r="B260" t="s">
        <v>243</v>
      </c>
      <c r="C260" s="2">
        <v>588572000</v>
      </c>
      <c r="D260" s="2">
        <v>408664000</v>
      </c>
    </row>
    <row r="261" spans="1:4" x14ac:dyDescent="0.25">
      <c r="A261" t="s">
        <v>416</v>
      </c>
      <c r="B261" t="s">
        <v>244</v>
      </c>
      <c r="C261" s="2">
        <v>545809000</v>
      </c>
      <c r="D261" s="2">
        <v>488718000</v>
      </c>
    </row>
    <row r="262" spans="1:4" x14ac:dyDescent="0.25">
      <c r="A262" t="s">
        <v>416</v>
      </c>
      <c r="B262" t="s">
        <v>245</v>
      </c>
      <c r="C262" s="2">
        <v>923795000</v>
      </c>
      <c r="D262" s="2">
        <v>890159000</v>
      </c>
    </row>
    <row r="263" spans="1:4" x14ac:dyDescent="0.25">
      <c r="A263" t="s">
        <v>416</v>
      </c>
      <c r="B263" t="s">
        <v>246</v>
      </c>
      <c r="C263" s="2">
        <v>837314000</v>
      </c>
      <c r="D263" s="2">
        <v>885961000</v>
      </c>
    </row>
    <row r="264" spans="1:4" x14ac:dyDescent="0.25">
      <c r="A264" t="s">
        <v>416</v>
      </c>
      <c r="B264" t="s">
        <v>247</v>
      </c>
      <c r="C264" s="2">
        <v>546429000</v>
      </c>
      <c r="D264" s="2">
        <v>685820000</v>
      </c>
    </row>
    <row r="265" spans="1:4" x14ac:dyDescent="0.25">
      <c r="A265" t="s">
        <v>416</v>
      </c>
      <c r="B265" t="s">
        <v>248</v>
      </c>
      <c r="C265" s="2">
        <v>1253867000</v>
      </c>
      <c r="D265" s="2">
        <v>849100000</v>
      </c>
    </row>
    <row r="266" spans="1:4" x14ac:dyDescent="0.25">
      <c r="A266" t="s">
        <v>416</v>
      </c>
      <c r="B266" t="s">
        <v>249</v>
      </c>
      <c r="C266" s="2">
        <v>940067000</v>
      </c>
      <c r="D266" s="2">
        <v>869230000</v>
      </c>
    </row>
    <row r="267" spans="1:4" x14ac:dyDescent="0.25">
      <c r="A267" t="s">
        <v>416</v>
      </c>
      <c r="B267" t="s">
        <v>250</v>
      </c>
      <c r="C267" s="2">
        <v>750907000</v>
      </c>
      <c r="D267" s="2">
        <v>395760000</v>
      </c>
    </row>
    <row r="268" spans="1:4" x14ac:dyDescent="0.25">
      <c r="A268" t="s">
        <v>416</v>
      </c>
      <c r="B268" t="s">
        <v>251</v>
      </c>
      <c r="C268" s="2">
        <v>1118832000</v>
      </c>
      <c r="D268" s="2">
        <v>796464000</v>
      </c>
    </row>
    <row r="269" spans="1:4" x14ac:dyDescent="0.25">
      <c r="A269" t="s">
        <v>416</v>
      </c>
      <c r="B269" t="s">
        <v>252</v>
      </c>
      <c r="C269" s="2">
        <v>701808000</v>
      </c>
      <c r="D269" s="2">
        <v>290933000</v>
      </c>
    </row>
    <row r="270" spans="1:4" x14ac:dyDescent="0.25">
      <c r="A270" t="s">
        <v>416</v>
      </c>
      <c r="B270" t="s">
        <v>253</v>
      </c>
      <c r="C270" s="2">
        <v>1642746000</v>
      </c>
      <c r="D270" s="2">
        <v>768750000</v>
      </c>
    </row>
    <row r="271" spans="1:4" x14ac:dyDescent="0.25">
      <c r="A271" t="s">
        <v>416</v>
      </c>
      <c r="B271" t="s">
        <v>254</v>
      </c>
      <c r="C271" s="2">
        <v>1968343000</v>
      </c>
      <c r="D271" s="2">
        <v>763227000</v>
      </c>
    </row>
    <row r="272" spans="1:4" x14ac:dyDescent="0.25">
      <c r="A272" t="s">
        <v>416</v>
      </c>
      <c r="B272" t="s">
        <v>255</v>
      </c>
      <c r="C272" s="2">
        <v>494193000</v>
      </c>
      <c r="D272" s="2">
        <v>379857000</v>
      </c>
    </row>
    <row r="273" spans="1:4" x14ac:dyDescent="0.25">
      <c r="A273" t="s">
        <v>416</v>
      </c>
      <c r="B273" t="s">
        <v>256</v>
      </c>
      <c r="C273" s="2">
        <v>794046000</v>
      </c>
      <c r="D273" s="2">
        <v>937183000</v>
      </c>
    </row>
    <row r="274" spans="1:4" x14ac:dyDescent="0.25">
      <c r="A274" t="s">
        <v>416</v>
      </c>
      <c r="B274" t="s">
        <v>257</v>
      </c>
      <c r="C274" s="2">
        <v>1087210000</v>
      </c>
      <c r="D274" s="2">
        <v>689908000</v>
      </c>
    </row>
    <row r="275" spans="1:4" x14ac:dyDescent="0.25">
      <c r="A275" t="s">
        <v>416</v>
      </c>
      <c r="B275" t="s">
        <v>258</v>
      </c>
      <c r="C275" s="2">
        <v>823972000</v>
      </c>
      <c r="D275" s="2">
        <v>411716000</v>
      </c>
    </row>
    <row r="276" spans="1:4" x14ac:dyDescent="0.25">
      <c r="A276" t="s">
        <v>416</v>
      </c>
      <c r="B276" t="s">
        <v>259</v>
      </c>
      <c r="C276" s="2">
        <v>913079000</v>
      </c>
      <c r="D276" s="2">
        <v>905293000</v>
      </c>
    </row>
    <row r="277" spans="1:4" x14ac:dyDescent="0.25">
      <c r="A277" t="s">
        <v>416</v>
      </c>
      <c r="B277" t="s">
        <v>260</v>
      </c>
      <c r="C277" s="2">
        <v>1003960000</v>
      </c>
      <c r="D277" s="2">
        <v>1101233000</v>
      </c>
    </row>
    <row r="278" spans="1:4" x14ac:dyDescent="0.25">
      <c r="A278" t="s">
        <v>416</v>
      </c>
      <c r="B278" t="s">
        <v>261</v>
      </c>
      <c r="C278" s="2">
        <v>2332781000</v>
      </c>
      <c r="D278" s="2">
        <v>1881675000</v>
      </c>
    </row>
    <row r="279" spans="1:4" x14ac:dyDescent="0.25">
      <c r="A279" t="s">
        <v>416</v>
      </c>
      <c r="B279" t="s">
        <v>262</v>
      </c>
      <c r="C279" s="2">
        <v>1130048000</v>
      </c>
      <c r="D279" s="2">
        <v>1440069000</v>
      </c>
    </row>
    <row r="280" spans="1:4" x14ac:dyDescent="0.25">
      <c r="A280" t="s">
        <v>416</v>
      </c>
      <c r="B280" t="s">
        <v>263</v>
      </c>
      <c r="C280" s="2">
        <v>2112779000</v>
      </c>
      <c r="D280" s="2">
        <v>1281971000</v>
      </c>
    </row>
    <row r="281" spans="1:4" x14ac:dyDescent="0.25">
      <c r="A281" t="s">
        <v>416</v>
      </c>
      <c r="B281" t="s">
        <v>264</v>
      </c>
      <c r="C281" s="2">
        <v>1214764000</v>
      </c>
      <c r="D281" s="2">
        <v>571855000</v>
      </c>
    </row>
    <row r="282" spans="1:4" x14ac:dyDescent="0.25">
      <c r="A282" t="s">
        <v>416</v>
      </c>
      <c r="B282" t="s">
        <v>265</v>
      </c>
      <c r="C282" s="2">
        <v>260846000</v>
      </c>
      <c r="D282" s="2">
        <v>170086000</v>
      </c>
    </row>
    <row r="283" spans="1:4" x14ac:dyDescent="0.25">
      <c r="A283" t="s">
        <v>416</v>
      </c>
      <c r="B283" t="s">
        <v>266</v>
      </c>
      <c r="C283" s="2">
        <v>1541861000</v>
      </c>
      <c r="D283" s="2">
        <v>926425000</v>
      </c>
    </row>
    <row r="284" spans="1:4" x14ac:dyDescent="0.25">
      <c r="A284" t="s">
        <v>416</v>
      </c>
      <c r="B284" t="s">
        <v>267</v>
      </c>
      <c r="C284" s="2">
        <v>960545000</v>
      </c>
      <c r="D284" s="2">
        <v>666462000</v>
      </c>
    </row>
    <row r="285" spans="1:4" x14ac:dyDescent="0.25">
      <c r="A285" t="s">
        <v>416</v>
      </c>
      <c r="B285" t="s">
        <v>268</v>
      </c>
      <c r="C285" s="2">
        <v>667369000</v>
      </c>
      <c r="D285" s="2">
        <v>1045052000</v>
      </c>
    </row>
    <row r="286" spans="1:4" x14ac:dyDescent="0.25">
      <c r="A286" t="s">
        <v>416</v>
      </c>
      <c r="B286" t="s">
        <v>269</v>
      </c>
      <c r="C286" s="2">
        <v>1785334000</v>
      </c>
      <c r="D286" s="2">
        <v>1792391000</v>
      </c>
    </row>
    <row r="287" spans="1:4" x14ac:dyDescent="0.25">
      <c r="A287" t="s">
        <v>416</v>
      </c>
      <c r="B287" t="s">
        <v>270</v>
      </c>
      <c r="C287" s="2">
        <v>1472927000</v>
      </c>
      <c r="D287" s="2">
        <v>1270451000</v>
      </c>
    </row>
    <row r="288" spans="1:4" x14ac:dyDescent="0.25">
      <c r="A288" t="s">
        <v>416</v>
      </c>
      <c r="B288" t="s">
        <v>271</v>
      </c>
      <c r="C288" s="2">
        <v>618643000</v>
      </c>
      <c r="D288" s="2">
        <v>366820000</v>
      </c>
    </row>
    <row r="289" spans="1:4" x14ac:dyDescent="0.25">
      <c r="A289" t="s">
        <v>416</v>
      </c>
      <c r="B289" t="s">
        <v>272</v>
      </c>
      <c r="C289" s="2">
        <v>4686272000</v>
      </c>
      <c r="D289" s="2">
        <v>858030000</v>
      </c>
    </row>
    <row r="290" spans="1:4" x14ac:dyDescent="0.25">
      <c r="A290" t="s">
        <v>416</v>
      </c>
      <c r="B290" t="s">
        <v>273</v>
      </c>
      <c r="C290" s="2">
        <v>1745220000</v>
      </c>
      <c r="D290" s="2">
        <v>662204000</v>
      </c>
    </row>
    <row r="291" spans="1:4" x14ac:dyDescent="0.25">
      <c r="A291" t="s">
        <v>416</v>
      </c>
      <c r="B291" t="s">
        <v>274</v>
      </c>
      <c r="C291" s="2">
        <v>1412100000</v>
      </c>
      <c r="D291" s="2">
        <v>745982000</v>
      </c>
    </row>
    <row r="292" spans="1:4" x14ac:dyDescent="0.25">
      <c r="A292" t="s">
        <v>416</v>
      </c>
      <c r="B292" t="s">
        <v>275</v>
      </c>
      <c r="C292" s="2">
        <v>3040436000</v>
      </c>
      <c r="D292" s="2">
        <v>1210501000</v>
      </c>
    </row>
    <row r="293" spans="1:4" x14ac:dyDescent="0.25">
      <c r="A293" t="s">
        <v>416</v>
      </c>
      <c r="B293" t="s">
        <v>276</v>
      </c>
      <c r="C293" s="2">
        <v>652898000</v>
      </c>
      <c r="D293" s="2">
        <v>841044000</v>
      </c>
    </row>
    <row r="294" spans="1:4" x14ac:dyDescent="0.25">
      <c r="A294" t="s">
        <v>416</v>
      </c>
      <c r="B294" t="s">
        <v>277</v>
      </c>
      <c r="C294" s="2">
        <v>1301352000</v>
      </c>
      <c r="D294" s="2">
        <v>1279812000</v>
      </c>
    </row>
    <row r="295" spans="1:4" x14ac:dyDescent="0.25">
      <c r="A295" t="s">
        <v>416</v>
      </c>
      <c r="B295" t="s">
        <v>278</v>
      </c>
      <c r="C295" s="2">
        <v>1160471000</v>
      </c>
      <c r="D295" s="2">
        <v>912623000</v>
      </c>
    </row>
    <row r="296" spans="1:4" x14ac:dyDescent="0.25">
      <c r="A296" t="s">
        <v>416</v>
      </c>
      <c r="B296" t="s">
        <v>279</v>
      </c>
      <c r="C296" s="2">
        <v>847707000</v>
      </c>
      <c r="D296" s="2">
        <v>795567000</v>
      </c>
    </row>
    <row r="297" spans="1:4" x14ac:dyDescent="0.25">
      <c r="A297" t="s">
        <v>416</v>
      </c>
      <c r="B297" t="s">
        <v>280</v>
      </c>
      <c r="C297" s="2">
        <v>1785370000</v>
      </c>
      <c r="D297" s="2">
        <v>1910886000</v>
      </c>
    </row>
    <row r="298" spans="1:4" x14ac:dyDescent="0.25">
      <c r="A298" t="s">
        <v>416</v>
      </c>
      <c r="B298" t="s">
        <v>281</v>
      </c>
      <c r="C298" s="2">
        <v>839367000</v>
      </c>
      <c r="D298" s="2">
        <v>748138000</v>
      </c>
    </row>
    <row r="299" spans="1:4" x14ac:dyDescent="0.25">
      <c r="A299" t="s">
        <v>416</v>
      </c>
      <c r="B299" t="s">
        <v>282</v>
      </c>
      <c r="C299" s="2">
        <v>943654000</v>
      </c>
      <c r="D299" s="2">
        <v>623165000</v>
      </c>
    </row>
    <row r="300" spans="1:4" x14ac:dyDescent="0.25">
      <c r="A300" t="s">
        <v>416</v>
      </c>
      <c r="B300" t="s">
        <v>283</v>
      </c>
      <c r="C300" s="2">
        <v>1664544000</v>
      </c>
      <c r="D300" s="2">
        <v>1912362000</v>
      </c>
    </row>
    <row r="301" spans="1:4" x14ac:dyDescent="0.25">
      <c r="A301" t="s">
        <v>416</v>
      </c>
      <c r="B301" t="s">
        <v>284</v>
      </c>
      <c r="C301" s="2">
        <v>2214851000</v>
      </c>
      <c r="D301" s="2">
        <v>1424031000</v>
      </c>
    </row>
    <row r="302" spans="1:4" x14ac:dyDescent="0.25">
      <c r="A302" t="s">
        <v>416</v>
      </c>
      <c r="B302" t="s">
        <v>285</v>
      </c>
      <c r="C302" s="2">
        <v>1184031000</v>
      </c>
      <c r="D302" s="2">
        <v>1988771000</v>
      </c>
    </row>
    <row r="303" spans="1:4" x14ac:dyDescent="0.25">
      <c r="A303" t="s">
        <v>416</v>
      </c>
      <c r="B303" t="s">
        <v>286</v>
      </c>
      <c r="C303" s="2">
        <v>1073299000</v>
      </c>
      <c r="D303" s="2">
        <v>1400025000</v>
      </c>
    </row>
    <row r="304" spans="1:4" x14ac:dyDescent="0.25">
      <c r="A304" t="s">
        <v>416</v>
      </c>
      <c r="B304" t="s">
        <v>287</v>
      </c>
      <c r="C304" s="2">
        <v>587637000</v>
      </c>
      <c r="D304" s="2">
        <v>560301000</v>
      </c>
    </row>
    <row r="305" spans="1:4" x14ac:dyDescent="0.25">
      <c r="A305" t="s">
        <v>416</v>
      </c>
      <c r="B305" t="s">
        <v>288</v>
      </c>
      <c r="C305" s="2">
        <v>718078000</v>
      </c>
      <c r="D305" s="2">
        <v>498220000</v>
      </c>
    </row>
    <row r="306" spans="1:4" x14ac:dyDescent="0.25">
      <c r="A306" t="s">
        <v>416</v>
      </c>
      <c r="B306" t="s">
        <v>289</v>
      </c>
      <c r="C306" s="2">
        <v>791293000</v>
      </c>
      <c r="D306" s="2">
        <v>571973000</v>
      </c>
    </row>
    <row r="307" spans="1:4" x14ac:dyDescent="0.25">
      <c r="A307" t="s">
        <v>416</v>
      </c>
      <c r="B307" t="s">
        <v>290</v>
      </c>
      <c r="C307" s="2">
        <v>1516284000</v>
      </c>
      <c r="D307" s="2">
        <v>809452000</v>
      </c>
    </row>
    <row r="308" spans="1:4" x14ac:dyDescent="0.25">
      <c r="A308" t="s">
        <v>416</v>
      </c>
      <c r="B308" t="s">
        <v>291</v>
      </c>
      <c r="C308" s="2">
        <v>1414553000</v>
      </c>
      <c r="D308" s="2">
        <v>1294216000</v>
      </c>
    </row>
    <row r="309" spans="1:4" x14ac:dyDescent="0.25">
      <c r="A309" t="s">
        <v>416</v>
      </c>
      <c r="B309" t="s">
        <v>292</v>
      </c>
      <c r="C309" s="2">
        <v>1271360000</v>
      </c>
      <c r="D309" s="2">
        <v>824823000</v>
      </c>
    </row>
    <row r="310" spans="1:4" x14ac:dyDescent="0.25">
      <c r="A310" t="s">
        <v>416</v>
      </c>
      <c r="B310" t="s">
        <v>293</v>
      </c>
      <c r="C310" s="2">
        <v>955158000</v>
      </c>
      <c r="D310" s="2">
        <v>603200000</v>
      </c>
    </row>
    <row r="311" spans="1:4" x14ac:dyDescent="0.25">
      <c r="A311" t="s">
        <v>416</v>
      </c>
      <c r="B311" t="s">
        <v>294</v>
      </c>
      <c r="C311" s="2">
        <v>647419000</v>
      </c>
      <c r="D311" s="2">
        <v>457068000</v>
      </c>
    </row>
    <row r="312" spans="1:4" x14ac:dyDescent="0.25">
      <c r="A312" t="s">
        <v>416</v>
      </c>
      <c r="B312" t="s">
        <v>295</v>
      </c>
      <c r="C312" s="2">
        <v>1272836000</v>
      </c>
      <c r="D312" s="2">
        <v>1481230000</v>
      </c>
    </row>
    <row r="313" spans="1:4" x14ac:dyDescent="0.25">
      <c r="A313" t="s">
        <v>416</v>
      </c>
      <c r="B313" t="s">
        <v>296</v>
      </c>
      <c r="C313" s="2">
        <v>947594000</v>
      </c>
      <c r="D313" s="2">
        <v>810544000</v>
      </c>
    </row>
    <row r="314" spans="1:4" x14ac:dyDescent="0.25">
      <c r="A314" t="s">
        <v>416</v>
      </c>
      <c r="B314" t="s">
        <v>297</v>
      </c>
      <c r="C314" s="2">
        <v>614194000</v>
      </c>
      <c r="D314" s="2">
        <v>985992000</v>
      </c>
    </row>
    <row r="315" spans="1:4" x14ac:dyDescent="0.25">
      <c r="A315" t="s">
        <v>416</v>
      </c>
      <c r="B315" t="s">
        <v>298</v>
      </c>
      <c r="C315" s="2">
        <v>620252000</v>
      </c>
      <c r="D315" s="2">
        <v>682606000</v>
      </c>
    </row>
    <row r="316" spans="1:4" x14ac:dyDescent="0.25">
      <c r="A316" t="s">
        <v>416</v>
      </c>
      <c r="B316" t="s">
        <v>299</v>
      </c>
      <c r="C316" s="2">
        <v>489096000</v>
      </c>
      <c r="D316" s="2">
        <v>531236000</v>
      </c>
    </row>
    <row r="317" spans="1:4" x14ac:dyDescent="0.25">
      <c r="A317" t="s">
        <v>416</v>
      </c>
      <c r="B317" t="s">
        <v>300</v>
      </c>
      <c r="C317" s="2">
        <v>1283931000</v>
      </c>
      <c r="D317" s="2">
        <v>407462000</v>
      </c>
    </row>
    <row r="318" spans="1:4" x14ac:dyDescent="0.25">
      <c r="A318" t="s">
        <v>416</v>
      </c>
      <c r="B318" t="s">
        <v>301</v>
      </c>
      <c r="C318" s="2">
        <v>1122243000</v>
      </c>
      <c r="D318" s="2">
        <v>457119000</v>
      </c>
    </row>
    <row r="319" spans="1:4" x14ac:dyDescent="0.25">
      <c r="A319" t="s">
        <v>416</v>
      </c>
      <c r="B319" t="s">
        <v>302</v>
      </c>
      <c r="C319" s="2">
        <v>1008739000</v>
      </c>
      <c r="D319" s="2">
        <v>993529000</v>
      </c>
    </row>
    <row r="320" spans="1:4" x14ac:dyDescent="0.25">
      <c r="A320" t="s">
        <v>416</v>
      </c>
      <c r="B320" t="s">
        <v>303</v>
      </c>
      <c r="C320" s="2">
        <v>504871000</v>
      </c>
      <c r="D320" s="2">
        <v>454699000</v>
      </c>
    </row>
    <row r="321" spans="1:4" x14ac:dyDescent="0.25">
      <c r="A321" t="s">
        <v>416</v>
      </c>
      <c r="B321" t="s">
        <v>304</v>
      </c>
      <c r="C321" s="2">
        <v>791000000</v>
      </c>
      <c r="D321" s="2">
        <v>920581000</v>
      </c>
    </row>
    <row r="322" spans="1:4" x14ac:dyDescent="0.25">
      <c r="A322" t="s">
        <v>416</v>
      </c>
      <c r="B322" t="s">
        <v>305</v>
      </c>
      <c r="C322" s="2">
        <v>618945000</v>
      </c>
      <c r="D322" s="2">
        <v>753172000</v>
      </c>
    </row>
    <row r="323" spans="1:4" x14ac:dyDescent="0.25">
      <c r="A323" t="s">
        <v>416</v>
      </c>
      <c r="B323" t="s">
        <v>306</v>
      </c>
      <c r="C323" s="2">
        <v>1308316000</v>
      </c>
      <c r="D323" s="2">
        <v>1225733000</v>
      </c>
    </row>
    <row r="324" spans="1:4" x14ac:dyDescent="0.25">
      <c r="A324" t="s">
        <v>416</v>
      </c>
      <c r="B324" t="s">
        <v>307</v>
      </c>
      <c r="C324" s="2">
        <v>913788000</v>
      </c>
      <c r="D324" s="2">
        <v>1208691000</v>
      </c>
    </row>
    <row r="325" spans="1:4" x14ac:dyDescent="0.25">
      <c r="A325" t="s">
        <v>416</v>
      </c>
      <c r="B325" t="s">
        <v>308</v>
      </c>
      <c r="C325" s="2">
        <v>1579375000</v>
      </c>
      <c r="D325" s="2">
        <v>725479000</v>
      </c>
    </row>
    <row r="326" spans="1:4" x14ac:dyDescent="0.25">
      <c r="A326" t="s">
        <v>416</v>
      </c>
      <c r="B326" t="s">
        <v>309</v>
      </c>
      <c r="C326" s="2">
        <v>928104000</v>
      </c>
      <c r="D326" s="2">
        <v>660048000</v>
      </c>
    </row>
    <row r="327" spans="1:4" x14ac:dyDescent="0.25">
      <c r="A327" t="s">
        <v>416</v>
      </c>
      <c r="B327" t="s">
        <v>310</v>
      </c>
      <c r="C327" s="2">
        <v>890064000</v>
      </c>
      <c r="D327" s="2">
        <v>1152300000</v>
      </c>
    </row>
    <row r="328" spans="1:4" x14ac:dyDescent="0.25">
      <c r="A328" t="s">
        <v>416</v>
      </c>
      <c r="B328" t="s">
        <v>311</v>
      </c>
      <c r="C328" s="2">
        <v>3067372000</v>
      </c>
      <c r="D328" s="2">
        <v>854645000</v>
      </c>
    </row>
    <row r="329" spans="1:4" x14ac:dyDescent="0.25">
      <c r="A329" t="s">
        <v>416</v>
      </c>
      <c r="B329" t="s">
        <v>312</v>
      </c>
      <c r="C329" s="2">
        <v>833899000</v>
      </c>
      <c r="D329" s="2">
        <v>1111386000</v>
      </c>
    </row>
    <row r="330" spans="1:4" x14ac:dyDescent="0.25">
      <c r="A330" t="s">
        <v>416</v>
      </c>
      <c r="B330" t="s">
        <v>313</v>
      </c>
      <c r="C330" s="2">
        <v>887645000</v>
      </c>
      <c r="D330" s="2">
        <v>914131000</v>
      </c>
    </row>
    <row r="331" spans="1:4" x14ac:dyDescent="0.25">
      <c r="A331" t="s">
        <v>416</v>
      </c>
      <c r="B331" t="s">
        <v>314</v>
      </c>
      <c r="C331" s="2">
        <v>601896000</v>
      </c>
      <c r="D331" s="2">
        <v>527438000</v>
      </c>
    </row>
    <row r="332" spans="1:4" x14ac:dyDescent="0.25">
      <c r="A332" t="s">
        <v>416</v>
      </c>
      <c r="B332" t="s">
        <v>315</v>
      </c>
      <c r="C332" s="2">
        <v>888437000</v>
      </c>
      <c r="D332" s="2">
        <v>533004000</v>
      </c>
    </row>
    <row r="333" spans="1:4" x14ac:dyDescent="0.25">
      <c r="A333" t="s">
        <v>416</v>
      </c>
      <c r="B333" t="s">
        <v>316</v>
      </c>
      <c r="C333" s="2">
        <v>615542000</v>
      </c>
      <c r="D333" s="2">
        <v>634919000</v>
      </c>
    </row>
    <row r="334" spans="1:4" x14ac:dyDescent="0.25">
      <c r="A334" t="s">
        <v>416</v>
      </c>
      <c r="B334" t="s">
        <v>317</v>
      </c>
      <c r="C334" s="2">
        <v>601459000</v>
      </c>
      <c r="D334" s="2">
        <v>827429000</v>
      </c>
    </row>
    <row r="335" spans="1:4" x14ac:dyDescent="0.25">
      <c r="A335" t="s">
        <v>416</v>
      </c>
      <c r="B335" t="s">
        <v>318</v>
      </c>
      <c r="C335" s="2">
        <v>1160166000</v>
      </c>
      <c r="D335" s="2">
        <v>765507000</v>
      </c>
    </row>
    <row r="336" spans="1:4" x14ac:dyDescent="0.25">
      <c r="A336" t="s">
        <v>416</v>
      </c>
      <c r="B336" t="s">
        <v>319</v>
      </c>
      <c r="C336" s="2">
        <v>1180017000</v>
      </c>
      <c r="D336" s="2">
        <v>984172000</v>
      </c>
    </row>
    <row r="337" spans="1:4" x14ac:dyDescent="0.25">
      <c r="A337" t="s">
        <v>416</v>
      </c>
      <c r="B337" t="s">
        <v>320</v>
      </c>
      <c r="C337" s="2">
        <v>436628000</v>
      </c>
      <c r="D337" s="2">
        <v>477752000</v>
      </c>
    </row>
    <row r="338" spans="1:4" x14ac:dyDescent="0.25">
      <c r="A338" t="s">
        <v>416</v>
      </c>
      <c r="B338" t="s">
        <v>321</v>
      </c>
      <c r="C338" s="2">
        <v>1493902000</v>
      </c>
      <c r="D338" s="2">
        <v>1428881000</v>
      </c>
    </row>
    <row r="339" spans="1:4" x14ac:dyDescent="0.25">
      <c r="A339" t="s">
        <v>416</v>
      </c>
      <c r="B339" t="s">
        <v>322</v>
      </c>
      <c r="C339" s="2">
        <v>884266000</v>
      </c>
      <c r="D339" s="2">
        <v>1171624000</v>
      </c>
    </row>
    <row r="340" spans="1:4" x14ac:dyDescent="0.25">
      <c r="A340" t="s">
        <v>416</v>
      </c>
      <c r="B340" t="s">
        <v>323</v>
      </c>
      <c r="C340" s="2">
        <v>1041400000</v>
      </c>
      <c r="D340" s="2">
        <v>1332963000</v>
      </c>
    </row>
    <row r="341" spans="1:4" x14ac:dyDescent="0.25">
      <c r="A341" t="s">
        <v>416</v>
      </c>
      <c r="B341" t="s">
        <v>324</v>
      </c>
      <c r="C341" s="2">
        <v>737927000</v>
      </c>
      <c r="D341" s="2">
        <v>815640000</v>
      </c>
    </row>
    <row r="342" spans="1:4" x14ac:dyDescent="0.25">
      <c r="A342" t="s">
        <v>416</v>
      </c>
      <c r="B342" t="s">
        <v>325</v>
      </c>
      <c r="C342" s="2">
        <v>1378104000</v>
      </c>
      <c r="D342" s="2">
        <v>1093461000</v>
      </c>
    </row>
    <row r="343" spans="1:4" x14ac:dyDescent="0.25">
      <c r="A343" t="s">
        <v>416</v>
      </c>
      <c r="B343" t="s">
        <v>326</v>
      </c>
      <c r="C343" s="2">
        <v>1194441000</v>
      </c>
      <c r="D343" s="2">
        <v>944678000</v>
      </c>
    </row>
    <row r="344" spans="1:4" x14ac:dyDescent="0.25">
      <c r="A344" t="s">
        <v>416</v>
      </c>
      <c r="B344" t="s">
        <v>327</v>
      </c>
      <c r="C344" s="2">
        <v>1375807000</v>
      </c>
      <c r="D344" s="2">
        <v>1082151000</v>
      </c>
    </row>
    <row r="345" spans="1:4" x14ac:dyDescent="0.25">
      <c r="A345" t="s">
        <v>416</v>
      </c>
      <c r="B345" t="s">
        <v>328</v>
      </c>
      <c r="C345" s="2">
        <v>1430087000</v>
      </c>
      <c r="D345" s="2">
        <v>1532167000</v>
      </c>
    </row>
    <row r="346" spans="1:4" x14ac:dyDescent="0.25">
      <c r="A346" t="s">
        <v>416</v>
      </c>
      <c r="B346" t="s">
        <v>329</v>
      </c>
      <c r="C346" s="2">
        <v>652925000</v>
      </c>
      <c r="D346" s="2">
        <v>749773000</v>
      </c>
    </row>
    <row r="347" spans="1:4" x14ac:dyDescent="0.25">
      <c r="A347" t="s">
        <v>416</v>
      </c>
      <c r="B347" t="s">
        <v>330</v>
      </c>
      <c r="C347" s="2">
        <v>607027000</v>
      </c>
      <c r="D347" s="2">
        <v>1063403000</v>
      </c>
    </row>
    <row r="348" spans="1:4" x14ac:dyDescent="0.25">
      <c r="A348" t="s">
        <v>416</v>
      </c>
      <c r="B348" t="s">
        <v>331</v>
      </c>
      <c r="C348" s="2">
        <v>727821000</v>
      </c>
      <c r="D348" s="2">
        <v>882030000</v>
      </c>
    </row>
    <row r="349" spans="1:4" x14ac:dyDescent="0.25">
      <c r="A349" t="s">
        <v>416</v>
      </c>
      <c r="B349" t="s">
        <v>332</v>
      </c>
      <c r="C349" s="2">
        <v>1522875000</v>
      </c>
      <c r="D349" s="2">
        <v>572181000</v>
      </c>
    </row>
    <row r="350" spans="1:4" x14ac:dyDescent="0.25">
      <c r="A350" t="s">
        <v>416</v>
      </c>
      <c r="B350" t="s">
        <v>333</v>
      </c>
      <c r="C350" s="2">
        <v>913124000</v>
      </c>
      <c r="D350" s="2">
        <v>565797000</v>
      </c>
    </row>
    <row r="351" spans="1:4" x14ac:dyDescent="0.25">
      <c r="A351" t="s">
        <v>416</v>
      </c>
      <c r="B351" t="s">
        <v>334</v>
      </c>
      <c r="C351" s="2">
        <v>1653700000</v>
      </c>
      <c r="D351" s="2">
        <v>1365894000</v>
      </c>
    </row>
    <row r="352" spans="1:4" x14ac:dyDescent="0.25">
      <c r="A352" t="s">
        <v>416</v>
      </c>
      <c r="B352" t="s">
        <v>335</v>
      </c>
      <c r="C352" s="2">
        <v>537539000</v>
      </c>
      <c r="D352" s="2">
        <v>945622000</v>
      </c>
    </row>
    <row r="353" spans="1:4" x14ac:dyDescent="0.25">
      <c r="A353" t="s">
        <v>416</v>
      </c>
      <c r="B353" t="s">
        <v>336</v>
      </c>
      <c r="C353" s="2">
        <v>1114973000</v>
      </c>
      <c r="D353" s="2">
        <v>1281745000</v>
      </c>
    </row>
    <row r="354" spans="1:4" x14ac:dyDescent="0.25">
      <c r="A354" t="s">
        <v>416</v>
      </c>
      <c r="B354" t="s">
        <v>337</v>
      </c>
      <c r="C354" s="2">
        <v>1132381000</v>
      </c>
      <c r="D354" s="2">
        <v>1589695000</v>
      </c>
    </row>
    <row r="355" spans="1:4" x14ac:dyDescent="0.25">
      <c r="A355" t="s">
        <v>416</v>
      </c>
      <c r="B355" t="s">
        <v>338</v>
      </c>
      <c r="C355" s="2">
        <v>612880000</v>
      </c>
      <c r="D355" s="2">
        <v>491836000</v>
      </c>
    </row>
    <row r="356" spans="1:4" x14ac:dyDescent="0.25">
      <c r="A356" t="s">
        <v>416</v>
      </c>
      <c r="B356" t="s">
        <v>339</v>
      </c>
      <c r="C356" s="2">
        <v>629234000</v>
      </c>
      <c r="D356" s="2">
        <v>576907000</v>
      </c>
    </row>
    <row r="357" spans="1:4" x14ac:dyDescent="0.25">
      <c r="A357" t="s">
        <v>416</v>
      </c>
      <c r="B357" t="s">
        <v>340</v>
      </c>
      <c r="C357" s="2">
        <v>1109621000</v>
      </c>
      <c r="D357" s="2">
        <v>1350504000</v>
      </c>
    </row>
    <row r="358" spans="1:4" x14ac:dyDescent="0.25">
      <c r="A358" t="s">
        <v>416</v>
      </c>
      <c r="B358" t="s">
        <v>341</v>
      </c>
      <c r="C358" s="2">
        <v>2481778000</v>
      </c>
      <c r="D358" s="2">
        <v>1070206000</v>
      </c>
    </row>
    <row r="359" spans="1:4" x14ac:dyDescent="0.25">
      <c r="A359" t="s">
        <v>416</v>
      </c>
      <c r="B359" t="s">
        <v>342</v>
      </c>
      <c r="C359" s="2">
        <v>830451000</v>
      </c>
      <c r="D359" s="2">
        <v>798271000</v>
      </c>
    </row>
    <row r="360" spans="1:4" x14ac:dyDescent="0.25">
      <c r="A360" t="s">
        <v>416</v>
      </c>
      <c r="B360" t="s">
        <v>343</v>
      </c>
      <c r="C360" s="2">
        <v>853180000</v>
      </c>
      <c r="D360" s="2">
        <v>700865000</v>
      </c>
    </row>
    <row r="361" spans="1:4" x14ac:dyDescent="0.25">
      <c r="A361" t="s">
        <v>416</v>
      </c>
      <c r="B361" t="s">
        <v>344</v>
      </c>
      <c r="C361" s="2">
        <v>1582252000</v>
      </c>
      <c r="D361" s="2">
        <v>1161328000</v>
      </c>
    </row>
    <row r="362" spans="1:4" x14ac:dyDescent="0.25">
      <c r="A362" t="s">
        <v>416</v>
      </c>
      <c r="B362" t="s">
        <v>345</v>
      </c>
      <c r="C362" s="2">
        <v>1143243000</v>
      </c>
      <c r="D362" s="2">
        <v>919042000</v>
      </c>
    </row>
    <row r="363" spans="1:4" x14ac:dyDescent="0.25">
      <c r="A363" t="s">
        <v>416</v>
      </c>
      <c r="B363" t="s">
        <v>346</v>
      </c>
      <c r="C363" s="2">
        <v>590562000</v>
      </c>
      <c r="D363" s="2">
        <v>506630000</v>
      </c>
    </row>
    <row r="364" spans="1:4" x14ac:dyDescent="0.25">
      <c r="A364" t="s">
        <v>416</v>
      </c>
      <c r="B364" t="s">
        <v>347</v>
      </c>
      <c r="C364" s="2">
        <v>884301000</v>
      </c>
      <c r="D364" s="2">
        <v>943046000</v>
      </c>
    </row>
    <row r="365" spans="1:4" x14ac:dyDescent="0.25">
      <c r="A365" t="s">
        <v>416</v>
      </c>
      <c r="B365" t="s">
        <v>348</v>
      </c>
      <c r="C365" s="2">
        <v>744743000</v>
      </c>
      <c r="D365" s="2">
        <v>897396000</v>
      </c>
    </row>
    <row r="366" spans="1:4" x14ac:dyDescent="0.25">
      <c r="A366" t="s">
        <v>416</v>
      </c>
      <c r="B366" t="s">
        <v>349</v>
      </c>
      <c r="C366" s="2">
        <v>1066272000</v>
      </c>
      <c r="D366" s="2">
        <v>985152000</v>
      </c>
    </row>
    <row r="367" spans="1:4" x14ac:dyDescent="0.25">
      <c r="A367" t="s">
        <v>416</v>
      </c>
      <c r="B367" t="s">
        <v>350</v>
      </c>
      <c r="C367" s="2">
        <v>1059733000</v>
      </c>
      <c r="D367" s="2">
        <v>862779000</v>
      </c>
    </row>
    <row r="368" spans="1:4" x14ac:dyDescent="0.25">
      <c r="A368" t="s">
        <v>416</v>
      </c>
      <c r="B368" t="s">
        <v>414</v>
      </c>
      <c r="C368" s="2">
        <v>610523000</v>
      </c>
      <c r="D368" s="2">
        <v>779554000</v>
      </c>
    </row>
    <row r="369" spans="1:4" x14ac:dyDescent="0.25">
      <c r="A369" t="s">
        <v>416</v>
      </c>
      <c r="B369" t="s">
        <v>351</v>
      </c>
      <c r="C369" s="2">
        <v>294557000</v>
      </c>
      <c r="D369" s="2">
        <v>97645000</v>
      </c>
    </row>
    <row r="370" spans="1:4" x14ac:dyDescent="0.25">
      <c r="A370" t="s">
        <v>416</v>
      </c>
      <c r="B370" t="s">
        <v>405</v>
      </c>
      <c r="C370" s="2">
        <v>626795000</v>
      </c>
      <c r="D370" s="2">
        <v>431364000</v>
      </c>
    </row>
    <row r="371" spans="1:4" x14ac:dyDescent="0.25">
      <c r="A371" t="s">
        <v>416</v>
      </c>
      <c r="B371" t="s">
        <v>352</v>
      </c>
      <c r="C371" s="2">
        <v>857537000</v>
      </c>
      <c r="D371" s="2">
        <v>753050000</v>
      </c>
    </row>
    <row r="372" spans="1:4" x14ac:dyDescent="0.25">
      <c r="A372" t="s">
        <v>416</v>
      </c>
      <c r="B372" t="s">
        <v>353</v>
      </c>
      <c r="C372" s="2">
        <v>757964000</v>
      </c>
      <c r="D372" s="2">
        <v>754745000</v>
      </c>
    </row>
    <row r="373" spans="1:4" x14ac:dyDescent="0.25">
      <c r="A373" t="s">
        <v>416</v>
      </c>
      <c r="B373" t="s">
        <v>354</v>
      </c>
      <c r="C373" s="2">
        <v>646943000</v>
      </c>
      <c r="D373" s="2">
        <v>581068000</v>
      </c>
    </row>
    <row r="374" spans="1:4" x14ac:dyDescent="0.25">
      <c r="A374" t="s">
        <v>416</v>
      </c>
      <c r="B374" t="s">
        <v>355</v>
      </c>
      <c r="C374" s="2">
        <v>1302753000</v>
      </c>
      <c r="D374" s="2">
        <v>1477492000</v>
      </c>
    </row>
    <row r="375" spans="1:4" x14ac:dyDescent="0.25">
      <c r="A375" t="s">
        <v>416</v>
      </c>
      <c r="B375" t="s">
        <v>356</v>
      </c>
      <c r="C375" s="2">
        <v>986330000</v>
      </c>
      <c r="D375" s="2">
        <v>825286000</v>
      </c>
    </row>
    <row r="376" spans="1:4" x14ac:dyDescent="0.25">
      <c r="A376" t="s">
        <v>416</v>
      </c>
      <c r="B376" t="s">
        <v>357</v>
      </c>
      <c r="C376" s="2">
        <v>824115000</v>
      </c>
      <c r="D376" s="2">
        <v>501881000</v>
      </c>
    </row>
    <row r="377" spans="1:4" x14ac:dyDescent="0.25">
      <c r="A377" t="s">
        <v>416</v>
      </c>
      <c r="B377" t="s">
        <v>358</v>
      </c>
      <c r="C377" s="2">
        <v>861537000</v>
      </c>
      <c r="D377" s="2">
        <v>836900000</v>
      </c>
    </row>
    <row r="378" spans="1:4" x14ac:dyDescent="0.25">
      <c r="A378" t="s">
        <v>416</v>
      </c>
      <c r="B378" t="s">
        <v>359</v>
      </c>
      <c r="C378" s="2">
        <v>931900000</v>
      </c>
      <c r="D378" s="2">
        <v>874325000</v>
      </c>
    </row>
    <row r="379" spans="1:4" x14ac:dyDescent="0.25">
      <c r="A379" t="s">
        <v>416</v>
      </c>
      <c r="B379" t="s">
        <v>360</v>
      </c>
      <c r="C379" s="2">
        <v>1691147000</v>
      </c>
      <c r="D379" s="2">
        <v>1162725000</v>
      </c>
    </row>
    <row r="380" spans="1:4" x14ac:dyDescent="0.25">
      <c r="A380" t="s">
        <v>416</v>
      </c>
      <c r="B380" t="s">
        <v>361</v>
      </c>
      <c r="C380" s="2">
        <v>1014398000</v>
      </c>
      <c r="D380" s="2">
        <v>1399006000</v>
      </c>
    </row>
    <row r="381" spans="1:4" x14ac:dyDescent="0.25">
      <c r="A381" t="s">
        <v>416</v>
      </c>
      <c r="B381" t="s">
        <v>362</v>
      </c>
      <c r="C381" s="2">
        <v>838348000</v>
      </c>
      <c r="D381" s="2">
        <v>621027000</v>
      </c>
    </row>
    <row r="382" spans="1:4" x14ac:dyDescent="0.25">
      <c r="A382" t="s">
        <v>416</v>
      </c>
      <c r="B382" t="s">
        <v>363</v>
      </c>
      <c r="C382" s="2">
        <f>1114670000+10000000</f>
        <v>1124670000</v>
      </c>
      <c r="D382" s="2">
        <v>1442462000</v>
      </c>
    </row>
    <row r="383" spans="1:4" x14ac:dyDescent="0.25">
      <c r="A383" t="s">
        <v>416</v>
      </c>
      <c r="B383" t="s">
        <v>364</v>
      </c>
      <c r="C383" s="2">
        <v>547985000</v>
      </c>
      <c r="D383" s="2">
        <v>460255000</v>
      </c>
    </row>
    <row r="384" spans="1:4" x14ac:dyDescent="0.25">
      <c r="A384" t="s">
        <v>416</v>
      </c>
      <c r="B384" t="s">
        <v>365</v>
      </c>
      <c r="C384" s="2">
        <v>706015000</v>
      </c>
      <c r="D384" s="2">
        <v>802801000</v>
      </c>
    </row>
    <row r="385" spans="1:4" x14ac:dyDescent="0.25">
      <c r="A385" t="s">
        <v>416</v>
      </c>
      <c r="B385" t="s">
        <v>366</v>
      </c>
      <c r="C385" s="2">
        <v>643544000</v>
      </c>
      <c r="D385" s="2">
        <v>934960000</v>
      </c>
    </row>
    <row r="386" spans="1:4" x14ac:dyDescent="0.25">
      <c r="A386" t="s">
        <v>416</v>
      </c>
      <c r="B386" t="s">
        <v>367</v>
      </c>
      <c r="C386" s="2">
        <v>894414000</v>
      </c>
      <c r="D386" s="2">
        <v>821499000</v>
      </c>
    </row>
    <row r="387" spans="1:4" x14ac:dyDescent="0.25">
      <c r="A387" t="s">
        <v>416</v>
      </c>
      <c r="B387" t="s">
        <v>368</v>
      </c>
      <c r="C387" s="2">
        <v>1340490000</v>
      </c>
      <c r="D387" s="2">
        <v>1379906000</v>
      </c>
    </row>
    <row r="388" spans="1:4" x14ac:dyDescent="0.25">
      <c r="A388" t="s">
        <v>416</v>
      </c>
      <c r="B388" t="s">
        <v>369</v>
      </c>
      <c r="C388" s="2">
        <v>1083463000</v>
      </c>
      <c r="D388" s="2">
        <v>1065048000</v>
      </c>
    </row>
    <row r="389" spans="1:4" x14ac:dyDescent="0.25">
      <c r="A389" t="s">
        <v>416</v>
      </c>
      <c r="B389" t="s">
        <v>370</v>
      </c>
      <c r="C389" s="2">
        <v>1125903000</v>
      </c>
      <c r="D389" s="2">
        <v>789202000</v>
      </c>
    </row>
    <row r="390" spans="1:4" x14ac:dyDescent="0.25">
      <c r="A390" t="s">
        <v>416</v>
      </c>
      <c r="B390" t="s">
        <v>371</v>
      </c>
      <c r="C390" s="2">
        <v>3339188000</v>
      </c>
      <c r="D390" s="2">
        <v>2484622000</v>
      </c>
    </row>
    <row r="391" spans="1:4" x14ac:dyDescent="0.25">
      <c r="A391" t="s">
        <v>416</v>
      </c>
      <c r="B391" t="s">
        <v>372</v>
      </c>
      <c r="C391" s="2">
        <v>177560000</v>
      </c>
      <c r="D391" s="2">
        <v>327892000</v>
      </c>
    </row>
    <row r="392" spans="1:4" x14ac:dyDescent="0.25">
      <c r="A392" t="s">
        <v>416</v>
      </c>
      <c r="B392" t="s">
        <v>373</v>
      </c>
      <c r="C392" s="2">
        <v>480934000</v>
      </c>
      <c r="D392" s="2">
        <v>496868000</v>
      </c>
    </row>
    <row r="393" spans="1:4" x14ac:dyDescent="0.25">
      <c r="A393" t="s">
        <v>416</v>
      </c>
      <c r="B393" t="s">
        <v>374</v>
      </c>
      <c r="C393" s="2">
        <v>581523000</v>
      </c>
      <c r="D393" s="2">
        <v>428336000</v>
      </c>
    </row>
    <row r="394" spans="1:4" x14ac:dyDescent="0.25">
      <c r="A394" t="s">
        <v>416</v>
      </c>
      <c r="B394" t="s">
        <v>375</v>
      </c>
      <c r="C394" s="2">
        <v>1112626000</v>
      </c>
      <c r="D394" s="2">
        <v>1108167000</v>
      </c>
    </row>
    <row r="395" spans="1:4" x14ac:dyDescent="0.25">
      <c r="A395" t="s">
        <v>416</v>
      </c>
      <c r="B395" t="s">
        <v>376</v>
      </c>
      <c r="C395" s="2">
        <v>499581000</v>
      </c>
      <c r="D395" s="2">
        <v>411063000</v>
      </c>
    </row>
    <row r="396" spans="1:4" x14ac:dyDescent="0.25">
      <c r="A396" t="s">
        <v>416</v>
      </c>
      <c r="B396" t="s">
        <v>377</v>
      </c>
      <c r="C396" s="2">
        <v>1385926000</v>
      </c>
      <c r="D396" s="2">
        <v>723148000</v>
      </c>
    </row>
    <row r="397" spans="1:4" x14ac:dyDescent="0.25">
      <c r="A397" t="s">
        <v>416</v>
      </c>
      <c r="B397" t="s">
        <v>378</v>
      </c>
      <c r="C397" s="2">
        <v>493070000</v>
      </c>
      <c r="D397" s="2">
        <v>497468000</v>
      </c>
    </row>
    <row r="398" spans="1:4" x14ac:dyDescent="0.25">
      <c r="A398" t="s">
        <v>416</v>
      </c>
      <c r="B398" t="s">
        <v>379</v>
      </c>
      <c r="C398" s="2">
        <v>406008000</v>
      </c>
      <c r="D398" s="2">
        <v>583871000</v>
      </c>
    </row>
    <row r="399" spans="1:4" x14ac:dyDescent="0.25">
      <c r="A399" t="s">
        <v>416</v>
      </c>
      <c r="B399" t="s">
        <v>380</v>
      </c>
      <c r="C399" s="2">
        <v>784966000</v>
      </c>
      <c r="D399" s="2">
        <v>866209000</v>
      </c>
    </row>
    <row r="400" spans="1:4" x14ac:dyDescent="0.25">
      <c r="A400" t="s">
        <v>416</v>
      </c>
      <c r="B400" t="s">
        <v>381</v>
      </c>
      <c r="C400" s="2">
        <v>880602000</v>
      </c>
      <c r="D400" s="2">
        <v>935788000</v>
      </c>
    </row>
    <row r="401" spans="1:4" x14ac:dyDescent="0.25">
      <c r="A401" t="s">
        <v>416</v>
      </c>
      <c r="B401" t="s">
        <v>382</v>
      </c>
      <c r="C401" s="2">
        <v>1129006000</v>
      </c>
      <c r="D401" s="2">
        <v>862212000</v>
      </c>
    </row>
    <row r="402" spans="1:4" x14ac:dyDescent="0.25">
      <c r="A402" t="s">
        <v>416</v>
      </c>
      <c r="B402" t="s">
        <v>383</v>
      </c>
      <c r="C402" s="2">
        <v>969994000</v>
      </c>
      <c r="D402" s="2">
        <v>765635000</v>
      </c>
    </row>
    <row r="403" spans="1:4" x14ac:dyDescent="0.25">
      <c r="A403" t="s">
        <v>416</v>
      </c>
      <c r="B403" t="s">
        <v>384</v>
      </c>
      <c r="C403" s="2">
        <v>675249000</v>
      </c>
      <c r="D403" s="2">
        <v>992529000</v>
      </c>
    </row>
    <row r="404" spans="1:4" x14ac:dyDescent="0.25">
      <c r="A404" t="s">
        <v>416</v>
      </c>
      <c r="B404" t="s">
        <v>385</v>
      </c>
      <c r="C404" s="2">
        <v>1012222000</v>
      </c>
      <c r="D404" s="2">
        <v>914915000</v>
      </c>
    </row>
    <row r="405" spans="1:4" x14ac:dyDescent="0.25">
      <c r="A405" t="s">
        <v>416</v>
      </c>
      <c r="B405" t="s">
        <v>386</v>
      </c>
      <c r="C405" s="2">
        <v>874681000</v>
      </c>
      <c r="D405" s="2">
        <v>757633000</v>
      </c>
    </row>
    <row r="406" spans="1:4" x14ac:dyDescent="0.25">
      <c r="A406" t="s">
        <v>416</v>
      </c>
      <c r="B406" t="s">
        <v>387</v>
      </c>
      <c r="C406" s="2">
        <v>954627000</v>
      </c>
      <c r="D406" s="2">
        <v>819460000</v>
      </c>
    </row>
    <row r="407" spans="1:4" x14ac:dyDescent="0.25">
      <c r="A407" t="s">
        <v>416</v>
      </c>
      <c r="B407" t="s">
        <v>388</v>
      </c>
      <c r="C407" s="2">
        <v>568008000</v>
      </c>
      <c r="D407" s="2">
        <v>451220000</v>
      </c>
    </row>
    <row r="408" spans="1:4" x14ac:dyDescent="0.25">
      <c r="A408" t="s">
        <v>416</v>
      </c>
      <c r="B408" t="s">
        <v>389</v>
      </c>
      <c r="C408" s="2">
        <v>1012229000</v>
      </c>
      <c r="D408" s="2">
        <v>658451000</v>
      </c>
    </row>
    <row r="409" spans="1:4" x14ac:dyDescent="0.25">
      <c r="A409" t="s">
        <v>416</v>
      </c>
      <c r="B409" t="s">
        <v>390</v>
      </c>
      <c r="C409" s="2">
        <v>761653000</v>
      </c>
      <c r="D409" s="2">
        <v>437254000</v>
      </c>
    </row>
    <row r="410" spans="1:4" x14ac:dyDescent="0.25">
      <c r="A410" t="s">
        <v>416</v>
      </c>
      <c r="B410" t="s">
        <v>391</v>
      </c>
      <c r="C410" s="2">
        <v>864114000</v>
      </c>
      <c r="D410" s="2">
        <v>843624000</v>
      </c>
    </row>
    <row r="411" spans="1:4" x14ac:dyDescent="0.25">
      <c r="A411" t="s">
        <v>416</v>
      </c>
      <c r="B411" t="s">
        <v>392</v>
      </c>
      <c r="C411" s="2">
        <v>517030000</v>
      </c>
      <c r="D411" s="2">
        <v>426080000</v>
      </c>
    </row>
    <row r="412" spans="1:4" x14ac:dyDescent="0.25">
      <c r="A412" t="s">
        <v>416</v>
      </c>
      <c r="B412" t="s">
        <v>393</v>
      </c>
      <c r="C412" s="2">
        <v>1329585000</v>
      </c>
      <c r="D412" s="2">
        <v>823443000</v>
      </c>
    </row>
    <row r="413" spans="1:4" x14ac:dyDescent="0.25">
      <c r="A413" t="s">
        <v>416</v>
      </c>
      <c r="B413" t="s">
        <v>394</v>
      </c>
      <c r="C413" s="2">
        <v>509444000</v>
      </c>
      <c r="D413" s="2">
        <v>483886000</v>
      </c>
    </row>
    <row r="414" spans="1:4" x14ac:dyDescent="0.25">
      <c r="A414" t="s">
        <v>416</v>
      </c>
      <c r="B414" t="s">
        <v>395</v>
      </c>
      <c r="C414" s="2">
        <v>605351000</v>
      </c>
      <c r="D414" s="2">
        <v>552285000</v>
      </c>
    </row>
    <row r="415" spans="1:4" x14ac:dyDescent="0.25">
      <c r="A415" t="s">
        <v>416</v>
      </c>
      <c r="B415" t="s">
        <v>396</v>
      </c>
      <c r="C415" s="2">
        <v>582425000</v>
      </c>
      <c r="D415" s="2">
        <v>817208000</v>
      </c>
    </row>
    <row r="416" spans="1:4" x14ac:dyDescent="0.25">
      <c r="A416" t="s">
        <v>416</v>
      </c>
      <c r="B416" t="s">
        <v>397</v>
      </c>
      <c r="C416" s="2">
        <v>1336944000</v>
      </c>
      <c r="D416" s="2">
        <v>976655000</v>
      </c>
    </row>
    <row r="417" spans="1:4" x14ac:dyDescent="0.25">
      <c r="A417" t="s">
        <v>416</v>
      </c>
      <c r="B417" t="s">
        <v>398</v>
      </c>
      <c r="C417" s="2">
        <v>1102263000</v>
      </c>
      <c r="D417" s="2">
        <v>958959000</v>
      </c>
    </row>
    <row r="418" spans="1:4" x14ac:dyDescent="0.25">
      <c r="A418" t="s">
        <v>416</v>
      </c>
      <c r="B418" t="s">
        <v>399</v>
      </c>
      <c r="C418" s="2">
        <v>580875000</v>
      </c>
      <c r="D418" s="2">
        <v>621075000</v>
      </c>
    </row>
    <row r="419" spans="1:4" x14ac:dyDescent="0.25">
      <c r="A419" t="s">
        <v>416</v>
      </c>
      <c r="B419" t="s">
        <v>400</v>
      </c>
      <c r="C419" s="2">
        <v>767250000</v>
      </c>
      <c r="D419" s="2">
        <v>685896000</v>
      </c>
    </row>
    <row r="420" spans="1:4" x14ac:dyDescent="0.25">
      <c r="A420" t="s">
        <v>416</v>
      </c>
      <c r="B420" t="s">
        <v>401</v>
      </c>
      <c r="C420" s="2">
        <v>910365000</v>
      </c>
      <c r="D420" s="2">
        <v>496955000</v>
      </c>
    </row>
    <row r="421" spans="1:4" x14ac:dyDescent="0.25">
      <c r="A421" t="s">
        <v>416</v>
      </c>
      <c r="B421" t="s">
        <v>402</v>
      </c>
      <c r="C421" s="2">
        <v>637344000</v>
      </c>
      <c r="D421" s="2">
        <v>418403000</v>
      </c>
    </row>
    <row r="422" spans="1:4" x14ac:dyDescent="0.25">
      <c r="A422" t="s">
        <v>416</v>
      </c>
      <c r="B422" t="s">
        <v>403</v>
      </c>
      <c r="C422" s="2">
        <v>506780000</v>
      </c>
      <c r="D422" s="2">
        <v>703997000</v>
      </c>
    </row>
    <row r="423" spans="1:4" x14ac:dyDescent="0.25">
      <c r="A423" t="s">
        <v>416</v>
      </c>
      <c r="B423" t="s">
        <v>404</v>
      </c>
      <c r="C423" s="2">
        <v>603370000</v>
      </c>
      <c r="D423" s="2">
        <v>718283000</v>
      </c>
    </row>
    <row r="424" spans="1:4" x14ac:dyDescent="0.25">
      <c r="A424" t="s">
        <v>416</v>
      </c>
      <c r="B424" t="s">
        <v>423</v>
      </c>
      <c r="C424" s="2">
        <v>368878000</v>
      </c>
      <c r="D424" s="2">
        <v>514777000</v>
      </c>
    </row>
    <row r="425" spans="1:4" x14ac:dyDescent="0.25">
      <c r="A425" t="s">
        <v>416</v>
      </c>
      <c r="B425" t="s">
        <v>406</v>
      </c>
      <c r="C425" s="2">
        <v>970190000</v>
      </c>
      <c r="D425" s="2">
        <v>1343225000</v>
      </c>
    </row>
    <row r="426" spans="1:4" x14ac:dyDescent="0.25">
      <c r="A426" t="s">
        <v>416</v>
      </c>
      <c r="B426" t="s">
        <v>407</v>
      </c>
      <c r="C426" s="2">
        <v>696023000</v>
      </c>
      <c r="D426" s="2">
        <v>635993000</v>
      </c>
    </row>
    <row r="427" spans="1:4" x14ac:dyDescent="0.25">
      <c r="A427" t="s">
        <v>416</v>
      </c>
      <c r="B427" t="s">
        <v>408</v>
      </c>
      <c r="C427" s="2">
        <v>1145613000</v>
      </c>
      <c r="D427" s="2">
        <v>830797000</v>
      </c>
    </row>
    <row r="428" spans="1:4" x14ac:dyDescent="0.25">
      <c r="A428" t="s">
        <v>416</v>
      </c>
      <c r="B428" t="s">
        <v>409</v>
      </c>
      <c r="C428" s="2">
        <v>242256000</v>
      </c>
      <c r="D428" s="2">
        <v>345558000</v>
      </c>
    </row>
    <row r="429" spans="1:4" x14ac:dyDescent="0.25">
      <c r="A429" t="s">
        <v>416</v>
      </c>
      <c r="B429" t="s">
        <v>410</v>
      </c>
      <c r="C429" s="2">
        <v>1169567000</v>
      </c>
      <c r="D429" s="2">
        <v>797441000</v>
      </c>
    </row>
    <row r="430" spans="1:4" x14ac:dyDescent="0.25">
      <c r="A430" t="s">
        <v>416</v>
      </c>
      <c r="B430" t="s">
        <v>411</v>
      </c>
      <c r="C430" s="2">
        <v>157905000</v>
      </c>
      <c r="D430" s="2">
        <v>537356000</v>
      </c>
    </row>
    <row r="431" spans="1:4" x14ac:dyDescent="0.25">
      <c r="A431" t="s">
        <v>417</v>
      </c>
      <c r="B431" t="s">
        <v>201</v>
      </c>
      <c r="C431" s="2">
        <v>814746864000</v>
      </c>
      <c r="D431" s="2">
        <v>721533109000</v>
      </c>
    </row>
    <row r="432" spans="1:4" x14ac:dyDescent="0.25">
      <c r="A432" t="s">
        <v>417</v>
      </c>
      <c r="B432" t="s">
        <v>202</v>
      </c>
      <c r="C432" s="2">
        <v>157518000</v>
      </c>
      <c r="D432" s="2">
        <v>157518000</v>
      </c>
    </row>
    <row r="433" spans="1:4" x14ac:dyDescent="0.25">
      <c r="A433" t="s">
        <v>417</v>
      </c>
      <c r="B433" t="s">
        <v>203</v>
      </c>
      <c r="C433" s="2">
        <v>147168000</v>
      </c>
      <c r="D433" s="2">
        <v>147168000</v>
      </c>
    </row>
    <row r="434" spans="1:4" x14ac:dyDescent="0.25">
      <c r="A434" t="s">
        <v>417</v>
      </c>
      <c r="B434" t="s">
        <v>204</v>
      </c>
      <c r="C434" s="2">
        <v>223564000</v>
      </c>
      <c r="D434" s="2">
        <v>223564000</v>
      </c>
    </row>
    <row r="435" spans="1:4" x14ac:dyDescent="0.25">
      <c r="A435" t="s">
        <v>417</v>
      </c>
      <c r="B435" t="s">
        <v>205</v>
      </c>
      <c r="C435" s="2">
        <v>337898000</v>
      </c>
      <c r="D435" s="2">
        <v>137898000</v>
      </c>
    </row>
    <row r="436" spans="1:4" x14ac:dyDescent="0.25">
      <c r="A436" t="s">
        <v>417</v>
      </c>
      <c r="B436" t="s">
        <v>206</v>
      </c>
      <c r="C436" s="2">
        <v>161676000</v>
      </c>
      <c r="D436" s="2">
        <v>161676000</v>
      </c>
    </row>
    <row r="437" spans="1:4" x14ac:dyDescent="0.25">
      <c r="A437" t="s">
        <v>417</v>
      </c>
      <c r="B437" t="s">
        <v>207</v>
      </c>
      <c r="C437" s="2">
        <v>149007000</v>
      </c>
      <c r="D437" s="2">
        <v>149007000</v>
      </c>
    </row>
    <row r="438" spans="1:4" x14ac:dyDescent="0.25">
      <c r="A438" t="s">
        <v>417</v>
      </c>
      <c r="B438" t="s">
        <v>208</v>
      </c>
      <c r="C438" s="2">
        <v>163909000</v>
      </c>
      <c r="D438" s="2">
        <v>163909000</v>
      </c>
    </row>
    <row r="439" spans="1:4" x14ac:dyDescent="0.25">
      <c r="A439" t="s">
        <v>417</v>
      </c>
      <c r="B439" t="s">
        <v>209</v>
      </c>
      <c r="C439" s="2">
        <v>149100000</v>
      </c>
      <c r="D439" s="2">
        <v>149100000</v>
      </c>
    </row>
    <row r="440" spans="1:4" x14ac:dyDescent="0.25">
      <c r="A440" t="s">
        <v>417</v>
      </c>
      <c r="B440" t="s">
        <v>210</v>
      </c>
      <c r="C440" s="2">
        <v>149557000</v>
      </c>
      <c r="D440" s="2">
        <v>149557000</v>
      </c>
    </row>
    <row r="441" spans="1:4" x14ac:dyDescent="0.25">
      <c r="A441" t="s">
        <v>417</v>
      </c>
      <c r="B441" t="s">
        <v>211</v>
      </c>
      <c r="C441" s="2">
        <v>147509000</v>
      </c>
      <c r="D441" s="2">
        <v>147509000</v>
      </c>
    </row>
    <row r="442" spans="1:4" x14ac:dyDescent="0.25">
      <c r="A442" t="s">
        <v>417</v>
      </c>
      <c r="B442" t="s">
        <v>212</v>
      </c>
      <c r="C442" s="2">
        <v>162027000</v>
      </c>
      <c r="D442" s="2">
        <v>162027000</v>
      </c>
    </row>
    <row r="443" spans="1:4" x14ac:dyDescent="0.25">
      <c r="A443" t="s">
        <v>417</v>
      </c>
      <c r="B443" t="s">
        <v>213</v>
      </c>
      <c r="C443" s="2">
        <v>156341000</v>
      </c>
      <c r="D443" s="2">
        <v>156341000</v>
      </c>
    </row>
    <row r="444" spans="1:4" x14ac:dyDescent="0.25">
      <c r="A444" t="s">
        <v>417</v>
      </c>
      <c r="B444" t="s">
        <v>214</v>
      </c>
      <c r="C444" s="2">
        <v>142555000</v>
      </c>
      <c r="D444" s="2">
        <v>142555000</v>
      </c>
    </row>
    <row r="445" spans="1:4" x14ac:dyDescent="0.25">
      <c r="A445" t="s">
        <v>417</v>
      </c>
      <c r="B445" t="s">
        <v>215</v>
      </c>
      <c r="C445" s="2">
        <v>163819000</v>
      </c>
      <c r="D445" s="2">
        <v>163819000</v>
      </c>
    </row>
    <row r="446" spans="1:4" x14ac:dyDescent="0.25">
      <c r="A446" t="s">
        <v>417</v>
      </c>
      <c r="B446" t="s">
        <v>216</v>
      </c>
      <c r="C446" s="2">
        <v>141393000</v>
      </c>
      <c r="D446" s="2">
        <v>141393000</v>
      </c>
    </row>
    <row r="447" spans="1:4" x14ac:dyDescent="0.25">
      <c r="A447" t="s">
        <v>417</v>
      </c>
      <c r="B447" t="s">
        <v>217</v>
      </c>
      <c r="C447" s="2">
        <v>154377000</v>
      </c>
      <c r="D447" s="2">
        <v>154377000</v>
      </c>
    </row>
    <row r="448" spans="1:4" x14ac:dyDescent="0.25">
      <c r="A448" t="s">
        <v>417</v>
      </c>
      <c r="B448" t="s">
        <v>218</v>
      </c>
      <c r="C448" s="2">
        <v>1631041000</v>
      </c>
      <c r="D448" s="2">
        <v>713041000</v>
      </c>
    </row>
    <row r="449" spans="1:4" x14ac:dyDescent="0.25">
      <c r="A449" t="s">
        <v>417</v>
      </c>
      <c r="B449" t="s">
        <v>219</v>
      </c>
      <c r="C449" s="2">
        <v>2245864000</v>
      </c>
      <c r="D449" s="2">
        <v>1417723000</v>
      </c>
    </row>
    <row r="450" spans="1:4" x14ac:dyDescent="0.25">
      <c r="A450" t="s">
        <v>417</v>
      </c>
      <c r="B450" t="s">
        <v>220</v>
      </c>
      <c r="C450" s="2">
        <v>5728897000</v>
      </c>
      <c r="D450" s="2">
        <v>3734015000</v>
      </c>
    </row>
    <row r="451" spans="1:4" x14ac:dyDescent="0.25">
      <c r="A451" t="s">
        <v>417</v>
      </c>
      <c r="B451" t="s">
        <v>221</v>
      </c>
      <c r="C451" s="2">
        <v>2249739000</v>
      </c>
      <c r="D451" s="2">
        <v>1939919000</v>
      </c>
    </row>
    <row r="452" spans="1:4" x14ac:dyDescent="0.25">
      <c r="A452" t="s">
        <v>417</v>
      </c>
      <c r="B452" t="s">
        <v>222</v>
      </c>
      <c r="C452" s="2">
        <v>6947825000</v>
      </c>
      <c r="D452" s="2">
        <v>2262064000</v>
      </c>
    </row>
    <row r="453" spans="1:4" x14ac:dyDescent="0.25">
      <c r="A453" t="s">
        <v>417</v>
      </c>
      <c r="B453" t="s">
        <v>223</v>
      </c>
      <c r="C453" s="2">
        <v>2328726000</v>
      </c>
      <c r="D453" s="2">
        <v>2305706000</v>
      </c>
    </row>
    <row r="454" spans="1:4" x14ac:dyDescent="0.25">
      <c r="A454" t="s">
        <v>417</v>
      </c>
      <c r="B454" t="s">
        <v>224</v>
      </c>
      <c r="C454" s="2">
        <v>4653138000</v>
      </c>
      <c r="D454" s="2">
        <v>2664024000</v>
      </c>
    </row>
    <row r="455" spans="1:4" x14ac:dyDescent="0.25">
      <c r="A455" t="s">
        <v>417</v>
      </c>
      <c r="B455" t="s">
        <v>225</v>
      </c>
      <c r="C455" s="2">
        <v>2358067000</v>
      </c>
      <c r="D455" s="2">
        <v>1125467000</v>
      </c>
    </row>
    <row r="456" spans="1:4" x14ac:dyDescent="0.25">
      <c r="A456" t="s">
        <v>417</v>
      </c>
      <c r="B456" t="s">
        <v>226</v>
      </c>
      <c r="C456" s="2">
        <v>1818658000</v>
      </c>
      <c r="D456" s="2">
        <v>1004658000</v>
      </c>
    </row>
    <row r="457" spans="1:4" x14ac:dyDescent="0.25">
      <c r="A457" t="s">
        <v>417</v>
      </c>
      <c r="B457" t="s">
        <v>227</v>
      </c>
      <c r="C457" s="2">
        <v>7372720000</v>
      </c>
      <c r="D457" s="2">
        <v>7348189000</v>
      </c>
    </row>
    <row r="458" spans="1:4" x14ac:dyDescent="0.25">
      <c r="A458" t="s">
        <v>417</v>
      </c>
      <c r="B458" t="s">
        <v>228</v>
      </c>
      <c r="C458" s="2">
        <v>2250508000</v>
      </c>
      <c r="D458" s="2">
        <v>634008000</v>
      </c>
    </row>
    <row r="459" spans="1:4" x14ac:dyDescent="0.25">
      <c r="A459" t="s">
        <v>417</v>
      </c>
      <c r="B459" t="s">
        <v>229</v>
      </c>
      <c r="C459" s="2">
        <v>756863000</v>
      </c>
      <c r="D459" s="2">
        <v>595011000</v>
      </c>
    </row>
    <row r="460" spans="1:4" x14ac:dyDescent="0.25">
      <c r="A460" t="s">
        <v>417</v>
      </c>
      <c r="B460" t="s">
        <v>230</v>
      </c>
      <c r="C460" s="2">
        <v>990369000</v>
      </c>
      <c r="D460" s="2">
        <v>731169000</v>
      </c>
    </row>
    <row r="461" spans="1:4" x14ac:dyDescent="0.25">
      <c r="A461" t="s">
        <v>417</v>
      </c>
      <c r="B461" t="s">
        <v>231</v>
      </c>
      <c r="C461" s="2">
        <v>1106898000</v>
      </c>
      <c r="D461" s="2">
        <v>601673000</v>
      </c>
    </row>
    <row r="462" spans="1:4" x14ac:dyDescent="0.25">
      <c r="A462" t="s">
        <v>417</v>
      </c>
      <c r="B462" t="s">
        <v>232</v>
      </c>
      <c r="C462" s="2">
        <v>907889000</v>
      </c>
      <c r="D462" s="2">
        <v>789389000</v>
      </c>
    </row>
    <row r="463" spans="1:4" x14ac:dyDescent="0.25">
      <c r="A463" t="s">
        <v>417</v>
      </c>
      <c r="B463" t="s">
        <v>233</v>
      </c>
      <c r="C463" s="2">
        <v>2508920000</v>
      </c>
      <c r="D463" s="2">
        <v>1623920000</v>
      </c>
    </row>
    <row r="464" spans="1:4" x14ac:dyDescent="0.25">
      <c r="A464" t="s">
        <v>417</v>
      </c>
      <c r="B464" t="s">
        <v>234</v>
      </c>
      <c r="C464" s="2">
        <v>1215939000</v>
      </c>
      <c r="D464" s="2">
        <v>895939000</v>
      </c>
    </row>
    <row r="465" spans="1:4" x14ac:dyDescent="0.25">
      <c r="A465" t="s">
        <v>417</v>
      </c>
      <c r="B465" t="s">
        <v>235</v>
      </c>
      <c r="C465" s="2">
        <v>1464867000</v>
      </c>
      <c r="D465" s="2">
        <v>1234867000</v>
      </c>
    </row>
    <row r="466" spans="1:4" x14ac:dyDescent="0.25">
      <c r="A466" t="s">
        <v>417</v>
      </c>
      <c r="B466" t="s">
        <v>236</v>
      </c>
      <c r="C466" s="2">
        <v>3929998000</v>
      </c>
      <c r="D466" s="2">
        <v>2567998000</v>
      </c>
    </row>
    <row r="467" spans="1:4" x14ac:dyDescent="0.25">
      <c r="A467" t="s">
        <v>417</v>
      </c>
      <c r="B467" t="s">
        <v>237</v>
      </c>
      <c r="C467" s="2">
        <v>2525352000</v>
      </c>
      <c r="D467" s="2">
        <v>1149352000</v>
      </c>
    </row>
    <row r="468" spans="1:4" x14ac:dyDescent="0.25">
      <c r="A468" t="s">
        <v>417</v>
      </c>
      <c r="B468" t="s">
        <v>238</v>
      </c>
      <c r="C468" s="2">
        <v>417158000</v>
      </c>
      <c r="D468" s="2">
        <v>250158000</v>
      </c>
    </row>
    <row r="469" spans="1:4" x14ac:dyDescent="0.25">
      <c r="A469" t="s">
        <v>417</v>
      </c>
      <c r="B469" t="s">
        <v>239</v>
      </c>
      <c r="C469" s="2">
        <v>794679000</v>
      </c>
      <c r="D469" s="2">
        <v>603553000</v>
      </c>
    </row>
    <row r="470" spans="1:4" x14ac:dyDescent="0.25">
      <c r="A470" t="s">
        <v>417</v>
      </c>
      <c r="B470" t="s">
        <v>240</v>
      </c>
      <c r="C470" s="2">
        <v>830520000</v>
      </c>
      <c r="D470" s="2">
        <v>788794000</v>
      </c>
    </row>
    <row r="471" spans="1:4" x14ac:dyDescent="0.25">
      <c r="A471" t="s">
        <v>417</v>
      </c>
      <c r="B471" t="s">
        <v>241</v>
      </c>
      <c r="C471" s="2">
        <v>663161000</v>
      </c>
      <c r="D471" s="2">
        <v>695631000</v>
      </c>
    </row>
    <row r="472" spans="1:4" x14ac:dyDescent="0.25">
      <c r="A472" t="s">
        <v>417</v>
      </c>
      <c r="B472" t="s">
        <v>242</v>
      </c>
      <c r="C472" s="2">
        <v>1126615000</v>
      </c>
      <c r="D472" s="2">
        <v>776410000</v>
      </c>
    </row>
    <row r="473" spans="1:4" x14ac:dyDescent="0.25">
      <c r="A473" t="s">
        <v>417</v>
      </c>
      <c r="B473" t="s">
        <v>243</v>
      </c>
      <c r="C473" s="2">
        <v>557840000</v>
      </c>
      <c r="D473" s="2">
        <v>507309000</v>
      </c>
    </row>
    <row r="474" spans="1:4" x14ac:dyDescent="0.25">
      <c r="A474" t="s">
        <v>417</v>
      </c>
      <c r="B474" t="s">
        <v>244</v>
      </c>
      <c r="C474" s="2">
        <v>607170000</v>
      </c>
      <c r="D474" s="2">
        <v>510170000</v>
      </c>
    </row>
    <row r="475" spans="1:4" x14ac:dyDescent="0.25">
      <c r="A475" t="s">
        <v>417</v>
      </c>
      <c r="B475" t="s">
        <v>245</v>
      </c>
      <c r="C475" s="2">
        <v>1215038000</v>
      </c>
      <c r="D475" s="2">
        <v>1066527000</v>
      </c>
    </row>
    <row r="476" spans="1:4" x14ac:dyDescent="0.25">
      <c r="A476" t="s">
        <v>417</v>
      </c>
      <c r="B476" t="s">
        <v>246</v>
      </c>
      <c r="C476" s="2">
        <v>908912000</v>
      </c>
      <c r="D476" s="2">
        <v>771580000</v>
      </c>
    </row>
    <row r="477" spans="1:4" x14ac:dyDescent="0.25">
      <c r="A477" t="s">
        <v>417</v>
      </c>
      <c r="B477" t="s">
        <v>247</v>
      </c>
      <c r="C477" s="2">
        <v>753911000</v>
      </c>
      <c r="D477" s="2">
        <v>603911000</v>
      </c>
    </row>
    <row r="478" spans="1:4" x14ac:dyDescent="0.25">
      <c r="A478" t="s">
        <v>417</v>
      </c>
      <c r="B478" t="s">
        <v>248</v>
      </c>
      <c r="C478" s="2">
        <v>1188860000</v>
      </c>
      <c r="D478" s="2">
        <v>968860000</v>
      </c>
    </row>
    <row r="479" spans="1:4" x14ac:dyDescent="0.25">
      <c r="A479" t="s">
        <v>417</v>
      </c>
      <c r="B479" t="s">
        <v>249</v>
      </c>
      <c r="C479" s="2">
        <v>946234000</v>
      </c>
      <c r="D479" s="2">
        <v>672234000</v>
      </c>
    </row>
    <row r="480" spans="1:4" x14ac:dyDescent="0.25">
      <c r="A480" t="s">
        <v>417</v>
      </c>
      <c r="B480" t="s">
        <v>250</v>
      </c>
      <c r="C480" s="2">
        <v>1165270000</v>
      </c>
      <c r="D480" s="2">
        <v>157525000</v>
      </c>
    </row>
    <row r="481" spans="1:4" x14ac:dyDescent="0.25">
      <c r="A481" t="s">
        <v>417</v>
      </c>
      <c r="B481" t="s">
        <v>251</v>
      </c>
      <c r="C481" s="2">
        <v>1273687000</v>
      </c>
      <c r="D481" s="2">
        <v>988687000</v>
      </c>
    </row>
    <row r="482" spans="1:4" x14ac:dyDescent="0.25">
      <c r="A482" t="s">
        <v>417</v>
      </c>
      <c r="B482" t="s">
        <v>252</v>
      </c>
      <c r="C482" s="2">
        <v>546005000</v>
      </c>
      <c r="D482" s="2">
        <v>346005000</v>
      </c>
    </row>
    <row r="483" spans="1:4" x14ac:dyDescent="0.25">
      <c r="A483" t="s">
        <v>417</v>
      </c>
      <c r="B483" t="s">
        <v>253</v>
      </c>
      <c r="C483" s="2">
        <v>1566870000</v>
      </c>
      <c r="D483" s="2">
        <v>1026870000</v>
      </c>
    </row>
    <row r="484" spans="1:4" x14ac:dyDescent="0.25">
      <c r="A484" t="s">
        <v>417</v>
      </c>
      <c r="B484" t="s">
        <v>254</v>
      </c>
      <c r="C484" s="2">
        <v>2474767000</v>
      </c>
      <c r="D484" s="2">
        <v>631767000</v>
      </c>
    </row>
    <row r="485" spans="1:4" x14ac:dyDescent="0.25">
      <c r="A485" t="s">
        <v>417</v>
      </c>
      <c r="B485" t="s">
        <v>255</v>
      </c>
      <c r="C485" s="2">
        <v>662109000</v>
      </c>
      <c r="D485" s="2">
        <v>395109000</v>
      </c>
    </row>
    <row r="486" spans="1:4" x14ac:dyDescent="0.25">
      <c r="A486" t="s">
        <v>417</v>
      </c>
      <c r="B486" t="s">
        <v>256</v>
      </c>
      <c r="C486" s="2">
        <v>656600000</v>
      </c>
      <c r="D486" s="2">
        <v>471100000</v>
      </c>
    </row>
    <row r="487" spans="1:4" x14ac:dyDescent="0.25">
      <c r="A487" t="s">
        <v>417</v>
      </c>
      <c r="B487" t="s">
        <v>257</v>
      </c>
      <c r="C487" s="2">
        <v>1199878000</v>
      </c>
      <c r="D487" s="2">
        <v>1030878000</v>
      </c>
    </row>
    <row r="488" spans="1:4" x14ac:dyDescent="0.25">
      <c r="A488" t="s">
        <v>417</v>
      </c>
      <c r="B488" t="s">
        <v>258</v>
      </c>
      <c r="C488" s="2">
        <v>639759000</v>
      </c>
      <c r="D488" s="2">
        <v>1690089000</v>
      </c>
    </row>
    <row r="489" spans="1:4" x14ac:dyDescent="0.25">
      <c r="A489" t="s">
        <v>417</v>
      </c>
      <c r="B489" t="s">
        <v>259</v>
      </c>
      <c r="C489" s="2">
        <v>1292167000</v>
      </c>
      <c r="D489" s="2">
        <v>784667000</v>
      </c>
    </row>
    <row r="490" spans="1:4" x14ac:dyDescent="0.25">
      <c r="A490" t="s">
        <v>417</v>
      </c>
      <c r="B490" t="s">
        <v>260</v>
      </c>
      <c r="C490" s="2">
        <v>2102687000</v>
      </c>
      <c r="D490" s="2">
        <v>1248693000</v>
      </c>
    </row>
    <row r="491" spans="1:4" x14ac:dyDescent="0.25">
      <c r="A491" t="s">
        <v>417</v>
      </c>
      <c r="B491" t="s">
        <v>261</v>
      </c>
      <c r="C491" s="2">
        <v>6077927000</v>
      </c>
      <c r="D491" s="2">
        <v>1683256000</v>
      </c>
    </row>
    <row r="492" spans="1:4" x14ac:dyDescent="0.25">
      <c r="A492" t="s">
        <v>417</v>
      </c>
      <c r="B492" t="s">
        <v>262</v>
      </c>
      <c r="C492" s="2">
        <v>3107452000</v>
      </c>
      <c r="D492" s="2">
        <v>1452570000</v>
      </c>
    </row>
    <row r="493" spans="1:4" x14ac:dyDescent="0.25">
      <c r="A493" t="s">
        <v>417</v>
      </c>
      <c r="B493" t="s">
        <v>263</v>
      </c>
      <c r="C493" s="2">
        <v>2439031000</v>
      </c>
      <c r="D493" s="2">
        <v>1662150000</v>
      </c>
    </row>
    <row r="494" spans="1:4" x14ac:dyDescent="0.25">
      <c r="A494" t="s">
        <v>417</v>
      </c>
      <c r="B494" t="s">
        <v>264</v>
      </c>
      <c r="C494" s="2">
        <v>1825211000</v>
      </c>
      <c r="D494" s="2">
        <v>1326325000</v>
      </c>
    </row>
    <row r="495" spans="1:4" x14ac:dyDescent="0.25">
      <c r="A495" t="s">
        <v>417</v>
      </c>
      <c r="B495" t="s">
        <v>265</v>
      </c>
      <c r="C495" s="2">
        <v>1067040000</v>
      </c>
      <c r="D495" s="2">
        <v>494040000</v>
      </c>
    </row>
    <row r="496" spans="1:4" x14ac:dyDescent="0.25">
      <c r="A496" t="s">
        <v>417</v>
      </c>
      <c r="B496" t="s">
        <v>266</v>
      </c>
      <c r="C496" s="2">
        <v>2904605000</v>
      </c>
      <c r="D496" s="2">
        <v>1203682000</v>
      </c>
    </row>
    <row r="497" spans="1:4" x14ac:dyDescent="0.25">
      <c r="A497" t="s">
        <v>417</v>
      </c>
      <c r="B497" t="s">
        <v>267</v>
      </c>
      <c r="C497" s="2">
        <v>926838000</v>
      </c>
      <c r="D497" s="2">
        <v>1085770000</v>
      </c>
    </row>
    <row r="498" spans="1:4" x14ac:dyDescent="0.25">
      <c r="A498" t="s">
        <v>417</v>
      </c>
      <c r="B498" t="s">
        <v>268</v>
      </c>
      <c r="C498" s="2">
        <v>1654683000</v>
      </c>
      <c r="D498" s="2">
        <v>640388000</v>
      </c>
    </row>
    <row r="499" spans="1:4" x14ac:dyDescent="0.25">
      <c r="A499" t="s">
        <v>417</v>
      </c>
      <c r="B499" t="s">
        <v>269</v>
      </c>
      <c r="C499" s="2">
        <v>3658880000</v>
      </c>
      <c r="D499" s="2">
        <v>1595653000</v>
      </c>
    </row>
    <row r="500" spans="1:4" x14ac:dyDescent="0.25">
      <c r="A500" t="s">
        <v>417</v>
      </c>
      <c r="B500" t="s">
        <v>270</v>
      </c>
      <c r="C500" s="2">
        <v>2545955000</v>
      </c>
      <c r="D500" s="2">
        <v>1258605000</v>
      </c>
    </row>
    <row r="501" spans="1:4" x14ac:dyDescent="0.25">
      <c r="A501" t="s">
        <v>417</v>
      </c>
      <c r="B501" t="s">
        <v>271</v>
      </c>
      <c r="C501" s="2">
        <v>1107897000</v>
      </c>
      <c r="D501" s="2">
        <v>831387000</v>
      </c>
    </row>
    <row r="502" spans="1:4" x14ac:dyDescent="0.25">
      <c r="A502" t="s">
        <v>417</v>
      </c>
      <c r="B502" t="s">
        <v>272</v>
      </c>
      <c r="C502" s="2">
        <v>1432688000</v>
      </c>
      <c r="D502" s="2">
        <v>723688000</v>
      </c>
    </row>
    <row r="503" spans="1:4" x14ac:dyDescent="0.25">
      <c r="A503" t="s">
        <v>417</v>
      </c>
      <c r="B503" t="s">
        <v>273</v>
      </c>
      <c r="C503" s="2">
        <v>1666301000</v>
      </c>
      <c r="D503" s="2">
        <v>704399000</v>
      </c>
    </row>
    <row r="504" spans="1:4" x14ac:dyDescent="0.25">
      <c r="A504" t="s">
        <v>417</v>
      </c>
      <c r="B504" t="s">
        <v>274</v>
      </c>
      <c r="C504" s="2">
        <v>1858573000</v>
      </c>
      <c r="D504" s="2">
        <v>810573000</v>
      </c>
    </row>
    <row r="505" spans="1:4" x14ac:dyDescent="0.25">
      <c r="A505" t="s">
        <v>417</v>
      </c>
      <c r="B505" t="s">
        <v>275</v>
      </c>
      <c r="C505" s="2">
        <v>3779678000</v>
      </c>
      <c r="D505" s="2">
        <v>1236294000</v>
      </c>
    </row>
    <row r="506" spans="1:4" x14ac:dyDescent="0.25">
      <c r="A506" t="s">
        <v>417</v>
      </c>
      <c r="B506" t="s">
        <v>276</v>
      </c>
      <c r="C506" s="2">
        <v>1284096000</v>
      </c>
      <c r="D506" s="2">
        <v>984096000</v>
      </c>
    </row>
    <row r="507" spans="1:4" x14ac:dyDescent="0.25">
      <c r="A507" t="s">
        <v>417</v>
      </c>
      <c r="B507" t="s">
        <v>277</v>
      </c>
      <c r="C507" s="2">
        <v>2639437000</v>
      </c>
      <c r="D507" s="2">
        <v>1795356000</v>
      </c>
    </row>
    <row r="508" spans="1:4" x14ac:dyDescent="0.25">
      <c r="A508" t="s">
        <v>417</v>
      </c>
      <c r="B508" t="s">
        <v>278</v>
      </c>
      <c r="C508" s="2">
        <v>1070412000</v>
      </c>
      <c r="D508" s="2">
        <v>762412000</v>
      </c>
    </row>
    <row r="509" spans="1:4" x14ac:dyDescent="0.25">
      <c r="A509" t="s">
        <v>417</v>
      </c>
      <c r="B509" t="s">
        <v>279</v>
      </c>
      <c r="C509" s="2">
        <v>929359000</v>
      </c>
      <c r="D509" s="2">
        <v>560517000</v>
      </c>
    </row>
    <row r="510" spans="1:4" x14ac:dyDescent="0.25">
      <c r="A510" t="s">
        <v>417</v>
      </c>
      <c r="B510" t="s">
        <v>280</v>
      </c>
      <c r="C510" s="2">
        <v>2096971000</v>
      </c>
      <c r="D510" s="2">
        <v>1513648000</v>
      </c>
    </row>
    <row r="511" spans="1:4" x14ac:dyDescent="0.25">
      <c r="A511" t="s">
        <v>417</v>
      </c>
      <c r="B511" t="s">
        <v>281</v>
      </c>
      <c r="C511" s="2">
        <v>2701535000</v>
      </c>
      <c r="D511" s="2">
        <v>949640000</v>
      </c>
    </row>
    <row r="512" spans="1:4" x14ac:dyDescent="0.25">
      <c r="A512" t="s">
        <v>417</v>
      </c>
      <c r="B512" t="s">
        <v>282</v>
      </c>
      <c r="C512" s="2">
        <v>1098971000</v>
      </c>
      <c r="D512" s="2">
        <v>1058971000</v>
      </c>
    </row>
    <row r="513" spans="1:4" x14ac:dyDescent="0.25">
      <c r="A513" t="s">
        <v>417</v>
      </c>
      <c r="B513" t="s">
        <v>283</v>
      </c>
      <c r="C513" s="2">
        <v>2055323000</v>
      </c>
      <c r="D513" s="2">
        <v>1190323000</v>
      </c>
    </row>
    <row r="514" spans="1:4" x14ac:dyDescent="0.25">
      <c r="A514" t="s">
        <v>417</v>
      </c>
      <c r="B514" t="s">
        <v>284</v>
      </c>
      <c r="C514" s="2">
        <v>1950282000</v>
      </c>
      <c r="D514" s="2">
        <v>1184282000</v>
      </c>
    </row>
    <row r="515" spans="1:4" x14ac:dyDescent="0.25">
      <c r="A515" t="s">
        <v>417</v>
      </c>
      <c r="B515" t="s">
        <v>285</v>
      </c>
      <c r="C515" s="2">
        <v>3288989000</v>
      </c>
      <c r="D515" s="2">
        <v>2764489000</v>
      </c>
    </row>
    <row r="516" spans="1:4" x14ac:dyDescent="0.25">
      <c r="A516" t="s">
        <v>417</v>
      </c>
      <c r="B516" t="s">
        <v>286</v>
      </c>
      <c r="C516" s="2">
        <v>998692000</v>
      </c>
      <c r="D516" s="2">
        <v>1147584000</v>
      </c>
    </row>
    <row r="517" spans="1:4" x14ac:dyDescent="0.25">
      <c r="A517" t="s">
        <v>417</v>
      </c>
      <c r="B517" t="s">
        <v>287</v>
      </c>
      <c r="C517" s="2">
        <v>973964000</v>
      </c>
      <c r="D517" s="2">
        <v>716476000</v>
      </c>
    </row>
    <row r="518" spans="1:4" x14ac:dyDescent="0.25">
      <c r="A518" t="s">
        <v>417</v>
      </c>
      <c r="B518" t="s">
        <v>288</v>
      </c>
      <c r="C518" s="2">
        <v>3504490000</v>
      </c>
      <c r="D518" s="2">
        <v>1059490000</v>
      </c>
    </row>
    <row r="519" spans="1:4" x14ac:dyDescent="0.25">
      <c r="A519" t="s">
        <v>417</v>
      </c>
      <c r="B519" t="s">
        <v>289</v>
      </c>
      <c r="C519" s="2">
        <v>2793864000</v>
      </c>
      <c r="D519" s="2">
        <v>1260481000</v>
      </c>
    </row>
    <row r="520" spans="1:4" x14ac:dyDescent="0.25">
      <c r="A520" t="s">
        <v>417</v>
      </c>
      <c r="B520" t="s">
        <v>290</v>
      </c>
      <c r="C520" s="2">
        <v>649004000</v>
      </c>
      <c r="D520" s="2">
        <v>776487000</v>
      </c>
    </row>
    <row r="521" spans="1:4" x14ac:dyDescent="0.25">
      <c r="A521" t="s">
        <v>417</v>
      </c>
      <c r="B521" t="s">
        <v>291</v>
      </c>
      <c r="C521" s="2">
        <v>1267909000</v>
      </c>
      <c r="D521" s="2">
        <v>1273434000</v>
      </c>
    </row>
    <row r="522" spans="1:4" x14ac:dyDescent="0.25">
      <c r="A522" t="s">
        <v>417</v>
      </c>
      <c r="B522" t="s">
        <v>292</v>
      </c>
      <c r="C522" s="2">
        <v>729780000</v>
      </c>
      <c r="D522" s="2">
        <v>687248000</v>
      </c>
    </row>
    <row r="523" spans="1:4" x14ac:dyDescent="0.25">
      <c r="A523" t="s">
        <v>417</v>
      </c>
      <c r="B523" t="s">
        <v>293</v>
      </c>
      <c r="C523" s="2">
        <v>1335276000</v>
      </c>
      <c r="D523" s="2">
        <v>1169276000</v>
      </c>
    </row>
    <row r="524" spans="1:4" x14ac:dyDescent="0.25">
      <c r="A524" t="s">
        <v>417</v>
      </c>
      <c r="B524" t="s">
        <v>294</v>
      </c>
      <c r="C524" s="2">
        <v>1119604000</v>
      </c>
      <c r="D524" s="2">
        <v>956104000</v>
      </c>
    </row>
    <row r="525" spans="1:4" x14ac:dyDescent="0.25">
      <c r="A525" t="s">
        <v>417</v>
      </c>
      <c r="B525" t="s">
        <v>295</v>
      </c>
      <c r="C525" s="2">
        <v>436625000</v>
      </c>
      <c r="D525" s="2">
        <v>1146470000</v>
      </c>
    </row>
    <row r="526" spans="1:4" x14ac:dyDescent="0.25">
      <c r="A526" t="s">
        <v>417</v>
      </c>
      <c r="B526" t="s">
        <v>296</v>
      </c>
      <c r="C526" s="2">
        <v>2040726000</v>
      </c>
      <c r="D526" s="2">
        <v>1482323000</v>
      </c>
    </row>
    <row r="527" spans="1:4" x14ac:dyDescent="0.25">
      <c r="A527" t="s">
        <v>417</v>
      </c>
      <c r="B527" t="s">
        <v>297</v>
      </c>
      <c r="C527" s="2">
        <v>411985000</v>
      </c>
      <c r="D527" s="2">
        <v>361985000</v>
      </c>
    </row>
    <row r="528" spans="1:4" x14ac:dyDescent="0.25">
      <c r="A528" t="s">
        <v>417</v>
      </c>
      <c r="B528" t="s">
        <v>298</v>
      </c>
      <c r="C528" s="2">
        <v>1000358000</v>
      </c>
      <c r="D528" s="2">
        <v>550358000</v>
      </c>
    </row>
    <row r="529" spans="1:4" x14ac:dyDescent="0.25">
      <c r="A529" t="s">
        <v>417</v>
      </c>
      <c r="B529" t="s">
        <v>299</v>
      </c>
      <c r="C529" s="2">
        <v>259968000</v>
      </c>
      <c r="D529" s="2">
        <v>209968000</v>
      </c>
    </row>
    <row r="530" spans="1:4" x14ac:dyDescent="0.25">
      <c r="A530" t="s">
        <v>417</v>
      </c>
      <c r="B530" t="s">
        <v>300</v>
      </c>
      <c r="C530" s="2">
        <v>1013881000</v>
      </c>
      <c r="D530" s="2">
        <v>768881000</v>
      </c>
    </row>
    <row r="531" spans="1:4" x14ac:dyDescent="0.25">
      <c r="A531" t="s">
        <v>417</v>
      </c>
      <c r="B531" t="s">
        <v>301</v>
      </c>
      <c r="C531" s="2">
        <v>1096272000</v>
      </c>
      <c r="D531" s="2">
        <v>477108000</v>
      </c>
    </row>
    <row r="532" spans="1:4" x14ac:dyDescent="0.25">
      <c r="A532" t="s">
        <v>417</v>
      </c>
      <c r="B532" t="s">
        <v>302</v>
      </c>
      <c r="C532" s="2">
        <v>579659000</v>
      </c>
      <c r="D532" s="2">
        <v>466484000</v>
      </c>
    </row>
    <row r="533" spans="1:4" x14ac:dyDescent="0.25">
      <c r="A533" t="s">
        <v>417</v>
      </c>
      <c r="B533" t="s">
        <v>303</v>
      </c>
      <c r="C533" s="2">
        <v>639674000</v>
      </c>
      <c r="D533" s="2">
        <v>589674000</v>
      </c>
    </row>
    <row r="534" spans="1:4" x14ac:dyDescent="0.25">
      <c r="A534" t="s">
        <v>417</v>
      </c>
      <c r="B534" t="s">
        <v>304</v>
      </c>
      <c r="C534" s="2">
        <v>1132978000</v>
      </c>
      <c r="D534" s="2">
        <v>1142978000</v>
      </c>
    </row>
    <row r="535" spans="1:4" x14ac:dyDescent="0.25">
      <c r="A535" t="s">
        <v>417</v>
      </c>
      <c r="B535" t="s">
        <v>305</v>
      </c>
      <c r="C535" s="2">
        <v>1233307000</v>
      </c>
      <c r="D535" s="2">
        <v>1168307000</v>
      </c>
    </row>
    <row r="536" spans="1:4" x14ac:dyDescent="0.25">
      <c r="A536" t="s">
        <v>417</v>
      </c>
      <c r="B536" t="s">
        <v>306</v>
      </c>
      <c r="C536" s="2">
        <v>1608001000</v>
      </c>
      <c r="D536" s="2">
        <v>1177001000</v>
      </c>
    </row>
    <row r="537" spans="1:4" x14ac:dyDescent="0.25">
      <c r="A537" t="s">
        <v>417</v>
      </c>
      <c r="B537" t="s">
        <v>307</v>
      </c>
      <c r="C537" s="2">
        <v>1101833000</v>
      </c>
      <c r="D537" s="2">
        <v>934490000</v>
      </c>
    </row>
    <row r="538" spans="1:4" x14ac:dyDescent="0.25">
      <c r="A538" t="s">
        <v>417</v>
      </c>
      <c r="B538" t="s">
        <v>308</v>
      </c>
      <c r="C538" s="2">
        <v>3926839000</v>
      </c>
      <c r="D538" s="2">
        <v>582843000</v>
      </c>
    </row>
    <row r="539" spans="1:4" x14ac:dyDescent="0.25">
      <c r="A539" t="s">
        <v>417</v>
      </c>
      <c r="B539" t="s">
        <v>309</v>
      </c>
      <c r="C539" s="2">
        <v>2220192000</v>
      </c>
      <c r="D539" s="2">
        <v>575192000</v>
      </c>
    </row>
    <row r="540" spans="1:4" x14ac:dyDescent="0.25">
      <c r="A540" t="s">
        <v>417</v>
      </c>
      <c r="B540" t="s">
        <v>310</v>
      </c>
      <c r="C540" s="2">
        <v>948156000</v>
      </c>
      <c r="D540" s="2">
        <v>818242000</v>
      </c>
    </row>
    <row r="541" spans="1:4" x14ac:dyDescent="0.25">
      <c r="A541" t="s">
        <v>417</v>
      </c>
      <c r="B541" t="s">
        <v>311</v>
      </c>
      <c r="C541" s="2">
        <v>2378664000</v>
      </c>
      <c r="D541" s="2">
        <v>956164000</v>
      </c>
    </row>
    <row r="542" spans="1:4" x14ac:dyDescent="0.25">
      <c r="A542" t="s">
        <v>417</v>
      </c>
      <c r="B542" t="s">
        <v>312</v>
      </c>
      <c r="C542" s="2">
        <v>1492834000</v>
      </c>
      <c r="D542" s="2">
        <v>928270000</v>
      </c>
    </row>
    <row r="543" spans="1:4" x14ac:dyDescent="0.25">
      <c r="A543" t="s">
        <v>417</v>
      </c>
      <c r="B543" t="s">
        <v>313</v>
      </c>
      <c r="C543" s="2">
        <v>684330000</v>
      </c>
      <c r="D543" s="2">
        <v>486430000</v>
      </c>
    </row>
    <row r="544" spans="1:4" x14ac:dyDescent="0.25">
      <c r="A544" t="s">
        <v>417</v>
      </c>
      <c r="B544" t="s">
        <v>314</v>
      </c>
      <c r="C544" s="2">
        <v>851066000</v>
      </c>
      <c r="D544" s="2">
        <v>627316000</v>
      </c>
    </row>
    <row r="545" spans="1:4" x14ac:dyDescent="0.25">
      <c r="A545" t="s">
        <v>417</v>
      </c>
      <c r="B545" t="s">
        <v>315</v>
      </c>
      <c r="C545" s="2">
        <v>778117000</v>
      </c>
      <c r="D545" s="2">
        <v>574651000</v>
      </c>
    </row>
    <row r="546" spans="1:4" x14ac:dyDescent="0.25">
      <c r="A546" t="s">
        <v>417</v>
      </c>
      <c r="B546" t="s">
        <v>316</v>
      </c>
      <c r="C546" s="2">
        <v>692153000</v>
      </c>
      <c r="D546" s="2">
        <v>631611000</v>
      </c>
    </row>
    <row r="547" spans="1:4" x14ac:dyDescent="0.25">
      <c r="A547" t="s">
        <v>417</v>
      </c>
      <c r="B547" t="s">
        <v>317</v>
      </c>
      <c r="C547" s="2">
        <v>1341727000</v>
      </c>
      <c r="D547" s="2">
        <v>1230444000</v>
      </c>
    </row>
    <row r="548" spans="1:4" x14ac:dyDescent="0.25">
      <c r="A548" t="s">
        <v>417</v>
      </c>
      <c r="B548" t="s">
        <v>318</v>
      </c>
      <c r="C548" s="2">
        <v>2125962000</v>
      </c>
      <c r="D548" s="2">
        <v>1958796000</v>
      </c>
    </row>
    <row r="549" spans="1:4" x14ac:dyDescent="0.25">
      <c r="A549" t="s">
        <v>417</v>
      </c>
      <c r="B549" t="s">
        <v>319</v>
      </c>
      <c r="C549" s="2">
        <v>959986000</v>
      </c>
      <c r="D549" s="2">
        <v>667536000</v>
      </c>
    </row>
    <row r="550" spans="1:4" x14ac:dyDescent="0.25">
      <c r="A550" t="s">
        <v>417</v>
      </c>
      <c r="B550" t="s">
        <v>320</v>
      </c>
      <c r="C550" s="2">
        <v>763578000</v>
      </c>
      <c r="D550" s="2">
        <v>618578000</v>
      </c>
    </row>
    <row r="551" spans="1:4" x14ac:dyDescent="0.25">
      <c r="A551" t="s">
        <v>417</v>
      </c>
      <c r="B551" t="s">
        <v>321</v>
      </c>
      <c r="C551" s="2">
        <v>2240583000</v>
      </c>
      <c r="D551" s="2">
        <v>1748216000</v>
      </c>
    </row>
    <row r="552" spans="1:4" x14ac:dyDescent="0.25">
      <c r="A552" t="s">
        <v>417</v>
      </c>
      <c r="B552" t="s">
        <v>322</v>
      </c>
      <c r="C552" s="2">
        <v>1221286000</v>
      </c>
      <c r="D552" s="2">
        <v>554461000</v>
      </c>
    </row>
    <row r="553" spans="1:4" x14ac:dyDescent="0.25">
      <c r="A553" t="s">
        <v>417</v>
      </c>
      <c r="B553" t="s">
        <v>323</v>
      </c>
      <c r="C553" s="2">
        <v>646786000</v>
      </c>
      <c r="D553" s="2">
        <v>552713000</v>
      </c>
    </row>
    <row r="554" spans="1:4" x14ac:dyDescent="0.25">
      <c r="A554" t="s">
        <v>417</v>
      </c>
      <c r="B554" t="s">
        <v>324</v>
      </c>
      <c r="C554" s="2">
        <v>896906000</v>
      </c>
      <c r="D554" s="2">
        <v>732609000</v>
      </c>
    </row>
    <row r="555" spans="1:4" x14ac:dyDescent="0.25">
      <c r="A555" t="s">
        <v>417</v>
      </c>
      <c r="B555" t="s">
        <v>325</v>
      </c>
      <c r="C555" s="2">
        <v>1341038000</v>
      </c>
      <c r="D555" s="2">
        <v>941601000</v>
      </c>
    </row>
    <row r="556" spans="1:4" x14ac:dyDescent="0.25">
      <c r="A556" t="s">
        <v>417</v>
      </c>
      <c r="B556" t="s">
        <v>326</v>
      </c>
      <c r="C556" s="2">
        <v>1039212000</v>
      </c>
      <c r="D556" s="2">
        <v>930792000</v>
      </c>
    </row>
    <row r="557" spans="1:4" x14ac:dyDescent="0.25">
      <c r="A557" t="s">
        <v>417</v>
      </c>
      <c r="B557" t="s">
        <v>327</v>
      </c>
      <c r="C557" s="2">
        <v>1742148000</v>
      </c>
      <c r="D557" s="2">
        <v>851180000</v>
      </c>
    </row>
    <row r="558" spans="1:4" x14ac:dyDescent="0.25">
      <c r="A558" t="s">
        <v>417</v>
      </c>
      <c r="B558" t="s">
        <v>328</v>
      </c>
      <c r="C558" s="2">
        <v>1980878000</v>
      </c>
      <c r="D558" s="2">
        <v>1222362000</v>
      </c>
    </row>
    <row r="559" spans="1:4" x14ac:dyDescent="0.25">
      <c r="A559" t="s">
        <v>417</v>
      </c>
      <c r="B559" t="s">
        <v>329</v>
      </c>
      <c r="C559" s="2">
        <v>395848000</v>
      </c>
      <c r="D559" s="2">
        <v>48648000</v>
      </c>
    </row>
    <row r="560" spans="1:4" x14ac:dyDescent="0.25">
      <c r="A560" t="s">
        <v>417</v>
      </c>
      <c r="B560" t="s">
        <v>330</v>
      </c>
      <c r="C560" s="2">
        <v>804568000</v>
      </c>
      <c r="D560" s="2">
        <v>233568000</v>
      </c>
    </row>
    <row r="561" spans="1:4" x14ac:dyDescent="0.25">
      <c r="A561" t="s">
        <v>417</v>
      </c>
      <c r="B561" t="s">
        <v>331</v>
      </c>
      <c r="C561" s="2">
        <v>1034008000</v>
      </c>
      <c r="D561" s="2">
        <v>872285000</v>
      </c>
    </row>
    <row r="562" spans="1:4" x14ac:dyDescent="0.25">
      <c r="A562" t="s">
        <v>417</v>
      </c>
      <c r="B562" t="s">
        <v>332</v>
      </c>
      <c r="C562" s="2">
        <v>1148671000</v>
      </c>
      <c r="D562" s="2">
        <v>335671000</v>
      </c>
    </row>
    <row r="563" spans="1:4" x14ac:dyDescent="0.25">
      <c r="A563" t="s">
        <v>417</v>
      </c>
      <c r="B563" t="s">
        <v>333</v>
      </c>
      <c r="C563" s="2">
        <v>1352482000</v>
      </c>
      <c r="D563" s="2">
        <v>1058982000</v>
      </c>
    </row>
    <row r="564" spans="1:4" x14ac:dyDescent="0.25">
      <c r="A564" t="s">
        <v>417</v>
      </c>
      <c r="B564" t="s">
        <v>334</v>
      </c>
      <c r="C564" s="2">
        <v>2070832000</v>
      </c>
      <c r="D564" s="2">
        <v>1399867000</v>
      </c>
    </row>
    <row r="565" spans="1:4" x14ac:dyDescent="0.25">
      <c r="A565" t="s">
        <v>417</v>
      </c>
      <c r="B565" t="s">
        <v>335</v>
      </c>
      <c r="C565" s="2">
        <v>889058000</v>
      </c>
      <c r="D565" s="2">
        <v>998986000</v>
      </c>
    </row>
    <row r="566" spans="1:4" x14ac:dyDescent="0.25">
      <c r="A566" t="s">
        <v>417</v>
      </c>
      <c r="B566" t="s">
        <v>336</v>
      </c>
      <c r="C566" s="2">
        <v>966983000</v>
      </c>
      <c r="D566" s="2">
        <v>792641000</v>
      </c>
    </row>
    <row r="567" spans="1:4" x14ac:dyDescent="0.25">
      <c r="A567" t="s">
        <v>417</v>
      </c>
      <c r="B567" t="s">
        <v>337</v>
      </c>
      <c r="C567" s="2">
        <v>1340027000</v>
      </c>
      <c r="D567" s="2">
        <v>1340027000</v>
      </c>
    </row>
    <row r="568" spans="1:4" x14ac:dyDescent="0.25">
      <c r="A568" t="s">
        <v>417</v>
      </c>
      <c r="B568" t="s">
        <v>338</v>
      </c>
      <c r="C568" s="2">
        <v>1081858000</v>
      </c>
      <c r="D568" s="2">
        <v>745858000</v>
      </c>
    </row>
    <row r="569" spans="1:4" x14ac:dyDescent="0.25">
      <c r="A569" t="s">
        <v>417</v>
      </c>
      <c r="B569" t="s">
        <v>339</v>
      </c>
      <c r="C569" s="2">
        <v>713453000</v>
      </c>
      <c r="D569" s="2">
        <v>654453000</v>
      </c>
    </row>
    <row r="570" spans="1:4" x14ac:dyDescent="0.25">
      <c r="A570" t="s">
        <v>417</v>
      </c>
      <c r="B570" t="s">
        <v>340</v>
      </c>
      <c r="C570" s="2">
        <v>2640015000</v>
      </c>
      <c r="D570" s="2">
        <v>2025015000</v>
      </c>
    </row>
    <row r="571" spans="1:4" x14ac:dyDescent="0.25">
      <c r="A571" t="s">
        <v>417</v>
      </c>
      <c r="B571" t="s">
        <v>341</v>
      </c>
      <c r="C571" s="2">
        <v>722904000</v>
      </c>
      <c r="D571" s="2">
        <v>1483108000</v>
      </c>
    </row>
    <row r="572" spans="1:4" x14ac:dyDescent="0.25">
      <c r="A572" t="s">
        <v>417</v>
      </c>
      <c r="B572" t="s">
        <v>342</v>
      </c>
      <c r="C572" s="2">
        <v>2568219000</v>
      </c>
      <c r="D572" s="2">
        <v>1538523000</v>
      </c>
    </row>
    <row r="573" spans="1:4" x14ac:dyDescent="0.25">
      <c r="A573" t="s">
        <v>417</v>
      </c>
      <c r="B573" t="s">
        <v>343</v>
      </c>
      <c r="C573" s="2">
        <v>1068528000</v>
      </c>
      <c r="D573" s="2">
        <v>1058528000</v>
      </c>
    </row>
    <row r="574" spans="1:4" x14ac:dyDescent="0.25">
      <c r="A574" t="s">
        <v>417</v>
      </c>
      <c r="B574" t="s">
        <v>344</v>
      </c>
      <c r="C574" s="2">
        <v>1229776000</v>
      </c>
      <c r="D574" s="2">
        <v>919776000</v>
      </c>
    </row>
    <row r="575" spans="1:4" x14ac:dyDescent="0.25">
      <c r="A575" t="s">
        <v>417</v>
      </c>
      <c r="B575" t="s">
        <v>345</v>
      </c>
      <c r="C575" s="2">
        <v>1388718000</v>
      </c>
      <c r="D575" s="2">
        <v>1244508000</v>
      </c>
    </row>
    <row r="576" spans="1:4" x14ac:dyDescent="0.25">
      <c r="A576" t="s">
        <v>417</v>
      </c>
      <c r="B576" t="s">
        <v>346</v>
      </c>
      <c r="C576" s="2">
        <v>566450000</v>
      </c>
      <c r="D576" s="2">
        <v>566450000</v>
      </c>
    </row>
    <row r="577" spans="1:4" x14ac:dyDescent="0.25">
      <c r="A577" t="s">
        <v>417</v>
      </c>
      <c r="B577" t="s">
        <v>347</v>
      </c>
      <c r="C577" s="2">
        <v>1183218000</v>
      </c>
      <c r="D577" s="2">
        <v>621971000</v>
      </c>
    </row>
    <row r="578" spans="1:4" x14ac:dyDescent="0.25">
      <c r="A578" t="s">
        <v>417</v>
      </c>
      <c r="B578" t="s">
        <v>348</v>
      </c>
      <c r="C578" s="2">
        <v>893338000</v>
      </c>
      <c r="D578" s="2">
        <v>754787000</v>
      </c>
    </row>
    <row r="579" spans="1:4" x14ac:dyDescent="0.25">
      <c r="A579" t="s">
        <v>417</v>
      </c>
      <c r="B579" t="s">
        <v>349</v>
      </c>
      <c r="C579" s="2">
        <v>1190066000</v>
      </c>
      <c r="D579" s="2">
        <v>752066000</v>
      </c>
    </row>
    <row r="580" spans="1:4" x14ac:dyDescent="0.25">
      <c r="A580" t="s">
        <v>417</v>
      </c>
      <c r="B580" t="s">
        <v>350</v>
      </c>
      <c r="C580" s="2">
        <v>1159720000</v>
      </c>
      <c r="D580" s="2">
        <v>878720000</v>
      </c>
    </row>
    <row r="581" spans="1:4" x14ac:dyDescent="0.25">
      <c r="A581" t="s">
        <v>417</v>
      </c>
      <c r="B581" t="s">
        <v>414</v>
      </c>
      <c r="C581" s="2">
        <v>532451000</v>
      </c>
      <c r="D581" s="2">
        <v>407451000</v>
      </c>
    </row>
    <row r="582" spans="1:4" x14ac:dyDescent="0.25">
      <c r="A582" t="s">
        <v>417</v>
      </c>
      <c r="B582" t="s">
        <v>351</v>
      </c>
      <c r="C582" s="2">
        <v>378966000</v>
      </c>
      <c r="D582" s="2">
        <v>221776000</v>
      </c>
    </row>
    <row r="583" spans="1:4" x14ac:dyDescent="0.25">
      <c r="A583" t="s">
        <v>417</v>
      </c>
      <c r="B583" t="s">
        <v>352</v>
      </c>
      <c r="C583" s="2">
        <v>771733000</v>
      </c>
      <c r="D583" s="2">
        <v>772261000</v>
      </c>
    </row>
    <row r="584" spans="1:4" x14ac:dyDescent="0.25">
      <c r="A584" t="s">
        <v>417</v>
      </c>
      <c r="B584" t="s">
        <v>353</v>
      </c>
      <c r="C584" s="2">
        <v>896830000</v>
      </c>
      <c r="D584" s="2">
        <v>605414000</v>
      </c>
    </row>
    <row r="585" spans="1:4" x14ac:dyDescent="0.25">
      <c r="A585" t="s">
        <v>417</v>
      </c>
      <c r="B585" t="s">
        <v>354</v>
      </c>
      <c r="C585" s="2">
        <v>558021000</v>
      </c>
      <c r="D585" s="2">
        <v>483021000</v>
      </c>
    </row>
    <row r="586" spans="1:4" x14ac:dyDescent="0.25">
      <c r="A586" t="s">
        <v>417</v>
      </c>
      <c r="B586" t="s">
        <v>355</v>
      </c>
      <c r="C586" s="2">
        <v>1364470000</v>
      </c>
      <c r="D586" s="2">
        <v>1130070000</v>
      </c>
    </row>
    <row r="587" spans="1:4" x14ac:dyDescent="0.25">
      <c r="A587" t="s">
        <v>417</v>
      </c>
      <c r="B587" t="s">
        <v>356</v>
      </c>
      <c r="C587" s="2">
        <v>1092441000</v>
      </c>
      <c r="D587" s="2">
        <v>930441000</v>
      </c>
    </row>
    <row r="588" spans="1:4" x14ac:dyDescent="0.25">
      <c r="A588" t="s">
        <v>417</v>
      </c>
      <c r="B588" t="s">
        <v>357</v>
      </c>
      <c r="C588" s="2">
        <v>582180000</v>
      </c>
      <c r="D588" s="2">
        <v>567180000</v>
      </c>
    </row>
    <row r="589" spans="1:4" x14ac:dyDescent="0.25">
      <c r="A589" t="s">
        <v>417</v>
      </c>
      <c r="B589" t="s">
        <v>358</v>
      </c>
      <c r="C589" s="2">
        <v>835841000</v>
      </c>
      <c r="D589" s="2">
        <v>518841000</v>
      </c>
    </row>
    <row r="590" spans="1:4" x14ac:dyDescent="0.25">
      <c r="A590" t="s">
        <v>417</v>
      </c>
      <c r="B590" t="s">
        <v>359</v>
      </c>
      <c r="C590" s="2">
        <v>1125921000</v>
      </c>
      <c r="D590" s="2">
        <v>425921000</v>
      </c>
    </row>
    <row r="591" spans="1:4" x14ac:dyDescent="0.25">
      <c r="A591" t="s">
        <v>417</v>
      </c>
      <c r="B591" t="s">
        <v>360</v>
      </c>
      <c r="C591" s="2">
        <v>1311506000</v>
      </c>
      <c r="D591" s="2">
        <v>626506000</v>
      </c>
    </row>
    <row r="592" spans="1:4" x14ac:dyDescent="0.25">
      <c r="A592" t="s">
        <v>417</v>
      </c>
      <c r="B592" t="s">
        <v>361</v>
      </c>
      <c r="C592" s="2">
        <v>776623000</v>
      </c>
      <c r="D592" s="2">
        <v>739623000</v>
      </c>
    </row>
    <row r="593" spans="1:4" x14ac:dyDescent="0.25">
      <c r="A593" t="s">
        <v>417</v>
      </c>
      <c r="B593" t="s">
        <v>362</v>
      </c>
      <c r="C593" s="2">
        <v>1082873000</v>
      </c>
      <c r="D593" s="2">
        <v>510352000</v>
      </c>
    </row>
    <row r="594" spans="1:4" x14ac:dyDescent="0.25">
      <c r="A594" t="s">
        <v>417</v>
      </c>
      <c r="B594" t="s">
        <v>363</v>
      </c>
      <c r="C594" s="2">
        <f>916115000+100000000</f>
        <v>1016115000</v>
      </c>
      <c r="D594" s="2">
        <v>676115000</v>
      </c>
    </row>
    <row r="595" spans="1:4" x14ac:dyDescent="0.25">
      <c r="A595" t="s">
        <v>417</v>
      </c>
      <c r="B595" t="s">
        <v>364</v>
      </c>
      <c r="C595" s="2">
        <v>643040000</v>
      </c>
      <c r="D595" s="2">
        <v>498040000</v>
      </c>
    </row>
    <row r="596" spans="1:4" x14ac:dyDescent="0.25">
      <c r="A596" t="s">
        <v>417</v>
      </c>
      <c r="B596" t="s">
        <v>365</v>
      </c>
      <c r="C596" s="2">
        <v>682258000</v>
      </c>
      <c r="D596" s="2">
        <v>527258000</v>
      </c>
    </row>
    <row r="597" spans="1:4" x14ac:dyDescent="0.25">
      <c r="A597" t="s">
        <v>417</v>
      </c>
      <c r="B597" t="s">
        <v>366</v>
      </c>
      <c r="C597" s="2">
        <v>865216000</v>
      </c>
      <c r="D597" s="2">
        <v>849737000</v>
      </c>
    </row>
    <row r="598" spans="1:4" x14ac:dyDescent="0.25">
      <c r="A598" t="s">
        <v>417</v>
      </c>
      <c r="B598" t="s">
        <v>367</v>
      </c>
      <c r="C598" s="2">
        <v>1157444000</v>
      </c>
      <c r="D598" s="2">
        <v>819444000</v>
      </c>
    </row>
    <row r="599" spans="1:4" x14ac:dyDescent="0.25">
      <c r="A599" t="s">
        <v>417</v>
      </c>
      <c r="B599" t="s">
        <v>368</v>
      </c>
      <c r="C599" s="2">
        <v>1574941000</v>
      </c>
      <c r="D599" s="2">
        <v>1047925000</v>
      </c>
    </row>
    <row r="600" spans="1:4" x14ac:dyDescent="0.25">
      <c r="A600" t="s">
        <v>417</v>
      </c>
      <c r="B600" t="s">
        <v>369</v>
      </c>
      <c r="C600" s="2">
        <v>1239842000</v>
      </c>
      <c r="D600" s="2">
        <v>1081436000</v>
      </c>
    </row>
    <row r="601" spans="1:4" x14ac:dyDescent="0.25">
      <c r="A601" t="s">
        <v>417</v>
      </c>
      <c r="B601" t="s">
        <v>370</v>
      </c>
      <c r="C601" s="2">
        <v>2499861000</v>
      </c>
      <c r="D601" s="2">
        <v>1022861000</v>
      </c>
    </row>
    <row r="602" spans="1:4" x14ac:dyDescent="0.25">
      <c r="A602" t="s">
        <v>417</v>
      </c>
      <c r="B602" t="s">
        <v>371</v>
      </c>
      <c r="C602" s="2">
        <v>925112000</v>
      </c>
      <c r="D602" s="2">
        <v>897769000</v>
      </c>
    </row>
    <row r="603" spans="1:4" x14ac:dyDescent="0.25">
      <c r="A603" t="s">
        <v>417</v>
      </c>
      <c r="B603" t="s">
        <v>372</v>
      </c>
      <c r="C603" s="2">
        <v>124477000</v>
      </c>
      <c r="D603" s="2">
        <v>112577000</v>
      </c>
    </row>
    <row r="604" spans="1:4" x14ac:dyDescent="0.25">
      <c r="A604" t="s">
        <v>417</v>
      </c>
      <c r="B604" t="s">
        <v>373</v>
      </c>
      <c r="C604" s="2">
        <v>32603000</v>
      </c>
      <c r="D604" s="2">
        <v>514843000</v>
      </c>
    </row>
    <row r="605" spans="1:4" x14ac:dyDescent="0.25">
      <c r="A605" t="s">
        <v>417</v>
      </c>
      <c r="B605" t="s">
        <v>374</v>
      </c>
      <c r="C605" s="2">
        <v>407144000</v>
      </c>
      <c r="D605" s="2">
        <v>525950000</v>
      </c>
    </row>
    <row r="606" spans="1:4" x14ac:dyDescent="0.25">
      <c r="A606" t="s">
        <v>417</v>
      </c>
      <c r="B606" t="s">
        <v>375</v>
      </c>
      <c r="C606" s="2">
        <v>1988764000</v>
      </c>
      <c r="D606" s="2">
        <v>842935000</v>
      </c>
    </row>
    <row r="607" spans="1:4" x14ac:dyDescent="0.25">
      <c r="A607" t="s">
        <v>417</v>
      </c>
      <c r="B607" t="s">
        <v>376</v>
      </c>
      <c r="C607" s="2">
        <v>426434000</v>
      </c>
      <c r="D607" s="2">
        <v>655099000</v>
      </c>
    </row>
    <row r="608" spans="1:4" x14ac:dyDescent="0.25">
      <c r="A608" t="s">
        <v>417</v>
      </c>
      <c r="B608" t="s">
        <v>377</v>
      </c>
      <c r="C608" s="2">
        <v>1053224000</v>
      </c>
      <c r="D608" s="2">
        <v>692744000</v>
      </c>
    </row>
    <row r="609" spans="1:4" x14ac:dyDescent="0.25">
      <c r="A609" t="s">
        <v>417</v>
      </c>
      <c r="B609" t="s">
        <v>378</v>
      </c>
      <c r="C609" s="2">
        <v>1017041000</v>
      </c>
      <c r="D609" s="2">
        <v>617041000</v>
      </c>
    </row>
    <row r="610" spans="1:4" x14ac:dyDescent="0.25">
      <c r="A610" t="s">
        <v>417</v>
      </c>
      <c r="B610" t="s">
        <v>412</v>
      </c>
      <c r="C610" s="2">
        <v>10000000</v>
      </c>
    </row>
    <row r="611" spans="1:4" x14ac:dyDescent="0.25">
      <c r="A611" t="s">
        <v>417</v>
      </c>
      <c r="B611" t="s">
        <v>379</v>
      </c>
      <c r="C611" s="2">
        <v>700573000</v>
      </c>
      <c r="D611" s="2">
        <v>545573000</v>
      </c>
    </row>
    <row r="612" spans="1:4" x14ac:dyDescent="0.25">
      <c r="A612" t="s">
        <v>417</v>
      </c>
      <c r="B612" t="s">
        <v>380</v>
      </c>
      <c r="C612" s="2">
        <v>1036077000</v>
      </c>
      <c r="D612" s="2">
        <v>946544000</v>
      </c>
    </row>
    <row r="613" spans="1:4" x14ac:dyDescent="0.25">
      <c r="A613" t="s">
        <v>417</v>
      </c>
      <c r="B613" t="s">
        <v>381</v>
      </c>
      <c r="C613" s="2">
        <v>1544978000</v>
      </c>
      <c r="D613" s="2">
        <v>474482000</v>
      </c>
    </row>
    <row r="614" spans="1:4" x14ac:dyDescent="0.25">
      <c r="A614" t="s">
        <v>417</v>
      </c>
      <c r="B614" t="s">
        <v>382</v>
      </c>
      <c r="C614" s="2">
        <v>1114358000</v>
      </c>
      <c r="D614" s="2">
        <v>990855000</v>
      </c>
    </row>
    <row r="615" spans="1:4" x14ac:dyDescent="0.25">
      <c r="A615" t="s">
        <v>417</v>
      </c>
      <c r="B615" t="s">
        <v>383</v>
      </c>
      <c r="C615" s="2">
        <v>1505540000</v>
      </c>
      <c r="D615" s="2">
        <v>775043000</v>
      </c>
    </row>
    <row r="616" spans="1:4" x14ac:dyDescent="0.25">
      <c r="A616" t="s">
        <v>417</v>
      </c>
      <c r="B616" t="s">
        <v>384</v>
      </c>
      <c r="C616" s="2">
        <v>514443000</v>
      </c>
      <c r="D616" s="2">
        <v>474443000</v>
      </c>
    </row>
    <row r="617" spans="1:4" x14ac:dyDescent="0.25">
      <c r="A617" t="s">
        <v>417</v>
      </c>
      <c r="B617" t="s">
        <v>385</v>
      </c>
      <c r="C617" s="2">
        <v>823383000</v>
      </c>
      <c r="D617" s="2">
        <v>893383000</v>
      </c>
    </row>
    <row r="618" spans="1:4" x14ac:dyDescent="0.25">
      <c r="A618" t="s">
        <v>417</v>
      </c>
      <c r="B618" t="s">
        <v>386</v>
      </c>
      <c r="C618" s="2">
        <v>587193000</v>
      </c>
      <c r="D618" s="2">
        <v>450693000</v>
      </c>
    </row>
    <row r="619" spans="1:4" x14ac:dyDescent="0.25">
      <c r="A619" t="s">
        <v>417</v>
      </c>
      <c r="B619" t="s">
        <v>387</v>
      </c>
      <c r="C619" s="2">
        <v>911762000</v>
      </c>
      <c r="D619" s="2">
        <v>671762000</v>
      </c>
    </row>
    <row r="620" spans="1:4" x14ac:dyDescent="0.25">
      <c r="A620" t="s">
        <v>417</v>
      </c>
      <c r="B620" t="s">
        <v>388</v>
      </c>
      <c r="C620" s="2">
        <v>801100000</v>
      </c>
      <c r="D620" s="2">
        <v>755502000</v>
      </c>
    </row>
    <row r="621" spans="1:4" x14ac:dyDescent="0.25">
      <c r="A621" t="s">
        <v>417</v>
      </c>
      <c r="B621" t="s">
        <v>389</v>
      </c>
      <c r="C621" s="2">
        <v>1334345000</v>
      </c>
      <c r="D621" s="2">
        <v>437345000</v>
      </c>
    </row>
    <row r="622" spans="1:4" x14ac:dyDescent="0.25">
      <c r="A622" t="s">
        <v>417</v>
      </c>
      <c r="B622" t="s">
        <v>390</v>
      </c>
      <c r="C622" s="2">
        <v>655607000</v>
      </c>
      <c r="D622" s="2">
        <v>645607000</v>
      </c>
    </row>
    <row r="623" spans="1:4" x14ac:dyDescent="0.25">
      <c r="A623" t="s">
        <v>417</v>
      </c>
      <c r="B623" t="s">
        <v>391</v>
      </c>
      <c r="C623" s="2">
        <v>630355000</v>
      </c>
      <c r="D623" s="2">
        <v>335355000</v>
      </c>
    </row>
    <row r="624" spans="1:4" x14ac:dyDescent="0.25">
      <c r="A624" t="s">
        <v>417</v>
      </c>
      <c r="B624" t="s">
        <v>392</v>
      </c>
      <c r="C624" s="2">
        <v>759088000</v>
      </c>
      <c r="D624" s="2">
        <v>409088000</v>
      </c>
    </row>
    <row r="625" spans="1:4" x14ac:dyDescent="0.25">
      <c r="A625" t="s">
        <v>417</v>
      </c>
      <c r="B625" t="s">
        <v>393</v>
      </c>
      <c r="C625" s="2">
        <v>1496582000</v>
      </c>
      <c r="D625" s="2">
        <v>515382000</v>
      </c>
    </row>
    <row r="626" spans="1:4" x14ac:dyDescent="0.25">
      <c r="A626" t="s">
        <v>417</v>
      </c>
      <c r="B626" t="s">
        <v>394</v>
      </c>
      <c r="C626" s="2">
        <v>885335000</v>
      </c>
      <c r="D626" s="2">
        <v>451744000</v>
      </c>
    </row>
    <row r="627" spans="1:4" x14ac:dyDescent="0.25">
      <c r="A627" t="s">
        <v>417</v>
      </c>
      <c r="B627" t="s">
        <v>395</v>
      </c>
      <c r="C627" s="2">
        <v>629838000</v>
      </c>
      <c r="D627" s="2">
        <v>694136000</v>
      </c>
    </row>
    <row r="628" spans="1:4" x14ac:dyDescent="0.25">
      <c r="A628" t="s">
        <v>417</v>
      </c>
      <c r="B628" t="s">
        <v>396</v>
      </c>
      <c r="C628" s="2">
        <v>704435000</v>
      </c>
      <c r="D628" s="2">
        <v>427435000</v>
      </c>
    </row>
    <row r="629" spans="1:4" x14ac:dyDescent="0.25">
      <c r="A629" t="s">
        <v>417</v>
      </c>
      <c r="B629" t="s">
        <v>397</v>
      </c>
      <c r="C629" s="2">
        <v>1819811000</v>
      </c>
      <c r="D629" s="2">
        <v>1293068000</v>
      </c>
    </row>
    <row r="630" spans="1:4" x14ac:dyDescent="0.25">
      <c r="A630" t="s">
        <v>417</v>
      </c>
      <c r="B630" t="s">
        <v>398</v>
      </c>
      <c r="C630" s="2">
        <v>872527000</v>
      </c>
      <c r="D630" s="2">
        <v>602527000</v>
      </c>
    </row>
    <row r="631" spans="1:4" x14ac:dyDescent="0.25">
      <c r="A631" t="s">
        <v>417</v>
      </c>
      <c r="B631" t="s">
        <v>399</v>
      </c>
      <c r="C631" s="2">
        <v>2705443000</v>
      </c>
      <c r="D631" s="2">
        <v>933443000</v>
      </c>
    </row>
    <row r="632" spans="1:4" x14ac:dyDescent="0.25">
      <c r="A632" t="s">
        <v>417</v>
      </c>
      <c r="B632" t="s">
        <v>400</v>
      </c>
      <c r="C632" s="2">
        <v>947392000</v>
      </c>
      <c r="D632" s="2">
        <v>367392000</v>
      </c>
    </row>
    <row r="633" spans="1:4" x14ac:dyDescent="0.25">
      <c r="A633" t="s">
        <v>417</v>
      </c>
      <c r="B633" t="s">
        <v>401</v>
      </c>
      <c r="C633" s="2">
        <v>869920000</v>
      </c>
      <c r="D633" s="2">
        <v>659920000</v>
      </c>
    </row>
    <row r="634" spans="1:4" x14ac:dyDescent="0.25">
      <c r="A634" t="s">
        <v>417</v>
      </c>
      <c r="B634" t="s">
        <v>402</v>
      </c>
      <c r="C634" s="2">
        <v>587342000</v>
      </c>
      <c r="D634" s="2">
        <v>920008000</v>
      </c>
    </row>
    <row r="635" spans="1:4" x14ac:dyDescent="0.25">
      <c r="A635" t="s">
        <v>417</v>
      </c>
      <c r="B635" t="s">
        <v>403</v>
      </c>
      <c r="C635" s="2">
        <v>1300000000</v>
      </c>
    </row>
    <row r="636" spans="1:4" x14ac:dyDescent="0.25">
      <c r="A636" t="s">
        <v>417</v>
      </c>
      <c r="B636" t="s">
        <v>404</v>
      </c>
      <c r="C636" s="2">
        <v>5000000</v>
      </c>
    </row>
    <row r="637" spans="1:4" x14ac:dyDescent="0.25">
      <c r="A637" t="s">
        <v>417</v>
      </c>
      <c r="B637" s="24" t="s">
        <v>423</v>
      </c>
      <c r="C637" s="2">
        <v>112326000</v>
      </c>
      <c r="D637" s="2">
        <v>32326000</v>
      </c>
    </row>
    <row r="638" spans="1:4" x14ac:dyDescent="0.25">
      <c r="A638" t="s">
        <v>417</v>
      </c>
      <c r="B638" t="s">
        <v>406</v>
      </c>
      <c r="C638" s="2">
        <v>50000000</v>
      </c>
    </row>
    <row r="639" spans="1:4" x14ac:dyDescent="0.25">
      <c r="A639" t="s">
        <v>417</v>
      </c>
      <c r="B639" t="s">
        <v>408</v>
      </c>
      <c r="C639" s="2">
        <v>800000000</v>
      </c>
    </row>
    <row r="640" spans="1:4" x14ac:dyDescent="0.25">
      <c r="A640" t="s">
        <v>417</v>
      </c>
      <c r="B640" t="s">
        <v>410</v>
      </c>
      <c r="C640" s="2">
        <v>27000000</v>
      </c>
    </row>
    <row r="641" spans="1:4" x14ac:dyDescent="0.25">
      <c r="A641" t="s">
        <v>417</v>
      </c>
      <c r="B641" t="s">
        <v>413</v>
      </c>
      <c r="C641" s="2">
        <v>180000000</v>
      </c>
    </row>
    <row r="642" spans="1:4" x14ac:dyDescent="0.25">
      <c r="A642" t="s">
        <v>418</v>
      </c>
      <c r="B642" t="s">
        <v>201</v>
      </c>
      <c r="C642" s="2">
        <v>729072704000</v>
      </c>
      <c r="D642" s="2">
        <v>635307653000</v>
      </c>
    </row>
    <row r="643" spans="1:4" x14ac:dyDescent="0.25">
      <c r="A643" t="s">
        <v>418</v>
      </c>
      <c r="B643" t="s">
        <v>202</v>
      </c>
      <c r="C643" s="2">
        <v>152690000</v>
      </c>
      <c r="D643" s="2">
        <v>152690000</v>
      </c>
    </row>
    <row r="644" spans="1:4" x14ac:dyDescent="0.25">
      <c r="A644" t="s">
        <v>418</v>
      </c>
      <c r="B644" t="s">
        <v>203</v>
      </c>
      <c r="C644" s="2">
        <v>142023000</v>
      </c>
      <c r="D644" s="2">
        <v>142023000</v>
      </c>
    </row>
    <row r="645" spans="1:4" x14ac:dyDescent="0.25">
      <c r="A645" t="s">
        <v>418</v>
      </c>
      <c r="B645" t="s">
        <v>204</v>
      </c>
      <c r="C645" s="2">
        <v>217288000</v>
      </c>
      <c r="D645" s="2">
        <v>217288000</v>
      </c>
    </row>
    <row r="646" spans="1:4" x14ac:dyDescent="0.25">
      <c r="A646" t="s">
        <v>418</v>
      </c>
      <c r="B646" t="s">
        <v>205</v>
      </c>
      <c r="C646" s="2">
        <v>129583000</v>
      </c>
      <c r="D646" s="2">
        <v>129583000</v>
      </c>
    </row>
    <row r="647" spans="1:4" x14ac:dyDescent="0.25">
      <c r="A647" t="s">
        <v>418</v>
      </c>
      <c r="B647" t="s">
        <v>206</v>
      </c>
      <c r="C647" s="2">
        <v>152118000</v>
      </c>
      <c r="D647" s="2">
        <v>152118000</v>
      </c>
    </row>
    <row r="648" spans="1:4" x14ac:dyDescent="0.25">
      <c r="A648" t="s">
        <v>418</v>
      </c>
      <c r="B648" t="s">
        <v>207</v>
      </c>
      <c r="C648" s="2">
        <v>146919000</v>
      </c>
      <c r="D648" s="2">
        <v>146919000</v>
      </c>
    </row>
    <row r="649" spans="1:4" x14ac:dyDescent="0.25">
      <c r="A649" t="s">
        <v>418</v>
      </c>
      <c r="B649" t="s">
        <v>208</v>
      </c>
      <c r="C649" s="2">
        <v>158593000</v>
      </c>
      <c r="D649" s="2">
        <v>158593000</v>
      </c>
    </row>
    <row r="650" spans="1:4" x14ac:dyDescent="0.25">
      <c r="A650" t="s">
        <v>418</v>
      </c>
      <c r="B650" t="s">
        <v>209</v>
      </c>
      <c r="C650" s="2">
        <v>141444000</v>
      </c>
      <c r="D650" s="2">
        <v>141444000</v>
      </c>
    </row>
    <row r="651" spans="1:4" x14ac:dyDescent="0.25">
      <c r="A651" t="s">
        <v>418</v>
      </c>
      <c r="B651" t="s">
        <v>210</v>
      </c>
      <c r="C651" s="2">
        <v>143744000</v>
      </c>
      <c r="D651" s="2">
        <v>143744000</v>
      </c>
    </row>
    <row r="652" spans="1:4" x14ac:dyDescent="0.25">
      <c r="A652" t="s">
        <v>418</v>
      </c>
      <c r="B652" t="s">
        <v>211</v>
      </c>
      <c r="C652" s="2">
        <v>146751000</v>
      </c>
      <c r="D652" s="2">
        <v>146751000</v>
      </c>
    </row>
    <row r="653" spans="1:4" x14ac:dyDescent="0.25">
      <c r="A653" t="s">
        <v>418</v>
      </c>
      <c r="B653" t="s">
        <v>212</v>
      </c>
      <c r="C653" s="2">
        <v>156501000</v>
      </c>
      <c r="D653" s="2">
        <v>156501000</v>
      </c>
    </row>
    <row r="654" spans="1:4" x14ac:dyDescent="0.25">
      <c r="A654" t="s">
        <v>418</v>
      </c>
      <c r="B654" t="s">
        <v>213</v>
      </c>
      <c r="C654" s="2">
        <v>134417000</v>
      </c>
      <c r="D654" s="2">
        <v>134417000</v>
      </c>
    </row>
    <row r="655" spans="1:4" x14ac:dyDescent="0.25">
      <c r="A655" t="s">
        <v>418</v>
      </c>
      <c r="B655" t="s">
        <v>214</v>
      </c>
      <c r="C655" s="2">
        <v>135071000</v>
      </c>
      <c r="D655" s="2">
        <v>135071000</v>
      </c>
    </row>
    <row r="656" spans="1:4" x14ac:dyDescent="0.25">
      <c r="A656" t="s">
        <v>418</v>
      </c>
      <c r="B656" t="s">
        <v>215</v>
      </c>
      <c r="C656" s="2">
        <v>156048000</v>
      </c>
      <c r="D656" s="2">
        <v>156048000</v>
      </c>
    </row>
    <row r="657" spans="1:4" x14ac:dyDescent="0.25">
      <c r="A657" t="s">
        <v>418</v>
      </c>
      <c r="B657" t="s">
        <v>216</v>
      </c>
      <c r="C657" s="2">
        <v>138158000</v>
      </c>
      <c r="D657" s="2">
        <v>138158000</v>
      </c>
    </row>
    <row r="658" spans="1:4" x14ac:dyDescent="0.25">
      <c r="A658" t="s">
        <v>418</v>
      </c>
      <c r="B658" t="s">
        <v>217</v>
      </c>
      <c r="C658" s="2">
        <v>150054000</v>
      </c>
      <c r="D658" s="2">
        <v>150054000</v>
      </c>
    </row>
    <row r="659" spans="1:4" x14ac:dyDescent="0.25">
      <c r="A659" t="s">
        <v>418</v>
      </c>
      <c r="B659" t="s">
        <v>218</v>
      </c>
      <c r="C659" s="2">
        <v>1599270000</v>
      </c>
      <c r="D659" s="2">
        <v>772270000</v>
      </c>
    </row>
    <row r="660" spans="1:4" x14ac:dyDescent="0.25">
      <c r="A660" t="s">
        <v>418</v>
      </c>
      <c r="B660" t="s">
        <v>219</v>
      </c>
      <c r="C660" s="2">
        <v>2196778000</v>
      </c>
      <c r="D660" s="2">
        <v>1863391000</v>
      </c>
    </row>
    <row r="661" spans="1:4" x14ac:dyDescent="0.25">
      <c r="A661" t="s">
        <v>418</v>
      </c>
      <c r="B661" t="s">
        <v>220</v>
      </c>
      <c r="C661" s="2">
        <v>5381319000</v>
      </c>
      <c r="D661" s="2">
        <v>3628379000</v>
      </c>
    </row>
    <row r="662" spans="1:4" x14ac:dyDescent="0.25">
      <c r="A662" t="s">
        <v>418</v>
      </c>
      <c r="B662" t="s">
        <v>221</v>
      </c>
      <c r="C662" s="2">
        <v>1663776000</v>
      </c>
      <c r="D662" s="2">
        <v>1583376000</v>
      </c>
    </row>
    <row r="663" spans="1:4" x14ac:dyDescent="0.25">
      <c r="A663" t="s">
        <v>418</v>
      </c>
      <c r="B663" t="s">
        <v>222</v>
      </c>
      <c r="C663" s="2">
        <v>4722680000</v>
      </c>
      <c r="D663" s="2">
        <v>3381716000</v>
      </c>
    </row>
    <row r="664" spans="1:4" x14ac:dyDescent="0.25">
      <c r="A664" t="s">
        <v>418</v>
      </c>
      <c r="B664" t="s">
        <v>223</v>
      </c>
      <c r="C664" s="2">
        <v>2529156000</v>
      </c>
      <c r="D664" s="2">
        <v>1416156000</v>
      </c>
    </row>
    <row r="665" spans="1:4" x14ac:dyDescent="0.25">
      <c r="A665" t="s">
        <v>418</v>
      </c>
      <c r="B665" t="s">
        <v>224</v>
      </c>
      <c r="C665" s="2">
        <v>4427436000</v>
      </c>
      <c r="D665" s="2">
        <v>2389916000</v>
      </c>
    </row>
    <row r="666" spans="1:4" x14ac:dyDescent="0.25">
      <c r="A666" t="s">
        <v>418</v>
      </c>
      <c r="B666" t="s">
        <v>225</v>
      </c>
      <c r="C666" s="2">
        <v>1869815000</v>
      </c>
      <c r="D666" s="2">
        <v>1353190000</v>
      </c>
    </row>
    <row r="667" spans="1:4" x14ac:dyDescent="0.25">
      <c r="A667" t="s">
        <v>418</v>
      </c>
      <c r="B667" t="s">
        <v>226</v>
      </c>
      <c r="C667" s="2">
        <v>1302026000</v>
      </c>
      <c r="D667" s="2">
        <v>1155845000</v>
      </c>
    </row>
    <row r="668" spans="1:4" x14ac:dyDescent="0.25">
      <c r="A668" t="s">
        <v>418</v>
      </c>
      <c r="B668" t="s">
        <v>227</v>
      </c>
      <c r="C668" s="2">
        <v>5378165000</v>
      </c>
      <c r="D668" s="2">
        <v>4247506000</v>
      </c>
    </row>
    <row r="669" spans="1:4" x14ac:dyDescent="0.25">
      <c r="A669" t="s">
        <v>418</v>
      </c>
      <c r="B669" t="s">
        <v>228</v>
      </c>
      <c r="C669" s="2">
        <v>638717000</v>
      </c>
      <c r="D669" s="2">
        <v>545717000</v>
      </c>
    </row>
    <row r="670" spans="1:4" x14ac:dyDescent="0.25">
      <c r="A670" t="s">
        <v>418</v>
      </c>
      <c r="B670" t="s">
        <v>229</v>
      </c>
      <c r="C670" s="2">
        <v>722912000</v>
      </c>
      <c r="D670" s="2">
        <v>563012000</v>
      </c>
    </row>
    <row r="671" spans="1:4" x14ac:dyDescent="0.25">
      <c r="A671" t="s">
        <v>418</v>
      </c>
      <c r="B671" t="s">
        <v>230</v>
      </c>
      <c r="C671" s="2">
        <v>1287549000</v>
      </c>
      <c r="D671" s="2">
        <v>968137000</v>
      </c>
    </row>
    <row r="672" spans="1:4" x14ac:dyDescent="0.25">
      <c r="A672" t="s">
        <v>418</v>
      </c>
      <c r="B672" t="s">
        <v>231</v>
      </c>
      <c r="C672" s="2">
        <v>954336000</v>
      </c>
      <c r="D672" s="2">
        <v>1059336000</v>
      </c>
    </row>
    <row r="673" spans="1:4" x14ac:dyDescent="0.25">
      <c r="A673" t="s">
        <v>418</v>
      </c>
      <c r="B673" t="s">
        <v>232</v>
      </c>
      <c r="C673" s="2">
        <v>1449648000</v>
      </c>
      <c r="D673" s="2">
        <v>1312148000</v>
      </c>
    </row>
    <row r="674" spans="1:4" x14ac:dyDescent="0.25">
      <c r="A674" t="s">
        <v>418</v>
      </c>
      <c r="B674" t="s">
        <v>233</v>
      </c>
      <c r="C674" s="2">
        <v>1510610000</v>
      </c>
      <c r="D674" s="2">
        <v>1517700000</v>
      </c>
    </row>
    <row r="675" spans="1:4" x14ac:dyDescent="0.25">
      <c r="A675" t="s">
        <v>418</v>
      </c>
      <c r="B675" t="s">
        <v>234</v>
      </c>
      <c r="C675" s="2">
        <v>1241447000</v>
      </c>
      <c r="D675" s="2">
        <v>1211897000</v>
      </c>
    </row>
    <row r="676" spans="1:4" x14ac:dyDescent="0.25">
      <c r="A676" t="s">
        <v>418</v>
      </c>
      <c r="B676" t="s">
        <v>235</v>
      </c>
      <c r="C676" s="2">
        <v>1202132000</v>
      </c>
      <c r="D676" s="2">
        <v>1371232000</v>
      </c>
    </row>
    <row r="677" spans="1:4" x14ac:dyDescent="0.25">
      <c r="A677" t="s">
        <v>418</v>
      </c>
      <c r="B677" t="s">
        <v>236</v>
      </c>
      <c r="C677" s="2">
        <v>3249459000</v>
      </c>
      <c r="D677" s="2">
        <v>2482773000</v>
      </c>
    </row>
    <row r="678" spans="1:4" x14ac:dyDescent="0.25">
      <c r="A678" t="s">
        <v>418</v>
      </c>
      <c r="B678" t="s">
        <v>237</v>
      </c>
      <c r="C678" s="2">
        <v>1338512000</v>
      </c>
      <c r="D678" s="2">
        <v>1089512000</v>
      </c>
    </row>
    <row r="679" spans="1:4" x14ac:dyDescent="0.25">
      <c r="A679" t="s">
        <v>418</v>
      </c>
      <c r="B679" t="s">
        <v>238</v>
      </c>
      <c r="C679" s="2">
        <v>799082000</v>
      </c>
      <c r="D679" s="2">
        <v>682802000</v>
      </c>
    </row>
    <row r="680" spans="1:4" x14ac:dyDescent="0.25">
      <c r="A680" t="s">
        <v>418</v>
      </c>
      <c r="B680" t="s">
        <v>239</v>
      </c>
      <c r="C680" s="2">
        <v>1014122000</v>
      </c>
      <c r="D680" s="2">
        <v>768122000</v>
      </c>
    </row>
    <row r="681" spans="1:4" x14ac:dyDescent="0.25">
      <c r="A681" t="s">
        <v>418</v>
      </c>
      <c r="B681" t="s">
        <v>240</v>
      </c>
      <c r="C681" s="2">
        <v>726128000</v>
      </c>
      <c r="D681" s="2">
        <v>724128000</v>
      </c>
    </row>
    <row r="682" spans="1:4" x14ac:dyDescent="0.25">
      <c r="A682" t="s">
        <v>418</v>
      </c>
      <c r="B682" t="s">
        <v>241</v>
      </c>
      <c r="C682" s="2">
        <v>719615000</v>
      </c>
      <c r="D682" s="2">
        <v>680872000</v>
      </c>
    </row>
    <row r="683" spans="1:4" x14ac:dyDescent="0.25">
      <c r="A683" t="s">
        <v>418</v>
      </c>
      <c r="B683" t="s">
        <v>242</v>
      </c>
      <c r="C683" s="2">
        <v>498482000</v>
      </c>
      <c r="D683" s="2">
        <v>498482000</v>
      </c>
    </row>
    <row r="684" spans="1:4" x14ac:dyDescent="0.25">
      <c r="A684" t="s">
        <v>418</v>
      </c>
      <c r="B684" t="s">
        <v>243</v>
      </c>
      <c r="C684" s="2">
        <v>638104000</v>
      </c>
      <c r="D684" s="2">
        <v>683104000</v>
      </c>
    </row>
    <row r="685" spans="1:4" x14ac:dyDescent="0.25">
      <c r="A685" t="s">
        <v>418</v>
      </c>
      <c r="B685" t="s">
        <v>244</v>
      </c>
      <c r="C685" s="2">
        <v>614226000</v>
      </c>
      <c r="D685" s="2">
        <v>553226000</v>
      </c>
    </row>
    <row r="686" spans="1:4" x14ac:dyDescent="0.25">
      <c r="A686" t="s">
        <v>418</v>
      </c>
      <c r="B686" t="s">
        <v>245</v>
      </c>
      <c r="C686" s="2">
        <v>1357942000</v>
      </c>
      <c r="D686" s="2">
        <v>1354942000</v>
      </c>
    </row>
    <row r="687" spans="1:4" x14ac:dyDescent="0.25">
      <c r="A687" t="s">
        <v>418</v>
      </c>
      <c r="B687" t="s">
        <v>246</v>
      </c>
      <c r="C687" s="2">
        <v>898259000</v>
      </c>
      <c r="D687" s="2">
        <v>763259000</v>
      </c>
    </row>
    <row r="688" spans="1:4" x14ac:dyDescent="0.25">
      <c r="A688" t="s">
        <v>418</v>
      </c>
      <c r="B688" t="s">
        <v>247</v>
      </c>
      <c r="C688" s="2">
        <v>985775000</v>
      </c>
      <c r="D688" s="2">
        <v>887775000</v>
      </c>
    </row>
    <row r="689" spans="1:4" x14ac:dyDescent="0.25">
      <c r="A689" t="s">
        <v>418</v>
      </c>
      <c r="B689" t="s">
        <v>248</v>
      </c>
      <c r="C689" s="2">
        <v>1711774000</v>
      </c>
      <c r="D689" s="2">
        <v>1501529000</v>
      </c>
    </row>
    <row r="690" spans="1:4" x14ac:dyDescent="0.25">
      <c r="A690" t="s">
        <v>418</v>
      </c>
      <c r="B690" t="s">
        <v>249</v>
      </c>
      <c r="C690" s="2">
        <v>1423664000</v>
      </c>
      <c r="D690" s="2">
        <v>986447000</v>
      </c>
    </row>
    <row r="691" spans="1:4" x14ac:dyDescent="0.25">
      <c r="A691" t="s">
        <v>418</v>
      </c>
      <c r="B691" t="s">
        <v>250</v>
      </c>
      <c r="C691" s="2">
        <v>2032643000</v>
      </c>
      <c r="D691" s="2">
        <v>680689000</v>
      </c>
    </row>
    <row r="692" spans="1:4" x14ac:dyDescent="0.25">
      <c r="A692" t="s">
        <v>418</v>
      </c>
      <c r="B692" t="s">
        <v>251</v>
      </c>
      <c r="C692" s="2">
        <v>1240403000</v>
      </c>
      <c r="D692" s="2">
        <v>929718000</v>
      </c>
    </row>
    <row r="693" spans="1:4" x14ac:dyDescent="0.25">
      <c r="A693" t="s">
        <v>418</v>
      </c>
      <c r="B693" t="s">
        <v>252</v>
      </c>
      <c r="C693" s="2">
        <v>1011451000</v>
      </c>
      <c r="D693" s="2">
        <v>444617000</v>
      </c>
    </row>
    <row r="694" spans="1:4" x14ac:dyDescent="0.25">
      <c r="A694" t="s">
        <v>418</v>
      </c>
      <c r="B694" t="s">
        <v>253</v>
      </c>
      <c r="C694" s="2">
        <v>1610432000</v>
      </c>
      <c r="D694" s="2">
        <v>1184038000</v>
      </c>
    </row>
    <row r="695" spans="1:4" x14ac:dyDescent="0.25">
      <c r="A695" t="s">
        <v>418</v>
      </c>
      <c r="B695" t="s">
        <v>254</v>
      </c>
      <c r="C695" s="2">
        <v>2191122000</v>
      </c>
      <c r="D695" s="2">
        <v>1479503000</v>
      </c>
    </row>
    <row r="696" spans="1:4" x14ac:dyDescent="0.25">
      <c r="A696" t="s">
        <v>418</v>
      </c>
      <c r="B696" t="s">
        <v>255</v>
      </c>
      <c r="C696" s="2">
        <v>1007211000</v>
      </c>
      <c r="D696" s="2">
        <v>710251000</v>
      </c>
    </row>
    <row r="697" spans="1:4" x14ac:dyDescent="0.25">
      <c r="A697" t="s">
        <v>418</v>
      </c>
      <c r="B697" t="s">
        <v>256</v>
      </c>
      <c r="C697" s="2">
        <v>526748000</v>
      </c>
      <c r="D697" s="2">
        <v>537976000</v>
      </c>
    </row>
    <row r="698" spans="1:4" x14ac:dyDescent="0.25">
      <c r="A698" t="s">
        <v>418</v>
      </c>
      <c r="B698" t="s">
        <v>257</v>
      </c>
      <c r="C698" s="2">
        <v>885203000</v>
      </c>
      <c r="D698" s="2">
        <v>602892000</v>
      </c>
    </row>
    <row r="699" spans="1:4" x14ac:dyDescent="0.25">
      <c r="A699" t="s">
        <v>418</v>
      </c>
      <c r="B699" t="s">
        <v>258</v>
      </c>
      <c r="C699" s="2">
        <v>2113298000</v>
      </c>
      <c r="D699" s="2">
        <v>2210972000</v>
      </c>
    </row>
    <row r="700" spans="1:4" x14ac:dyDescent="0.25">
      <c r="A700" t="s">
        <v>418</v>
      </c>
      <c r="B700" t="s">
        <v>259</v>
      </c>
      <c r="C700" s="2">
        <v>1116982000</v>
      </c>
      <c r="D700" s="2">
        <v>552748000</v>
      </c>
    </row>
    <row r="701" spans="1:4" x14ac:dyDescent="0.25">
      <c r="A701" t="s">
        <v>418</v>
      </c>
      <c r="B701" t="s">
        <v>260</v>
      </c>
      <c r="C701" s="2">
        <v>1728336000</v>
      </c>
      <c r="D701" s="2">
        <v>1070336000</v>
      </c>
    </row>
    <row r="702" spans="1:4" x14ac:dyDescent="0.25">
      <c r="A702" t="s">
        <v>418</v>
      </c>
      <c r="B702" t="s">
        <v>261</v>
      </c>
      <c r="C702" s="2">
        <v>5356934000</v>
      </c>
      <c r="D702" s="2">
        <v>2689618000</v>
      </c>
    </row>
    <row r="703" spans="1:4" x14ac:dyDescent="0.25">
      <c r="A703" t="s">
        <v>418</v>
      </c>
      <c r="B703" t="s">
        <v>262</v>
      </c>
      <c r="C703" s="2">
        <v>3744555000</v>
      </c>
      <c r="D703" s="2">
        <v>1657861000</v>
      </c>
    </row>
    <row r="704" spans="1:4" x14ac:dyDescent="0.25">
      <c r="A704" t="s">
        <v>418</v>
      </c>
      <c r="B704" t="s">
        <v>263</v>
      </c>
      <c r="C704" s="2">
        <v>1749642000</v>
      </c>
      <c r="D704" s="2">
        <v>1172266000</v>
      </c>
    </row>
    <row r="705" spans="1:4" x14ac:dyDescent="0.25">
      <c r="A705" t="s">
        <v>418</v>
      </c>
      <c r="B705" t="s">
        <v>264</v>
      </c>
      <c r="C705" s="2">
        <v>1243441000</v>
      </c>
      <c r="D705" s="2">
        <v>1236570000</v>
      </c>
    </row>
    <row r="706" spans="1:4" x14ac:dyDescent="0.25">
      <c r="A706" t="s">
        <v>418</v>
      </c>
      <c r="B706" t="s">
        <v>265</v>
      </c>
      <c r="C706" s="2">
        <v>1423322000</v>
      </c>
      <c r="D706" s="2">
        <v>1011823000</v>
      </c>
    </row>
    <row r="707" spans="1:4" x14ac:dyDescent="0.25">
      <c r="A707" t="s">
        <v>418</v>
      </c>
      <c r="B707" t="s">
        <v>266</v>
      </c>
      <c r="C707" s="2">
        <v>2472988000</v>
      </c>
      <c r="D707" s="2">
        <v>1389061000</v>
      </c>
    </row>
    <row r="708" spans="1:4" x14ac:dyDescent="0.25">
      <c r="A708" t="s">
        <v>418</v>
      </c>
      <c r="B708" t="s">
        <v>267</v>
      </c>
      <c r="C708" s="2">
        <v>1138337000</v>
      </c>
      <c r="D708" s="2">
        <v>1337337000</v>
      </c>
    </row>
    <row r="709" spans="1:4" x14ac:dyDescent="0.25">
      <c r="A709" t="s">
        <v>418</v>
      </c>
      <c r="B709" t="s">
        <v>268</v>
      </c>
      <c r="C709" s="2">
        <v>1298829000</v>
      </c>
      <c r="D709" s="2">
        <v>1027829000</v>
      </c>
    </row>
    <row r="710" spans="1:4" x14ac:dyDescent="0.25">
      <c r="A710" t="s">
        <v>418</v>
      </c>
      <c r="B710" t="s">
        <v>269</v>
      </c>
      <c r="C710" s="2">
        <v>3730170000</v>
      </c>
      <c r="D710" s="2">
        <v>2006570000</v>
      </c>
    </row>
    <row r="711" spans="1:4" x14ac:dyDescent="0.25">
      <c r="A711" t="s">
        <v>418</v>
      </c>
      <c r="B711" t="s">
        <v>270</v>
      </c>
      <c r="C711" s="2">
        <v>2700324000</v>
      </c>
      <c r="D711" s="2">
        <v>614054000</v>
      </c>
    </row>
    <row r="712" spans="1:4" x14ac:dyDescent="0.25">
      <c r="A712" t="s">
        <v>418</v>
      </c>
      <c r="B712" t="s">
        <v>271</v>
      </c>
      <c r="C712" s="2">
        <v>966780000</v>
      </c>
      <c r="D712" s="2">
        <v>592189000</v>
      </c>
    </row>
    <row r="713" spans="1:4" x14ac:dyDescent="0.25">
      <c r="A713" t="s">
        <v>418</v>
      </c>
      <c r="B713" t="s">
        <v>272</v>
      </c>
      <c r="C713" s="2">
        <v>1321402000</v>
      </c>
      <c r="D713" s="2">
        <v>838947000</v>
      </c>
    </row>
    <row r="714" spans="1:4" x14ac:dyDescent="0.25">
      <c r="A714" t="s">
        <v>418</v>
      </c>
      <c r="B714" t="s">
        <v>273</v>
      </c>
      <c r="C714" s="2">
        <v>1905196000</v>
      </c>
      <c r="D714" s="2">
        <v>1276557000</v>
      </c>
    </row>
    <row r="715" spans="1:4" x14ac:dyDescent="0.25">
      <c r="A715" t="s">
        <v>418</v>
      </c>
      <c r="B715" t="s">
        <v>274</v>
      </c>
      <c r="C715" s="2">
        <v>1323126000</v>
      </c>
      <c r="D715" s="2">
        <v>1020785000</v>
      </c>
    </row>
    <row r="716" spans="1:4" x14ac:dyDescent="0.25">
      <c r="A716" t="s">
        <v>418</v>
      </c>
      <c r="B716" t="s">
        <v>275</v>
      </c>
      <c r="C716" s="2">
        <v>3059776000</v>
      </c>
      <c r="D716" s="2">
        <v>1102276000</v>
      </c>
    </row>
    <row r="717" spans="1:4" x14ac:dyDescent="0.25">
      <c r="A717" t="s">
        <v>418</v>
      </c>
      <c r="B717" t="s">
        <v>276</v>
      </c>
      <c r="C717" s="2">
        <v>1488163000</v>
      </c>
      <c r="D717" s="2">
        <v>1238663000</v>
      </c>
    </row>
    <row r="718" spans="1:4" x14ac:dyDescent="0.25">
      <c r="A718" t="s">
        <v>418</v>
      </c>
      <c r="B718" t="s">
        <v>277</v>
      </c>
      <c r="C718" s="2">
        <v>3226537000</v>
      </c>
      <c r="D718" s="2">
        <v>1671537000</v>
      </c>
    </row>
    <row r="719" spans="1:4" x14ac:dyDescent="0.25">
      <c r="A719" t="s">
        <v>418</v>
      </c>
      <c r="B719" t="s">
        <v>278</v>
      </c>
      <c r="C719" s="2">
        <v>1501414000</v>
      </c>
      <c r="D719" s="2">
        <v>1525271000</v>
      </c>
    </row>
    <row r="720" spans="1:4" x14ac:dyDescent="0.25">
      <c r="A720" t="s">
        <v>418</v>
      </c>
      <c r="B720" t="s">
        <v>279</v>
      </c>
      <c r="C720" s="2">
        <v>1107716000</v>
      </c>
      <c r="D720" s="2">
        <v>525476000</v>
      </c>
    </row>
    <row r="721" spans="1:4" x14ac:dyDescent="0.25">
      <c r="A721" t="s">
        <v>418</v>
      </c>
      <c r="B721" t="s">
        <v>280</v>
      </c>
      <c r="C721" s="2">
        <v>3019525000</v>
      </c>
      <c r="D721" s="2">
        <v>2010782000</v>
      </c>
    </row>
    <row r="722" spans="1:4" x14ac:dyDescent="0.25">
      <c r="A722" t="s">
        <v>418</v>
      </c>
      <c r="B722" t="s">
        <v>281</v>
      </c>
      <c r="C722" s="2">
        <v>2242840000</v>
      </c>
      <c r="D722" s="2">
        <v>771952000</v>
      </c>
    </row>
    <row r="723" spans="1:4" x14ac:dyDescent="0.25">
      <c r="A723" t="s">
        <v>418</v>
      </c>
      <c r="B723" t="s">
        <v>282</v>
      </c>
      <c r="C723" s="2">
        <v>876533000</v>
      </c>
      <c r="D723" s="2">
        <v>1088388000</v>
      </c>
    </row>
    <row r="724" spans="1:4" x14ac:dyDescent="0.25">
      <c r="A724" t="s">
        <v>418</v>
      </c>
      <c r="B724" t="s">
        <v>283</v>
      </c>
      <c r="C724" s="2">
        <v>1858616000</v>
      </c>
      <c r="D724" s="2">
        <v>1118616000</v>
      </c>
    </row>
    <row r="725" spans="1:4" x14ac:dyDescent="0.25">
      <c r="A725" t="s">
        <v>418</v>
      </c>
      <c r="B725" t="s">
        <v>284</v>
      </c>
      <c r="C725" s="2">
        <v>1936704000</v>
      </c>
      <c r="D725" s="2">
        <v>1586342000</v>
      </c>
    </row>
    <row r="726" spans="1:4" x14ac:dyDescent="0.25">
      <c r="A726" t="s">
        <v>418</v>
      </c>
      <c r="B726" t="s">
        <v>285</v>
      </c>
      <c r="C726" s="2">
        <v>2932602000</v>
      </c>
      <c r="D726" s="2">
        <v>1985283000</v>
      </c>
    </row>
    <row r="727" spans="1:4" x14ac:dyDescent="0.25">
      <c r="A727" t="s">
        <v>418</v>
      </c>
      <c r="B727" t="s">
        <v>286</v>
      </c>
      <c r="C727" s="2">
        <v>1604022000</v>
      </c>
      <c r="D727" s="2">
        <v>1043276000</v>
      </c>
    </row>
    <row r="728" spans="1:4" x14ac:dyDescent="0.25">
      <c r="A728" t="s">
        <v>418</v>
      </c>
      <c r="B728" t="s">
        <v>287</v>
      </c>
      <c r="C728" s="2">
        <v>1026095000</v>
      </c>
      <c r="D728" s="2">
        <v>583395000</v>
      </c>
    </row>
    <row r="729" spans="1:4" x14ac:dyDescent="0.25">
      <c r="A729" t="s">
        <v>418</v>
      </c>
      <c r="B729" t="s">
        <v>288</v>
      </c>
      <c r="C729" s="2">
        <v>1346562000</v>
      </c>
      <c r="D729" s="2">
        <v>694804000</v>
      </c>
    </row>
    <row r="730" spans="1:4" x14ac:dyDescent="0.25">
      <c r="A730" t="s">
        <v>418</v>
      </c>
      <c r="B730" t="s">
        <v>289</v>
      </c>
      <c r="C730" s="2">
        <v>2001524000</v>
      </c>
      <c r="D730" s="2">
        <v>850524000</v>
      </c>
    </row>
    <row r="731" spans="1:4" x14ac:dyDescent="0.25">
      <c r="A731" t="s">
        <v>418</v>
      </c>
      <c r="B731" t="s">
        <v>290</v>
      </c>
      <c r="C731" s="2">
        <v>1243657000</v>
      </c>
      <c r="D731" s="2">
        <v>1071361000</v>
      </c>
    </row>
    <row r="732" spans="1:4" x14ac:dyDescent="0.25">
      <c r="A732" t="s">
        <v>418</v>
      </c>
      <c r="B732" t="s">
        <v>291</v>
      </c>
      <c r="C732" s="2">
        <v>1227617000</v>
      </c>
      <c r="D732" s="2">
        <v>1170617000</v>
      </c>
    </row>
    <row r="733" spans="1:4" x14ac:dyDescent="0.25">
      <c r="A733" t="s">
        <v>418</v>
      </c>
      <c r="B733" t="s">
        <v>292</v>
      </c>
      <c r="C733" s="2">
        <v>655696000</v>
      </c>
      <c r="D733" s="2">
        <v>687492000</v>
      </c>
    </row>
    <row r="734" spans="1:4" x14ac:dyDescent="0.25">
      <c r="A734" t="s">
        <v>418</v>
      </c>
      <c r="B734" t="s">
        <v>293</v>
      </c>
      <c r="C734" s="2">
        <v>1416296000</v>
      </c>
      <c r="D734" s="2">
        <v>898056000</v>
      </c>
    </row>
    <row r="735" spans="1:4" x14ac:dyDescent="0.25">
      <c r="A735" t="s">
        <v>418</v>
      </c>
      <c r="B735" t="s">
        <v>294</v>
      </c>
      <c r="C735" s="2">
        <v>1277269000</v>
      </c>
      <c r="D735" s="2">
        <v>732269000</v>
      </c>
    </row>
    <row r="736" spans="1:4" x14ac:dyDescent="0.25">
      <c r="A736" t="s">
        <v>418</v>
      </c>
      <c r="B736" t="s">
        <v>295</v>
      </c>
      <c r="C736" s="2">
        <v>1538394000</v>
      </c>
      <c r="D736" s="2">
        <v>1549923000</v>
      </c>
    </row>
    <row r="737" spans="1:4" x14ac:dyDescent="0.25">
      <c r="A737" t="s">
        <v>418</v>
      </c>
      <c r="B737" t="s">
        <v>296</v>
      </c>
      <c r="C737" s="2">
        <v>2974759000</v>
      </c>
      <c r="D737" s="2">
        <v>1033798000</v>
      </c>
    </row>
    <row r="738" spans="1:4" x14ac:dyDescent="0.25">
      <c r="A738" t="s">
        <v>418</v>
      </c>
      <c r="B738" t="s">
        <v>297</v>
      </c>
      <c r="C738" s="2">
        <v>836404000</v>
      </c>
      <c r="D738" s="2">
        <v>617104000</v>
      </c>
    </row>
    <row r="739" spans="1:4" x14ac:dyDescent="0.25">
      <c r="A739" t="s">
        <v>418</v>
      </c>
      <c r="B739" t="s">
        <v>298</v>
      </c>
      <c r="C739" s="2">
        <v>1145619000</v>
      </c>
      <c r="D739" s="2">
        <v>463881000</v>
      </c>
    </row>
    <row r="740" spans="1:4" x14ac:dyDescent="0.25">
      <c r="A740" t="s">
        <v>418</v>
      </c>
      <c r="B740" t="s">
        <v>299</v>
      </c>
      <c r="C740" s="2">
        <v>1206399000</v>
      </c>
      <c r="D740" s="2">
        <v>500844000</v>
      </c>
    </row>
    <row r="741" spans="1:4" x14ac:dyDescent="0.25">
      <c r="A741" t="s">
        <v>418</v>
      </c>
      <c r="B741" t="s">
        <v>300</v>
      </c>
      <c r="C741" s="2">
        <v>638558000</v>
      </c>
      <c r="D741" s="2">
        <v>410151000</v>
      </c>
    </row>
    <row r="742" spans="1:4" x14ac:dyDescent="0.25">
      <c r="A742" t="s">
        <v>418</v>
      </c>
      <c r="B742" t="s">
        <v>301</v>
      </c>
      <c r="C742" s="2">
        <v>1054177000</v>
      </c>
      <c r="D742" s="2">
        <v>497638000</v>
      </c>
    </row>
    <row r="743" spans="1:4" x14ac:dyDescent="0.25">
      <c r="A743" t="s">
        <v>418</v>
      </c>
      <c r="B743" t="s">
        <v>302</v>
      </c>
      <c r="C743" s="2">
        <v>554988000</v>
      </c>
      <c r="D743" s="2">
        <v>590588000</v>
      </c>
    </row>
    <row r="744" spans="1:4" x14ac:dyDescent="0.25">
      <c r="A744" t="s">
        <v>418</v>
      </c>
      <c r="B744" t="s">
        <v>303</v>
      </c>
      <c r="C744" s="2">
        <v>636192000</v>
      </c>
      <c r="D744" s="2">
        <v>433940000</v>
      </c>
    </row>
    <row r="745" spans="1:4" x14ac:dyDescent="0.25">
      <c r="A745" t="s">
        <v>418</v>
      </c>
      <c r="B745" t="s">
        <v>304</v>
      </c>
      <c r="C745" s="2">
        <v>1018137000</v>
      </c>
      <c r="D745" s="2">
        <v>694895000</v>
      </c>
    </row>
    <row r="746" spans="1:4" x14ac:dyDescent="0.25">
      <c r="A746" t="s">
        <v>418</v>
      </c>
      <c r="B746" t="s">
        <v>305</v>
      </c>
      <c r="C746" s="2">
        <v>754487000</v>
      </c>
      <c r="D746" s="2">
        <v>724487000</v>
      </c>
    </row>
    <row r="747" spans="1:4" x14ac:dyDescent="0.25">
      <c r="A747" t="s">
        <v>418</v>
      </c>
      <c r="B747" t="s">
        <v>306</v>
      </c>
      <c r="C747" s="2">
        <v>997115000</v>
      </c>
      <c r="D747" s="2">
        <v>762115000</v>
      </c>
    </row>
    <row r="748" spans="1:4" x14ac:dyDescent="0.25">
      <c r="A748" t="s">
        <v>418</v>
      </c>
      <c r="B748" t="s">
        <v>307</v>
      </c>
      <c r="C748" s="2">
        <v>940844000</v>
      </c>
      <c r="D748" s="2">
        <v>750844000</v>
      </c>
    </row>
    <row r="749" spans="1:4" x14ac:dyDescent="0.25">
      <c r="A749" t="s">
        <v>418</v>
      </c>
      <c r="B749" t="s">
        <v>308</v>
      </c>
      <c r="C749" s="2">
        <v>2971014000</v>
      </c>
      <c r="D749" s="2">
        <v>433143000</v>
      </c>
    </row>
    <row r="750" spans="1:4" x14ac:dyDescent="0.25">
      <c r="A750" t="s">
        <v>418</v>
      </c>
      <c r="B750" t="s">
        <v>309</v>
      </c>
      <c r="C750" s="2">
        <v>2227686000</v>
      </c>
      <c r="D750" s="2">
        <v>1003040000</v>
      </c>
    </row>
    <row r="751" spans="1:4" x14ac:dyDescent="0.25">
      <c r="A751" t="s">
        <v>418</v>
      </c>
      <c r="B751" t="s">
        <v>310</v>
      </c>
      <c r="C751" s="2">
        <v>1418161000</v>
      </c>
      <c r="D751" s="2">
        <v>783831000</v>
      </c>
    </row>
    <row r="752" spans="1:4" x14ac:dyDescent="0.25">
      <c r="A752" t="s">
        <v>418</v>
      </c>
      <c r="B752" t="s">
        <v>311</v>
      </c>
      <c r="C752" s="2">
        <v>1517822000</v>
      </c>
      <c r="D752" s="2">
        <v>986584000</v>
      </c>
    </row>
    <row r="753" spans="1:4" x14ac:dyDescent="0.25">
      <c r="A753" t="s">
        <v>418</v>
      </c>
      <c r="B753" t="s">
        <v>312</v>
      </c>
      <c r="C753" s="2">
        <v>856692000</v>
      </c>
      <c r="D753" s="2">
        <v>612692000</v>
      </c>
    </row>
    <row r="754" spans="1:4" x14ac:dyDescent="0.25">
      <c r="A754" t="s">
        <v>418</v>
      </c>
      <c r="B754" t="s">
        <v>313</v>
      </c>
      <c r="C754" s="2">
        <v>564473000</v>
      </c>
      <c r="D754" s="2">
        <v>297573000</v>
      </c>
    </row>
    <row r="755" spans="1:4" x14ac:dyDescent="0.25">
      <c r="A755" t="s">
        <v>418</v>
      </c>
      <c r="B755" t="s">
        <v>314</v>
      </c>
      <c r="C755" s="2">
        <v>899742000</v>
      </c>
      <c r="D755" s="2">
        <v>741742000</v>
      </c>
    </row>
    <row r="756" spans="1:4" x14ac:dyDescent="0.25">
      <c r="A756" t="s">
        <v>418</v>
      </c>
      <c r="B756" t="s">
        <v>315</v>
      </c>
      <c r="C756" s="2">
        <v>874970000</v>
      </c>
      <c r="D756" s="2">
        <v>525555000</v>
      </c>
    </row>
    <row r="757" spans="1:4" x14ac:dyDescent="0.25">
      <c r="A757" t="s">
        <v>418</v>
      </c>
      <c r="B757" t="s">
        <v>316</v>
      </c>
      <c r="C757" s="2">
        <v>1008037000</v>
      </c>
      <c r="D757" s="2">
        <v>711177000</v>
      </c>
    </row>
    <row r="758" spans="1:4" x14ac:dyDescent="0.25">
      <c r="A758" t="s">
        <v>418</v>
      </c>
      <c r="B758" t="s">
        <v>317</v>
      </c>
      <c r="C758" s="2">
        <v>1649688000</v>
      </c>
      <c r="D758" s="2">
        <v>1031688000</v>
      </c>
    </row>
    <row r="759" spans="1:4" x14ac:dyDescent="0.25">
      <c r="A759" t="s">
        <v>418</v>
      </c>
      <c r="B759" t="s">
        <v>318</v>
      </c>
      <c r="C759" s="2">
        <v>2681103000</v>
      </c>
      <c r="D759" s="2">
        <v>1925953000</v>
      </c>
    </row>
    <row r="760" spans="1:4" x14ac:dyDescent="0.25">
      <c r="A760" t="s">
        <v>418</v>
      </c>
      <c r="B760" t="s">
        <v>319</v>
      </c>
      <c r="C760" s="2">
        <v>1121291000</v>
      </c>
      <c r="D760" s="2">
        <v>925820000</v>
      </c>
    </row>
    <row r="761" spans="1:4" x14ac:dyDescent="0.25">
      <c r="A761" t="s">
        <v>418</v>
      </c>
      <c r="B761" t="s">
        <v>320</v>
      </c>
      <c r="C761" s="2">
        <v>1626025000</v>
      </c>
      <c r="D761" s="2">
        <v>461198000</v>
      </c>
    </row>
    <row r="762" spans="1:4" x14ac:dyDescent="0.25">
      <c r="A762" t="s">
        <v>418</v>
      </c>
      <c r="B762" t="s">
        <v>321</v>
      </c>
      <c r="C762" s="2">
        <v>1555517000</v>
      </c>
      <c r="D762" s="2">
        <v>1115609000</v>
      </c>
    </row>
    <row r="763" spans="1:4" x14ac:dyDescent="0.25">
      <c r="A763" t="s">
        <v>418</v>
      </c>
      <c r="B763" t="s">
        <v>322</v>
      </c>
      <c r="C763" s="2">
        <v>1290977000</v>
      </c>
      <c r="D763" s="2">
        <v>713211000</v>
      </c>
    </row>
    <row r="764" spans="1:4" x14ac:dyDescent="0.25">
      <c r="A764" t="s">
        <v>418</v>
      </c>
      <c r="B764" t="s">
        <v>323</v>
      </c>
      <c r="C764" s="2">
        <v>900893000</v>
      </c>
      <c r="D764" s="2">
        <v>685893000</v>
      </c>
    </row>
    <row r="765" spans="1:4" x14ac:dyDescent="0.25">
      <c r="A765" t="s">
        <v>418</v>
      </c>
      <c r="B765" t="s">
        <v>324</v>
      </c>
      <c r="C765" s="2">
        <v>809018000</v>
      </c>
      <c r="D765" s="2">
        <v>531318000</v>
      </c>
    </row>
    <row r="766" spans="1:4" x14ac:dyDescent="0.25">
      <c r="A766" t="s">
        <v>418</v>
      </c>
      <c r="B766" t="s">
        <v>325</v>
      </c>
      <c r="C766" s="2">
        <v>1468301000</v>
      </c>
      <c r="D766" s="2">
        <v>790179000</v>
      </c>
    </row>
    <row r="767" spans="1:4" x14ac:dyDescent="0.25">
      <c r="A767" t="s">
        <v>418</v>
      </c>
      <c r="B767" t="s">
        <v>326</v>
      </c>
      <c r="C767" s="2">
        <v>1339807000</v>
      </c>
      <c r="D767" s="2">
        <v>958020000</v>
      </c>
    </row>
    <row r="768" spans="1:4" x14ac:dyDescent="0.25">
      <c r="A768" t="s">
        <v>418</v>
      </c>
      <c r="B768" t="s">
        <v>327</v>
      </c>
      <c r="C768" s="2">
        <v>2254570000</v>
      </c>
      <c r="D768" s="2">
        <v>907570000</v>
      </c>
    </row>
    <row r="769" spans="1:4" x14ac:dyDescent="0.25">
      <c r="A769" t="s">
        <v>418</v>
      </c>
      <c r="B769" t="s">
        <v>328</v>
      </c>
      <c r="C769" s="2">
        <v>1012594000</v>
      </c>
      <c r="D769" s="2">
        <v>1080852000</v>
      </c>
    </row>
    <row r="770" spans="1:4" x14ac:dyDescent="0.25">
      <c r="A770" t="s">
        <v>418</v>
      </c>
      <c r="B770" t="s">
        <v>329</v>
      </c>
      <c r="C770" s="2">
        <v>1240670000</v>
      </c>
      <c r="D770" s="2">
        <v>776038000</v>
      </c>
    </row>
    <row r="771" spans="1:4" x14ac:dyDescent="0.25">
      <c r="A771" t="s">
        <v>418</v>
      </c>
      <c r="B771" t="s">
        <v>330</v>
      </c>
      <c r="C771" s="2">
        <v>1998231000</v>
      </c>
      <c r="D771" s="2">
        <v>1380731000</v>
      </c>
    </row>
    <row r="772" spans="1:4" x14ac:dyDescent="0.25">
      <c r="A772" t="s">
        <v>418</v>
      </c>
      <c r="B772" t="s">
        <v>331</v>
      </c>
      <c r="C772" s="2">
        <v>1290986000</v>
      </c>
      <c r="D772" s="2">
        <v>1032986000</v>
      </c>
    </row>
    <row r="773" spans="1:4" x14ac:dyDescent="0.25">
      <c r="A773" t="s">
        <v>418</v>
      </c>
      <c r="B773" t="s">
        <v>332</v>
      </c>
      <c r="C773" s="2">
        <v>1015033000</v>
      </c>
      <c r="D773" s="2">
        <v>661233000</v>
      </c>
    </row>
    <row r="774" spans="1:4" x14ac:dyDescent="0.25">
      <c r="A774" t="s">
        <v>418</v>
      </c>
      <c r="B774" t="s">
        <v>333</v>
      </c>
      <c r="C774" s="2">
        <v>1296739000</v>
      </c>
      <c r="D774" s="2">
        <v>1024739000</v>
      </c>
    </row>
    <row r="775" spans="1:4" x14ac:dyDescent="0.25">
      <c r="A775" t="s">
        <v>418</v>
      </c>
      <c r="B775" t="s">
        <v>334</v>
      </c>
      <c r="C775" s="2">
        <v>2054647000</v>
      </c>
      <c r="D775" s="2">
        <v>1179900000</v>
      </c>
    </row>
    <row r="776" spans="1:4" x14ac:dyDescent="0.25">
      <c r="A776" t="s">
        <v>418</v>
      </c>
      <c r="B776" t="s">
        <v>335</v>
      </c>
      <c r="C776" s="2">
        <v>1149721000</v>
      </c>
      <c r="D776" s="2">
        <v>1129721000</v>
      </c>
    </row>
    <row r="777" spans="1:4" x14ac:dyDescent="0.25">
      <c r="A777" t="s">
        <v>418</v>
      </c>
      <c r="B777" t="s">
        <v>336</v>
      </c>
      <c r="C777" s="2">
        <v>1443619000</v>
      </c>
      <c r="D777" s="2">
        <v>862223000</v>
      </c>
    </row>
    <row r="778" spans="1:4" x14ac:dyDescent="0.25">
      <c r="A778" t="s">
        <v>418</v>
      </c>
      <c r="B778" t="s">
        <v>337</v>
      </c>
      <c r="C778" s="2">
        <v>1231018000</v>
      </c>
      <c r="D778" s="2">
        <v>1300325000</v>
      </c>
    </row>
    <row r="779" spans="1:4" x14ac:dyDescent="0.25">
      <c r="A779" t="s">
        <v>418</v>
      </c>
      <c r="B779" t="s">
        <v>338</v>
      </c>
      <c r="C779" s="2">
        <v>725724000</v>
      </c>
      <c r="D779" s="2">
        <v>704524000</v>
      </c>
    </row>
    <row r="780" spans="1:4" x14ac:dyDescent="0.25">
      <c r="A780" t="s">
        <v>418</v>
      </c>
      <c r="B780" t="s">
        <v>339</v>
      </c>
      <c r="C780" s="2">
        <v>1762738000</v>
      </c>
      <c r="D780" s="2">
        <v>1319833000</v>
      </c>
    </row>
    <row r="781" spans="1:4" x14ac:dyDescent="0.25">
      <c r="A781" t="s">
        <v>418</v>
      </c>
      <c r="B781" t="s">
        <v>340</v>
      </c>
      <c r="C781" s="2">
        <v>1525100000</v>
      </c>
      <c r="D781" s="2">
        <v>1081600000</v>
      </c>
    </row>
    <row r="782" spans="1:4" x14ac:dyDescent="0.25">
      <c r="A782" t="s">
        <v>418</v>
      </c>
      <c r="B782" t="s">
        <v>341</v>
      </c>
      <c r="C782" s="2">
        <v>780949000</v>
      </c>
      <c r="D782" s="2">
        <v>705449000</v>
      </c>
    </row>
    <row r="783" spans="1:4" x14ac:dyDescent="0.25">
      <c r="A783" t="s">
        <v>418</v>
      </c>
      <c r="B783" t="s">
        <v>342</v>
      </c>
      <c r="C783" s="2">
        <v>1922445000</v>
      </c>
      <c r="D783" s="2">
        <v>1155702000</v>
      </c>
    </row>
    <row r="784" spans="1:4" x14ac:dyDescent="0.25">
      <c r="A784" t="s">
        <v>418</v>
      </c>
      <c r="B784" t="s">
        <v>343</v>
      </c>
      <c r="C784" s="2">
        <v>1575701000</v>
      </c>
      <c r="D784" s="2">
        <v>1476322000</v>
      </c>
    </row>
    <row r="785" spans="1:4" x14ac:dyDescent="0.25">
      <c r="A785" t="s">
        <v>418</v>
      </c>
      <c r="B785" t="s">
        <v>344</v>
      </c>
      <c r="C785" s="2">
        <v>1721283000</v>
      </c>
      <c r="D785" s="2">
        <v>1282783000</v>
      </c>
    </row>
    <row r="786" spans="1:4" x14ac:dyDescent="0.25">
      <c r="A786" t="s">
        <v>418</v>
      </c>
      <c r="B786" t="s">
        <v>345</v>
      </c>
      <c r="C786" s="2">
        <v>1298481000</v>
      </c>
      <c r="D786" s="2">
        <v>719015000</v>
      </c>
    </row>
    <row r="787" spans="1:4" x14ac:dyDescent="0.25">
      <c r="A787" t="s">
        <v>418</v>
      </c>
      <c r="B787" t="s">
        <v>346</v>
      </c>
      <c r="C787" s="2">
        <v>1064315000</v>
      </c>
      <c r="D787" s="2">
        <v>787871000</v>
      </c>
    </row>
    <row r="788" spans="1:4" x14ac:dyDescent="0.25">
      <c r="A788" t="s">
        <v>418</v>
      </c>
      <c r="B788" t="s">
        <v>347</v>
      </c>
      <c r="C788" s="2">
        <v>882586000</v>
      </c>
      <c r="D788" s="2">
        <v>747699000</v>
      </c>
    </row>
    <row r="789" spans="1:4" x14ac:dyDescent="0.25">
      <c r="A789" t="s">
        <v>418</v>
      </c>
      <c r="B789" t="s">
        <v>348</v>
      </c>
      <c r="C789" s="2">
        <v>1188223000</v>
      </c>
      <c r="D789" s="2">
        <v>1019213000</v>
      </c>
    </row>
    <row r="790" spans="1:4" x14ac:dyDescent="0.25">
      <c r="A790" t="s">
        <v>418</v>
      </c>
      <c r="B790" t="s">
        <v>349</v>
      </c>
      <c r="C790" s="2">
        <v>1400886000</v>
      </c>
      <c r="D790" s="2">
        <v>1100855000</v>
      </c>
    </row>
    <row r="791" spans="1:4" x14ac:dyDescent="0.25">
      <c r="A791" t="s">
        <v>418</v>
      </c>
      <c r="B791" t="s">
        <v>350</v>
      </c>
      <c r="C791" s="2">
        <v>1251984000</v>
      </c>
      <c r="D791" s="2">
        <v>1087984000</v>
      </c>
    </row>
    <row r="792" spans="1:4" x14ac:dyDescent="0.25">
      <c r="A792" t="s">
        <v>418</v>
      </c>
      <c r="B792" t="s">
        <v>414</v>
      </c>
      <c r="C792" s="2">
        <v>918367000</v>
      </c>
      <c r="D792" s="2">
        <v>664867000</v>
      </c>
    </row>
    <row r="793" spans="1:4" x14ac:dyDescent="0.25">
      <c r="A793" t="s">
        <v>418</v>
      </c>
      <c r="B793" t="s">
        <v>351</v>
      </c>
      <c r="C793" s="2">
        <v>402349000</v>
      </c>
      <c r="D793" s="2">
        <v>322349000</v>
      </c>
    </row>
    <row r="794" spans="1:4" x14ac:dyDescent="0.25">
      <c r="A794" t="s">
        <v>418</v>
      </c>
      <c r="B794" t="s">
        <v>405</v>
      </c>
      <c r="C794" s="2">
        <v>1274041000</v>
      </c>
      <c r="D794" s="2">
        <v>494725000</v>
      </c>
    </row>
    <row r="795" spans="1:4" x14ac:dyDescent="0.25">
      <c r="A795" t="s">
        <v>418</v>
      </c>
      <c r="B795" t="s">
        <v>352</v>
      </c>
      <c r="C795" s="2">
        <v>711539000</v>
      </c>
      <c r="D795" s="2">
        <v>456272000</v>
      </c>
    </row>
    <row r="796" spans="1:4" x14ac:dyDescent="0.25">
      <c r="A796" t="s">
        <v>418</v>
      </c>
      <c r="B796" t="s">
        <v>353</v>
      </c>
      <c r="C796" s="2">
        <v>614435000</v>
      </c>
      <c r="D796" s="2">
        <v>548435000</v>
      </c>
    </row>
    <row r="797" spans="1:4" x14ac:dyDescent="0.25">
      <c r="A797" t="s">
        <v>418</v>
      </c>
      <c r="B797" t="s">
        <v>354</v>
      </c>
      <c r="C797" s="2">
        <v>663979000</v>
      </c>
      <c r="D797" s="2">
        <v>463979000</v>
      </c>
    </row>
    <row r="798" spans="1:4" x14ac:dyDescent="0.25">
      <c r="A798" t="s">
        <v>418</v>
      </c>
      <c r="B798" t="s">
        <v>355</v>
      </c>
      <c r="C798" s="2">
        <v>801965000</v>
      </c>
      <c r="D798" s="2">
        <v>708892000</v>
      </c>
    </row>
    <row r="799" spans="1:4" x14ac:dyDescent="0.25">
      <c r="A799" t="s">
        <v>418</v>
      </c>
      <c r="B799" t="s">
        <v>356</v>
      </c>
      <c r="C799" s="2">
        <v>1043565000</v>
      </c>
      <c r="D799" s="2">
        <v>1049176000</v>
      </c>
    </row>
    <row r="800" spans="1:4" x14ac:dyDescent="0.25">
      <c r="A800" t="s">
        <v>418</v>
      </c>
      <c r="B800" t="s">
        <v>357</v>
      </c>
      <c r="C800" s="2">
        <v>419306000</v>
      </c>
      <c r="D800" s="2">
        <v>425854000</v>
      </c>
    </row>
    <row r="801" spans="1:4" x14ac:dyDescent="0.25">
      <c r="A801" t="s">
        <v>418</v>
      </c>
      <c r="B801" t="s">
        <v>358</v>
      </c>
      <c r="C801" s="2">
        <v>890391000</v>
      </c>
      <c r="D801" s="2">
        <v>740391000</v>
      </c>
    </row>
    <row r="802" spans="1:4" x14ac:dyDescent="0.25">
      <c r="A802" t="s">
        <v>418</v>
      </c>
      <c r="B802" t="s">
        <v>359</v>
      </c>
      <c r="C802" s="2">
        <v>1728906000</v>
      </c>
      <c r="D802" s="2">
        <v>925906000</v>
      </c>
    </row>
    <row r="803" spans="1:4" x14ac:dyDescent="0.25">
      <c r="A803" t="s">
        <v>418</v>
      </c>
      <c r="B803" t="s">
        <v>360</v>
      </c>
      <c r="C803" s="2">
        <v>2713067000</v>
      </c>
      <c r="D803" s="2">
        <v>886567000</v>
      </c>
    </row>
    <row r="804" spans="1:4" x14ac:dyDescent="0.25">
      <c r="A804" t="s">
        <v>418</v>
      </c>
      <c r="B804" t="s">
        <v>361</v>
      </c>
      <c r="C804" s="2">
        <v>1283537000</v>
      </c>
      <c r="D804" s="2">
        <v>759037000</v>
      </c>
    </row>
    <row r="805" spans="1:4" x14ac:dyDescent="0.25">
      <c r="A805" t="s">
        <v>418</v>
      </c>
      <c r="B805" t="s">
        <v>362</v>
      </c>
      <c r="C805" s="2">
        <v>830454000</v>
      </c>
      <c r="D805" s="2">
        <v>519454000</v>
      </c>
    </row>
    <row r="806" spans="1:4" x14ac:dyDescent="0.25">
      <c r="A806" t="s">
        <v>418</v>
      </c>
      <c r="B806" t="s">
        <v>363</v>
      </c>
      <c r="C806" s="2">
        <v>1047288000</v>
      </c>
      <c r="D806" s="2">
        <v>587819000</v>
      </c>
    </row>
    <row r="807" spans="1:4" x14ac:dyDescent="0.25">
      <c r="A807" t="s">
        <v>418</v>
      </c>
      <c r="B807" t="s">
        <v>364</v>
      </c>
      <c r="C807" s="2">
        <v>1101808000</v>
      </c>
      <c r="D807" s="2">
        <v>608808000</v>
      </c>
    </row>
    <row r="808" spans="1:4" x14ac:dyDescent="0.25">
      <c r="A808" t="s">
        <v>418</v>
      </c>
      <c r="B808" t="s">
        <v>365</v>
      </c>
      <c r="C808" s="2">
        <v>503532000</v>
      </c>
      <c r="D808" s="2">
        <v>403532000</v>
      </c>
    </row>
    <row r="809" spans="1:4" x14ac:dyDescent="0.25">
      <c r="A809" t="s">
        <v>418</v>
      </c>
      <c r="B809" t="s">
        <v>366</v>
      </c>
      <c r="C809" s="2">
        <v>829568000</v>
      </c>
      <c r="D809" s="2">
        <v>938138000</v>
      </c>
    </row>
    <row r="810" spans="1:4" x14ac:dyDescent="0.25">
      <c r="A810" t="s">
        <v>418</v>
      </c>
      <c r="B810" t="s">
        <v>367</v>
      </c>
      <c r="C810" s="2">
        <v>864552000</v>
      </c>
      <c r="D810" s="2">
        <v>579569000</v>
      </c>
    </row>
    <row r="811" spans="1:4" x14ac:dyDescent="0.25">
      <c r="A811" t="s">
        <v>418</v>
      </c>
      <c r="B811" t="s">
        <v>368</v>
      </c>
      <c r="C811" s="2">
        <v>1592152000</v>
      </c>
      <c r="D811" s="2">
        <v>1365814000</v>
      </c>
    </row>
    <row r="812" spans="1:4" x14ac:dyDescent="0.25">
      <c r="A812" t="s">
        <v>418</v>
      </c>
      <c r="B812" t="s">
        <v>369</v>
      </c>
      <c r="C812" s="2">
        <v>1393174000</v>
      </c>
      <c r="D812" s="2">
        <v>955817000</v>
      </c>
    </row>
    <row r="813" spans="1:4" x14ac:dyDescent="0.25">
      <c r="A813" t="s">
        <v>418</v>
      </c>
      <c r="B813" t="s">
        <v>370</v>
      </c>
      <c r="C813" s="2">
        <v>1127500000</v>
      </c>
      <c r="D813" s="2">
        <v>346000000</v>
      </c>
    </row>
    <row r="814" spans="1:4" x14ac:dyDescent="0.25">
      <c r="A814" t="s">
        <v>418</v>
      </c>
      <c r="B814" t="s">
        <v>371</v>
      </c>
      <c r="C814" s="2">
        <v>1310775000</v>
      </c>
      <c r="D814" s="2">
        <v>781275000</v>
      </c>
    </row>
    <row r="815" spans="1:4" x14ac:dyDescent="0.25">
      <c r="A815" t="s">
        <v>418</v>
      </c>
      <c r="B815" t="s">
        <v>372</v>
      </c>
      <c r="C815" s="2">
        <v>1113174000</v>
      </c>
      <c r="D815" s="2">
        <v>1006723000</v>
      </c>
    </row>
    <row r="816" spans="1:4" x14ac:dyDescent="0.25">
      <c r="A816" t="s">
        <v>418</v>
      </c>
      <c r="B816" t="s">
        <v>373</v>
      </c>
      <c r="C816" s="2">
        <v>640782000</v>
      </c>
      <c r="D816" s="2">
        <v>640967000</v>
      </c>
    </row>
    <row r="817" spans="1:4" x14ac:dyDescent="0.25">
      <c r="A817" t="s">
        <v>418</v>
      </c>
      <c r="B817" t="s">
        <v>374</v>
      </c>
      <c r="C817" s="2">
        <v>739485000</v>
      </c>
      <c r="D817" s="2">
        <v>1031499000</v>
      </c>
    </row>
    <row r="818" spans="1:4" x14ac:dyDescent="0.25">
      <c r="A818" t="s">
        <v>418</v>
      </c>
      <c r="B818" t="s">
        <v>375</v>
      </c>
      <c r="C818" s="2">
        <v>1656153000</v>
      </c>
      <c r="D818" s="2">
        <v>1086542000</v>
      </c>
    </row>
    <row r="819" spans="1:4" x14ac:dyDescent="0.25">
      <c r="A819" t="s">
        <v>418</v>
      </c>
      <c r="B819" t="s">
        <v>376</v>
      </c>
      <c r="C819" s="2">
        <v>521974000</v>
      </c>
      <c r="D819" s="2">
        <v>443974000</v>
      </c>
    </row>
    <row r="820" spans="1:4" x14ac:dyDescent="0.25">
      <c r="A820" t="s">
        <v>418</v>
      </c>
      <c r="B820" t="s">
        <v>377</v>
      </c>
      <c r="C820" s="2">
        <v>1749765000</v>
      </c>
      <c r="D820" s="2">
        <v>1520495000</v>
      </c>
    </row>
    <row r="821" spans="1:4" x14ac:dyDescent="0.25">
      <c r="A821" t="s">
        <v>418</v>
      </c>
      <c r="B821" t="s">
        <v>378</v>
      </c>
      <c r="C821" s="2">
        <v>1111784000</v>
      </c>
      <c r="D821" s="2">
        <v>748239000</v>
      </c>
    </row>
    <row r="822" spans="1:4" x14ac:dyDescent="0.25">
      <c r="A822" t="s">
        <v>418</v>
      </c>
      <c r="B822" t="s">
        <v>412</v>
      </c>
      <c r="C822" s="2">
        <v>45069000</v>
      </c>
      <c r="D822" s="2">
        <v>20069000</v>
      </c>
    </row>
    <row r="823" spans="1:4" x14ac:dyDescent="0.25">
      <c r="A823" t="s">
        <v>418</v>
      </c>
      <c r="B823" t="s">
        <v>379</v>
      </c>
      <c r="C823" s="2">
        <v>648522000</v>
      </c>
      <c r="D823" s="2">
        <v>637322000</v>
      </c>
    </row>
    <row r="824" spans="1:4" x14ac:dyDescent="0.25">
      <c r="A824" t="s">
        <v>418</v>
      </c>
      <c r="B824" t="s">
        <v>380</v>
      </c>
      <c r="C824" s="2">
        <v>1651943000</v>
      </c>
      <c r="D824" s="2">
        <v>1666700000</v>
      </c>
    </row>
    <row r="825" spans="1:4" x14ac:dyDescent="0.25">
      <c r="A825" t="s">
        <v>418</v>
      </c>
      <c r="B825" t="s">
        <v>381</v>
      </c>
      <c r="C825" s="2">
        <v>1153040000</v>
      </c>
      <c r="D825" s="2">
        <v>846270000</v>
      </c>
    </row>
    <row r="826" spans="1:4" x14ac:dyDescent="0.25">
      <c r="A826" t="s">
        <v>418</v>
      </c>
      <c r="B826" t="s">
        <v>382</v>
      </c>
      <c r="C826" s="2">
        <v>957826000</v>
      </c>
      <c r="D826" s="2">
        <v>1035476000</v>
      </c>
    </row>
    <row r="827" spans="1:4" x14ac:dyDescent="0.25">
      <c r="A827" t="s">
        <v>418</v>
      </c>
      <c r="B827" t="s">
        <v>383</v>
      </c>
      <c r="C827" s="2">
        <v>1025437000</v>
      </c>
      <c r="D827" s="2">
        <v>844226000</v>
      </c>
    </row>
    <row r="828" spans="1:4" x14ac:dyDescent="0.25">
      <c r="A828" t="s">
        <v>418</v>
      </c>
      <c r="B828" t="s">
        <v>384</v>
      </c>
      <c r="C828" s="2">
        <v>951192000</v>
      </c>
      <c r="D828" s="2">
        <v>902028000</v>
      </c>
    </row>
    <row r="829" spans="1:4" x14ac:dyDescent="0.25">
      <c r="A829" t="s">
        <v>418</v>
      </c>
      <c r="B829" t="s">
        <v>385</v>
      </c>
      <c r="C829" s="2">
        <v>513762000</v>
      </c>
      <c r="D829" s="2">
        <v>650640000</v>
      </c>
    </row>
    <row r="830" spans="1:4" x14ac:dyDescent="0.25">
      <c r="A830" t="s">
        <v>418</v>
      </c>
      <c r="B830" t="s">
        <v>386</v>
      </c>
      <c r="C830" s="2">
        <v>489976000</v>
      </c>
      <c r="D830" s="2">
        <v>371736000</v>
      </c>
    </row>
    <row r="831" spans="1:4" x14ac:dyDescent="0.25">
      <c r="A831" t="s">
        <v>418</v>
      </c>
      <c r="B831" t="s">
        <v>387</v>
      </c>
      <c r="C831" s="2">
        <v>700876000</v>
      </c>
      <c r="D831" s="2">
        <v>685634000</v>
      </c>
    </row>
    <row r="832" spans="1:4" x14ac:dyDescent="0.25">
      <c r="A832" t="s">
        <v>418</v>
      </c>
      <c r="B832" t="s">
        <v>388</v>
      </c>
      <c r="C832" s="2">
        <v>782098000</v>
      </c>
      <c r="D832" s="2">
        <v>843492000</v>
      </c>
    </row>
    <row r="833" spans="1:4" x14ac:dyDescent="0.25">
      <c r="A833" t="s">
        <v>418</v>
      </c>
      <c r="B833" t="s">
        <v>389</v>
      </c>
      <c r="C833" s="2">
        <v>795219000</v>
      </c>
      <c r="D833" s="2">
        <v>505719000</v>
      </c>
    </row>
    <row r="834" spans="1:4" x14ac:dyDescent="0.25">
      <c r="A834" t="s">
        <v>418</v>
      </c>
      <c r="B834" t="s">
        <v>390</v>
      </c>
      <c r="C834" s="2">
        <v>480068000</v>
      </c>
      <c r="D834" s="2">
        <v>450068000</v>
      </c>
    </row>
    <row r="835" spans="1:4" x14ac:dyDescent="0.25">
      <c r="A835" t="s">
        <v>418</v>
      </c>
      <c r="B835" t="s">
        <v>391</v>
      </c>
      <c r="C835" s="2">
        <v>715848000</v>
      </c>
      <c r="D835" s="2">
        <v>607846000</v>
      </c>
    </row>
    <row r="836" spans="1:4" x14ac:dyDescent="0.25">
      <c r="A836" t="s">
        <v>418</v>
      </c>
      <c r="B836" t="s">
        <v>392</v>
      </c>
      <c r="C836" s="2">
        <v>769065000</v>
      </c>
      <c r="D836" s="2">
        <v>404065000</v>
      </c>
    </row>
    <row r="837" spans="1:4" x14ac:dyDescent="0.25">
      <c r="A837" t="s">
        <v>418</v>
      </c>
      <c r="B837" t="s">
        <v>393</v>
      </c>
      <c r="C837" s="2">
        <v>860031000</v>
      </c>
      <c r="D837" s="2">
        <v>580031000</v>
      </c>
    </row>
    <row r="838" spans="1:4" x14ac:dyDescent="0.25">
      <c r="A838" t="s">
        <v>418</v>
      </c>
      <c r="B838" t="s">
        <v>394</v>
      </c>
      <c r="C838" s="2">
        <v>1034806000</v>
      </c>
      <c r="D838" s="2">
        <v>610806000</v>
      </c>
    </row>
    <row r="839" spans="1:4" x14ac:dyDescent="0.25">
      <c r="A839" t="s">
        <v>418</v>
      </c>
      <c r="B839" t="s">
        <v>395</v>
      </c>
      <c r="C839" s="2">
        <v>844983000</v>
      </c>
      <c r="D839" s="2">
        <v>837183000</v>
      </c>
    </row>
    <row r="840" spans="1:4" x14ac:dyDescent="0.25">
      <c r="A840" t="s">
        <v>418</v>
      </c>
      <c r="B840" t="s">
        <v>396</v>
      </c>
      <c r="C840" s="2">
        <v>709002000</v>
      </c>
      <c r="D840" s="2">
        <v>726502000</v>
      </c>
    </row>
    <row r="841" spans="1:4" x14ac:dyDescent="0.25">
      <c r="A841" t="s">
        <v>418</v>
      </c>
      <c r="B841" t="s">
        <v>397</v>
      </c>
      <c r="C841" s="2">
        <v>2172268000</v>
      </c>
      <c r="D841" s="2">
        <v>1190777000</v>
      </c>
    </row>
    <row r="842" spans="1:4" x14ac:dyDescent="0.25">
      <c r="A842" t="s">
        <v>418</v>
      </c>
      <c r="B842" t="s">
        <v>398</v>
      </c>
      <c r="C842" s="2">
        <v>594576000</v>
      </c>
      <c r="D842" s="2">
        <v>694576000</v>
      </c>
    </row>
    <row r="843" spans="1:4" x14ac:dyDescent="0.25">
      <c r="A843" t="s">
        <v>418</v>
      </c>
      <c r="B843" t="s">
        <v>399</v>
      </c>
      <c r="C843" s="2">
        <v>1688795000</v>
      </c>
      <c r="D843" s="2">
        <v>888667000</v>
      </c>
    </row>
    <row r="844" spans="1:4" x14ac:dyDescent="0.25">
      <c r="A844" t="s">
        <v>418</v>
      </c>
      <c r="B844" t="s">
        <v>400</v>
      </c>
      <c r="C844" s="2">
        <v>814394000</v>
      </c>
      <c r="D844" s="2">
        <v>629394000</v>
      </c>
    </row>
    <row r="845" spans="1:4" x14ac:dyDescent="0.25">
      <c r="A845" t="s">
        <v>418</v>
      </c>
      <c r="B845" t="s">
        <v>401</v>
      </c>
      <c r="C845" s="2">
        <v>1155742000</v>
      </c>
      <c r="D845" s="2">
        <v>823718000</v>
      </c>
    </row>
    <row r="846" spans="1:4" x14ac:dyDescent="0.25">
      <c r="A846" t="s">
        <v>418</v>
      </c>
      <c r="B846" t="s">
        <v>402</v>
      </c>
      <c r="C846" s="2">
        <v>557185000</v>
      </c>
      <c r="D846" s="2">
        <v>514545000</v>
      </c>
    </row>
    <row r="847" spans="1:4" x14ac:dyDescent="0.25">
      <c r="A847" t="s">
        <v>418</v>
      </c>
      <c r="B847" t="s">
        <v>403</v>
      </c>
      <c r="C847" s="2">
        <v>500000000</v>
      </c>
    </row>
    <row r="848" spans="1:4" x14ac:dyDescent="0.25">
      <c r="A848" t="s">
        <v>419</v>
      </c>
      <c r="B848" t="s">
        <v>201</v>
      </c>
      <c r="C848" s="2">
        <v>622503467000</v>
      </c>
      <c r="D848" s="2">
        <v>708701168000</v>
      </c>
    </row>
    <row r="849" spans="1:4" x14ac:dyDescent="0.25">
      <c r="A849" t="s">
        <v>419</v>
      </c>
      <c r="B849" t="s">
        <v>202</v>
      </c>
      <c r="C849" s="2">
        <v>148740000</v>
      </c>
      <c r="D849" s="2">
        <v>149178000</v>
      </c>
    </row>
    <row r="850" spans="1:4" x14ac:dyDescent="0.25">
      <c r="A850" t="s">
        <v>419</v>
      </c>
      <c r="B850" t="s">
        <v>203</v>
      </c>
      <c r="C850" s="2">
        <v>139774000</v>
      </c>
      <c r="D850" s="2">
        <v>140212000</v>
      </c>
    </row>
    <row r="851" spans="1:4" x14ac:dyDescent="0.25">
      <c r="A851" t="s">
        <v>419</v>
      </c>
      <c r="B851" t="s">
        <v>204</v>
      </c>
      <c r="C851" s="2">
        <v>217116000</v>
      </c>
      <c r="D851" s="2">
        <v>217555000</v>
      </c>
    </row>
    <row r="852" spans="1:4" x14ac:dyDescent="0.25">
      <c r="A852" t="s">
        <v>419</v>
      </c>
      <c r="B852" t="s">
        <v>205</v>
      </c>
      <c r="C852" s="2">
        <v>125932000</v>
      </c>
      <c r="D852" s="2">
        <v>126372000</v>
      </c>
    </row>
    <row r="853" spans="1:4" x14ac:dyDescent="0.25">
      <c r="A853" t="s">
        <v>419</v>
      </c>
      <c r="B853" t="s">
        <v>206</v>
      </c>
      <c r="C853" s="2">
        <v>158777000</v>
      </c>
      <c r="D853" s="2">
        <v>159216000</v>
      </c>
    </row>
    <row r="854" spans="1:4" x14ac:dyDescent="0.25">
      <c r="A854" t="s">
        <v>419</v>
      </c>
      <c r="B854" t="s">
        <v>207</v>
      </c>
      <c r="C854" s="2">
        <v>142297000</v>
      </c>
      <c r="D854" s="2">
        <v>142735000</v>
      </c>
    </row>
    <row r="855" spans="1:4" x14ac:dyDescent="0.25">
      <c r="A855" t="s">
        <v>419</v>
      </c>
      <c r="B855" t="s">
        <v>208</v>
      </c>
      <c r="C855" s="2">
        <v>158607000</v>
      </c>
      <c r="D855" s="2">
        <v>159045000</v>
      </c>
    </row>
    <row r="856" spans="1:4" x14ac:dyDescent="0.25">
      <c r="A856" t="s">
        <v>419</v>
      </c>
      <c r="B856" t="s">
        <v>209</v>
      </c>
      <c r="C856" s="2">
        <v>141654000</v>
      </c>
      <c r="D856" s="2">
        <v>142094000</v>
      </c>
    </row>
    <row r="857" spans="1:4" x14ac:dyDescent="0.25">
      <c r="A857" t="s">
        <v>419</v>
      </c>
      <c r="B857" t="s">
        <v>210</v>
      </c>
      <c r="C857" s="2">
        <v>143255000</v>
      </c>
      <c r="D857" s="2">
        <v>143694000</v>
      </c>
    </row>
    <row r="858" spans="1:4" x14ac:dyDescent="0.25">
      <c r="A858" t="s">
        <v>419</v>
      </c>
      <c r="B858" t="s">
        <v>211</v>
      </c>
      <c r="C858" s="2">
        <v>145542000</v>
      </c>
      <c r="D858" s="2">
        <v>145981000</v>
      </c>
    </row>
    <row r="859" spans="1:4" x14ac:dyDescent="0.25">
      <c r="A859" t="s">
        <v>419</v>
      </c>
      <c r="B859" t="s">
        <v>212</v>
      </c>
      <c r="C859" s="2">
        <v>150872000</v>
      </c>
      <c r="D859" s="2">
        <v>151311000</v>
      </c>
    </row>
    <row r="860" spans="1:4" x14ac:dyDescent="0.25">
      <c r="A860" t="s">
        <v>419</v>
      </c>
      <c r="B860" t="s">
        <v>213</v>
      </c>
      <c r="C860" s="2">
        <v>136574000</v>
      </c>
      <c r="D860" s="2">
        <v>137012000</v>
      </c>
    </row>
    <row r="861" spans="1:4" x14ac:dyDescent="0.25">
      <c r="A861" t="s">
        <v>419</v>
      </c>
      <c r="B861" t="s">
        <v>214</v>
      </c>
      <c r="C861" s="2">
        <v>133745000</v>
      </c>
      <c r="D861" s="2">
        <v>134182000</v>
      </c>
    </row>
    <row r="862" spans="1:4" x14ac:dyDescent="0.25">
      <c r="A862" t="s">
        <v>419</v>
      </c>
      <c r="B862" t="s">
        <v>215</v>
      </c>
      <c r="C862" s="2">
        <v>151354000</v>
      </c>
      <c r="D862" s="2">
        <v>151792000</v>
      </c>
    </row>
    <row r="863" spans="1:4" x14ac:dyDescent="0.25">
      <c r="A863" t="s">
        <v>419</v>
      </c>
      <c r="B863" t="s">
        <v>216</v>
      </c>
      <c r="C863" s="2">
        <v>130498000</v>
      </c>
      <c r="D863" s="2">
        <v>130937000</v>
      </c>
    </row>
    <row r="864" spans="1:4" x14ac:dyDescent="0.25">
      <c r="A864" t="s">
        <v>419</v>
      </c>
      <c r="B864" t="s">
        <v>217</v>
      </c>
      <c r="C864" s="2">
        <v>140703000</v>
      </c>
      <c r="D864" s="2">
        <v>141140000</v>
      </c>
    </row>
    <row r="865" spans="1:4" x14ac:dyDescent="0.25">
      <c r="A865" t="s">
        <v>419</v>
      </c>
      <c r="B865" t="s">
        <v>218</v>
      </c>
      <c r="C865" s="2">
        <v>1628663000</v>
      </c>
      <c r="D865" s="2">
        <v>23635000</v>
      </c>
    </row>
    <row r="866" spans="1:4" x14ac:dyDescent="0.25">
      <c r="A866" t="s">
        <v>419</v>
      </c>
      <c r="B866" t="s">
        <v>219</v>
      </c>
      <c r="C866" s="2">
        <v>1433785000</v>
      </c>
      <c r="D866" s="2">
        <v>25313000</v>
      </c>
    </row>
    <row r="867" spans="1:4" x14ac:dyDescent="0.25">
      <c r="A867" t="s">
        <v>419</v>
      </c>
      <c r="B867" t="s">
        <v>220</v>
      </c>
      <c r="C867" s="2">
        <v>6812221000</v>
      </c>
      <c r="D867" s="2">
        <v>43132000</v>
      </c>
    </row>
    <row r="868" spans="1:4" x14ac:dyDescent="0.25">
      <c r="A868" t="s">
        <v>419</v>
      </c>
      <c r="B868" t="s">
        <v>221</v>
      </c>
      <c r="C868" s="2">
        <v>1097617000</v>
      </c>
      <c r="D868" s="2">
        <v>34848000</v>
      </c>
    </row>
    <row r="869" spans="1:4" x14ac:dyDescent="0.25">
      <c r="A869" t="s">
        <v>419</v>
      </c>
      <c r="B869" t="s">
        <v>222</v>
      </c>
      <c r="C869" s="2">
        <v>3797140000</v>
      </c>
      <c r="D869" s="2">
        <v>34367000</v>
      </c>
    </row>
    <row r="870" spans="1:4" x14ac:dyDescent="0.25">
      <c r="A870" t="s">
        <v>419</v>
      </c>
      <c r="B870" t="s">
        <v>223</v>
      </c>
      <c r="C870" s="2">
        <v>2461109000</v>
      </c>
      <c r="D870" s="2">
        <v>33227000</v>
      </c>
    </row>
    <row r="871" spans="1:4" x14ac:dyDescent="0.25">
      <c r="A871" t="s">
        <v>419</v>
      </c>
      <c r="B871" t="s">
        <v>224</v>
      </c>
      <c r="C871" s="2">
        <v>2652259000</v>
      </c>
      <c r="D871" s="2">
        <v>39861000</v>
      </c>
    </row>
    <row r="872" spans="1:4" x14ac:dyDescent="0.25">
      <c r="A872" t="s">
        <v>419</v>
      </c>
      <c r="B872" t="s">
        <v>225</v>
      </c>
      <c r="C872" s="2">
        <v>2090834000</v>
      </c>
      <c r="D872" s="2">
        <v>39782000</v>
      </c>
    </row>
    <row r="873" spans="1:4" x14ac:dyDescent="0.25">
      <c r="A873" t="s">
        <v>419</v>
      </c>
      <c r="B873" t="s">
        <v>226</v>
      </c>
      <c r="C873" s="2">
        <v>1227447000</v>
      </c>
      <c r="D873" s="2">
        <v>41473000</v>
      </c>
    </row>
    <row r="874" spans="1:4" x14ac:dyDescent="0.25">
      <c r="A874" t="s">
        <v>419</v>
      </c>
      <c r="B874" t="s">
        <v>227</v>
      </c>
      <c r="C874" s="2">
        <v>6182594000</v>
      </c>
      <c r="D874" s="2">
        <v>34539000</v>
      </c>
    </row>
    <row r="875" spans="1:4" x14ac:dyDescent="0.25">
      <c r="A875" t="s">
        <v>419</v>
      </c>
      <c r="B875" t="s">
        <v>228</v>
      </c>
      <c r="C875" s="2">
        <v>1842395000</v>
      </c>
      <c r="D875" s="2">
        <v>40974000</v>
      </c>
    </row>
    <row r="876" spans="1:4" x14ac:dyDescent="0.25">
      <c r="A876" t="s">
        <v>419</v>
      </c>
      <c r="B876" t="s">
        <v>229</v>
      </c>
      <c r="C876" s="2">
        <v>918529000</v>
      </c>
      <c r="D876" s="2">
        <v>33333000</v>
      </c>
    </row>
    <row r="877" spans="1:4" x14ac:dyDescent="0.25">
      <c r="A877" t="s">
        <v>419</v>
      </c>
      <c r="B877" t="s">
        <v>230</v>
      </c>
      <c r="C877" s="2">
        <v>1896401000</v>
      </c>
      <c r="D877" s="2">
        <v>41775000</v>
      </c>
    </row>
    <row r="878" spans="1:4" x14ac:dyDescent="0.25">
      <c r="A878" t="s">
        <v>419</v>
      </c>
      <c r="B878" t="s">
        <v>231</v>
      </c>
      <c r="C878" s="2">
        <v>717754000</v>
      </c>
      <c r="D878" s="2">
        <v>34413000</v>
      </c>
    </row>
    <row r="879" spans="1:4" x14ac:dyDescent="0.25">
      <c r="A879" t="s">
        <v>419</v>
      </c>
      <c r="B879" t="s">
        <v>232</v>
      </c>
      <c r="C879" s="2">
        <v>1134767000</v>
      </c>
      <c r="D879" s="2">
        <v>32571000</v>
      </c>
    </row>
    <row r="880" spans="1:4" x14ac:dyDescent="0.25">
      <c r="A880" t="s">
        <v>419</v>
      </c>
      <c r="B880" t="s">
        <v>233</v>
      </c>
      <c r="C880" s="2">
        <v>2031486000</v>
      </c>
      <c r="D880" s="2">
        <v>32822000</v>
      </c>
    </row>
    <row r="881" spans="1:4" x14ac:dyDescent="0.25">
      <c r="A881" t="s">
        <v>419</v>
      </c>
      <c r="B881" t="s">
        <v>234</v>
      </c>
      <c r="C881" s="2">
        <v>1140297000</v>
      </c>
      <c r="D881" s="2">
        <v>33168000</v>
      </c>
    </row>
    <row r="882" spans="1:4" x14ac:dyDescent="0.25">
      <c r="A882" t="s">
        <v>419</v>
      </c>
      <c r="B882" t="s">
        <v>235</v>
      </c>
      <c r="C882" s="2">
        <v>1497794000</v>
      </c>
      <c r="D882" s="2">
        <v>33118000</v>
      </c>
    </row>
    <row r="883" spans="1:4" x14ac:dyDescent="0.25">
      <c r="A883" t="s">
        <v>419</v>
      </c>
      <c r="B883" t="s">
        <v>236</v>
      </c>
      <c r="C883" s="2">
        <v>2542361000</v>
      </c>
      <c r="D883" s="2">
        <v>44587000</v>
      </c>
    </row>
    <row r="884" spans="1:4" x14ac:dyDescent="0.25">
      <c r="A884" t="s">
        <v>419</v>
      </c>
      <c r="B884" t="s">
        <v>237</v>
      </c>
      <c r="C884" s="2">
        <v>1124906000</v>
      </c>
      <c r="D884" s="2">
        <v>34182000</v>
      </c>
    </row>
    <row r="885" spans="1:4" x14ac:dyDescent="0.25">
      <c r="A885" t="s">
        <v>419</v>
      </c>
      <c r="B885" t="s">
        <v>238</v>
      </c>
      <c r="C885" s="2">
        <v>596597000</v>
      </c>
      <c r="D885" s="2">
        <v>31832000</v>
      </c>
    </row>
    <row r="886" spans="1:4" x14ac:dyDescent="0.25">
      <c r="A886" t="s">
        <v>419</v>
      </c>
      <c r="B886" t="s">
        <v>239</v>
      </c>
      <c r="C886" s="2">
        <v>942298000</v>
      </c>
      <c r="D886" s="2">
        <v>31979000</v>
      </c>
    </row>
    <row r="887" spans="1:4" x14ac:dyDescent="0.25">
      <c r="A887" t="s">
        <v>419</v>
      </c>
      <c r="B887" t="s">
        <v>240</v>
      </c>
      <c r="C887" s="2">
        <v>793585000</v>
      </c>
      <c r="D887" s="2">
        <v>32962000</v>
      </c>
    </row>
    <row r="888" spans="1:4" x14ac:dyDescent="0.25">
      <c r="A888" t="s">
        <v>419</v>
      </c>
      <c r="B888" t="s">
        <v>241</v>
      </c>
      <c r="C888" s="2">
        <v>622520000</v>
      </c>
      <c r="D888" s="2">
        <v>42187000</v>
      </c>
    </row>
    <row r="889" spans="1:4" x14ac:dyDescent="0.25">
      <c r="A889" t="s">
        <v>419</v>
      </c>
      <c r="B889" t="s">
        <v>242</v>
      </c>
      <c r="C889" s="2">
        <v>722670000</v>
      </c>
      <c r="D889" s="2">
        <v>31279000</v>
      </c>
    </row>
    <row r="890" spans="1:4" x14ac:dyDescent="0.25">
      <c r="A890" t="s">
        <v>419</v>
      </c>
      <c r="B890" t="s">
        <v>243</v>
      </c>
      <c r="C890" s="2">
        <v>521009000</v>
      </c>
      <c r="D890" s="2">
        <v>32664000</v>
      </c>
    </row>
    <row r="891" spans="1:4" x14ac:dyDescent="0.25">
      <c r="A891" t="s">
        <v>419</v>
      </c>
      <c r="B891" t="s">
        <v>244</v>
      </c>
      <c r="C891" s="2">
        <v>808463000</v>
      </c>
      <c r="D891" s="2">
        <v>31967000</v>
      </c>
    </row>
    <row r="892" spans="1:4" x14ac:dyDescent="0.25">
      <c r="A892" t="s">
        <v>419</v>
      </c>
      <c r="B892" t="s">
        <v>245</v>
      </c>
      <c r="C892" s="2">
        <v>1040461000</v>
      </c>
      <c r="D892" s="2">
        <v>40156000</v>
      </c>
    </row>
    <row r="893" spans="1:4" x14ac:dyDescent="0.25">
      <c r="A893" t="s">
        <v>419</v>
      </c>
      <c r="B893" t="s">
        <v>246</v>
      </c>
      <c r="C893" s="2">
        <v>884511000</v>
      </c>
      <c r="D893" s="2">
        <v>33371000</v>
      </c>
    </row>
    <row r="894" spans="1:4" x14ac:dyDescent="0.25">
      <c r="A894" t="s">
        <v>419</v>
      </c>
      <c r="B894" t="s">
        <v>247</v>
      </c>
      <c r="C894" s="2">
        <v>755430000</v>
      </c>
      <c r="D894" s="2">
        <v>23915000</v>
      </c>
    </row>
    <row r="895" spans="1:4" x14ac:dyDescent="0.25">
      <c r="A895" t="s">
        <v>419</v>
      </c>
      <c r="B895" t="s">
        <v>248</v>
      </c>
      <c r="C895" s="2">
        <v>2084082000</v>
      </c>
      <c r="D895" s="2">
        <v>40198000</v>
      </c>
    </row>
    <row r="896" spans="1:4" x14ac:dyDescent="0.25">
      <c r="A896" t="s">
        <v>419</v>
      </c>
      <c r="B896" t="s">
        <v>249</v>
      </c>
      <c r="C896" s="2">
        <v>1540096000</v>
      </c>
      <c r="D896" s="2">
        <v>39850000</v>
      </c>
    </row>
    <row r="897" spans="1:4" x14ac:dyDescent="0.25">
      <c r="A897" t="s">
        <v>419</v>
      </c>
      <c r="B897" t="s">
        <v>250</v>
      </c>
      <c r="C897" s="2">
        <v>1561207000</v>
      </c>
      <c r="D897" s="2">
        <v>32114000</v>
      </c>
    </row>
    <row r="898" spans="1:4" x14ac:dyDescent="0.25">
      <c r="A898" t="s">
        <v>419</v>
      </c>
      <c r="B898" t="s">
        <v>251</v>
      </c>
      <c r="C898" s="2">
        <v>2220494000</v>
      </c>
      <c r="D898" s="2">
        <v>34083000</v>
      </c>
    </row>
    <row r="899" spans="1:4" x14ac:dyDescent="0.25">
      <c r="A899" t="s">
        <v>419</v>
      </c>
      <c r="B899" t="s">
        <v>252</v>
      </c>
      <c r="C899" s="2">
        <v>713250000</v>
      </c>
      <c r="D899" s="2">
        <v>32220000</v>
      </c>
    </row>
    <row r="900" spans="1:4" x14ac:dyDescent="0.25">
      <c r="A900" t="s">
        <v>419</v>
      </c>
      <c r="B900" t="s">
        <v>253</v>
      </c>
      <c r="C900" s="2">
        <v>2124301000</v>
      </c>
      <c r="D900" s="2">
        <v>33200000</v>
      </c>
    </row>
    <row r="901" spans="1:4" x14ac:dyDescent="0.25">
      <c r="A901" t="s">
        <v>419</v>
      </c>
      <c r="B901" t="s">
        <v>254</v>
      </c>
      <c r="C901" s="2">
        <v>2888630000</v>
      </c>
      <c r="D901" s="2">
        <v>33133000</v>
      </c>
    </row>
    <row r="902" spans="1:4" x14ac:dyDescent="0.25">
      <c r="A902" t="s">
        <v>419</v>
      </c>
      <c r="B902" t="s">
        <v>255</v>
      </c>
      <c r="C902" s="2">
        <v>1210722000</v>
      </c>
      <c r="D902" s="2">
        <v>32654000</v>
      </c>
    </row>
    <row r="903" spans="1:4" x14ac:dyDescent="0.25">
      <c r="A903" t="s">
        <v>419</v>
      </c>
      <c r="B903" t="s">
        <v>256</v>
      </c>
      <c r="C903" s="2">
        <v>1168126000</v>
      </c>
      <c r="D903" s="2">
        <v>30137000</v>
      </c>
    </row>
    <row r="904" spans="1:4" x14ac:dyDescent="0.25">
      <c r="A904" t="s">
        <v>419</v>
      </c>
      <c r="B904" t="s">
        <v>257</v>
      </c>
      <c r="C904" s="2">
        <v>1212950000</v>
      </c>
      <c r="D904" s="2">
        <v>41603000</v>
      </c>
    </row>
    <row r="905" spans="1:4" x14ac:dyDescent="0.25">
      <c r="A905" t="s">
        <v>419</v>
      </c>
      <c r="B905" t="s">
        <v>258</v>
      </c>
      <c r="C905" s="2">
        <v>1971651000</v>
      </c>
      <c r="D905" s="2">
        <v>40818000</v>
      </c>
    </row>
    <row r="906" spans="1:4" x14ac:dyDescent="0.25">
      <c r="A906" t="s">
        <v>419</v>
      </c>
      <c r="B906" t="s">
        <v>259</v>
      </c>
      <c r="C906" s="2">
        <v>926097000</v>
      </c>
      <c r="D906" s="2">
        <v>32598000</v>
      </c>
    </row>
    <row r="907" spans="1:4" x14ac:dyDescent="0.25">
      <c r="A907" t="s">
        <v>419</v>
      </c>
      <c r="B907" t="s">
        <v>260</v>
      </c>
      <c r="C907" s="2">
        <v>1183204000</v>
      </c>
      <c r="D907" s="2">
        <v>32788000</v>
      </c>
    </row>
    <row r="908" spans="1:4" x14ac:dyDescent="0.25">
      <c r="A908" t="s">
        <v>419</v>
      </c>
      <c r="B908" t="s">
        <v>261</v>
      </c>
      <c r="C908" s="2">
        <v>5260730000</v>
      </c>
      <c r="D908" s="2">
        <v>32002000</v>
      </c>
    </row>
    <row r="909" spans="1:4" x14ac:dyDescent="0.25">
      <c r="A909" t="s">
        <v>419</v>
      </c>
      <c r="B909" t="s">
        <v>262</v>
      </c>
      <c r="C909" s="2">
        <v>3190601000</v>
      </c>
      <c r="D909" s="2">
        <v>33261000</v>
      </c>
    </row>
    <row r="910" spans="1:4" x14ac:dyDescent="0.25">
      <c r="A910" t="s">
        <v>419</v>
      </c>
      <c r="B910" t="s">
        <v>263</v>
      </c>
      <c r="C910" s="2">
        <v>2214044000</v>
      </c>
      <c r="D910" s="2">
        <v>46314000</v>
      </c>
    </row>
    <row r="911" spans="1:4" x14ac:dyDescent="0.25">
      <c r="A911" t="s">
        <v>419</v>
      </c>
      <c r="B911" t="s">
        <v>264</v>
      </c>
      <c r="C911" s="2">
        <v>1076553000</v>
      </c>
      <c r="D911" s="2">
        <v>41883000</v>
      </c>
    </row>
    <row r="912" spans="1:4" x14ac:dyDescent="0.25">
      <c r="A912" t="s">
        <v>419</v>
      </c>
      <c r="B912" t="s">
        <v>265</v>
      </c>
      <c r="C912" s="2">
        <v>2266803000</v>
      </c>
      <c r="D912" s="2">
        <v>26106000</v>
      </c>
    </row>
    <row r="913" spans="1:4" x14ac:dyDescent="0.25">
      <c r="A913" t="s">
        <v>419</v>
      </c>
      <c r="B913" t="s">
        <v>266</v>
      </c>
      <c r="C913" s="2">
        <v>2682019000</v>
      </c>
      <c r="D913" s="2">
        <v>45300000</v>
      </c>
    </row>
    <row r="914" spans="1:4" x14ac:dyDescent="0.25">
      <c r="A914" t="s">
        <v>419</v>
      </c>
      <c r="B914" t="s">
        <v>267</v>
      </c>
      <c r="C914" s="2">
        <v>1862599000</v>
      </c>
      <c r="D914" s="2">
        <v>25832000</v>
      </c>
    </row>
    <row r="915" spans="1:4" x14ac:dyDescent="0.25">
      <c r="A915" t="s">
        <v>419</v>
      </c>
      <c r="B915" t="s">
        <v>268</v>
      </c>
      <c r="C915" s="2">
        <v>786836000</v>
      </c>
      <c r="D915" s="2">
        <v>32836000</v>
      </c>
    </row>
    <row r="916" spans="1:4" x14ac:dyDescent="0.25">
      <c r="A916" t="s">
        <v>419</v>
      </c>
      <c r="B916" t="s">
        <v>269</v>
      </c>
      <c r="C916" s="2">
        <v>3269520000</v>
      </c>
      <c r="D916" s="2">
        <v>41192000</v>
      </c>
    </row>
    <row r="917" spans="1:4" x14ac:dyDescent="0.25">
      <c r="A917" t="s">
        <v>419</v>
      </c>
      <c r="B917" t="s">
        <v>270</v>
      </c>
      <c r="C917" s="2">
        <v>2471101000</v>
      </c>
      <c r="D917" s="2">
        <v>34623000</v>
      </c>
    </row>
    <row r="918" spans="1:4" x14ac:dyDescent="0.25">
      <c r="A918" t="s">
        <v>419</v>
      </c>
      <c r="B918" t="s">
        <v>271</v>
      </c>
      <c r="C918" s="2">
        <v>991124000</v>
      </c>
      <c r="D918" s="2">
        <v>25792000</v>
      </c>
    </row>
    <row r="919" spans="1:4" x14ac:dyDescent="0.25">
      <c r="A919" t="s">
        <v>419</v>
      </c>
      <c r="B919" t="s">
        <v>272</v>
      </c>
      <c r="C919" s="2">
        <v>1227355000</v>
      </c>
      <c r="D919" s="2">
        <v>33303000</v>
      </c>
    </row>
    <row r="920" spans="1:4" x14ac:dyDescent="0.25">
      <c r="A920" t="s">
        <v>419</v>
      </c>
      <c r="B920" t="s">
        <v>273</v>
      </c>
      <c r="C920" s="2">
        <v>1951139000</v>
      </c>
      <c r="D920" s="2">
        <v>31019000</v>
      </c>
    </row>
    <row r="921" spans="1:4" x14ac:dyDescent="0.25">
      <c r="A921" t="s">
        <v>419</v>
      </c>
      <c r="B921" t="s">
        <v>274</v>
      </c>
      <c r="C921" s="2">
        <v>1535900000</v>
      </c>
      <c r="D921" s="2">
        <v>31504000</v>
      </c>
    </row>
    <row r="922" spans="1:4" x14ac:dyDescent="0.25">
      <c r="A922" t="s">
        <v>419</v>
      </c>
      <c r="B922" t="s">
        <v>275</v>
      </c>
      <c r="C922" s="2">
        <v>3435915000</v>
      </c>
      <c r="D922" s="2">
        <v>31013000</v>
      </c>
    </row>
    <row r="923" spans="1:4" x14ac:dyDescent="0.25">
      <c r="A923" t="s">
        <v>419</v>
      </c>
      <c r="B923" t="s">
        <v>276</v>
      </c>
      <c r="C923" s="2">
        <v>1072529000</v>
      </c>
      <c r="D923" s="2">
        <v>40203000</v>
      </c>
    </row>
    <row r="924" spans="1:4" x14ac:dyDescent="0.25">
      <c r="A924" t="s">
        <v>419</v>
      </c>
      <c r="B924" t="s">
        <v>277</v>
      </c>
      <c r="C924" s="2">
        <v>2205319000</v>
      </c>
      <c r="D924" s="2">
        <v>41587000</v>
      </c>
    </row>
    <row r="925" spans="1:4" x14ac:dyDescent="0.25">
      <c r="A925" t="s">
        <v>419</v>
      </c>
      <c r="B925" t="s">
        <v>278</v>
      </c>
      <c r="C925" s="2">
        <v>1106588000</v>
      </c>
      <c r="D925" s="2">
        <v>29071000</v>
      </c>
    </row>
    <row r="926" spans="1:4" x14ac:dyDescent="0.25">
      <c r="A926" t="s">
        <v>419</v>
      </c>
      <c r="B926" t="s">
        <v>279</v>
      </c>
      <c r="C926" s="2">
        <v>1437528000</v>
      </c>
      <c r="D926" s="2">
        <v>30334000</v>
      </c>
    </row>
    <row r="927" spans="1:4" x14ac:dyDescent="0.25">
      <c r="A927" t="s">
        <v>419</v>
      </c>
      <c r="B927" t="s">
        <v>280</v>
      </c>
      <c r="C927" s="2">
        <v>2765289000</v>
      </c>
      <c r="D927" s="2">
        <v>31629000</v>
      </c>
    </row>
    <row r="928" spans="1:4" x14ac:dyDescent="0.25">
      <c r="A928" t="s">
        <v>419</v>
      </c>
      <c r="B928" t="s">
        <v>281</v>
      </c>
      <c r="C928" s="2">
        <v>787791000</v>
      </c>
      <c r="D928" s="2">
        <v>29737000</v>
      </c>
    </row>
    <row r="929" spans="1:4" x14ac:dyDescent="0.25">
      <c r="A929" t="s">
        <v>419</v>
      </c>
      <c r="B929" t="s">
        <v>282</v>
      </c>
      <c r="C929" s="2">
        <v>1322355000</v>
      </c>
      <c r="D929" s="2">
        <v>31676000</v>
      </c>
    </row>
    <row r="930" spans="1:4" x14ac:dyDescent="0.25">
      <c r="A930" t="s">
        <v>419</v>
      </c>
      <c r="B930" t="s">
        <v>283</v>
      </c>
      <c r="C930" s="2">
        <v>1760187000</v>
      </c>
      <c r="D930" s="2">
        <v>40708000</v>
      </c>
    </row>
    <row r="931" spans="1:4" x14ac:dyDescent="0.25">
      <c r="A931" t="s">
        <v>419</v>
      </c>
      <c r="B931" t="s">
        <v>284</v>
      </c>
      <c r="C931" s="2">
        <v>1915875000</v>
      </c>
      <c r="D931" s="2">
        <v>42084000</v>
      </c>
    </row>
    <row r="932" spans="1:4" x14ac:dyDescent="0.25">
      <c r="A932" t="s">
        <v>419</v>
      </c>
      <c r="B932" t="s">
        <v>285</v>
      </c>
      <c r="C932" s="2">
        <v>2032455000</v>
      </c>
      <c r="D932" s="2">
        <v>31798000</v>
      </c>
    </row>
    <row r="933" spans="1:4" x14ac:dyDescent="0.25">
      <c r="A933" t="s">
        <v>419</v>
      </c>
      <c r="B933" t="s">
        <v>286</v>
      </c>
      <c r="C933" s="2">
        <v>1284339000</v>
      </c>
      <c r="D933" s="2">
        <v>30918000</v>
      </c>
    </row>
    <row r="934" spans="1:4" x14ac:dyDescent="0.25">
      <c r="A934" t="s">
        <v>419</v>
      </c>
      <c r="B934" t="s">
        <v>287</v>
      </c>
      <c r="C934" s="2">
        <v>1070818000</v>
      </c>
      <c r="D934" s="2">
        <v>33422000</v>
      </c>
    </row>
    <row r="935" spans="1:4" x14ac:dyDescent="0.25">
      <c r="A935" t="s">
        <v>419</v>
      </c>
      <c r="B935" t="s">
        <v>288</v>
      </c>
      <c r="C935" s="2">
        <v>1492655000</v>
      </c>
      <c r="D935" s="2">
        <v>40336000</v>
      </c>
    </row>
    <row r="936" spans="1:4" x14ac:dyDescent="0.25">
      <c r="A936" t="s">
        <v>419</v>
      </c>
      <c r="B936" t="s">
        <v>289</v>
      </c>
      <c r="C936" s="2">
        <v>1302985000</v>
      </c>
      <c r="D936" s="2">
        <v>30338000</v>
      </c>
    </row>
    <row r="937" spans="1:4" x14ac:dyDescent="0.25">
      <c r="A937" t="s">
        <v>419</v>
      </c>
      <c r="B937" t="s">
        <v>290</v>
      </c>
      <c r="C937" s="2">
        <v>974093000</v>
      </c>
      <c r="D937" s="2">
        <v>41823000</v>
      </c>
    </row>
    <row r="938" spans="1:4" x14ac:dyDescent="0.25">
      <c r="A938" t="s">
        <v>419</v>
      </c>
      <c r="B938" t="s">
        <v>291</v>
      </c>
      <c r="C938" s="2">
        <v>1202924000</v>
      </c>
      <c r="D938" s="2">
        <v>42098000</v>
      </c>
    </row>
    <row r="939" spans="1:4" x14ac:dyDescent="0.25">
      <c r="A939" t="s">
        <v>419</v>
      </c>
      <c r="B939" t="s">
        <v>292</v>
      </c>
      <c r="C939" s="2">
        <v>558706000</v>
      </c>
      <c r="D939" s="2">
        <v>37552000</v>
      </c>
    </row>
    <row r="940" spans="1:4" x14ac:dyDescent="0.25">
      <c r="A940" t="s">
        <v>419</v>
      </c>
      <c r="B940" t="s">
        <v>293</v>
      </c>
      <c r="C940" s="2">
        <v>1830062000</v>
      </c>
      <c r="D940" s="2">
        <v>40677000</v>
      </c>
    </row>
    <row r="941" spans="1:4" x14ac:dyDescent="0.25">
      <c r="A941" t="s">
        <v>419</v>
      </c>
      <c r="B941" t="s">
        <v>294</v>
      </c>
      <c r="C941" s="2">
        <v>1043746000</v>
      </c>
      <c r="D941" s="2">
        <v>31420000</v>
      </c>
    </row>
    <row r="942" spans="1:4" x14ac:dyDescent="0.25">
      <c r="A942" t="s">
        <v>419</v>
      </c>
      <c r="B942" t="s">
        <v>295</v>
      </c>
      <c r="C942" s="2">
        <v>1732911000</v>
      </c>
      <c r="D942" s="2">
        <v>31587000</v>
      </c>
    </row>
    <row r="943" spans="1:4" x14ac:dyDescent="0.25">
      <c r="A943" t="s">
        <v>419</v>
      </c>
      <c r="B943" t="s">
        <v>296</v>
      </c>
      <c r="C943" s="2">
        <v>2578597000</v>
      </c>
      <c r="D943" s="2">
        <v>30763000</v>
      </c>
    </row>
    <row r="944" spans="1:4" x14ac:dyDescent="0.25">
      <c r="A944" t="s">
        <v>419</v>
      </c>
      <c r="B944" t="s">
        <v>297</v>
      </c>
      <c r="C944" s="2">
        <v>1589706000</v>
      </c>
      <c r="D944" s="2">
        <v>31715000</v>
      </c>
    </row>
    <row r="945" spans="1:4" x14ac:dyDescent="0.25">
      <c r="A945" t="s">
        <v>419</v>
      </c>
      <c r="B945" t="s">
        <v>298</v>
      </c>
      <c r="C945" s="2">
        <v>1204026000</v>
      </c>
      <c r="D945" s="2">
        <v>40622000</v>
      </c>
    </row>
    <row r="946" spans="1:4" x14ac:dyDescent="0.25">
      <c r="A946" t="s">
        <v>419</v>
      </c>
      <c r="B946" t="s">
        <v>299</v>
      </c>
      <c r="C946" s="2">
        <v>1549476000</v>
      </c>
      <c r="D946" s="2">
        <v>26731000</v>
      </c>
    </row>
    <row r="947" spans="1:4" x14ac:dyDescent="0.25">
      <c r="A947" t="s">
        <v>419</v>
      </c>
      <c r="B947" t="s">
        <v>300</v>
      </c>
      <c r="C947" s="2">
        <v>956559000</v>
      </c>
      <c r="D947" s="2">
        <v>32369000</v>
      </c>
    </row>
    <row r="948" spans="1:4" x14ac:dyDescent="0.25">
      <c r="A948" t="s">
        <v>419</v>
      </c>
      <c r="B948" t="s">
        <v>301</v>
      </c>
      <c r="C948" s="2">
        <v>772989000</v>
      </c>
      <c r="D948" s="2">
        <v>41102000</v>
      </c>
    </row>
    <row r="949" spans="1:4" x14ac:dyDescent="0.25">
      <c r="A949" t="s">
        <v>419</v>
      </c>
      <c r="B949" t="s">
        <v>302</v>
      </c>
      <c r="C949" s="2">
        <v>1028239000</v>
      </c>
      <c r="D949" s="2">
        <v>32768000</v>
      </c>
    </row>
    <row r="950" spans="1:4" x14ac:dyDescent="0.25">
      <c r="A950" t="s">
        <v>419</v>
      </c>
      <c r="B950" t="s">
        <v>303</v>
      </c>
      <c r="C950" s="2">
        <v>369607000</v>
      </c>
      <c r="D950" s="2">
        <v>32999000</v>
      </c>
    </row>
    <row r="951" spans="1:4" x14ac:dyDescent="0.25">
      <c r="A951" t="s">
        <v>419</v>
      </c>
      <c r="B951" t="s">
        <v>304</v>
      </c>
      <c r="C951" s="2">
        <v>1147467000</v>
      </c>
      <c r="D951" s="2">
        <v>41343000</v>
      </c>
    </row>
    <row r="952" spans="1:4" x14ac:dyDescent="0.25">
      <c r="A952" t="s">
        <v>419</v>
      </c>
      <c r="B952" t="s">
        <v>305</v>
      </c>
      <c r="C952" s="2">
        <v>539374000</v>
      </c>
      <c r="D952" s="2">
        <v>30927000</v>
      </c>
    </row>
    <row r="953" spans="1:4" x14ac:dyDescent="0.25">
      <c r="A953" t="s">
        <v>419</v>
      </c>
      <c r="B953" t="s">
        <v>306</v>
      </c>
      <c r="C953" s="2">
        <v>1037336000</v>
      </c>
      <c r="D953" s="2">
        <v>32570000</v>
      </c>
    </row>
    <row r="954" spans="1:4" x14ac:dyDescent="0.25">
      <c r="A954" t="s">
        <v>419</v>
      </c>
      <c r="B954" t="s">
        <v>307</v>
      </c>
      <c r="C954" s="2">
        <v>851986000</v>
      </c>
      <c r="D954" s="2">
        <v>30786000</v>
      </c>
    </row>
    <row r="955" spans="1:4" x14ac:dyDescent="0.25">
      <c r="A955" t="s">
        <v>419</v>
      </c>
      <c r="B955" t="s">
        <v>308</v>
      </c>
      <c r="C955" s="2">
        <v>3361282000</v>
      </c>
      <c r="D955" s="2">
        <v>43489000</v>
      </c>
    </row>
    <row r="956" spans="1:4" x14ac:dyDescent="0.25">
      <c r="A956" t="s">
        <v>419</v>
      </c>
      <c r="B956" t="s">
        <v>309</v>
      </c>
      <c r="C956" s="2">
        <v>1403946000</v>
      </c>
      <c r="D956" s="2">
        <v>31751000</v>
      </c>
    </row>
    <row r="957" spans="1:4" x14ac:dyDescent="0.25">
      <c r="A957" t="s">
        <v>419</v>
      </c>
      <c r="B957" t="s">
        <v>310</v>
      </c>
      <c r="C957" s="2">
        <v>1734728000</v>
      </c>
      <c r="D957" s="2">
        <v>29205000</v>
      </c>
    </row>
    <row r="958" spans="1:4" x14ac:dyDescent="0.25">
      <c r="A958" t="s">
        <v>419</v>
      </c>
      <c r="B958" t="s">
        <v>311</v>
      </c>
      <c r="C958" s="2">
        <v>1039701000</v>
      </c>
      <c r="D958" s="2">
        <v>39911000</v>
      </c>
    </row>
    <row r="959" spans="1:4" x14ac:dyDescent="0.25">
      <c r="A959" t="s">
        <v>419</v>
      </c>
      <c r="B959" t="s">
        <v>312</v>
      </c>
      <c r="C959" s="2">
        <v>1221725000</v>
      </c>
      <c r="D959" s="2">
        <v>29825000</v>
      </c>
    </row>
    <row r="960" spans="1:4" x14ac:dyDescent="0.25">
      <c r="A960" t="s">
        <v>419</v>
      </c>
      <c r="B960" t="s">
        <v>313</v>
      </c>
      <c r="C960" s="2">
        <v>613916000</v>
      </c>
      <c r="D960" s="2">
        <v>30637000</v>
      </c>
    </row>
    <row r="961" spans="1:4" x14ac:dyDescent="0.25">
      <c r="A961" t="s">
        <v>419</v>
      </c>
      <c r="B961" t="s">
        <v>314</v>
      </c>
      <c r="C961" s="2">
        <v>1206224000</v>
      </c>
      <c r="D961" s="2">
        <v>24683000</v>
      </c>
    </row>
    <row r="962" spans="1:4" x14ac:dyDescent="0.25">
      <c r="A962" t="s">
        <v>419</v>
      </c>
      <c r="B962" t="s">
        <v>315</v>
      </c>
      <c r="C962" s="2">
        <v>831313000</v>
      </c>
      <c r="D962" s="2">
        <v>30868000</v>
      </c>
    </row>
    <row r="963" spans="1:4" x14ac:dyDescent="0.25">
      <c r="A963" t="s">
        <v>419</v>
      </c>
      <c r="B963" t="s">
        <v>316</v>
      </c>
      <c r="C963" s="2">
        <v>984367000</v>
      </c>
      <c r="D963" s="2">
        <v>27304000</v>
      </c>
    </row>
    <row r="964" spans="1:4" x14ac:dyDescent="0.25">
      <c r="A964" t="s">
        <v>419</v>
      </c>
      <c r="B964" t="s">
        <v>317</v>
      </c>
      <c r="C964" s="2">
        <v>2027423000</v>
      </c>
      <c r="D964" s="2">
        <v>30273000</v>
      </c>
    </row>
    <row r="965" spans="1:4" x14ac:dyDescent="0.25">
      <c r="A965" t="s">
        <v>419</v>
      </c>
      <c r="B965" t="s">
        <v>318</v>
      </c>
      <c r="C965" s="2">
        <v>2850872000</v>
      </c>
      <c r="D965" s="2">
        <v>39137000</v>
      </c>
    </row>
    <row r="966" spans="1:4" x14ac:dyDescent="0.25">
      <c r="A966" t="s">
        <v>419</v>
      </c>
      <c r="B966" t="s">
        <v>319</v>
      </c>
      <c r="C966" s="2">
        <v>913026000</v>
      </c>
      <c r="D966" s="2">
        <v>30428000</v>
      </c>
    </row>
    <row r="967" spans="1:4" x14ac:dyDescent="0.25">
      <c r="A967" t="s">
        <v>419</v>
      </c>
      <c r="B967" t="s">
        <v>320</v>
      </c>
      <c r="C967" s="2">
        <v>1031811000</v>
      </c>
      <c r="D967" s="2">
        <v>31420000</v>
      </c>
    </row>
    <row r="968" spans="1:4" x14ac:dyDescent="0.25">
      <c r="A968" t="s">
        <v>419</v>
      </c>
      <c r="B968" t="s">
        <v>321</v>
      </c>
      <c r="C968" s="2">
        <v>1769228000</v>
      </c>
      <c r="D968" s="2">
        <v>43658000</v>
      </c>
    </row>
    <row r="969" spans="1:4" x14ac:dyDescent="0.25">
      <c r="A969" t="s">
        <v>419</v>
      </c>
      <c r="B969" t="s">
        <v>322</v>
      </c>
      <c r="C969" s="2">
        <v>1281500000</v>
      </c>
      <c r="D969" s="2">
        <v>32925000</v>
      </c>
    </row>
    <row r="970" spans="1:4" x14ac:dyDescent="0.25">
      <c r="A970" t="s">
        <v>419</v>
      </c>
      <c r="B970" t="s">
        <v>323</v>
      </c>
      <c r="C970" s="2">
        <v>496257000</v>
      </c>
      <c r="D970" s="2">
        <v>42507000</v>
      </c>
    </row>
    <row r="971" spans="1:4" x14ac:dyDescent="0.25">
      <c r="A971" t="s">
        <v>419</v>
      </c>
      <c r="B971" t="s">
        <v>324</v>
      </c>
      <c r="C971" s="2">
        <v>557450000</v>
      </c>
      <c r="D971" s="2">
        <v>28965000</v>
      </c>
    </row>
    <row r="972" spans="1:4" x14ac:dyDescent="0.25">
      <c r="A972" t="s">
        <v>419</v>
      </c>
      <c r="B972" t="s">
        <v>325</v>
      </c>
      <c r="C972" s="2">
        <v>1302168000</v>
      </c>
      <c r="D972" s="2">
        <v>30590000</v>
      </c>
    </row>
    <row r="973" spans="1:4" x14ac:dyDescent="0.25">
      <c r="A973" t="s">
        <v>419</v>
      </c>
      <c r="B973" t="s">
        <v>326</v>
      </c>
      <c r="C973" s="2">
        <v>1803423000</v>
      </c>
      <c r="D973" s="2">
        <v>29761000</v>
      </c>
    </row>
    <row r="974" spans="1:4" x14ac:dyDescent="0.25">
      <c r="A974" t="s">
        <v>419</v>
      </c>
      <c r="B974" t="s">
        <v>327</v>
      </c>
      <c r="C974" s="2">
        <v>1659540000</v>
      </c>
      <c r="D974" s="2">
        <v>30767000</v>
      </c>
    </row>
    <row r="975" spans="1:4" x14ac:dyDescent="0.25">
      <c r="A975" t="s">
        <v>419</v>
      </c>
      <c r="B975" t="s">
        <v>328</v>
      </c>
      <c r="C975" s="2">
        <v>1223452000</v>
      </c>
      <c r="D975" s="2">
        <v>30823000</v>
      </c>
    </row>
    <row r="976" spans="1:4" x14ac:dyDescent="0.25">
      <c r="A976" t="s">
        <v>419</v>
      </c>
      <c r="B976" t="s">
        <v>329</v>
      </c>
      <c r="C976" s="2">
        <v>632877000</v>
      </c>
      <c r="D976" s="2">
        <v>31155000</v>
      </c>
    </row>
    <row r="977" spans="1:4" x14ac:dyDescent="0.25">
      <c r="A977" t="s">
        <v>419</v>
      </c>
      <c r="B977" t="s">
        <v>330</v>
      </c>
      <c r="C977" s="2">
        <v>1386508000</v>
      </c>
      <c r="D977" s="2">
        <v>31758000</v>
      </c>
    </row>
    <row r="978" spans="1:4" x14ac:dyDescent="0.25">
      <c r="A978" t="s">
        <v>419</v>
      </c>
      <c r="B978" t="s">
        <v>331</v>
      </c>
      <c r="C978" s="2">
        <v>1024990000</v>
      </c>
      <c r="D978" s="2">
        <v>30745000</v>
      </c>
    </row>
    <row r="979" spans="1:4" x14ac:dyDescent="0.25">
      <c r="A979" t="s">
        <v>419</v>
      </c>
      <c r="B979" t="s">
        <v>332</v>
      </c>
      <c r="C979" s="2">
        <v>1155876000</v>
      </c>
      <c r="D979" s="2">
        <v>28309000</v>
      </c>
    </row>
    <row r="980" spans="1:4" x14ac:dyDescent="0.25">
      <c r="A980" t="s">
        <v>419</v>
      </c>
      <c r="B980" t="s">
        <v>333</v>
      </c>
      <c r="C980" s="2">
        <v>1332849000</v>
      </c>
      <c r="D980" s="2">
        <v>24190000</v>
      </c>
    </row>
    <row r="981" spans="1:4" x14ac:dyDescent="0.25">
      <c r="A981" t="s">
        <v>419</v>
      </c>
      <c r="B981" t="s">
        <v>334</v>
      </c>
      <c r="C981" s="2">
        <v>1293748000</v>
      </c>
      <c r="D981" s="2">
        <v>28943000</v>
      </c>
    </row>
    <row r="982" spans="1:4" x14ac:dyDescent="0.25">
      <c r="A982" t="s">
        <v>419</v>
      </c>
      <c r="B982" t="s">
        <v>335</v>
      </c>
      <c r="C982" s="2">
        <v>1012253000</v>
      </c>
      <c r="D982" s="2">
        <v>31811000</v>
      </c>
    </row>
    <row r="983" spans="1:4" x14ac:dyDescent="0.25">
      <c r="A983" t="s">
        <v>419</v>
      </c>
      <c r="B983" t="s">
        <v>336</v>
      </c>
      <c r="C983" s="2">
        <v>2012446000</v>
      </c>
      <c r="D983" s="2">
        <v>37696000</v>
      </c>
    </row>
    <row r="984" spans="1:4" x14ac:dyDescent="0.25">
      <c r="A984" t="s">
        <v>419</v>
      </c>
      <c r="B984" t="s">
        <v>337</v>
      </c>
      <c r="C984" s="2">
        <v>1370841000</v>
      </c>
      <c r="D984" s="2">
        <v>34364000</v>
      </c>
    </row>
    <row r="985" spans="1:4" x14ac:dyDescent="0.25">
      <c r="A985" t="s">
        <v>419</v>
      </c>
      <c r="B985" t="s">
        <v>338</v>
      </c>
      <c r="C985" s="2">
        <v>1011828000</v>
      </c>
      <c r="D985" s="2">
        <v>23716000</v>
      </c>
    </row>
    <row r="986" spans="1:4" x14ac:dyDescent="0.25">
      <c r="A986" t="s">
        <v>419</v>
      </c>
      <c r="B986" t="s">
        <v>339</v>
      </c>
      <c r="C986" s="2">
        <v>1780586000</v>
      </c>
      <c r="D986" s="2">
        <v>22634000</v>
      </c>
    </row>
    <row r="987" spans="1:4" x14ac:dyDescent="0.25">
      <c r="A987" t="s">
        <v>419</v>
      </c>
      <c r="B987" t="s">
        <v>340</v>
      </c>
      <c r="C987" s="2">
        <v>1726253000</v>
      </c>
      <c r="D987" s="2">
        <v>30541000</v>
      </c>
    </row>
    <row r="988" spans="1:4" x14ac:dyDescent="0.25">
      <c r="A988" t="s">
        <v>419</v>
      </c>
      <c r="B988" t="s">
        <v>341</v>
      </c>
      <c r="C988" s="2">
        <v>1563028000</v>
      </c>
      <c r="D988" s="2">
        <v>40283000</v>
      </c>
    </row>
    <row r="989" spans="1:4" x14ac:dyDescent="0.25">
      <c r="A989" t="s">
        <v>419</v>
      </c>
      <c r="B989" t="s">
        <v>342</v>
      </c>
      <c r="C989" s="2">
        <v>2700894000</v>
      </c>
      <c r="D989" s="2">
        <v>31906000</v>
      </c>
    </row>
    <row r="990" spans="1:4" x14ac:dyDescent="0.25">
      <c r="A990" t="s">
        <v>419</v>
      </c>
      <c r="B990" t="s">
        <v>343</v>
      </c>
      <c r="C990" s="2">
        <v>1275965000</v>
      </c>
      <c r="D990" s="2">
        <v>30536000</v>
      </c>
    </row>
    <row r="991" spans="1:4" x14ac:dyDescent="0.25">
      <c r="A991" t="s">
        <v>419</v>
      </c>
      <c r="B991" t="s">
        <v>344</v>
      </c>
      <c r="C991" s="2">
        <v>1740615000</v>
      </c>
      <c r="D991" s="2">
        <v>32518000</v>
      </c>
    </row>
    <row r="992" spans="1:4" x14ac:dyDescent="0.25">
      <c r="A992" t="s">
        <v>419</v>
      </c>
      <c r="B992" t="s">
        <v>345</v>
      </c>
      <c r="C992" s="2">
        <v>1208640000</v>
      </c>
      <c r="D992" s="2">
        <v>32797000</v>
      </c>
    </row>
    <row r="993" spans="1:4" x14ac:dyDescent="0.25">
      <c r="A993" t="s">
        <v>419</v>
      </c>
      <c r="B993" t="s">
        <v>346</v>
      </c>
      <c r="C993" s="2">
        <v>1435928000</v>
      </c>
      <c r="D993" s="2">
        <v>32260000</v>
      </c>
    </row>
    <row r="994" spans="1:4" x14ac:dyDescent="0.25">
      <c r="A994" t="s">
        <v>419</v>
      </c>
      <c r="B994" t="s">
        <v>347</v>
      </c>
      <c r="C994" s="2">
        <v>2018757000</v>
      </c>
      <c r="D994" s="2">
        <v>28192000</v>
      </c>
    </row>
    <row r="995" spans="1:4" x14ac:dyDescent="0.25">
      <c r="A995" t="s">
        <v>419</v>
      </c>
      <c r="B995" t="s">
        <v>348</v>
      </c>
      <c r="C995" s="2">
        <v>632937000</v>
      </c>
      <c r="D995" s="2">
        <v>31234000</v>
      </c>
    </row>
    <row r="996" spans="1:4" x14ac:dyDescent="0.25">
      <c r="A996" t="s">
        <v>419</v>
      </c>
      <c r="B996" t="s">
        <v>349</v>
      </c>
      <c r="C996" s="2">
        <v>1815075000</v>
      </c>
      <c r="D996" s="2">
        <v>32863000</v>
      </c>
    </row>
    <row r="997" spans="1:4" x14ac:dyDescent="0.25">
      <c r="A997" t="s">
        <v>419</v>
      </c>
      <c r="B997" t="s">
        <v>350</v>
      </c>
      <c r="C997" s="2">
        <v>881937000</v>
      </c>
      <c r="D997" s="2">
        <v>28568000</v>
      </c>
    </row>
    <row r="998" spans="1:4" x14ac:dyDescent="0.25">
      <c r="A998" t="s">
        <v>419</v>
      </c>
      <c r="B998" t="s">
        <v>414</v>
      </c>
      <c r="C998" s="2">
        <v>981228000</v>
      </c>
      <c r="D998" s="2">
        <v>40131000</v>
      </c>
    </row>
    <row r="999" spans="1:4" x14ac:dyDescent="0.25">
      <c r="A999" t="s">
        <v>419</v>
      </c>
      <c r="B999" t="s">
        <v>351</v>
      </c>
      <c r="C999" s="2">
        <v>646896000</v>
      </c>
      <c r="D999" s="2">
        <v>23503000</v>
      </c>
    </row>
    <row r="1000" spans="1:4" x14ac:dyDescent="0.25">
      <c r="A1000" t="s">
        <v>419</v>
      </c>
      <c r="B1000" t="s">
        <v>405</v>
      </c>
      <c r="C1000" s="2">
        <v>1405274000</v>
      </c>
      <c r="D1000" s="2">
        <v>34941000</v>
      </c>
    </row>
    <row r="1001" spans="1:4" x14ac:dyDescent="0.25">
      <c r="A1001" t="s">
        <v>419</v>
      </c>
      <c r="B1001" t="s">
        <v>352</v>
      </c>
      <c r="C1001" s="2">
        <v>673037000</v>
      </c>
      <c r="D1001" s="2">
        <v>31287000</v>
      </c>
    </row>
    <row r="1002" spans="1:4" x14ac:dyDescent="0.25">
      <c r="A1002" t="s">
        <v>419</v>
      </c>
      <c r="B1002" t="s">
        <v>353</v>
      </c>
      <c r="C1002" s="2">
        <v>871662000</v>
      </c>
      <c r="D1002" s="2">
        <v>39733000</v>
      </c>
    </row>
    <row r="1003" spans="1:4" x14ac:dyDescent="0.25">
      <c r="A1003" t="s">
        <v>419</v>
      </c>
      <c r="B1003" t="s">
        <v>354</v>
      </c>
      <c r="C1003" s="2">
        <v>603882000</v>
      </c>
      <c r="D1003" s="2">
        <v>40952000</v>
      </c>
    </row>
    <row r="1004" spans="1:4" x14ac:dyDescent="0.25">
      <c r="A1004" t="s">
        <v>419</v>
      </c>
      <c r="B1004" t="s">
        <v>355</v>
      </c>
      <c r="C1004" s="2">
        <v>2484197000</v>
      </c>
      <c r="D1004" s="2">
        <v>39197000</v>
      </c>
    </row>
    <row r="1005" spans="1:4" x14ac:dyDescent="0.25">
      <c r="A1005" t="s">
        <v>419</v>
      </c>
      <c r="B1005" t="s">
        <v>356</v>
      </c>
      <c r="C1005" s="2">
        <v>1970662000</v>
      </c>
      <c r="D1005" s="2">
        <v>36492000</v>
      </c>
    </row>
    <row r="1006" spans="1:4" x14ac:dyDescent="0.25">
      <c r="A1006" t="s">
        <v>419</v>
      </c>
      <c r="B1006" t="s">
        <v>357</v>
      </c>
      <c r="C1006" s="2">
        <v>702634000</v>
      </c>
      <c r="D1006" s="2">
        <v>30816000</v>
      </c>
    </row>
    <row r="1007" spans="1:4" x14ac:dyDescent="0.25">
      <c r="A1007" t="s">
        <v>419</v>
      </c>
      <c r="B1007" t="s">
        <v>358</v>
      </c>
      <c r="C1007" s="2">
        <v>1023085000</v>
      </c>
      <c r="D1007" s="2">
        <v>25225000</v>
      </c>
    </row>
    <row r="1008" spans="1:4" x14ac:dyDescent="0.25">
      <c r="A1008" t="s">
        <v>419</v>
      </c>
      <c r="B1008" t="s">
        <v>359</v>
      </c>
      <c r="C1008" s="2">
        <v>1680616000</v>
      </c>
      <c r="D1008" s="2">
        <v>38359000</v>
      </c>
    </row>
    <row r="1009" spans="1:4" x14ac:dyDescent="0.25">
      <c r="A1009" t="s">
        <v>419</v>
      </c>
      <c r="B1009" t="s">
        <v>360</v>
      </c>
      <c r="C1009" s="2">
        <v>1521563000</v>
      </c>
      <c r="D1009" s="2">
        <v>32372000</v>
      </c>
    </row>
    <row r="1010" spans="1:4" x14ac:dyDescent="0.25">
      <c r="A1010" t="s">
        <v>419</v>
      </c>
      <c r="B1010" t="s">
        <v>361</v>
      </c>
      <c r="C1010" s="2">
        <v>1354850000</v>
      </c>
      <c r="D1010" s="2">
        <v>39742000</v>
      </c>
    </row>
    <row r="1011" spans="1:4" x14ac:dyDescent="0.25">
      <c r="A1011" t="s">
        <v>419</v>
      </c>
      <c r="B1011" t="s">
        <v>362</v>
      </c>
      <c r="C1011" s="2">
        <v>633126000</v>
      </c>
      <c r="D1011" s="2">
        <v>24132000</v>
      </c>
    </row>
    <row r="1012" spans="1:4" x14ac:dyDescent="0.25">
      <c r="A1012" t="s">
        <v>419</v>
      </c>
      <c r="B1012" t="s">
        <v>363</v>
      </c>
      <c r="C1012" s="2">
        <v>1075162000</v>
      </c>
      <c r="D1012" s="2">
        <v>25292000</v>
      </c>
    </row>
    <row r="1013" spans="1:4" x14ac:dyDescent="0.25">
      <c r="A1013" t="s">
        <v>419</v>
      </c>
      <c r="B1013" t="s">
        <v>364</v>
      </c>
      <c r="C1013" s="2">
        <v>782010000</v>
      </c>
      <c r="D1013" s="2">
        <v>23107000</v>
      </c>
    </row>
    <row r="1014" spans="1:4" x14ac:dyDescent="0.25">
      <c r="A1014" t="s">
        <v>419</v>
      </c>
      <c r="B1014" t="s">
        <v>365</v>
      </c>
      <c r="C1014" s="2">
        <v>628769000</v>
      </c>
      <c r="D1014" s="2">
        <v>42727000</v>
      </c>
    </row>
    <row r="1015" spans="1:4" x14ac:dyDescent="0.25">
      <c r="A1015" t="s">
        <v>419</v>
      </c>
      <c r="B1015" t="s">
        <v>366</v>
      </c>
      <c r="C1015" s="2">
        <v>1345601000</v>
      </c>
      <c r="D1015" s="2">
        <v>39884000</v>
      </c>
    </row>
    <row r="1016" spans="1:4" x14ac:dyDescent="0.25">
      <c r="A1016" t="s">
        <v>419</v>
      </c>
      <c r="B1016" t="s">
        <v>367</v>
      </c>
      <c r="C1016" s="2">
        <v>1297992000</v>
      </c>
      <c r="D1016" s="2">
        <v>31856000</v>
      </c>
    </row>
    <row r="1017" spans="1:4" x14ac:dyDescent="0.25">
      <c r="A1017" t="s">
        <v>419</v>
      </c>
      <c r="B1017" t="s">
        <v>368</v>
      </c>
      <c r="C1017" s="2">
        <v>1328218000</v>
      </c>
      <c r="D1017" s="2">
        <v>31618000</v>
      </c>
    </row>
    <row r="1018" spans="1:4" x14ac:dyDescent="0.25">
      <c r="A1018" t="s">
        <v>419</v>
      </c>
      <c r="B1018" t="s">
        <v>369</v>
      </c>
      <c r="C1018" s="2">
        <v>1590401000</v>
      </c>
      <c r="D1018" s="2">
        <v>32692000</v>
      </c>
    </row>
    <row r="1019" spans="1:4" x14ac:dyDescent="0.25">
      <c r="A1019" t="s">
        <v>419</v>
      </c>
      <c r="B1019" t="s">
        <v>370</v>
      </c>
      <c r="C1019" s="2">
        <v>1273188000</v>
      </c>
      <c r="D1019" s="2">
        <v>31459000</v>
      </c>
    </row>
    <row r="1020" spans="1:4" x14ac:dyDescent="0.25">
      <c r="A1020" t="s">
        <v>419</v>
      </c>
      <c r="B1020" t="s">
        <v>371</v>
      </c>
      <c r="C1020" s="2">
        <v>746284000</v>
      </c>
      <c r="D1020" s="2">
        <v>41284000</v>
      </c>
    </row>
    <row r="1021" spans="1:4" x14ac:dyDescent="0.25">
      <c r="A1021" t="s">
        <v>419</v>
      </c>
      <c r="B1021" t="s">
        <v>372</v>
      </c>
      <c r="C1021" s="2">
        <v>1976043000</v>
      </c>
      <c r="D1021" s="2">
        <v>39582000</v>
      </c>
    </row>
    <row r="1022" spans="1:4" x14ac:dyDescent="0.25">
      <c r="A1022" t="s">
        <v>419</v>
      </c>
      <c r="B1022" t="s">
        <v>373</v>
      </c>
      <c r="C1022" s="2">
        <v>1066472000</v>
      </c>
      <c r="D1022" s="2">
        <v>31711000</v>
      </c>
    </row>
    <row r="1023" spans="1:4" x14ac:dyDescent="0.25">
      <c r="A1023" t="s">
        <v>419</v>
      </c>
      <c r="B1023" t="s">
        <v>374</v>
      </c>
      <c r="C1023" s="2">
        <v>778822000</v>
      </c>
      <c r="D1023" s="2">
        <v>42822000</v>
      </c>
    </row>
    <row r="1024" spans="1:4" x14ac:dyDescent="0.25">
      <c r="A1024" t="s">
        <v>419</v>
      </c>
      <c r="B1024" t="s">
        <v>375</v>
      </c>
      <c r="C1024" s="2">
        <v>1137927000</v>
      </c>
      <c r="D1024" s="2">
        <v>31762000</v>
      </c>
    </row>
    <row r="1025" spans="1:4" x14ac:dyDescent="0.25">
      <c r="A1025" t="s">
        <v>419</v>
      </c>
      <c r="B1025" t="s">
        <v>376</v>
      </c>
      <c r="C1025" s="2">
        <v>844999000</v>
      </c>
      <c r="D1025" s="2">
        <v>41377000</v>
      </c>
    </row>
    <row r="1026" spans="1:4" x14ac:dyDescent="0.25">
      <c r="A1026" t="s">
        <v>419</v>
      </c>
      <c r="B1026" t="s">
        <v>377</v>
      </c>
      <c r="C1026" s="2">
        <v>1112291000</v>
      </c>
      <c r="D1026" s="2">
        <v>31476000</v>
      </c>
    </row>
    <row r="1027" spans="1:4" x14ac:dyDescent="0.25">
      <c r="A1027" t="s">
        <v>419</v>
      </c>
      <c r="B1027" t="s">
        <v>378</v>
      </c>
      <c r="C1027" s="2">
        <v>943106000</v>
      </c>
      <c r="D1027" s="2">
        <v>40160000</v>
      </c>
    </row>
    <row r="1028" spans="1:4" x14ac:dyDescent="0.25">
      <c r="A1028" t="s">
        <v>419</v>
      </c>
      <c r="B1028" t="s">
        <v>412</v>
      </c>
      <c r="C1028" s="2">
        <v>30857000</v>
      </c>
      <c r="D1028" s="2">
        <v>20857000</v>
      </c>
    </row>
    <row r="1029" spans="1:4" x14ac:dyDescent="0.25">
      <c r="A1029" t="s">
        <v>419</v>
      </c>
      <c r="B1029" t="s">
        <v>379</v>
      </c>
      <c r="C1029" s="2">
        <v>791321000</v>
      </c>
      <c r="D1029" s="2">
        <v>39251000</v>
      </c>
    </row>
    <row r="1030" spans="1:4" x14ac:dyDescent="0.25">
      <c r="A1030" t="s">
        <v>419</v>
      </c>
      <c r="B1030" t="s">
        <v>380</v>
      </c>
      <c r="C1030" s="2">
        <v>1465073000</v>
      </c>
      <c r="D1030" s="2">
        <v>42810000</v>
      </c>
    </row>
    <row r="1031" spans="1:4" x14ac:dyDescent="0.25">
      <c r="A1031" t="s">
        <v>419</v>
      </c>
      <c r="B1031" t="s">
        <v>381</v>
      </c>
      <c r="C1031" s="2">
        <v>1053931000</v>
      </c>
      <c r="D1031" s="2">
        <v>40035000</v>
      </c>
    </row>
    <row r="1032" spans="1:4" x14ac:dyDescent="0.25">
      <c r="A1032" t="s">
        <v>419</v>
      </c>
      <c r="B1032" t="s">
        <v>382</v>
      </c>
      <c r="C1032" s="2">
        <v>1650782000</v>
      </c>
      <c r="D1032" s="2">
        <v>37548000</v>
      </c>
    </row>
    <row r="1033" spans="1:4" x14ac:dyDescent="0.25">
      <c r="A1033" t="s">
        <v>419</v>
      </c>
      <c r="B1033" t="s">
        <v>383</v>
      </c>
      <c r="C1033" s="2">
        <v>1404058000</v>
      </c>
      <c r="D1033" s="2">
        <v>35259000</v>
      </c>
    </row>
    <row r="1034" spans="1:4" x14ac:dyDescent="0.25">
      <c r="A1034" t="s">
        <v>419</v>
      </c>
      <c r="B1034" t="s">
        <v>384</v>
      </c>
      <c r="C1034" s="2">
        <v>1115391000</v>
      </c>
      <c r="D1034" s="2">
        <v>30483000</v>
      </c>
    </row>
    <row r="1035" spans="1:4" x14ac:dyDescent="0.25">
      <c r="A1035" t="s">
        <v>419</v>
      </c>
      <c r="B1035" t="s">
        <v>385</v>
      </c>
      <c r="C1035" s="2">
        <v>747935000</v>
      </c>
      <c r="D1035" s="2">
        <v>37827000</v>
      </c>
    </row>
    <row r="1036" spans="1:4" x14ac:dyDescent="0.25">
      <c r="A1036" t="s">
        <v>419</v>
      </c>
      <c r="B1036" t="s">
        <v>386</v>
      </c>
      <c r="C1036" s="2">
        <v>977990000</v>
      </c>
      <c r="D1036" s="2">
        <v>32327000</v>
      </c>
    </row>
    <row r="1037" spans="1:4" x14ac:dyDescent="0.25">
      <c r="A1037" t="s">
        <v>419</v>
      </c>
      <c r="B1037" t="s">
        <v>387</v>
      </c>
      <c r="C1037" s="2">
        <v>1405455000</v>
      </c>
      <c r="D1037" s="2">
        <v>42080000</v>
      </c>
    </row>
    <row r="1038" spans="1:4" x14ac:dyDescent="0.25">
      <c r="A1038" t="s">
        <v>419</v>
      </c>
      <c r="B1038" t="s">
        <v>388</v>
      </c>
      <c r="C1038" s="2">
        <v>930056000</v>
      </c>
      <c r="D1038" s="2">
        <v>41012000</v>
      </c>
    </row>
    <row r="1039" spans="1:4" x14ac:dyDescent="0.25">
      <c r="A1039" t="s">
        <v>419</v>
      </c>
      <c r="B1039" t="s">
        <v>389</v>
      </c>
      <c r="C1039" s="2">
        <v>813050000</v>
      </c>
      <c r="D1039" s="2">
        <v>32138000</v>
      </c>
    </row>
    <row r="1040" spans="1:4" x14ac:dyDescent="0.25">
      <c r="A1040" t="s">
        <v>419</v>
      </c>
      <c r="B1040" t="s">
        <v>390</v>
      </c>
      <c r="C1040" s="2">
        <v>671394000</v>
      </c>
      <c r="D1040" s="2">
        <v>32375000</v>
      </c>
    </row>
    <row r="1041" spans="1:4" x14ac:dyDescent="0.25">
      <c r="A1041" t="s">
        <v>419</v>
      </c>
      <c r="B1041" t="s">
        <v>391</v>
      </c>
      <c r="C1041" s="2">
        <v>438268000</v>
      </c>
      <c r="D1041" s="2">
        <v>32594000</v>
      </c>
    </row>
    <row r="1042" spans="1:4" x14ac:dyDescent="0.25">
      <c r="A1042" t="s">
        <v>419</v>
      </c>
      <c r="B1042" t="s">
        <v>392</v>
      </c>
      <c r="C1042" s="2">
        <v>724024000</v>
      </c>
      <c r="D1042" s="2">
        <v>31340000</v>
      </c>
    </row>
    <row r="1043" spans="1:4" x14ac:dyDescent="0.25">
      <c r="A1043" t="s">
        <v>419</v>
      </c>
      <c r="B1043" t="s">
        <v>393</v>
      </c>
      <c r="C1043" s="2">
        <v>768125000</v>
      </c>
      <c r="D1043" s="2">
        <v>33625000</v>
      </c>
    </row>
    <row r="1044" spans="1:4" x14ac:dyDescent="0.25">
      <c r="A1044" t="s">
        <v>419</v>
      </c>
      <c r="B1044" t="s">
        <v>394</v>
      </c>
      <c r="C1044" s="2">
        <v>533541000</v>
      </c>
      <c r="D1044" s="2">
        <v>31561000</v>
      </c>
    </row>
    <row r="1045" spans="1:4" x14ac:dyDescent="0.25">
      <c r="A1045" t="s">
        <v>419</v>
      </c>
      <c r="B1045" t="s">
        <v>395</v>
      </c>
      <c r="C1045" s="2">
        <v>659518000</v>
      </c>
      <c r="D1045" s="2">
        <v>31937000</v>
      </c>
    </row>
    <row r="1046" spans="1:4" x14ac:dyDescent="0.25">
      <c r="A1046" t="s">
        <v>419</v>
      </c>
      <c r="B1046" t="s">
        <v>396</v>
      </c>
      <c r="C1046" s="2">
        <v>553875000</v>
      </c>
      <c r="D1046" s="2">
        <v>31162000</v>
      </c>
    </row>
    <row r="1047" spans="1:4" x14ac:dyDescent="0.25">
      <c r="A1047" t="s">
        <v>419</v>
      </c>
      <c r="B1047" t="s">
        <v>397</v>
      </c>
      <c r="C1047" s="2">
        <v>2401804000</v>
      </c>
      <c r="D1047" s="2">
        <v>24506000</v>
      </c>
    </row>
    <row r="1048" spans="1:4" x14ac:dyDescent="0.25">
      <c r="A1048" t="s">
        <v>419</v>
      </c>
      <c r="B1048" t="s">
        <v>398</v>
      </c>
      <c r="C1048" s="2">
        <v>1097019000</v>
      </c>
      <c r="D1048" s="2">
        <v>1359000</v>
      </c>
    </row>
    <row r="1049" spans="1:4" x14ac:dyDescent="0.25">
      <c r="A1049" t="s">
        <v>419</v>
      </c>
      <c r="B1049" t="s">
        <v>399</v>
      </c>
      <c r="C1049" s="2">
        <v>1747131000</v>
      </c>
      <c r="D1049" s="2">
        <v>28729000</v>
      </c>
    </row>
    <row r="1050" spans="1:4" x14ac:dyDescent="0.25">
      <c r="A1050" t="s">
        <v>419</v>
      </c>
      <c r="B1050" t="s">
        <v>400</v>
      </c>
      <c r="C1050" s="2">
        <v>560397000</v>
      </c>
    </row>
    <row r="1051" spans="1:4" x14ac:dyDescent="0.25">
      <c r="A1051" t="s">
        <v>419</v>
      </c>
      <c r="B1051" t="s">
        <v>401</v>
      </c>
      <c r="C1051" s="2">
        <v>1030501000</v>
      </c>
    </row>
    <row r="1052" spans="1:4" x14ac:dyDescent="0.25">
      <c r="A1052" t="s">
        <v>419</v>
      </c>
      <c r="B1052" t="s">
        <v>402</v>
      </c>
      <c r="C1052" s="2">
        <v>402988000</v>
      </c>
    </row>
    <row r="1053" spans="1:4" x14ac:dyDescent="0.25">
      <c r="A1053" t="s">
        <v>420</v>
      </c>
      <c r="B1053" t="s">
        <v>201</v>
      </c>
      <c r="C1053" s="2">
        <v>487616616000</v>
      </c>
      <c r="D1053" s="2">
        <v>465067165000</v>
      </c>
    </row>
    <row r="1054" spans="1:4" x14ac:dyDescent="0.25">
      <c r="A1054" t="s">
        <v>420</v>
      </c>
      <c r="B1054" t="s">
        <v>202</v>
      </c>
      <c r="C1054" s="2">
        <v>145194000</v>
      </c>
      <c r="D1054" s="2">
        <v>150194000</v>
      </c>
    </row>
    <row r="1055" spans="1:4" x14ac:dyDescent="0.25">
      <c r="A1055" t="s">
        <v>420</v>
      </c>
      <c r="B1055" t="s">
        <v>203</v>
      </c>
      <c r="C1055" s="2">
        <v>134675000</v>
      </c>
      <c r="D1055" s="2">
        <v>139675000</v>
      </c>
    </row>
    <row r="1056" spans="1:4" x14ac:dyDescent="0.25">
      <c r="A1056" t="s">
        <v>420</v>
      </c>
      <c r="B1056" t="s">
        <v>204</v>
      </c>
      <c r="C1056" s="2">
        <v>202525000</v>
      </c>
      <c r="D1056" s="2">
        <v>212525000</v>
      </c>
    </row>
    <row r="1057" spans="1:4" x14ac:dyDescent="0.25">
      <c r="A1057" t="s">
        <v>420</v>
      </c>
      <c r="B1057" t="s">
        <v>205</v>
      </c>
      <c r="C1057" s="2">
        <v>119457000</v>
      </c>
      <c r="D1057" s="2">
        <v>124457000</v>
      </c>
    </row>
    <row r="1058" spans="1:4" x14ac:dyDescent="0.25">
      <c r="A1058" t="s">
        <v>420</v>
      </c>
      <c r="B1058" t="s">
        <v>206</v>
      </c>
      <c r="C1058" s="2">
        <v>148913000</v>
      </c>
      <c r="D1058" s="2">
        <v>153913000</v>
      </c>
    </row>
    <row r="1059" spans="1:4" x14ac:dyDescent="0.25">
      <c r="A1059" t="s">
        <v>420</v>
      </c>
      <c r="B1059" t="s">
        <v>207</v>
      </c>
      <c r="C1059" s="2">
        <v>130907000</v>
      </c>
      <c r="D1059" s="2">
        <v>135907000</v>
      </c>
    </row>
    <row r="1060" spans="1:4" x14ac:dyDescent="0.25">
      <c r="A1060" t="s">
        <v>420</v>
      </c>
      <c r="B1060" t="s">
        <v>208</v>
      </c>
      <c r="C1060" s="2">
        <v>149003000</v>
      </c>
      <c r="D1060" s="2">
        <v>154003000</v>
      </c>
    </row>
    <row r="1061" spans="1:4" x14ac:dyDescent="0.25">
      <c r="A1061" t="s">
        <v>420</v>
      </c>
      <c r="B1061" t="s">
        <v>209</v>
      </c>
      <c r="C1061" s="2">
        <v>135551000</v>
      </c>
      <c r="D1061" s="2">
        <v>140551000</v>
      </c>
    </row>
    <row r="1062" spans="1:4" x14ac:dyDescent="0.25">
      <c r="A1062" t="s">
        <v>420</v>
      </c>
      <c r="B1062" t="s">
        <v>210</v>
      </c>
      <c r="C1062" s="2">
        <v>309554000</v>
      </c>
      <c r="D1062" s="2">
        <v>136554000</v>
      </c>
    </row>
    <row r="1063" spans="1:4" x14ac:dyDescent="0.25">
      <c r="A1063" t="s">
        <v>420</v>
      </c>
      <c r="B1063" t="s">
        <v>211</v>
      </c>
      <c r="C1063" s="2">
        <v>538134000</v>
      </c>
      <c r="D1063" s="2">
        <v>135134000</v>
      </c>
    </row>
    <row r="1064" spans="1:4" x14ac:dyDescent="0.25">
      <c r="A1064" t="s">
        <v>420</v>
      </c>
      <c r="B1064" t="s">
        <v>212</v>
      </c>
      <c r="C1064" s="2">
        <v>145326000</v>
      </c>
      <c r="D1064" s="2">
        <v>150326000</v>
      </c>
    </row>
    <row r="1065" spans="1:4" x14ac:dyDescent="0.25">
      <c r="A1065" t="s">
        <v>420</v>
      </c>
      <c r="B1065" t="s">
        <v>213</v>
      </c>
      <c r="C1065" s="2">
        <v>267356000</v>
      </c>
      <c r="D1065" s="2">
        <v>131356000</v>
      </c>
    </row>
    <row r="1066" spans="1:4" x14ac:dyDescent="0.25">
      <c r="A1066" t="s">
        <v>420</v>
      </c>
      <c r="B1066" t="s">
        <v>214</v>
      </c>
      <c r="C1066" s="2">
        <v>129934000</v>
      </c>
      <c r="D1066" s="2">
        <v>134934000</v>
      </c>
    </row>
    <row r="1067" spans="1:4" x14ac:dyDescent="0.25">
      <c r="A1067" t="s">
        <v>420</v>
      </c>
      <c r="B1067" t="s">
        <v>215</v>
      </c>
      <c r="C1067" s="2">
        <v>143259000</v>
      </c>
      <c r="D1067" s="2">
        <v>148259000</v>
      </c>
    </row>
    <row r="1068" spans="1:4" x14ac:dyDescent="0.25">
      <c r="A1068" t="s">
        <v>420</v>
      </c>
      <c r="B1068" t="s">
        <v>216</v>
      </c>
      <c r="C1068" s="2">
        <v>125769000</v>
      </c>
      <c r="D1068" s="2">
        <v>130769000</v>
      </c>
    </row>
    <row r="1069" spans="1:4" x14ac:dyDescent="0.25">
      <c r="A1069" t="s">
        <v>420</v>
      </c>
      <c r="B1069" t="s">
        <v>217</v>
      </c>
      <c r="C1069" s="2">
        <v>143274000</v>
      </c>
      <c r="D1069" s="2">
        <v>148274000</v>
      </c>
    </row>
    <row r="1070" spans="1:4" x14ac:dyDescent="0.25">
      <c r="A1070" t="s">
        <v>420</v>
      </c>
      <c r="B1070" t="s">
        <v>218</v>
      </c>
      <c r="C1070" s="2">
        <v>2395975000</v>
      </c>
      <c r="D1070" s="2">
        <v>1913975000</v>
      </c>
    </row>
    <row r="1071" spans="1:4" x14ac:dyDescent="0.25">
      <c r="A1071" t="s">
        <v>420</v>
      </c>
      <c r="B1071" t="s">
        <v>219</v>
      </c>
      <c r="C1071" s="2">
        <v>2305148000</v>
      </c>
      <c r="D1071" s="2">
        <v>1685148000</v>
      </c>
    </row>
    <row r="1072" spans="1:4" x14ac:dyDescent="0.25">
      <c r="A1072" t="s">
        <v>420</v>
      </c>
      <c r="B1072" t="s">
        <v>220</v>
      </c>
      <c r="C1072" s="2">
        <v>5556640000</v>
      </c>
      <c r="D1072" s="2">
        <v>3600744000</v>
      </c>
    </row>
    <row r="1073" spans="1:4" x14ac:dyDescent="0.25">
      <c r="A1073" t="s">
        <v>420</v>
      </c>
      <c r="B1073" t="s">
        <v>221</v>
      </c>
      <c r="C1073" s="2">
        <v>2177667000</v>
      </c>
      <c r="D1073" s="2">
        <v>1957667000</v>
      </c>
    </row>
    <row r="1074" spans="1:4" x14ac:dyDescent="0.25">
      <c r="A1074" t="s">
        <v>420</v>
      </c>
      <c r="B1074" t="s">
        <v>222</v>
      </c>
      <c r="C1074" s="2">
        <v>3404122000</v>
      </c>
      <c r="D1074" s="2">
        <v>2508122000</v>
      </c>
    </row>
    <row r="1075" spans="1:4" x14ac:dyDescent="0.25">
      <c r="A1075" t="s">
        <v>420</v>
      </c>
      <c r="B1075" t="s">
        <v>223</v>
      </c>
      <c r="C1075" s="2">
        <v>2795570000</v>
      </c>
      <c r="D1075" s="2">
        <v>2411070000</v>
      </c>
    </row>
    <row r="1076" spans="1:4" x14ac:dyDescent="0.25">
      <c r="A1076" t="s">
        <v>420</v>
      </c>
      <c r="B1076" t="s">
        <v>224</v>
      </c>
      <c r="C1076" s="2">
        <v>3802367000</v>
      </c>
      <c r="D1076" s="2">
        <v>2785817000</v>
      </c>
    </row>
    <row r="1077" spans="1:4" x14ac:dyDescent="0.25">
      <c r="A1077" t="s">
        <v>420</v>
      </c>
      <c r="B1077" t="s">
        <v>225</v>
      </c>
      <c r="C1077" s="2">
        <v>2641887000</v>
      </c>
      <c r="D1077" s="2">
        <v>2211981000</v>
      </c>
    </row>
    <row r="1078" spans="1:4" x14ac:dyDescent="0.25">
      <c r="A1078" t="s">
        <v>420</v>
      </c>
      <c r="B1078" t="s">
        <v>226</v>
      </c>
      <c r="C1078" s="2">
        <v>1744930000</v>
      </c>
      <c r="D1078" s="2">
        <v>1145330000</v>
      </c>
    </row>
    <row r="1079" spans="1:4" x14ac:dyDescent="0.25">
      <c r="A1079" t="s">
        <v>420</v>
      </c>
      <c r="B1079" t="s">
        <v>227</v>
      </c>
      <c r="C1079" s="2">
        <v>2056970000</v>
      </c>
      <c r="D1079" s="2">
        <v>1047970000</v>
      </c>
    </row>
    <row r="1080" spans="1:4" x14ac:dyDescent="0.25">
      <c r="A1080" t="s">
        <v>420</v>
      </c>
      <c r="B1080" t="s">
        <v>228</v>
      </c>
      <c r="C1080" s="2">
        <v>2310555000</v>
      </c>
      <c r="D1080" s="2">
        <v>966555000</v>
      </c>
    </row>
    <row r="1081" spans="1:4" x14ac:dyDescent="0.25">
      <c r="A1081" t="s">
        <v>420</v>
      </c>
      <c r="B1081" t="s">
        <v>229</v>
      </c>
      <c r="C1081" s="2">
        <v>733237000</v>
      </c>
      <c r="D1081" s="2">
        <v>547237000</v>
      </c>
    </row>
    <row r="1082" spans="1:4" x14ac:dyDescent="0.25">
      <c r="A1082" t="s">
        <v>420</v>
      </c>
      <c r="B1082" t="s">
        <v>230</v>
      </c>
      <c r="C1082" s="2">
        <v>2335049000</v>
      </c>
      <c r="D1082" s="2">
        <v>1120049000</v>
      </c>
    </row>
    <row r="1083" spans="1:4" x14ac:dyDescent="0.25">
      <c r="A1083" t="s">
        <v>420</v>
      </c>
      <c r="B1083" t="s">
        <v>231</v>
      </c>
      <c r="C1083" s="2">
        <v>984940000</v>
      </c>
      <c r="D1083" s="2">
        <v>934940000</v>
      </c>
    </row>
    <row r="1084" spans="1:4" x14ac:dyDescent="0.25">
      <c r="A1084" t="s">
        <v>420</v>
      </c>
      <c r="B1084" t="s">
        <v>232</v>
      </c>
      <c r="C1084" s="2">
        <v>1255983000</v>
      </c>
      <c r="D1084" s="2">
        <v>873283000</v>
      </c>
    </row>
    <row r="1085" spans="1:4" x14ac:dyDescent="0.25">
      <c r="A1085" t="s">
        <v>420</v>
      </c>
      <c r="B1085" t="s">
        <v>233</v>
      </c>
      <c r="C1085" s="2">
        <v>952537000</v>
      </c>
      <c r="D1085" s="2">
        <v>795650000</v>
      </c>
    </row>
    <row r="1086" spans="1:4" x14ac:dyDescent="0.25">
      <c r="A1086" t="s">
        <v>420</v>
      </c>
      <c r="B1086" t="s">
        <v>234</v>
      </c>
      <c r="C1086" s="2">
        <v>1245296000</v>
      </c>
      <c r="D1086" s="2">
        <v>930296000</v>
      </c>
    </row>
    <row r="1087" spans="1:4" x14ac:dyDescent="0.25">
      <c r="A1087" t="s">
        <v>420</v>
      </c>
      <c r="B1087" t="s">
        <v>235</v>
      </c>
      <c r="C1087" s="2">
        <v>1750867000</v>
      </c>
      <c r="D1087" s="2">
        <v>1577767000</v>
      </c>
    </row>
    <row r="1088" spans="1:4" x14ac:dyDescent="0.25">
      <c r="A1088" t="s">
        <v>420</v>
      </c>
      <c r="B1088" t="s">
        <v>236</v>
      </c>
      <c r="C1088" s="2">
        <v>3164846000</v>
      </c>
      <c r="D1088" s="2">
        <v>2591846000</v>
      </c>
    </row>
    <row r="1089" spans="1:4" x14ac:dyDescent="0.25">
      <c r="A1089" t="s">
        <v>420</v>
      </c>
      <c r="B1089" t="s">
        <v>237</v>
      </c>
      <c r="C1089" s="2">
        <v>7303111000</v>
      </c>
      <c r="D1089" s="2">
        <v>3209111000</v>
      </c>
    </row>
    <row r="1090" spans="1:4" x14ac:dyDescent="0.25">
      <c r="A1090" t="s">
        <v>420</v>
      </c>
      <c r="B1090" t="s">
        <v>238</v>
      </c>
      <c r="C1090" s="2">
        <v>467962000</v>
      </c>
      <c r="D1090" s="2">
        <v>417962000</v>
      </c>
    </row>
    <row r="1091" spans="1:4" x14ac:dyDescent="0.25">
      <c r="A1091" t="s">
        <v>420</v>
      </c>
      <c r="B1091" t="s">
        <v>239</v>
      </c>
      <c r="C1091" s="2">
        <v>774414000</v>
      </c>
      <c r="D1091" s="2">
        <v>767414000</v>
      </c>
    </row>
    <row r="1092" spans="1:4" x14ac:dyDescent="0.25">
      <c r="A1092" t="s">
        <v>420</v>
      </c>
      <c r="B1092" t="s">
        <v>240</v>
      </c>
      <c r="C1092" s="2">
        <v>1147685000</v>
      </c>
      <c r="D1092" s="2">
        <v>919985000</v>
      </c>
    </row>
    <row r="1093" spans="1:4" x14ac:dyDescent="0.25">
      <c r="A1093" t="s">
        <v>420</v>
      </c>
      <c r="B1093" t="s">
        <v>241</v>
      </c>
      <c r="C1093" s="2">
        <v>1382523000</v>
      </c>
      <c r="D1093" s="2">
        <v>430423000</v>
      </c>
    </row>
    <row r="1094" spans="1:4" x14ac:dyDescent="0.25">
      <c r="A1094" t="s">
        <v>420</v>
      </c>
      <c r="B1094" t="s">
        <v>242</v>
      </c>
      <c r="C1094" s="2">
        <v>1263198000</v>
      </c>
      <c r="D1094" s="2">
        <v>325318000</v>
      </c>
    </row>
    <row r="1095" spans="1:4" x14ac:dyDescent="0.25">
      <c r="A1095" t="s">
        <v>420</v>
      </c>
      <c r="B1095" t="s">
        <v>243</v>
      </c>
      <c r="C1095" s="2">
        <v>568642000</v>
      </c>
      <c r="D1095" s="2">
        <v>562179000</v>
      </c>
    </row>
    <row r="1096" spans="1:4" x14ac:dyDescent="0.25">
      <c r="A1096" t="s">
        <v>420</v>
      </c>
      <c r="B1096" t="s">
        <v>244</v>
      </c>
      <c r="C1096" s="2">
        <v>636736000</v>
      </c>
      <c r="D1096" s="2">
        <v>484736000</v>
      </c>
    </row>
    <row r="1097" spans="1:4" x14ac:dyDescent="0.25">
      <c r="A1097" t="s">
        <v>420</v>
      </c>
      <c r="B1097" t="s">
        <v>245</v>
      </c>
      <c r="C1097" s="2">
        <v>631969000</v>
      </c>
      <c r="D1097" s="2">
        <v>618969000</v>
      </c>
    </row>
    <row r="1098" spans="1:4" x14ac:dyDescent="0.25">
      <c r="A1098" t="s">
        <v>420</v>
      </c>
      <c r="B1098" t="s">
        <v>246</v>
      </c>
      <c r="C1098" s="2">
        <v>856841000</v>
      </c>
      <c r="D1098" s="2">
        <v>861841000</v>
      </c>
    </row>
    <row r="1099" spans="1:4" x14ac:dyDescent="0.25">
      <c r="A1099" t="s">
        <v>420</v>
      </c>
      <c r="B1099" t="s">
        <v>247</v>
      </c>
      <c r="C1099" s="2">
        <v>833033000</v>
      </c>
      <c r="D1099" s="2">
        <v>796033000</v>
      </c>
    </row>
    <row r="1100" spans="1:4" x14ac:dyDescent="0.25">
      <c r="A1100" t="s">
        <v>420</v>
      </c>
      <c r="B1100" t="s">
        <v>248</v>
      </c>
      <c r="C1100" s="2">
        <v>1791320000</v>
      </c>
      <c r="D1100" s="2">
        <v>1586320000</v>
      </c>
    </row>
    <row r="1101" spans="1:4" x14ac:dyDescent="0.25">
      <c r="A1101" t="s">
        <v>420</v>
      </c>
      <c r="B1101" t="s">
        <v>249</v>
      </c>
      <c r="C1101" s="2">
        <v>2485789000</v>
      </c>
      <c r="D1101" s="2">
        <v>1729814000</v>
      </c>
    </row>
    <row r="1102" spans="1:4" x14ac:dyDescent="0.25">
      <c r="A1102" t="s">
        <v>420</v>
      </c>
      <c r="B1102" t="s">
        <v>250</v>
      </c>
      <c r="C1102" s="2">
        <v>773735000</v>
      </c>
      <c r="D1102" s="2">
        <v>733735000</v>
      </c>
    </row>
    <row r="1103" spans="1:4" x14ac:dyDescent="0.25">
      <c r="A1103" t="s">
        <v>420</v>
      </c>
      <c r="B1103" t="s">
        <v>251</v>
      </c>
      <c r="C1103" s="2">
        <v>1667607000</v>
      </c>
      <c r="D1103" s="2">
        <v>1299607000</v>
      </c>
    </row>
    <row r="1104" spans="1:4" x14ac:dyDescent="0.25">
      <c r="A1104" t="s">
        <v>420</v>
      </c>
      <c r="B1104" t="s">
        <v>252</v>
      </c>
      <c r="C1104" s="2">
        <v>881175000</v>
      </c>
      <c r="D1104" s="2">
        <v>625048000</v>
      </c>
    </row>
    <row r="1105" spans="1:4" x14ac:dyDescent="0.25">
      <c r="A1105" t="s">
        <v>420</v>
      </c>
      <c r="B1105" t="s">
        <v>253</v>
      </c>
      <c r="C1105" s="2">
        <v>1988200000</v>
      </c>
      <c r="D1105" s="2">
        <v>1873200000</v>
      </c>
    </row>
    <row r="1106" spans="1:4" x14ac:dyDescent="0.25">
      <c r="A1106" t="s">
        <v>420</v>
      </c>
      <c r="B1106" t="s">
        <v>254</v>
      </c>
      <c r="C1106" s="2">
        <v>1606467000</v>
      </c>
      <c r="D1106" s="2">
        <v>1043270000</v>
      </c>
    </row>
    <row r="1107" spans="1:4" x14ac:dyDescent="0.25">
      <c r="A1107" t="s">
        <v>420</v>
      </c>
      <c r="B1107" t="s">
        <v>255</v>
      </c>
      <c r="C1107" s="2">
        <v>969453000</v>
      </c>
      <c r="D1107" s="2">
        <v>787953000</v>
      </c>
    </row>
    <row r="1108" spans="1:4" x14ac:dyDescent="0.25">
      <c r="A1108" t="s">
        <v>420</v>
      </c>
      <c r="B1108" t="s">
        <v>256</v>
      </c>
      <c r="C1108" s="2">
        <v>800428000</v>
      </c>
      <c r="D1108" s="2">
        <v>634928000</v>
      </c>
    </row>
    <row r="1109" spans="1:4" x14ac:dyDescent="0.25">
      <c r="A1109" t="s">
        <v>420</v>
      </c>
      <c r="B1109" t="s">
        <v>257</v>
      </c>
      <c r="C1109" s="2">
        <v>1656639000</v>
      </c>
      <c r="D1109" s="2">
        <v>1178972000</v>
      </c>
    </row>
    <row r="1110" spans="1:4" x14ac:dyDescent="0.25">
      <c r="A1110" t="s">
        <v>420</v>
      </c>
      <c r="B1110" t="s">
        <v>258</v>
      </c>
      <c r="C1110" s="2">
        <v>2538988000</v>
      </c>
      <c r="D1110" s="2">
        <v>2038988000</v>
      </c>
    </row>
    <row r="1111" spans="1:4" x14ac:dyDescent="0.25">
      <c r="A1111" t="s">
        <v>420</v>
      </c>
      <c r="B1111" t="s">
        <v>259</v>
      </c>
      <c r="C1111" s="2">
        <v>1392900000</v>
      </c>
      <c r="D1111" s="2">
        <v>1252189000</v>
      </c>
    </row>
    <row r="1112" spans="1:4" x14ac:dyDescent="0.25">
      <c r="A1112" t="s">
        <v>420</v>
      </c>
      <c r="B1112" t="s">
        <v>260</v>
      </c>
      <c r="C1112" s="2">
        <v>1766151000</v>
      </c>
      <c r="D1112" s="2">
        <v>1365151000</v>
      </c>
    </row>
    <row r="1113" spans="1:4" x14ac:dyDescent="0.25">
      <c r="A1113" t="s">
        <v>420</v>
      </c>
      <c r="B1113" t="s">
        <v>261</v>
      </c>
      <c r="C1113" s="2">
        <v>5702210000</v>
      </c>
      <c r="D1113" s="2">
        <v>3299509000</v>
      </c>
    </row>
    <row r="1114" spans="1:4" x14ac:dyDescent="0.25">
      <c r="A1114" t="s">
        <v>420</v>
      </c>
      <c r="B1114" t="s">
        <v>262</v>
      </c>
      <c r="C1114" s="2">
        <v>3228350000</v>
      </c>
      <c r="D1114" s="2">
        <v>1400619000</v>
      </c>
    </row>
    <row r="1115" spans="1:4" x14ac:dyDescent="0.25">
      <c r="A1115" t="s">
        <v>420</v>
      </c>
      <c r="B1115" t="s">
        <v>263</v>
      </c>
      <c r="C1115" s="2">
        <v>2819510000</v>
      </c>
      <c r="D1115" s="2">
        <v>2321510000</v>
      </c>
    </row>
    <row r="1116" spans="1:4" x14ac:dyDescent="0.25">
      <c r="A1116" t="s">
        <v>420</v>
      </c>
      <c r="B1116" t="s">
        <v>264</v>
      </c>
      <c r="C1116" s="2">
        <v>1431309000</v>
      </c>
      <c r="D1116" s="2">
        <v>1231249000</v>
      </c>
    </row>
    <row r="1117" spans="1:4" x14ac:dyDescent="0.25">
      <c r="A1117" t="s">
        <v>420</v>
      </c>
      <c r="B1117" t="s">
        <v>265</v>
      </c>
      <c r="C1117" s="2">
        <v>1562312000</v>
      </c>
      <c r="D1117" s="2">
        <v>1124312000</v>
      </c>
    </row>
    <row r="1118" spans="1:4" x14ac:dyDescent="0.25">
      <c r="A1118" t="s">
        <v>420</v>
      </c>
      <c r="B1118" t="s">
        <v>266</v>
      </c>
      <c r="C1118" s="2">
        <v>2988225000</v>
      </c>
      <c r="D1118" s="2">
        <v>1862225000</v>
      </c>
    </row>
    <row r="1119" spans="1:4" x14ac:dyDescent="0.25">
      <c r="A1119" t="s">
        <v>420</v>
      </c>
      <c r="B1119" t="s">
        <v>267</v>
      </c>
      <c r="C1119" s="2">
        <v>1139562000</v>
      </c>
      <c r="D1119" s="2">
        <v>579962000</v>
      </c>
    </row>
    <row r="1120" spans="1:4" x14ac:dyDescent="0.25">
      <c r="A1120" t="s">
        <v>420</v>
      </c>
      <c r="B1120" t="s">
        <v>268</v>
      </c>
      <c r="C1120" s="2">
        <v>1598345000</v>
      </c>
      <c r="D1120" s="2">
        <v>1098201000</v>
      </c>
    </row>
    <row r="1121" spans="1:4" x14ac:dyDescent="0.25">
      <c r="A1121" t="s">
        <v>420</v>
      </c>
      <c r="B1121" t="s">
        <v>269</v>
      </c>
      <c r="C1121" s="2">
        <v>3450064000</v>
      </c>
      <c r="D1121" s="2">
        <v>2547704000</v>
      </c>
    </row>
    <row r="1122" spans="1:4" x14ac:dyDescent="0.25">
      <c r="A1122" t="s">
        <v>420</v>
      </c>
      <c r="B1122" t="s">
        <v>270</v>
      </c>
      <c r="C1122" s="2">
        <v>1268033000</v>
      </c>
      <c r="D1122" s="2">
        <v>882633000</v>
      </c>
    </row>
    <row r="1123" spans="1:4" x14ac:dyDescent="0.25">
      <c r="A1123" t="s">
        <v>420</v>
      </c>
      <c r="B1123" t="s">
        <v>271</v>
      </c>
      <c r="C1123" s="2">
        <v>397612000</v>
      </c>
      <c r="D1123" s="2">
        <v>292612000</v>
      </c>
    </row>
    <row r="1124" spans="1:4" x14ac:dyDescent="0.25">
      <c r="A1124" t="s">
        <v>420</v>
      </c>
      <c r="B1124" t="s">
        <v>272</v>
      </c>
      <c r="C1124" s="2">
        <v>1213925000</v>
      </c>
      <c r="D1124" s="2">
        <v>780982000</v>
      </c>
    </row>
    <row r="1125" spans="1:4" x14ac:dyDescent="0.25">
      <c r="A1125" t="s">
        <v>420</v>
      </c>
      <c r="B1125" t="s">
        <v>273</v>
      </c>
      <c r="C1125" s="2">
        <v>1867869000</v>
      </c>
      <c r="D1125" s="2">
        <v>1205869000</v>
      </c>
    </row>
    <row r="1126" spans="1:4" x14ac:dyDescent="0.25">
      <c r="A1126" t="s">
        <v>420</v>
      </c>
      <c r="B1126" t="s">
        <v>274</v>
      </c>
      <c r="C1126" s="2">
        <v>1806366000</v>
      </c>
      <c r="D1126" s="2">
        <v>1241095000</v>
      </c>
    </row>
    <row r="1127" spans="1:4" x14ac:dyDescent="0.25">
      <c r="A1127" t="s">
        <v>420</v>
      </c>
      <c r="B1127" t="s">
        <v>275</v>
      </c>
      <c r="C1127" s="2">
        <v>4196711000</v>
      </c>
      <c r="D1127" s="2">
        <v>1442516000</v>
      </c>
    </row>
    <row r="1128" spans="1:4" x14ac:dyDescent="0.25">
      <c r="A1128" t="s">
        <v>420</v>
      </c>
      <c r="B1128" t="s">
        <v>276</v>
      </c>
      <c r="C1128" s="2">
        <v>1389689000</v>
      </c>
      <c r="D1128" s="2">
        <v>1219689000</v>
      </c>
    </row>
    <row r="1129" spans="1:4" x14ac:dyDescent="0.25">
      <c r="A1129" t="s">
        <v>420</v>
      </c>
      <c r="B1129" t="s">
        <v>277</v>
      </c>
      <c r="C1129" s="2">
        <v>3837795000</v>
      </c>
      <c r="D1129" s="2">
        <v>2317698000</v>
      </c>
    </row>
    <row r="1130" spans="1:4" x14ac:dyDescent="0.25">
      <c r="A1130" t="s">
        <v>420</v>
      </c>
      <c r="B1130" t="s">
        <v>278</v>
      </c>
      <c r="C1130" s="2">
        <v>1372476000</v>
      </c>
      <c r="D1130" s="2">
        <v>1009476000</v>
      </c>
    </row>
    <row r="1131" spans="1:4" x14ac:dyDescent="0.25">
      <c r="A1131" t="s">
        <v>420</v>
      </c>
      <c r="B1131" t="s">
        <v>279</v>
      </c>
      <c r="C1131" s="2">
        <v>854473000</v>
      </c>
      <c r="D1131" s="2">
        <v>532273000</v>
      </c>
    </row>
    <row r="1132" spans="1:4" x14ac:dyDescent="0.25">
      <c r="A1132" t="s">
        <v>420</v>
      </c>
      <c r="B1132" t="s">
        <v>280</v>
      </c>
      <c r="C1132" s="2">
        <v>2453543000</v>
      </c>
      <c r="D1132" s="2">
        <v>1826017000</v>
      </c>
    </row>
    <row r="1133" spans="1:4" x14ac:dyDescent="0.25">
      <c r="A1133" t="s">
        <v>420</v>
      </c>
      <c r="B1133" t="s">
        <v>281</v>
      </c>
      <c r="C1133" s="2">
        <v>1474555000</v>
      </c>
      <c r="D1133" s="2">
        <v>874410000</v>
      </c>
    </row>
    <row r="1134" spans="1:4" x14ac:dyDescent="0.25">
      <c r="A1134" t="s">
        <v>420</v>
      </c>
      <c r="B1134" t="s">
        <v>282</v>
      </c>
      <c r="C1134" s="2">
        <v>2762204000</v>
      </c>
      <c r="D1134" s="2">
        <v>2304794000</v>
      </c>
    </row>
    <row r="1135" spans="1:4" x14ac:dyDescent="0.25">
      <c r="A1135" t="s">
        <v>420</v>
      </c>
      <c r="B1135" t="s">
        <v>283</v>
      </c>
      <c r="C1135" s="2">
        <v>1837453000</v>
      </c>
      <c r="D1135" s="2">
        <v>1282453000</v>
      </c>
    </row>
    <row r="1136" spans="1:4" x14ac:dyDescent="0.25">
      <c r="A1136" t="s">
        <v>420</v>
      </c>
      <c r="B1136" t="s">
        <v>284</v>
      </c>
      <c r="C1136" s="2">
        <v>2125902000</v>
      </c>
      <c r="D1136" s="2">
        <v>1936485000</v>
      </c>
    </row>
    <row r="1137" spans="1:4" x14ac:dyDescent="0.25">
      <c r="A1137" t="s">
        <v>420</v>
      </c>
      <c r="B1137" t="s">
        <v>285</v>
      </c>
      <c r="C1137" s="2">
        <v>2557737000</v>
      </c>
      <c r="D1137" s="2">
        <v>1917437000</v>
      </c>
    </row>
    <row r="1138" spans="1:4" x14ac:dyDescent="0.25">
      <c r="A1138" t="s">
        <v>420</v>
      </c>
      <c r="B1138" t="s">
        <v>286</v>
      </c>
      <c r="C1138" s="2">
        <v>990573000</v>
      </c>
      <c r="D1138" s="2">
        <v>875573000</v>
      </c>
    </row>
    <row r="1139" spans="1:4" x14ac:dyDescent="0.25">
      <c r="A1139" t="s">
        <v>420</v>
      </c>
      <c r="B1139" t="s">
        <v>287</v>
      </c>
      <c r="C1139" s="2">
        <v>2298583000</v>
      </c>
      <c r="D1139" s="2">
        <v>1046583000</v>
      </c>
    </row>
    <row r="1140" spans="1:4" x14ac:dyDescent="0.25">
      <c r="A1140" t="s">
        <v>420</v>
      </c>
      <c r="B1140" t="s">
        <v>288</v>
      </c>
      <c r="C1140" s="2">
        <v>1966601000</v>
      </c>
      <c r="D1140" s="2">
        <v>2027352000</v>
      </c>
    </row>
    <row r="1141" spans="1:4" x14ac:dyDescent="0.25">
      <c r="A1141" t="s">
        <v>420</v>
      </c>
      <c r="B1141" t="s">
        <v>289</v>
      </c>
      <c r="C1141" s="2">
        <v>1843496000</v>
      </c>
      <c r="D1141" s="2">
        <v>879273000</v>
      </c>
    </row>
    <row r="1142" spans="1:4" x14ac:dyDescent="0.25">
      <c r="A1142" t="s">
        <v>420</v>
      </c>
      <c r="B1142" t="s">
        <v>290</v>
      </c>
      <c r="C1142" s="2">
        <v>1737028000</v>
      </c>
      <c r="D1142" s="2">
        <v>882162000</v>
      </c>
    </row>
    <row r="1143" spans="1:4" x14ac:dyDescent="0.25">
      <c r="A1143" t="s">
        <v>420</v>
      </c>
      <c r="B1143" t="s">
        <v>291</v>
      </c>
      <c r="C1143" s="2">
        <v>1646631000</v>
      </c>
      <c r="D1143" s="2">
        <v>1368388000</v>
      </c>
    </row>
    <row r="1144" spans="1:4" x14ac:dyDescent="0.25">
      <c r="A1144" t="s">
        <v>420</v>
      </c>
      <c r="B1144" t="s">
        <v>292</v>
      </c>
      <c r="C1144" s="2">
        <v>1172705000</v>
      </c>
      <c r="D1144" s="2">
        <v>855605000</v>
      </c>
    </row>
    <row r="1145" spans="1:4" x14ac:dyDescent="0.25">
      <c r="A1145" t="s">
        <v>420</v>
      </c>
      <c r="B1145" t="s">
        <v>293</v>
      </c>
      <c r="C1145" s="2">
        <v>1713395000</v>
      </c>
      <c r="D1145" s="2">
        <v>1315895000</v>
      </c>
    </row>
    <row r="1146" spans="1:4" x14ac:dyDescent="0.25">
      <c r="A1146" t="s">
        <v>420</v>
      </c>
      <c r="B1146" t="s">
        <v>294</v>
      </c>
      <c r="C1146" s="2">
        <v>1633648000</v>
      </c>
      <c r="D1146" s="2">
        <v>1290948000</v>
      </c>
    </row>
    <row r="1147" spans="1:4" x14ac:dyDescent="0.25">
      <c r="A1147" t="s">
        <v>420</v>
      </c>
      <c r="B1147" t="s">
        <v>295</v>
      </c>
      <c r="C1147" s="2">
        <v>1629718000</v>
      </c>
      <c r="D1147" s="2">
        <v>1346218000</v>
      </c>
    </row>
    <row r="1148" spans="1:4" x14ac:dyDescent="0.25">
      <c r="A1148" t="s">
        <v>420</v>
      </c>
      <c r="B1148" t="s">
        <v>296</v>
      </c>
      <c r="C1148" s="2">
        <v>5206793000</v>
      </c>
      <c r="D1148" s="2">
        <v>3172054000</v>
      </c>
    </row>
    <row r="1149" spans="1:4" x14ac:dyDescent="0.25">
      <c r="A1149" t="s">
        <v>420</v>
      </c>
      <c r="B1149" t="s">
        <v>297</v>
      </c>
      <c r="C1149" s="2">
        <v>2374307000</v>
      </c>
      <c r="D1149" s="2">
        <v>2318307000</v>
      </c>
    </row>
    <row r="1150" spans="1:4" x14ac:dyDescent="0.25">
      <c r="A1150" t="s">
        <v>420</v>
      </c>
      <c r="B1150" t="s">
        <v>298</v>
      </c>
      <c r="C1150" s="2">
        <v>4482510000</v>
      </c>
      <c r="D1150" s="2">
        <v>3546510000</v>
      </c>
    </row>
    <row r="1151" spans="1:4" x14ac:dyDescent="0.25">
      <c r="A1151" t="s">
        <v>420</v>
      </c>
      <c r="B1151" t="s">
        <v>299</v>
      </c>
      <c r="C1151" s="2">
        <v>2281413000</v>
      </c>
      <c r="D1151" s="2">
        <v>1831245000</v>
      </c>
    </row>
    <row r="1152" spans="1:4" x14ac:dyDescent="0.25">
      <c r="A1152" t="s">
        <v>420</v>
      </c>
      <c r="B1152" t="s">
        <v>300</v>
      </c>
      <c r="C1152" s="2">
        <v>842374000</v>
      </c>
      <c r="D1152" s="2">
        <v>579496000</v>
      </c>
    </row>
    <row r="1153" spans="1:4" x14ac:dyDescent="0.25">
      <c r="A1153" t="s">
        <v>420</v>
      </c>
      <c r="B1153" t="s">
        <v>301</v>
      </c>
      <c r="C1153" s="2">
        <v>1201488000</v>
      </c>
      <c r="D1153" s="2">
        <v>1029488000</v>
      </c>
    </row>
    <row r="1154" spans="1:4" x14ac:dyDescent="0.25">
      <c r="A1154" t="s">
        <v>420</v>
      </c>
      <c r="B1154" t="s">
        <v>302</v>
      </c>
      <c r="C1154" s="2">
        <v>1302310000</v>
      </c>
      <c r="D1154" s="2">
        <v>1159210000</v>
      </c>
    </row>
    <row r="1155" spans="1:4" x14ac:dyDescent="0.25">
      <c r="A1155" t="s">
        <v>420</v>
      </c>
      <c r="B1155" t="s">
        <v>303</v>
      </c>
      <c r="C1155" s="2">
        <v>422428000</v>
      </c>
      <c r="D1155" s="2">
        <v>349428000</v>
      </c>
    </row>
    <row r="1156" spans="1:4" x14ac:dyDescent="0.25">
      <c r="A1156" t="s">
        <v>420</v>
      </c>
      <c r="B1156" t="s">
        <v>304</v>
      </c>
      <c r="C1156" s="2">
        <v>1969469000</v>
      </c>
      <c r="D1156" s="2">
        <v>2016469000</v>
      </c>
    </row>
    <row r="1157" spans="1:4" x14ac:dyDescent="0.25">
      <c r="A1157" t="s">
        <v>420</v>
      </c>
      <c r="B1157" t="s">
        <v>305</v>
      </c>
      <c r="C1157" s="2">
        <v>749441000</v>
      </c>
      <c r="D1157" s="2">
        <v>1149441000</v>
      </c>
    </row>
    <row r="1158" spans="1:4" x14ac:dyDescent="0.25">
      <c r="A1158" t="s">
        <v>420</v>
      </c>
      <c r="B1158" t="s">
        <v>306</v>
      </c>
      <c r="C1158" s="2">
        <v>892796000</v>
      </c>
      <c r="D1158" s="2">
        <v>975572000</v>
      </c>
    </row>
    <row r="1159" spans="1:4" x14ac:dyDescent="0.25">
      <c r="A1159" t="s">
        <v>420</v>
      </c>
      <c r="B1159" t="s">
        <v>307</v>
      </c>
      <c r="C1159" s="2">
        <v>901763000</v>
      </c>
      <c r="D1159" s="2">
        <v>763386000</v>
      </c>
    </row>
    <row r="1160" spans="1:4" x14ac:dyDescent="0.25">
      <c r="A1160" t="s">
        <v>420</v>
      </c>
      <c r="B1160" t="s">
        <v>308</v>
      </c>
      <c r="C1160" s="2">
        <v>2805805000</v>
      </c>
      <c r="D1160" s="2">
        <v>907305000</v>
      </c>
    </row>
    <row r="1161" spans="1:4" x14ac:dyDescent="0.25">
      <c r="A1161" t="s">
        <v>420</v>
      </c>
      <c r="B1161" t="s">
        <v>309</v>
      </c>
      <c r="C1161" s="2">
        <v>1640239000</v>
      </c>
      <c r="D1161" s="2">
        <v>1095239000</v>
      </c>
    </row>
    <row r="1162" spans="1:4" x14ac:dyDescent="0.25">
      <c r="A1162" t="s">
        <v>420</v>
      </c>
      <c r="B1162" t="s">
        <v>310</v>
      </c>
      <c r="C1162" s="2">
        <v>1142065000</v>
      </c>
      <c r="D1162" s="2">
        <v>1075065000</v>
      </c>
    </row>
    <row r="1163" spans="1:4" x14ac:dyDescent="0.25">
      <c r="A1163" t="s">
        <v>420</v>
      </c>
      <c r="B1163" t="s">
        <v>311</v>
      </c>
      <c r="C1163" s="2">
        <v>1357024000</v>
      </c>
      <c r="D1163" s="2">
        <v>1130024000</v>
      </c>
    </row>
    <row r="1164" spans="1:4" x14ac:dyDescent="0.25">
      <c r="A1164" t="s">
        <v>420</v>
      </c>
      <c r="B1164" t="s">
        <v>312</v>
      </c>
      <c r="C1164" s="2">
        <v>1055207000</v>
      </c>
      <c r="D1164" s="2">
        <v>836521000</v>
      </c>
    </row>
    <row r="1165" spans="1:4" x14ac:dyDescent="0.25">
      <c r="A1165" t="s">
        <v>420</v>
      </c>
      <c r="B1165" t="s">
        <v>313</v>
      </c>
      <c r="C1165" s="2">
        <v>838158000</v>
      </c>
      <c r="D1165" s="2">
        <v>775008000</v>
      </c>
    </row>
    <row r="1166" spans="1:4" x14ac:dyDescent="0.25">
      <c r="A1166" t="s">
        <v>420</v>
      </c>
      <c r="B1166" t="s">
        <v>314</v>
      </c>
      <c r="C1166" s="2">
        <v>1124747000</v>
      </c>
      <c r="D1166" s="2">
        <v>1057944000</v>
      </c>
    </row>
    <row r="1167" spans="1:4" x14ac:dyDescent="0.25">
      <c r="A1167" t="s">
        <v>420</v>
      </c>
      <c r="B1167" t="s">
        <v>315</v>
      </c>
      <c r="C1167" s="2">
        <v>357142000</v>
      </c>
      <c r="D1167" s="2">
        <v>312142000</v>
      </c>
    </row>
    <row r="1168" spans="1:4" x14ac:dyDescent="0.25">
      <c r="A1168" t="s">
        <v>420</v>
      </c>
      <c r="B1168" t="s">
        <v>316</v>
      </c>
      <c r="C1168" s="2">
        <v>704360000</v>
      </c>
      <c r="D1168" s="2">
        <v>567360000</v>
      </c>
    </row>
    <row r="1169" spans="1:4" x14ac:dyDescent="0.25">
      <c r="A1169" t="s">
        <v>420</v>
      </c>
      <c r="B1169" t="s">
        <v>317</v>
      </c>
      <c r="C1169" s="2">
        <v>1464994000</v>
      </c>
      <c r="D1169" s="2">
        <v>1183290000</v>
      </c>
    </row>
    <row r="1170" spans="1:4" x14ac:dyDescent="0.25">
      <c r="A1170" t="s">
        <v>420</v>
      </c>
      <c r="B1170" t="s">
        <v>318</v>
      </c>
      <c r="C1170" s="2">
        <v>1702911000</v>
      </c>
      <c r="D1170" s="2">
        <v>1114650000</v>
      </c>
    </row>
    <row r="1171" spans="1:4" x14ac:dyDescent="0.25">
      <c r="A1171" t="s">
        <v>420</v>
      </c>
      <c r="B1171" t="s">
        <v>319</v>
      </c>
      <c r="C1171" s="2">
        <v>1057979000</v>
      </c>
      <c r="D1171" s="2">
        <v>909979000</v>
      </c>
    </row>
    <row r="1172" spans="1:4" x14ac:dyDescent="0.25">
      <c r="A1172" t="s">
        <v>420</v>
      </c>
      <c r="B1172" t="s">
        <v>320</v>
      </c>
      <c r="C1172" s="2">
        <v>906518000</v>
      </c>
      <c r="D1172" s="2">
        <v>548568000</v>
      </c>
    </row>
    <row r="1173" spans="1:4" x14ac:dyDescent="0.25">
      <c r="A1173" t="s">
        <v>420</v>
      </c>
      <c r="B1173" t="s">
        <v>321</v>
      </c>
      <c r="C1173" s="2">
        <v>2056793000</v>
      </c>
      <c r="D1173" s="2">
        <v>1877648000</v>
      </c>
    </row>
    <row r="1174" spans="1:4" x14ac:dyDescent="0.25">
      <c r="A1174" t="s">
        <v>420</v>
      </c>
      <c r="B1174" t="s">
        <v>322</v>
      </c>
      <c r="C1174" s="2">
        <v>916755000</v>
      </c>
      <c r="D1174" s="2">
        <v>854255000</v>
      </c>
    </row>
    <row r="1175" spans="1:4" x14ac:dyDescent="0.25">
      <c r="A1175" t="s">
        <v>420</v>
      </c>
      <c r="B1175" t="s">
        <v>323</v>
      </c>
      <c r="C1175" s="2">
        <v>784599000</v>
      </c>
      <c r="D1175" s="2">
        <v>695599000</v>
      </c>
    </row>
    <row r="1176" spans="1:4" x14ac:dyDescent="0.25">
      <c r="A1176" t="s">
        <v>420</v>
      </c>
      <c r="B1176" t="s">
        <v>324</v>
      </c>
      <c r="C1176" s="2">
        <v>1313957000</v>
      </c>
      <c r="D1176" s="2">
        <v>750957000</v>
      </c>
    </row>
    <row r="1177" spans="1:4" x14ac:dyDescent="0.25">
      <c r="A1177" t="s">
        <v>420</v>
      </c>
      <c r="B1177" t="s">
        <v>325</v>
      </c>
      <c r="C1177" s="2">
        <v>1777594000</v>
      </c>
      <c r="D1177" s="2">
        <v>1154594000</v>
      </c>
    </row>
    <row r="1178" spans="1:4" x14ac:dyDescent="0.25">
      <c r="A1178" t="s">
        <v>420</v>
      </c>
      <c r="B1178" t="s">
        <v>326</v>
      </c>
      <c r="C1178" s="2">
        <v>1288915000</v>
      </c>
      <c r="D1178" s="2">
        <v>937915000</v>
      </c>
    </row>
    <row r="1179" spans="1:4" x14ac:dyDescent="0.25">
      <c r="A1179" t="s">
        <v>420</v>
      </c>
      <c r="B1179" t="s">
        <v>327</v>
      </c>
      <c r="C1179" s="2">
        <v>2456547000</v>
      </c>
      <c r="D1179" s="2">
        <v>1744547000</v>
      </c>
    </row>
    <row r="1180" spans="1:4" x14ac:dyDescent="0.25">
      <c r="A1180" t="s">
        <v>420</v>
      </c>
      <c r="B1180" t="s">
        <v>328</v>
      </c>
      <c r="C1180" s="2">
        <v>1351261000</v>
      </c>
      <c r="D1180" s="2">
        <v>1160265000</v>
      </c>
    </row>
    <row r="1181" spans="1:4" x14ac:dyDescent="0.25">
      <c r="A1181" t="s">
        <v>420</v>
      </c>
      <c r="B1181" t="s">
        <v>329</v>
      </c>
      <c r="C1181" s="2">
        <v>540241000</v>
      </c>
      <c r="D1181" s="2">
        <v>436840000</v>
      </c>
    </row>
    <row r="1182" spans="1:4" x14ac:dyDescent="0.25">
      <c r="A1182" t="s">
        <v>420</v>
      </c>
      <c r="B1182" t="s">
        <v>330</v>
      </c>
      <c r="C1182" s="2">
        <v>940015000</v>
      </c>
      <c r="D1182" s="2">
        <v>776957000</v>
      </c>
    </row>
    <row r="1183" spans="1:4" x14ac:dyDescent="0.25">
      <c r="A1183" t="s">
        <v>420</v>
      </c>
      <c r="B1183" t="s">
        <v>331</v>
      </c>
      <c r="C1183" s="2">
        <v>1503778000</v>
      </c>
      <c r="D1183" s="2">
        <v>1308778000</v>
      </c>
    </row>
    <row r="1184" spans="1:4" x14ac:dyDescent="0.25">
      <c r="A1184" t="s">
        <v>420</v>
      </c>
      <c r="B1184" t="s">
        <v>332</v>
      </c>
      <c r="C1184" s="2">
        <v>958195000</v>
      </c>
      <c r="D1184" s="2">
        <v>796195000</v>
      </c>
    </row>
    <row r="1185" spans="1:4" x14ac:dyDescent="0.25">
      <c r="A1185" t="s">
        <v>420</v>
      </c>
      <c r="B1185" t="s">
        <v>333</v>
      </c>
      <c r="C1185" s="2">
        <v>687364000</v>
      </c>
      <c r="D1185" s="2">
        <v>632364000</v>
      </c>
    </row>
    <row r="1186" spans="1:4" x14ac:dyDescent="0.25">
      <c r="A1186" t="s">
        <v>420</v>
      </c>
      <c r="B1186" t="s">
        <v>334</v>
      </c>
      <c r="C1186" s="2">
        <v>1186342000</v>
      </c>
      <c r="D1186" s="2">
        <v>831342000</v>
      </c>
    </row>
    <row r="1187" spans="1:4" x14ac:dyDescent="0.25">
      <c r="A1187" t="s">
        <v>420</v>
      </c>
      <c r="B1187" t="s">
        <v>335</v>
      </c>
      <c r="C1187" s="2">
        <v>1266532000</v>
      </c>
      <c r="D1187" s="2">
        <v>1006532000</v>
      </c>
    </row>
    <row r="1188" spans="1:4" x14ac:dyDescent="0.25">
      <c r="A1188" t="s">
        <v>420</v>
      </c>
      <c r="B1188" t="s">
        <v>336</v>
      </c>
      <c r="C1188" s="2">
        <v>831605000</v>
      </c>
      <c r="D1188" s="2">
        <v>982146000</v>
      </c>
    </row>
    <row r="1189" spans="1:4" x14ac:dyDescent="0.25">
      <c r="A1189" t="s">
        <v>420</v>
      </c>
      <c r="B1189" t="s">
        <v>337</v>
      </c>
      <c r="C1189" s="2">
        <v>1779269000</v>
      </c>
      <c r="D1189" s="2">
        <v>1269269000</v>
      </c>
    </row>
    <row r="1190" spans="1:4" x14ac:dyDescent="0.25">
      <c r="A1190" t="s">
        <v>420</v>
      </c>
      <c r="B1190" t="s">
        <v>338</v>
      </c>
      <c r="C1190" s="2">
        <v>1000624000</v>
      </c>
      <c r="D1190" s="2">
        <v>863624000</v>
      </c>
    </row>
    <row r="1191" spans="1:4" x14ac:dyDescent="0.25">
      <c r="A1191" t="s">
        <v>420</v>
      </c>
      <c r="B1191" t="s">
        <v>339</v>
      </c>
      <c r="C1191" s="2">
        <v>884060000</v>
      </c>
      <c r="D1191" s="2">
        <v>792060000</v>
      </c>
    </row>
    <row r="1192" spans="1:4" x14ac:dyDescent="0.25">
      <c r="A1192" t="s">
        <v>420</v>
      </c>
      <c r="B1192" t="s">
        <v>340</v>
      </c>
      <c r="C1192" s="2">
        <v>2587880000</v>
      </c>
      <c r="D1192" s="2">
        <v>2398880000</v>
      </c>
    </row>
    <row r="1193" spans="1:4" x14ac:dyDescent="0.25">
      <c r="A1193" t="s">
        <v>420</v>
      </c>
      <c r="B1193" t="s">
        <v>341</v>
      </c>
      <c r="C1193" s="2">
        <v>1695804000</v>
      </c>
      <c r="D1193" s="2">
        <v>1591853000</v>
      </c>
    </row>
    <row r="1194" spans="1:4" x14ac:dyDescent="0.25">
      <c r="A1194" t="s">
        <v>420</v>
      </c>
      <c r="B1194" t="s">
        <v>342</v>
      </c>
      <c r="C1194" s="2">
        <v>1727976000</v>
      </c>
      <c r="D1194" s="2">
        <v>1258659000</v>
      </c>
    </row>
    <row r="1195" spans="1:4" x14ac:dyDescent="0.25">
      <c r="A1195" t="s">
        <v>420</v>
      </c>
      <c r="B1195" t="s">
        <v>343</v>
      </c>
      <c r="C1195" s="2">
        <v>1395263000</v>
      </c>
      <c r="D1195" s="2">
        <v>1345263000</v>
      </c>
    </row>
    <row r="1196" spans="1:4" x14ac:dyDescent="0.25">
      <c r="A1196" t="s">
        <v>420</v>
      </c>
      <c r="B1196" t="s">
        <v>344</v>
      </c>
      <c r="C1196" s="2">
        <v>1379554000</v>
      </c>
      <c r="D1196" s="2">
        <v>1072554000</v>
      </c>
    </row>
    <row r="1197" spans="1:4" x14ac:dyDescent="0.25">
      <c r="A1197" t="s">
        <v>420</v>
      </c>
      <c r="B1197" t="s">
        <v>345</v>
      </c>
      <c r="C1197" s="2">
        <v>1715815000</v>
      </c>
      <c r="D1197" s="2">
        <v>1327815000</v>
      </c>
    </row>
    <row r="1198" spans="1:4" x14ac:dyDescent="0.25">
      <c r="A1198" t="s">
        <v>420</v>
      </c>
      <c r="B1198" t="s">
        <v>346</v>
      </c>
      <c r="C1198" s="2">
        <v>1453138000</v>
      </c>
      <c r="D1198" s="2">
        <v>1230138000</v>
      </c>
    </row>
    <row r="1199" spans="1:4" x14ac:dyDescent="0.25">
      <c r="A1199" t="s">
        <v>420</v>
      </c>
      <c r="B1199" t="s">
        <v>347</v>
      </c>
      <c r="C1199" s="2">
        <v>1605800000</v>
      </c>
      <c r="D1199" s="2">
        <v>1540800000</v>
      </c>
    </row>
    <row r="1200" spans="1:4" x14ac:dyDescent="0.25">
      <c r="A1200" t="s">
        <v>420</v>
      </c>
      <c r="B1200" t="s">
        <v>348</v>
      </c>
      <c r="C1200" s="2">
        <v>1489007000</v>
      </c>
      <c r="D1200" s="2">
        <v>1094607000</v>
      </c>
    </row>
    <row r="1201" spans="1:4" x14ac:dyDescent="0.25">
      <c r="A1201" t="s">
        <v>420</v>
      </c>
      <c r="B1201" t="s">
        <v>349</v>
      </c>
      <c r="C1201" s="2">
        <v>1662193000</v>
      </c>
      <c r="D1201" s="2">
        <v>1507193000</v>
      </c>
    </row>
    <row r="1202" spans="1:4" x14ac:dyDescent="0.25">
      <c r="A1202" t="s">
        <v>420</v>
      </c>
      <c r="B1202" t="s">
        <v>350</v>
      </c>
      <c r="C1202" s="2">
        <v>1998370000</v>
      </c>
      <c r="D1202" s="2">
        <v>1245370000</v>
      </c>
    </row>
    <row r="1203" spans="1:4" x14ac:dyDescent="0.25">
      <c r="A1203" t="s">
        <v>420</v>
      </c>
      <c r="B1203" t="s">
        <v>414</v>
      </c>
      <c r="C1203" s="2">
        <v>2175331000</v>
      </c>
      <c r="D1203" s="2">
        <v>1556331000</v>
      </c>
    </row>
    <row r="1204" spans="1:4" x14ac:dyDescent="0.25">
      <c r="A1204" t="s">
        <v>420</v>
      </c>
      <c r="B1204" t="s">
        <v>351</v>
      </c>
      <c r="C1204" s="2">
        <v>477389000</v>
      </c>
      <c r="D1204" s="2">
        <v>363503000</v>
      </c>
    </row>
    <row r="1205" spans="1:4" x14ac:dyDescent="0.25">
      <c r="A1205" t="s">
        <v>420</v>
      </c>
      <c r="B1205" t="s">
        <v>405</v>
      </c>
      <c r="C1205" s="2">
        <v>984436000</v>
      </c>
      <c r="D1205" s="2">
        <v>921729000</v>
      </c>
    </row>
    <row r="1206" spans="1:4" x14ac:dyDescent="0.25">
      <c r="A1206" t="s">
        <v>420</v>
      </c>
      <c r="B1206" t="s">
        <v>352</v>
      </c>
      <c r="C1206" s="2">
        <v>617082000</v>
      </c>
      <c r="D1206" s="2">
        <v>315082000</v>
      </c>
    </row>
    <row r="1207" spans="1:4" x14ac:dyDescent="0.25">
      <c r="A1207" t="s">
        <v>420</v>
      </c>
      <c r="B1207" t="s">
        <v>353</v>
      </c>
      <c r="C1207" s="2">
        <v>741519000</v>
      </c>
      <c r="D1207" s="2">
        <v>589769000</v>
      </c>
    </row>
    <row r="1208" spans="1:4" x14ac:dyDescent="0.25">
      <c r="A1208" t="s">
        <v>420</v>
      </c>
      <c r="B1208" t="s">
        <v>354</v>
      </c>
      <c r="C1208" s="2">
        <v>782279000</v>
      </c>
      <c r="D1208" s="2">
        <v>582279000</v>
      </c>
    </row>
    <row r="1209" spans="1:4" x14ac:dyDescent="0.25">
      <c r="A1209" t="s">
        <v>420</v>
      </c>
      <c r="B1209" t="s">
        <v>355</v>
      </c>
      <c r="C1209" s="2">
        <v>1879775000</v>
      </c>
      <c r="D1209" s="2">
        <v>1675775000</v>
      </c>
    </row>
    <row r="1210" spans="1:4" x14ac:dyDescent="0.25">
      <c r="A1210" t="s">
        <v>420</v>
      </c>
      <c r="B1210" t="s">
        <v>356</v>
      </c>
      <c r="C1210" s="2">
        <v>1146742000</v>
      </c>
      <c r="D1210" s="2">
        <v>1121742000</v>
      </c>
    </row>
    <row r="1211" spans="1:4" x14ac:dyDescent="0.25">
      <c r="A1211" t="s">
        <v>420</v>
      </c>
      <c r="B1211" t="s">
        <v>357</v>
      </c>
      <c r="C1211" s="2">
        <v>732587000</v>
      </c>
      <c r="D1211" s="2">
        <v>637587000</v>
      </c>
    </row>
    <row r="1212" spans="1:4" x14ac:dyDescent="0.25">
      <c r="A1212" t="s">
        <v>420</v>
      </c>
      <c r="B1212" t="s">
        <v>358</v>
      </c>
      <c r="C1212" s="2">
        <v>1026070000</v>
      </c>
      <c r="D1212" s="2">
        <v>976070000</v>
      </c>
    </row>
    <row r="1213" spans="1:4" x14ac:dyDescent="0.25">
      <c r="A1213" t="s">
        <v>420</v>
      </c>
      <c r="B1213" t="s">
        <v>359</v>
      </c>
      <c r="C1213" s="2">
        <v>1599127000</v>
      </c>
      <c r="D1213" s="2">
        <v>1444627000</v>
      </c>
    </row>
    <row r="1214" spans="1:4" x14ac:dyDescent="0.25">
      <c r="A1214" t="s">
        <v>420</v>
      </c>
      <c r="B1214" t="s">
        <v>360</v>
      </c>
      <c r="C1214" s="2">
        <v>1961322000</v>
      </c>
      <c r="D1214" s="2">
        <v>1192802000</v>
      </c>
    </row>
    <row r="1215" spans="1:4" x14ac:dyDescent="0.25">
      <c r="A1215" t="s">
        <v>420</v>
      </c>
      <c r="B1215" t="s">
        <v>361</v>
      </c>
      <c r="C1215" s="2">
        <v>1182369000</v>
      </c>
      <c r="D1215" s="2">
        <v>835226000</v>
      </c>
    </row>
    <row r="1216" spans="1:4" x14ac:dyDescent="0.25">
      <c r="A1216" t="s">
        <v>420</v>
      </c>
      <c r="B1216" t="s">
        <v>362</v>
      </c>
      <c r="C1216" s="2">
        <v>654123000</v>
      </c>
      <c r="D1216" s="2">
        <v>314123000</v>
      </c>
    </row>
    <row r="1217" spans="1:4" x14ac:dyDescent="0.25">
      <c r="A1217" t="s">
        <v>420</v>
      </c>
      <c r="B1217" t="s">
        <v>363</v>
      </c>
      <c r="C1217" s="2">
        <v>474600000</v>
      </c>
      <c r="D1217" s="2">
        <v>324600000</v>
      </c>
    </row>
    <row r="1218" spans="1:4" x14ac:dyDescent="0.25">
      <c r="A1218" t="s">
        <v>420</v>
      </c>
      <c r="B1218" t="s">
        <v>364</v>
      </c>
      <c r="C1218" s="2">
        <v>776609000</v>
      </c>
      <c r="D1218" s="2">
        <v>616609000</v>
      </c>
    </row>
    <row r="1219" spans="1:4" x14ac:dyDescent="0.25">
      <c r="A1219" t="s">
        <v>420</v>
      </c>
      <c r="B1219" t="s">
        <v>365</v>
      </c>
      <c r="C1219" s="2">
        <v>1003177000</v>
      </c>
      <c r="D1219" s="2">
        <v>925177000</v>
      </c>
    </row>
    <row r="1220" spans="1:4" x14ac:dyDescent="0.25">
      <c r="A1220" t="s">
        <v>420</v>
      </c>
      <c r="B1220" t="s">
        <v>366</v>
      </c>
      <c r="C1220" s="2">
        <v>1955916000</v>
      </c>
      <c r="D1220" s="2">
        <v>1597916000</v>
      </c>
    </row>
    <row r="1221" spans="1:4" x14ac:dyDescent="0.25">
      <c r="A1221" t="s">
        <v>420</v>
      </c>
      <c r="B1221" t="s">
        <v>367</v>
      </c>
      <c r="C1221" s="2">
        <v>970699000</v>
      </c>
      <c r="D1221" s="2">
        <v>993699000</v>
      </c>
    </row>
    <row r="1222" spans="1:4" x14ac:dyDescent="0.25">
      <c r="A1222" t="s">
        <v>420</v>
      </c>
      <c r="B1222" t="s">
        <v>368</v>
      </c>
      <c r="C1222" s="2">
        <v>2383674000</v>
      </c>
      <c r="D1222" s="2">
        <v>1200143000</v>
      </c>
    </row>
    <row r="1223" spans="1:4" x14ac:dyDescent="0.25">
      <c r="A1223" t="s">
        <v>420</v>
      </c>
      <c r="B1223" t="s">
        <v>369</v>
      </c>
      <c r="C1223" s="2">
        <v>1076958000</v>
      </c>
      <c r="D1223" s="2">
        <v>1336751000</v>
      </c>
    </row>
    <row r="1224" spans="1:4" x14ac:dyDescent="0.25">
      <c r="A1224" t="s">
        <v>420</v>
      </c>
      <c r="B1224" t="s">
        <v>370</v>
      </c>
      <c r="C1224" s="2">
        <v>1176764000</v>
      </c>
      <c r="D1224" s="2">
        <v>824764000</v>
      </c>
    </row>
    <row r="1225" spans="1:4" x14ac:dyDescent="0.25">
      <c r="A1225" t="s">
        <v>420</v>
      </c>
      <c r="B1225" t="s">
        <v>371</v>
      </c>
      <c r="C1225" s="2">
        <v>2330639000</v>
      </c>
      <c r="D1225" s="2">
        <v>1686639000</v>
      </c>
    </row>
    <row r="1226" spans="1:4" x14ac:dyDescent="0.25">
      <c r="A1226" t="s">
        <v>420</v>
      </c>
      <c r="B1226" t="s">
        <v>372</v>
      </c>
      <c r="C1226" s="2">
        <v>4007392000</v>
      </c>
      <c r="D1226" s="2">
        <v>2586492000</v>
      </c>
    </row>
    <row r="1227" spans="1:4" x14ac:dyDescent="0.25">
      <c r="A1227" t="s">
        <v>420</v>
      </c>
      <c r="B1227" t="s">
        <v>373</v>
      </c>
      <c r="C1227" s="2">
        <v>1865025000</v>
      </c>
      <c r="D1227" s="2">
        <v>1341025000</v>
      </c>
    </row>
    <row r="1228" spans="1:4" x14ac:dyDescent="0.25">
      <c r="A1228" t="s">
        <v>420</v>
      </c>
      <c r="B1228" t="s">
        <v>374</v>
      </c>
      <c r="C1228" s="2">
        <v>1739241000</v>
      </c>
      <c r="D1228" s="2">
        <v>1477241000</v>
      </c>
    </row>
    <row r="1229" spans="1:4" x14ac:dyDescent="0.25">
      <c r="A1229" t="s">
        <v>420</v>
      </c>
      <c r="B1229" t="s">
        <v>375</v>
      </c>
      <c r="C1229" s="2">
        <v>763517000</v>
      </c>
      <c r="D1229" s="2">
        <v>508517000</v>
      </c>
    </row>
    <row r="1230" spans="1:4" x14ac:dyDescent="0.25">
      <c r="A1230" t="s">
        <v>420</v>
      </c>
      <c r="B1230" t="s">
        <v>376</v>
      </c>
      <c r="C1230" s="2">
        <v>755448000</v>
      </c>
      <c r="D1230" s="2">
        <v>655448000</v>
      </c>
    </row>
    <row r="1231" spans="1:4" x14ac:dyDescent="0.25">
      <c r="A1231" t="s">
        <v>420</v>
      </c>
      <c r="B1231" t="s">
        <v>377</v>
      </c>
      <c r="C1231" s="2">
        <v>1148918000</v>
      </c>
      <c r="D1231" s="2">
        <v>1033918000</v>
      </c>
    </row>
    <row r="1232" spans="1:4" x14ac:dyDescent="0.25">
      <c r="A1232" t="s">
        <v>420</v>
      </c>
      <c r="B1232" t="s">
        <v>378</v>
      </c>
      <c r="C1232" s="2">
        <v>1240534000</v>
      </c>
      <c r="D1232" s="2">
        <v>1030534000</v>
      </c>
    </row>
    <row r="1233" spans="1:4" x14ac:dyDescent="0.25">
      <c r="A1233" t="s">
        <v>420</v>
      </c>
      <c r="B1233" t="s">
        <v>412</v>
      </c>
      <c r="C1233" s="2">
        <v>28068000</v>
      </c>
      <c r="D1233" s="2">
        <v>20068000</v>
      </c>
    </row>
    <row r="1234" spans="1:4" x14ac:dyDescent="0.25">
      <c r="A1234" t="s">
        <v>420</v>
      </c>
      <c r="B1234" t="s">
        <v>379</v>
      </c>
      <c r="C1234" s="2">
        <v>1131340000</v>
      </c>
      <c r="D1234" s="2">
        <v>907708000</v>
      </c>
    </row>
    <row r="1235" spans="1:4" x14ac:dyDescent="0.25">
      <c r="A1235" t="s">
        <v>420</v>
      </c>
      <c r="B1235" t="s">
        <v>380</v>
      </c>
      <c r="C1235" s="2">
        <v>1356666000</v>
      </c>
      <c r="D1235" s="2">
        <v>1113666000</v>
      </c>
    </row>
    <row r="1236" spans="1:4" x14ac:dyDescent="0.25">
      <c r="A1236" t="s">
        <v>420</v>
      </c>
      <c r="B1236" t="s">
        <v>381</v>
      </c>
      <c r="C1236" s="2">
        <v>1774734000</v>
      </c>
      <c r="D1236" s="2">
        <v>1187134000</v>
      </c>
    </row>
    <row r="1237" spans="1:4" x14ac:dyDescent="0.25">
      <c r="A1237" t="s">
        <v>420</v>
      </c>
      <c r="B1237" t="s">
        <v>382</v>
      </c>
      <c r="C1237" s="2">
        <v>1247844000</v>
      </c>
      <c r="D1237" s="2">
        <v>693844000</v>
      </c>
    </row>
    <row r="1238" spans="1:4" x14ac:dyDescent="0.25">
      <c r="A1238" t="s">
        <v>420</v>
      </c>
      <c r="B1238" t="s">
        <v>383</v>
      </c>
      <c r="C1238" s="2">
        <v>1419595000</v>
      </c>
      <c r="D1238" s="2">
        <v>1340595000</v>
      </c>
    </row>
    <row r="1239" spans="1:4" x14ac:dyDescent="0.25">
      <c r="A1239" t="s">
        <v>420</v>
      </c>
      <c r="B1239" t="s">
        <v>384</v>
      </c>
      <c r="C1239" s="2">
        <v>1237196000</v>
      </c>
      <c r="D1239" s="2">
        <v>1042196000</v>
      </c>
    </row>
    <row r="1240" spans="1:4" x14ac:dyDescent="0.25">
      <c r="A1240" t="s">
        <v>420</v>
      </c>
      <c r="B1240" t="s">
        <v>385</v>
      </c>
      <c r="C1240" s="2">
        <v>635476000</v>
      </c>
      <c r="D1240" s="2">
        <v>565476000</v>
      </c>
    </row>
    <row r="1241" spans="1:4" x14ac:dyDescent="0.25">
      <c r="A1241" t="s">
        <v>420</v>
      </c>
      <c r="B1241" t="s">
        <v>386</v>
      </c>
      <c r="C1241" s="2">
        <v>610273000</v>
      </c>
      <c r="D1241" s="2">
        <v>510273000</v>
      </c>
    </row>
    <row r="1242" spans="1:4" x14ac:dyDescent="0.25">
      <c r="A1242" t="s">
        <v>420</v>
      </c>
      <c r="B1242" t="s">
        <v>387</v>
      </c>
      <c r="C1242" s="2">
        <v>999180000</v>
      </c>
      <c r="D1242" s="2">
        <v>838180000</v>
      </c>
    </row>
    <row r="1243" spans="1:4" x14ac:dyDescent="0.25">
      <c r="A1243" t="s">
        <v>420</v>
      </c>
      <c r="B1243" t="s">
        <v>388</v>
      </c>
      <c r="C1243" s="2">
        <v>641013000</v>
      </c>
      <c r="D1243" s="2">
        <v>451013000</v>
      </c>
    </row>
    <row r="1244" spans="1:4" x14ac:dyDescent="0.25">
      <c r="A1244" t="s">
        <v>420</v>
      </c>
      <c r="B1244" t="s">
        <v>389</v>
      </c>
      <c r="C1244" s="2">
        <v>534097000</v>
      </c>
      <c r="D1244" s="2">
        <v>584097000</v>
      </c>
    </row>
    <row r="1245" spans="1:4" x14ac:dyDescent="0.25">
      <c r="A1245" t="s">
        <v>420</v>
      </c>
      <c r="B1245" t="s">
        <v>390</v>
      </c>
      <c r="C1245" s="2">
        <v>777677000</v>
      </c>
      <c r="D1245" s="2">
        <v>668177000</v>
      </c>
    </row>
    <row r="1246" spans="1:4" x14ac:dyDescent="0.25">
      <c r="A1246" t="s">
        <v>420</v>
      </c>
      <c r="B1246" t="s">
        <v>391</v>
      </c>
      <c r="C1246" s="2">
        <v>1316849000</v>
      </c>
      <c r="D1246" s="2">
        <v>1256849000</v>
      </c>
    </row>
    <row r="1247" spans="1:4" x14ac:dyDescent="0.25">
      <c r="A1247" t="s">
        <v>420</v>
      </c>
      <c r="B1247" t="s">
        <v>392</v>
      </c>
      <c r="C1247" s="2">
        <v>692820000</v>
      </c>
      <c r="D1247" s="2">
        <v>459820000</v>
      </c>
    </row>
    <row r="1248" spans="1:4" x14ac:dyDescent="0.25">
      <c r="A1248" t="s">
        <v>420</v>
      </c>
      <c r="B1248" t="s">
        <v>393</v>
      </c>
      <c r="C1248" s="2">
        <v>959788000</v>
      </c>
      <c r="D1248" s="2">
        <v>869788000</v>
      </c>
    </row>
    <row r="1249" spans="1:4" x14ac:dyDescent="0.25">
      <c r="A1249" t="s">
        <v>420</v>
      </c>
      <c r="B1249" t="s">
        <v>394</v>
      </c>
      <c r="C1249" s="2">
        <v>619357000</v>
      </c>
      <c r="D1249" s="2">
        <v>589357000</v>
      </c>
    </row>
    <row r="1250" spans="1:4" x14ac:dyDescent="0.25">
      <c r="A1250" t="s">
        <v>420</v>
      </c>
      <c r="B1250" t="s">
        <v>395</v>
      </c>
      <c r="C1250" s="2">
        <v>773195000</v>
      </c>
      <c r="D1250" s="2">
        <v>743820000</v>
      </c>
    </row>
    <row r="1251" spans="1:4" x14ac:dyDescent="0.25">
      <c r="A1251" t="s">
        <v>420</v>
      </c>
      <c r="B1251" t="s">
        <v>396</v>
      </c>
      <c r="C1251" s="2">
        <v>494918000</v>
      </c>
      <c r="D1251" s="2">
        <v>404504000</v>
      </c>
    </row>
    <row r="1252" spans="1:4" x14ac:dyDescent="0.25">
      <c r="A1252" t="s">
        <v>420</v>
      </c>
      <c r="B1252" t="s">
        <v>397</v>
      </c>
      <c r="C1252" s="2">
        <v>2033015000</v>
      </c>
      <c r="D1252" s="2">
        <v>1562015000</v>
      </c>
    </row>
    <row r="1253" spans="1:4" x14ac:dyDescent="0.25">
      <c r="A1253" t="s">
        <v>420</v>
      </c>
      <c r="B1253" t="s">
        <v>398</v>
      </c>
      <c r="C1253" s="2">
        <v>1126352000</v>
      </c>
      <c r="D1253" s="2">
        <v>911352000</v>
      </c>
    </row>
    <row r="1254" spans="1:4" x14ac:dyDescent="0.25">
      <c r="A1254" t="s">
        <v>420</v>
      </c>
      <c r="B1254" t="s">
        <v>399</v>
      </c>
      <c r="C1254" s="2">
        <v>2313713000</v>
      </c>
    </row>
    <row r="1255" spans="1:4" x14ac:dyDescent="0.25">
      <c r="A1255" t="s">
        <v>421</v>
      </c>
      <c r="B1255" t="s">
        <v>201</v>
      </c>
      <c r="C1255" s="2">
        <v>422594775000</v>
      </c>
      <c r="D1255" s="2">
        <v>602471395000</v>
      </c>
    </row>
    <row r="1256" spans="1:4" x14ac:dyDescent="0.25">
      <c r="A1256" t="s">
        <v>421</v>
      </c>
      <c r="B1256" t="s">
        <v>202</v>
      </c>
      <c r="C1256" s="2">
        <v>143728000</v>
      </c>
      <c r="D1256" s="2">
        <v>143728000</v>
      </c>
    </row>
    <row r="1257" spans="1:4" x14ac:dyDescent="0.25">
      <c r="A1257" t="s">
        <v>421</v>
      </c>
      <c r="B1257" t="s">
        <v>203</v>
      </c>
      <c r="C1257" s="2">
        <v>135400000</v>
      </c>
      <c r="D1257" s="2">
        <v>135400000</v>
      </c>
    </row>
    <row r="1258" spans="1:4" x14ac:dyDescent="0.25">
      <c r="A1258" t="s">
        <v>421</v>
      </c>
      <c r="B1258" t="s">
        <v>204</v>
      </c>
      <c r="C1258" s="2">
        <v>204231000</v>
      </c>
      <c r="D1258" s="2">
        <v>204231000</v>
      </c>
    </row>
    <row r="1259" spans="1:4" x14ac:dyDescent="0.25">
      <c r="A1259" t="s">
        <v>421</v>
      </c>
      <c r="B1259" t="s">
        <v>205</v>
      </c>
      <c r="C1259" s="2">
        <v>125150000</v>
      </c>
      <c r="D1259" s="2">
        <v>125150000</v>
      </c>
    </row>
    <row r="1260" spans="1:4" x14ac:dyDescent="0.25">
      <c r="A1260" t="s">
        <v>421</v>
      </c>
      <c r="B1260" t="s">
        <v>206</v>
      </c>
      <c r="C1260" s="2">
        <v>152197000</v>
      </c>
      <c r="D1260" s="2">
        <v>152197000</v>
      </c>
    </row>
    <row r="1261" spans="1:4" x14ac:dyDescent="0.25">
      <c r="A1261" t="s">
        <v>421</v>
      </c>
      <c r="B1261" t="s">
        <v>207</v>
      </c>
      <c r="C1261" s="2">
        <v>133990000</v>
      </c>
      <c r="D1261" s="2">
        <v>133990000</v>
      </c>
    </row>
    <row r="1262" spans="1:4" x14ac:dyDescent="0.25">
      <c r="A1262" t="s">
        <v>421</v>
      </c>
      <c r="B1262" t="s">
        <v>208</v>
      </c>
      <c r="C1262" s="2">
        <v>157169000</v>
      </c>
      <c r="D1262" s="2">
        <v>157169000</v>
      </c>
    </row>
    <row r="1263" spans="1:4" x14ac:dyDescent="0.25">
      <c r="A1263" t="s">
        <v>421</v>
      </c>
      <c r="B1263" t="s">
        <v>209</v>
      </c>
      <c r="C1263" s="2">
        <v>131093000</v>
      </c>
      <c r="D1263" s="2">
        <v>131093000</v>
      </c>
    </row>
    <row r="1264" spans="1:4" x14ac:dyDescent="0.25">
      <c r="A1264" t="s">
        <v>421</v>
      </c>
      <c r="B1264" t="s">
        <v>210</v>
      </c>
      <c r="C1264" s="2">
        <v>1381296000</v>
      </c>
      <c r="D1264" s="2">
        <v>424846000</v>
      </c>
    </row>
    <row r="1265" spans="1:4" x14ac:dyDescent="0.25">
      <c r="A1265" t="s">
        <v>421</v>
      </c>
      <c r="B1265" t="s">
        <v>211</v>
      </c>
      <c r="C1265" s="2">
        <v>1009501000</v>
      </c>
      <c r="D1265" s="2">
        <v>389201000</v>
      </c>
    </row>
    <row r="1266" spans="1:4" x14ac:dyDescent="0.25">
      <c r="A1266" t="s">
        <v>421</v>
      </c>
      <c r="B1266" t="s">
        <v>212</v>
      </c>
      <c r="C1266" s="2">
        <v>147205000</v>
      </c>
      <c r="D1266" s="2">
        <v>147205000</v>
      </c>
    </row>
    <row r="1267" spans="1:4" x14ac:dyDescent="0.25">
      <c r="A1267" t="s">
        <v>421</v>
      </c>
      <c r="B1267" t="s">
        <v>213</v>
      </c>
      <c r="C1267" s="2">
        <v>347313000</v>
      </c>
      <c r="D1267" s="2">
        <v>211431000</v>
      </c>
    </row>
    <row r="1268" spans="1:4" x14ac:dyDescent="0.25">
      <c r="A1268" t="s">
        <v>421</v>
      </c>
      <c r="B1268" t="s">
        <v>214</v>
      </c>
      <c r="C1268" s="2">
        <v>130416000</v>
      </c>
      <c r="D1268" s="2">
        <v>130416000</v>
      </c>
    </row>
    <row r="1269" spans="1:4" x14ac:dyDescent="0.25">
      <c r="A1269" t="s">
        <v>421</v>
      </c>
      <c r="B1269" t="s">
        <v>215</v>
      </c>
      <c r="C1269" s="2">
        <v>139573000</v>
      </c>
      <c r="D1269" s="2">
        <v>139573000</v>
      </c>
    </row>
    <row r="1270" spans="1:4" x14ac:dyDescent="0.25">
      <c r="A1270" t="s">
        <v>421</v>
      </c>
      <c r="B1270" t="s">
        <v>216</v>
      </c>
      <c r="C1270" s="2">
        <v>124646000</v>
      </c>
      <c r="D1270" s="2">
        <v>124646000</v>
      </c>
    </row>
    <row r="1271" spans="1:4" x14ac:dyDescent="0.25">
      <c r="A1271" t="s">
        <v>421</v>
      </c>
      <c r="B1271" t="s">
        <v>217</v>
      </c>
      <c r="C1271" s="2">
        <v>145571000</v>
      </c>
      <c r="D1271" s="2">
        <v>145571000</v>
      </c>
    </row>
    <row r="1272" spans="1:4" x14ac:dyDescent="0.25">
      <c r="A1272" t="s">
        <v>421</v>
      </c>
      <c r="B1272" t="s">
        <v>218</v>
      </c>
      <c r="C1272" s="2">
        <v>1377594000</v>
      </c>
      <c r="D1272" s="2">
        <v>120410000</v>
      </c>
    </row>
    <row r="1273" spans="1:4" x14ac:dyDescent="0.25">
      <c r="A1273" t="s">
        <v>421</v>
      </c>
      <c r="B1273" t="s">
        <v>219</v>
      </c>
      <c r="C1273" s="2">
        <v>1509799000</v>
      </c>
      <c r="D1273" s="2">
        <v>265574000</v>
      </c>
    </row>
    <row r="1274" spans="1:4" x14ac:dyDescent="0.25">
      <c r="A1274" t="s">
        <v>421</v>
      </c>
      <c r="B1274" t="s">
        <v>220</v>
      </c>
      <c r="C1274" s="2">
        <v>6550019000</v>
      </c>
      <c r="D1274" s="2">
        <v>2502632000</v>
      </c>
    </row>
    <row r="1275" spans="1:4" x14ac:dyDescent="0.25">
      <c r="A1275" t="s">
        <v>421</v>
      </c>
      <c r="B1275" t="s">
        <v>221</v>
      </c>
      <c r="C1275" s="2">
        <v>2141322000</v>
      </c>
      <c r="D1275" s="2">
        <v>419656000</v>
      </c>
    </row>
    <row r="1276" spans="1:4" x14ac:dyDescent="0.25">
      <c r="A1276" t="s">
        <v>421</v>
      </c>
      <c r="B1276" t="s">
        <v>222</v>
      </c>
      <c r="C1276" s="2">
        <v>3122507000</v>
      </c>
      <c r="D1276" s="2">
        <v>526970000</v>
      </c>
    </row>
    <row r="1277" spans="1:4" x14ac:dyDescent="0.25">
      <c r="A1277" t="s">
        <v>421</v>
      </c>
      <c r="B1277" t="s">
        <v>223</v>
      </c>
      <c r="C1277" s="2">
        <v>3373512000</v>
      </c>
      <c r="D1277" s="2">
        <v>1292396000</v>
      </c>
    </row>
    <row r="1278" spans="1:4" x14ac:dyDescent="0.25">
      <c r="A1278" t="s">
        <v>421</v>
      </c>
      <c r="B1278" t="s">
        <v>224</v>
      </c>
      <c r="C1278" s="2">
        <v>3631581000</v>
      </c>
      <c r="D1278" s="2">
        <v>860795000</v>
      </c>
    </row>
    <row r="1279" spans="1:4" x14ac:dyDescent="0.25">
      <c r="A1279" t="s">
        <v>421</v>
      </c>
      <c r="B1279" t="s">
        <v>225</v>
      </c>
      <c r="C1279" s="2">
        <v>2027448000</v>
      </c>
      <c r="D1279" s="2">
        <v>248571000</v>
      </c>
    </row>
    <row r="1280" spans="1:4" x14ac:dyDescent="0.25">
      <c r="A1280" t="s">
        <v>421</v>
      </c>
      <c r="B1280" t="s">
        <v>226</v>
      </c>
      <c r="C1280" s="2">
        <v>1991990000</v>
      </c>
      <c r="D1280" s="2">
        <v>513406000</v>
      </c>
    </row>
    <row r="1281" spans="1:4" x14ac:dyDescent="0.25">
      <c r="A1281" t="s">
        <v>421</v>
      </c>
      <c r="B1281" t="s">
        <v>227</v>
      </c>
      <c r="C1281" s="2">
        <v>1318692000</v>
      </c>
      <c r="D1281" s="2">
        <v>415542000</v>
      </c>
    </row>
    <row r="1282" spans="1:4" x14ac:dyDescent="0.25">
      <c r="A1282" t="s">
        <v>421</v>
      </c>
      <c r="B1282" t="s">
        <v>228</v>
      </c>
      <c r="C1282" s="2">
        <v>1212853000</v>
      </c>
      <c r="D1282" s="2">
        <v>92333000</v>
      </c>
    </row>
    <row r="1283" spans="1:4" x14ac:dyDescent="0.25">
      <c r="A1283" t="s">
        <v>421</v>
      </c>
      <c r="B1283" t="s">
        <v>229</v>
      </c>
      <c r="C1283" s="2">
        <v>1351704000</v>
      </c>
      <c r="D1283" s="2">
        <v>487731000</v>
      </c>
    </row>
    <row r="1284" spans="1:4" x14ac:dyDescent="0.25">
      <c r="A1284" t="s">
        <v>421</v>
      </c>
      <c r="B1284" t="s">
        <v>230</v>
      </c>
      <c r="C1284" s="2">
        <v>1647236000</v>
      </c>
      <c r="D1284" s="2">
        <v>468756000</v>
      </c>
    </row>
    <row r="1285" spans="1:4" x14ac:dyDescent="0.25">
      <c r="A1285" t="s">
        <v>421</v>
      </c>
      <c r="B1285" t="s">
        <v>231</v>
      </c>
      <c r="C1285" s="2">
        <v>924455000</v>
      </c>
      <c r="D1285" s="2">
        <v>168206000</v>
      </c>
    </row>
    <row r="1286" spans="1:4" x14ac:dyDescent="0.25">
      <c r="A1286" t="s">
        <v>421</v>
      </c>
      <c r="B1286" t="s">
        <v>232</v>
      </c>
      <c r="C1286" s="2">
        <v>1065733000</v>
      </c>
      <c r="D1286" s="2">
        <v>141680000</v>
      </c>
    </row>
    <row r="1287" spans="1:4" x14ac:dyDescent="0.25">
      <c r="A1287" t="s">
        <v>421</v>
      </c>
      <c r="B1287" t="s">
        <v>233</v>
      </c>
      <c r="C1287" s="2">
        <v>1180597000</v>
      </c>
      <c r="D1287" s="2">
        <v>222573000</v>
      </c>
    </row>
    <row r="1288" spans="1:4" x14ac:dyDescent="0.25">
      <c r="A1288" t="s">
        <v>421</v>
      </c>
      <c r="B1288" t="s">
        <v>234</v>
      </c>
      <c r="C1288" s="2">
        <v>1339312000</v>
      </c>
      <c r="D1288" s="2">
        <v>230791000</v>
      </c>
    </row>
    <row r="1289" spans="1:4" x14ac:dyDescent="0.25">
      <c r="A1289" t="s">
        <v>421</v>
      </c>
      <c r="B1289" t="s">
        <v>235</v>
      </c>
      <c r="C1289" s="2">
        <v>1046755000</v>
      </c>
      <c r="D1289" s="2">
        <v>438035000</v>
      </c>
    </row>
    <row r="1290" spans="1:4" x14ac:dyDescent="0.25">
      <c r="A1290" t="s">
        <v>421</v>
      </c>
      <c r="B1290" t="s">
        <v>236</v>
      </c>
      <c r="C1290" s="2">
        <v>1992311000</v>
      </c>
      <c r="D1290" s="2">
        <v>325248000</v>
      </c>
    </row>
    <row r="1291" spans="1:4" x14ac:dyDescent="0.25">
      <c r="A1291" t="s">
        <v>421</v>
      </c>
      <c r="B1291" t="s">
        <v>237</v>
      </c>
      <c r="C1291" s="2">
        <v>6307157000</v>
      </c>
      <c r="D1291" s="2">
        <v>629667000</v>
      </c>
    </row>
    <row r="1292" spans="1:4" x14ac:dyDescent="0.25">
      <c r="A1292" t="s">
        <v>421</v>
      </c>
      <c r="B1292" t="s">
        <v>238</v>
      </c>
      <c r="C1292" s="2">
        <v>334202000</v>
      </c>
      <c r="D1292" s="2">
        <v>80625000</v>
      </c>
    </row>
    <row r="1293" spans="1:4" x14ac:dyDescent="0.25">
      <c r="A1293" t="s">
        <v>421</v>
      </c>
      <c r="B1293" t="s">
        <v>239</v>
      </c>
      <c r="C1293" s="2">
        <v>1302894000</v>
      </c>
      <c r="D1293" s="2">
        <v>143815000</v>
      </c>
    </row>
    <row r="1294" spans="1:4" x14ac:dyDescent="0.25">
      <c r="A1294" t="s">
        <v>421</v>
      </c>
      <c r="B1294" t="s">
        <v>240</v>
      </c>
      <c r="C1294" s="2">
        <v>1048214000</v>
      </c>
      <c r="D1294" s="2">
        <v>208229000</v>
      </c>
    </row>
    <row r="1295" spans="1:4" x14ac:dyDescent="0.25">
      <c r="A1295" t="s">
        <v>421</v>
      </c>
      <c r="B1295" t="s">
        <v>241</v>
      </c>
      <c r="C1295" s="2">
        <v>1440471000</v>
      </c>
      <c r="D1295" s="2">
        <v>233879000</v>
      </c>
    </row>
    <row r="1296" spans="1:4" x14ac:dyDescent="0.25">
      <c r="A1296" t="s">
        <v>421</v>
      </c>
      <c r="B1296" t="s">
        <v>242</v>
      </c>
      <c r="C1296" s="2">
        <v>1111888000</v>
      </c>
      <c r="D1296" s="2">
        <v>110232000</v>
      </c>
    </row>
    <row r="1297" spans="1:4" x14ac:dyDescent="0.25">
      <c r="A1297" t="s">
        <v>421</v>
      </c>
      <c r="B1297" t="s">
        <v>243</v>
      </c>
      <c r="C1297" s="2">
        <v>384525000</v>
      </c>
      <c r="D1297" s="2">
        <v>88791000</v>
      </c>
    </row>
    <row r="1298" spans="1:4" x14ac:dyDescent="0.25">
      <c r="A1298" t="s">
        <v>421</v>
      </c>
      <c r="B1298" t="s">
        <v>244</v>
      </c>
      <c r="C1298" s="2">
        <v>555976000</v>
      </c>
      <c r="D1298" s="2">
        <v>60840000</v>
      </c>
    </row>
    <row r="1299" spans="1:4" x14ac:dyDescent="0.25">
      <c r="A1299" t="s">
        <v>421</v>
      </c>
      <c r="B1299" t="s">
        <v>245</v>
      </c>
      <c r="C1299" s="2">
        <v>887503000</v>
      </c>
      <c r="D1299" s="2">
        <v>159083000</v>
      </c>
    </row>
    <row r="1300" spans="1:4" x14ac:dyDescent="0.25">
      <c r="A1300" t="s">
        <v>421</v>
      </c>
      <c r="B1300" t="s">
        <v>246</v>
      </c>
      <c r="C1300" s="2">
        <v>964878000</v>
      </c>
      <c r="D1300" s="2">
        <v>125308000</v>
      </c>
    </row>
    <row r="1301" spans="1:4" x14ac:dyDescent="0.25">
      <c r="A1301" t="s">
        <v>421</v>
      </c>
      <c r="B1301" t="s">
        <v>247</v>
      </c>
      <c r="C1301" s="2">
        <v>788782000</v>
      </c>
      <c r="D1301" s="2">
        <v>140059000</v>
      </c>
    </row>
    <row r="1302" spans="1:4" x14ac:dyDescent="0.25">
      <c r="A1302" t="s">
        <v>421</v>
      </c>
      <c r="B1302" t="s">
        <v>248</v>
      </c>
      <c r="C1302" s="2">
        <v>1606285000</v>
      </c>
      <c r="D1302" s="2">
        <v>458045000</v>
      </c>
    </row>
    <row r="1303" spans="1:4" x14ac:dyDescent="0.25">
      <c r="A1303" t="s">
        <v>421</v>
      </c>
      <c r="B1303" t="s">
        <v>249</v>
      </c>
      <c r="C1303" s="2">
        <v>2077408000</v>
      </c>
      <c r="D1303" s="2">
        <v>317762000</v>
      </c>
    </row>
    <row r="1304" spans="1:4" x14ac:dyDescent="0.25">
      <c r="A1304" t="s">
        <v>421</v>
      </c>
      <c r="B1304" t="s">
        <v>250</v>
      </c>
      <c r="C1304" s="2">
        <v>988378000</v>
      </c>
      <c r="D1304" s="2">
        <v>213158000</v>
      </c>
    </row>
    <row r="1305" spans="1:4" x14ac:dyDescent="0.25">
      <c r="A1305" t="s">
        <v>421</v>
      </c>
      <c r="B1305" t="s">
        <v>251</v>
      </c>
      <c r="C1305" s="2">
        <v>1027949000</v>
      </c>
      <c r="D1305" s="2">
        <v>419869000</v>
      </c>
    </row>
    <row r="1306" spans="1:4" x14ac:dyDescent="0.25">
      <c r="A1306" t="s">
        <v>421</v>
      </c>
      <c r="B1306" t="s">
        <v>252</v>
      </c>
      <c r="C1306" s="2">
        <v>699806000</v>
      </c>
      <c r="D1306" s="2">
        <v>370207000</v>
      </c>
    </row>
    <row r="1307" spans="1:4" x14ac:dyDescent="0.25">
      <c r="A1307" t="s">
        <v>421</v>
      </c>
      <c r="B1307" t="s">
        <v>253</v>
      </c>
      <c r="C1307" s="2">
        <v>1773682000</v>
      </c>
      <c r="D1307" s="2">
        <v>327848000</v>
      </c>
    </row>
    <row r="1308" spans="1:4" x14ac:dyDescent="0.25">
      <c r="A1308" t="s">
        <v>421</v>
      </c>
      <c r="B1308" t="s">
        <v>254</v>
      </c>
      <c r="C1308" s="2">
        <v>1633341000</v>
      </c>
      <c r="D1308" s="2">
        <v>471531000</v>
      </c>
    </row>
    <row r="1309" spans="1:4" x14ac:dyDescent="0.25">
      <c r="A1309" t="s">
        <v>421</v>
      </c>
      <c r="B1309" t="s">
        <v>255</v>
      </c>
      <c r="C1309" s="2">
        <v>805160000</v>
      </c>
      <c r="D1309" s="2">
        <v>71422000</v>
      </c>
    </row>
    <row r="1310" spans="1:4" x14ac:dyDescent="0.25">
      <c r="A1310" t="s">
        <v>421</v>
      </c>
      <c r="B1310" t="s">
        <v>256</v>
      </c>
      <c r="C1310" s="2">
        <v>760033000</v>
      </c>
      <c r="D1310" s="2">
        <v>111846000</v>
      </c>
    </row>
    <row r="1311" spans="1:4" x14ac:dyDescent="0.25">
      <c r="A1311" t="s">
        <v>421</v>
      </c>
      <c r="B1311" t="s">
        <v>257</v>
      </c>
      <c r="C1311" s="2">
        <v>1098905000</v>
      </c>
      <c r="D1311" s="2">
        <v>184578000</v>
      </c>
    </row>
    <row r="1312" spans="1:4" x14ac:dyDescent="0.25">
      <c r="A1312" t="s">
        <v>421</v>
      </c>
      <c r="B1312" t="s">
        <v>258</v>
      </c>
      <c r="C1312" s="2">
        <v>2144232000</v>
      </c>
      <c r="D1312" s="2">
        <v>957092000</v>
      </c>
    </row>
    <row r="1313" spans="1:4" x14ac:dyDescent="0.25">
      <c r="A1313" t="s">
        <v>421</v>
      </c>
      <c r="B1313" t="s">
        <v>259</v>
      </c>
      <c r="C1313" s="2">
        <v>1100659000</v>
      </c>
      <c r="D1313" s="2">
        <v>246374000</v>
      </c>
    </row>
    <row r="1314" spans="1:4" x14ac:dyDescent="0.25">
      <c r="A1314" t="s">
        <v>421</v>
      </c>
      <c r="B1314" t="s">
        <v>260</v>
      </c>
      <c r="C1314" s="2">
        <v>1054431000</v>
      </c>
      <c r="D1314" s="2">
        <v>229244000</v>
      </c>
    </row>
    <row r="1315" spans="1:4" x14ac:dyDescent="0.25">
      <c r="A1315" t="s">
        <v>421</v>
      </c>
      <c r="B1315" t="s">
        <v>261</v>
      </c>
      <c r="C1315" s="2">
        <v>3766294000</v>
      </c>
      <c r="D1315" s="2">
        <v>1185995000</v>
      </c>
    </row>
    <row r="1316" spans="1:4" x14ac:dyDescent="0.25">
      <c r="A1316" t="s">
        <v>421</v>
      </c>
      <c r="B1316" t="s">
        <v>262</v>
      </c>
      <c r="C1316" s="2">
        <v>1637743000</v>
      </c>
      <c r="D1316" s="2">
        <v>239943000</v>
      </c>
    </row>
    <row r="1317" spans="1:4" x14ac:dyDescent="0.25">
      <c r="A1317" t="s">
        <v>421</v>
      </c>
      <c r="B1317" t="s">
        <v>263</v>
      </c>
      <c r="C1317" s="2">
        <v>1960191000</v>
      </c>
      <c r="D1317" s="2">
        <v>420443000</v>
      </c>
    </row>
    <row r="1318" spans="1:4" x14ac:dyDescent="0.25">
      <c r="A1318" t="s">
        <v>421</v>
      </c>
      <c r="B1318" t="s">
        <v>264</v>
      </c>
      <c r="C1318" s="2">
        <v>1664592000</v>
      </c>
      <c r="D1318" s="2">
        <v>373853000</v>
      </c>
    </row>
    <row r="1319" spans="1:4" x14ac:dyDescent="0.25">
      <c r="A1319" t="s">
        <v>421</v>
      </c>
      <c r="B1319" t="s">
        <v>265</v>
      </c>
      <c r="C1319" s="2">
        <v>1477642000</v>
      </c>
      <c r="D1319" s="2">
        <v>560960000</v>
      </c>
    </row>
    <row r="1320" spans="1:4" x14ac:dyDescent="0.25">
      <c r="A1320" t="s">
        <v>421</v>
      </c>
      <c r="B1320" t="s">
        <v>266</v>
      </c>
      <c r="C1320" s="2">
        <v>2190374000</v>
      </c>
      <c r="D1320" s="2">
        <v>554780000</v>
      </c>
    </row>
    <row r="1321" spans="1:4" x14ac:dyDescent="0.25">
      <c r="A1321" t="s">
        <v>421</v>
      </c>
      <c r="B1321" t="s">
        <v>267</v>
      </c>
      <c r="C1321" s="2">
        <v>1699482000</v>
      </c>
      <c r="D1321" s="2">
        <v>416526000</v>
      </c>
    </row>
    <row r="1322" spans="1:4" x14ac:dyDescent="0.25">
      <c r="A1322" t="s">
        <v>421</v>
      </c>
      <c r="B1322" t="s">
        <v>268</v>
      </c>
      <c r="C1322" s="2">
        <v>1288304000</v>
      </c>
      <c r="D1322" s="2">
        <v>280891000</v>
      </c>
    </row>
    <row r="1323" spans="1:4" x14ac:dyDescent="0.25">
      <c r="A1323" t="s">
        <v>421</v>
      </c>
      <c r="B1323" t="s">
        <v>269</v>
      </c>
      <c r="C1323" s="2">
        <v>2154319000</v>
      </c>
      <c r="D1323" s="2">
        <v>688356000</v>
      </c>
    </row>
    <row r="1324" spans="1:4" x14ac:dyDescent="0.25">
      <c r="A1324" t="s">
        <v>421</v>
      </c>
      <c r="B1324" t="s">
        <v>270</v>
      </c>
      <c r="C1324" s="2">
        <v>1514993000</v>
      </c>
      <c r="D1324" s="2">
        <v>295208000</v>
      </c>
    </row>
    <row r="1325" spans="1:4" x14ac:dyDescent="0.25">
      <c r="A1325" t="s">
        <v>421</v>
      </c>
      <c r="B1325" t="s">
        <v>271</v>
      </c>
      <c r="C1325" s="2">
        <v>536367000</v>
      </c>
      <c r="D1325" s="2">
        <v>111184000</v>
      </c>
    </row>
    <row r="1326" spans="1:4" x14ac:dyDescent="0.25">
      <c r="A1326" t="s">
        <v>421</v>
      </c>
      <c r="B1326" t="s">
        <v>272</v>
      </c>
      <c r="C1326" s="2">
        <v>1063267000</v>
      </c>
      <c r="D1326" s="2">
        <v>245457000</v>
      </c>
    </row>
    <row r="1327" spans="1:4" x14ac:dyDescent="0.25">
      <c r="A1327" t="s">
        <v>421</v>
      </c>
      <c r="B1327" t="s">
        <v>273</v>
      </c>
      <c r="C1327" s="2">
        <v>1779121000</v>
      </c>
      <c r="D1327" s="2">
        <v>491300000</v>
      </c>
    </row>
    <row r="1328" spans="1:4" x14ac:dyDescent="0.25">
      <c r="A1328" t="s">
        <v>421</v>
      </c>
      <c r="B1328" t="s">
        <v>274</v>
      </c>
      <c r="C1328" s="2">
        <v>1742583000</v>
      </c>
      <c r="D1328" s="2">
        <v>352500000</v>
      </c>
    </row>
    <row r="1329" spans="1:4" x14ac:dyDescent="0.25">
      <c r="A1329" t="s">
        <v>421</v>
      </c>
      <c r="B1329" t="s">
        <v>275</v>
      </c>
      <c r="C1329" s="2">
        <v>5370828000</v>
      </c>
      <c r="D1329" s="2">
        <v>1960546000</v>
      </c>
    </row>
    <row r="1330" spans="1:4" x14ac:dyDescent="0.25">
      <c r="A1330" t="s">
        <v>421</v>
      </c>
      <c r="B1330" t="s">
        <v>276</v>
      </c>
      <c r="C1330" s="2">
        <v>761723000</v>
      </c>
      <c r="D1330" s="2">
        <v>171962000</v>
      </c>
    </row>
    <row r="1331" spans="1:4" x14ac:dyDescent="0.25">
      <c r="A1331" t="s">
        <v>421</v>
      </c>
      <c r="B1331" t="s">
        <v>277</v>
      </c>
      <c r="C1331" s="2">
        <v>2983024000</v>
      </c>
      <c r="D1331" s="2">
        <v>1014455000</v>
      </c>
    </row>
    <row r="1332" spans="1:4" x14ac:dyDescent="0.25">
      <c r="A1332" t="s">
        <v>421</v>
      </c>
      <c r="B1332" t="s">
        <v>278</v>
      </c>
      <c r="C1332" s="2">
        <v>1221103000</v>
      </c>
      <c r="D1332" s="2">
        <v>125635000</v>
      </c>
    </row>
    <row r="1333" spans="1:4" x14ac:dyDescent="0.25">
      <c r="A1333" t="s">
        <v>421</v>
      </c>
      <c r="B1333" t="s">
        <v>279</v>
      </c>
      <c r="C1333" s="2">
        <v>614425000</v>
      </c>
      <c r="D1333" s="2">
        <v>223031000</v>
      </c>
    </row>
    <row r="1334" spans="1:4" x14ac:dyDescent="0.25">
      <c r="A1334" t="s">
        <v>421</v>
      </c>
      <c r="B1334" t="s">
        <v>280</v>
      </c>
      <c r="C1334" s="2">
        <v>2600166000</v>
      </c>
      <c r="D1334" s="2">
        <v>845362000</v>
      </c>
    </row>
    <row r="1335" spans="1:4" x14ac:dyDescent="0.25">
      <c r="A1335" t="s">
        <v>421</v>
      </c>
      <c r="B1335" t="s">
        <v>281</v>
      </c>
      <c r="C1335" s="2">
        <v>1199409000</v>
      </c>
      <c r="D1335" s="2">
        <v>336439000</v>
      </c>
    </row>
    <row r="1336" spans="1:4" x14ac:dyDescent="0.25">
      <c r="A1336" t="s">
        <v>421</v>
      </c>
      <c r="B1336" t="s">
        <v>282</v>
      </c>
      <c r="C1336" s="2">
        <v>1677899000</v>
      </c>
      <c r="D1336" s="2">
        <v>283059000</v>
      </c>
    </row>
    <row r="1337" spans="1:4" x14ac:dyDescent="0.25">
      <c r="A1337" t="s">
        <v>421</v>
      </c>
      <c r="B1337" t="s">
        <v>283</v>
      </c>
      <c r="C1337" s="2">
        <v>1644932000</v>
      </c>
      <c r="D1337" s="2">
        <v>136925000</v>
      </c>
    </row>
    <row r="1338" spans="1:4" x14ac:dyDescent="0.25">
      <c r="A1338" t="s">
        <v>421</v>
      </c>
      <c r="B1338" t="s">
        <v>284</v>
      </c>
      <c r="C1338" s="2">
        <v>2264881000</v>
      </c>
      <c r="D1338" s="2">
        <v>372581000</v>
      </c>
    </row>
    <row r="1339" spans="1:4" x14ac:dyDescent="0.25">
      <c r="A1339" t="s">
        <v>421</v>
      </c>
      <c r="B1339" t="s">
        <v>285</v>
      </c>
      <c r="C1339" s="2">
        <v>2898918000</v>
      </c>
      <c r="D1339" s="2">
        <v>849108000</v>
      </c>
    </row>
    <row r="1340" spans="1:4" x14ac:dyDescent="0.25">
      <c r="A1340" t="s">
        <v>421</v>
      </c>
      <c r="B1340" t="s">
        <v>286</v>
      </c>
      <c r="C1340" s="2">
        <v>1491012000</v>
      </c>
      <c r="D1340" s="2">
        <v>338027000</v>
      </c>
    </row>
    <row r="1341" spans="1:4" x14ac:dyDescent="0.25">
      <c r="A1341" t="s">
        <v>421</v>
      </c>
      <c r="B1341" t="s">
        <v>287</v>
      </c>
      <c r="C1341" s="2">
        <v>1646608000</v>
      </c>
      <c r="D1341" s="2">
        <v>457537000</v>
      </c>
    </row>
    <row r="1342" spans="1:4" x14ac:dyDescent="0.25">
      <c r="A1342" t="s">
        <v>421</v>
      </c>
      <c r="B1342" t="s">
        <v>288</v>
      </c>
      <c r="C1342" s="2">
        <v>2386687000</v>
      </c>
      <c r="D1342" s="2">
        <v>567039000</v>
      </c>
    </row>
    <row r="1343" spans="1:4" x14ac:dyDescent="0.25">
      <c r="A1343" t="s">
        <v>421</v>
      </c>
      <c r="B1343" t="s">
        <v>289</v>
      </c>
      <c r="C1343" s="2">
        <v>1888997000</v>
      </c>
      <c r="D1343" s="2">
        <v>176866000</v>
      </c>
    </row>
    <row r="1344" spans="1:4" x14ac:dyDescent="0.25">
      <c r="A1344" t="s">
        <v>421</v>
      </c>
      <c r="B1344" t="s">
        <v>290</v>
      </c>
      <c r="C1344" s="2">
        <v>907124000</v>
      </c>
      <c r="D1344" s="2">
        <v>723627000</v>
      </c>
    </row>
    <row r="1345" spans="1:4" x14ac:dyDescent="0.25">
      <c r="A1345" t="s">
        <v>421</v>
      </c>
      <c r="B1345" t="s">
        <v>291</v>
      </c>
      <c r="C1345" s="2">
        <v>1212686000</v>
      </c>
      <c r="D1345" s="2">
        <v>476846000</v>
      </c>
    </row>
    <row r="1346" spans="1:4" x14ac:dyDescent="0.25">
      <c r="A1346" t="s">
        <v>421</v>
      </c>
      <c r="B1346" t="s">
        <v>292</v>
      </c>
      <c r="C1346" s="2">
        <v>739728000</v>
      </c>
      <c r="D1346" s="2">
        <v>172542000</v>
      </c>
    </row>
    <row r="1347" spans="1:4" x14ac:dyDescent="0.25">
      <c r="A1347" t="s">
        <v>421</v>
      </c>
      <c r="B1347" t="s">
        <v>293</v>
      </c>
      <c r="C1347" s="2">
        <v>1911686000</v>
      </c>
      <c r="D1347" s="2">
        <v>665939000</v>
      </c>
    </row>
    <row r="1348" spans="1:4" x14ac:dyDescent="0.25">
      <c r="A1348" t="s">
        <v>421</v>
      </c>
      <c r="B1348" t="s">
        <v>294</v>
      </c>
      <c r="C1348" s="2">
        <v>2267435000</v>
      </c>
      <c r="D1348" s="2">
        <v>260054000</v>
      </c>
    </row>
    <row r="1349" spans="1:4" x14ac:dyDescent="0.25">
      <c r="A1349" t="s">
        <v>421</v>
      </c>
      <c r="B1349" t="s">
        <v>295</v>
      </c>
      <c r="C1349" s="2">
        <v>1676793000</v>
      </c>
      <c r="D1349" s="2">
        <v>311762000</v>
      </c>
    </row>
    <row r="1350" spans="1:4" x14ac:dyDescent="0.25">
      <c r="A1350" t="s">
        <v>421</v>
      </c>
      <c r="B1350" t="s">
        <v>296</v>
      </c>
      <c r="C1350" s="2">
        <v>4287357000</v>
      </c>
      <c r="D1350" s="2">
        <v>1157984000</v>
      </c>
    </row>
    <row r="1351" spans="1:4" x14ac:dyDescent="0.25">
      <c r="A1351" t="s">
        <v>421</v>
      </c>
      <c r="B1351" t="s">
        <v>297</v>
      </c>
      <c r="C1351" s="2">
        <v>2069148000</v>
      </c>
      <c r="D1351" s="2">
        <v>224909000</v>
      </c>
    </row>
    <row r="1352" spans="1:4" x14ac:dyDescent="0.25">
      <c r="A1352" t="s">
        <v>421</v>
      </c>
      <c r="B1352" t="s">
        <v>298</v>
      </c>
      <c r="C1352" s="2">
        <v>2236275000</v>
      </c>
      <c r="D1352" s="2">
        <v>424091000</v>
      </c>
    </row>
    <row r="1353" spans="1:4" x14ac:dyDescent="0.25">
      <c r="A1353" t="s">
        <v>421</v>
      </c>
      <c r="B1353" t="s">
        <v>299</v>
      </c>
      <c r="C1353" s="2">
        <v>1192013000</v>
      </c>
      <c r="D1353" s="2">
        <v>772920000</v>
      </c>
    </row>
    <row r="1354" spans="1:4" x14ac:dyDescent="0.25">
      <c r="A1354" t="s">
        <v>421</v>
      </c>
      <c r="B1354" t="s">
        <v>300</v>
      </c>
      <c r="C1354" s="2">
        <v>402571000</v>
      </c>
      <c r="D1354" s="2">
        <v>83662000</v>
      </c>
    </row>
    <row r="1355" spans="1:4" x14ac:dyDescent="0.25">
      <c r="A1355" t="s">
        <v>421</v>
      </c>
      <c r="B1355" t="s">
        <v>301</v>
      </c>
      <c r="C1355" s="2">
        <v>1086236000</v>
      </c>
      <c r="D1355" s="2">
        <v>157514000</v>
      </c>
    </row>
    <row r="1356" spans="1:4" x14ac:dyDescent="0.25">
      <c r="A1356" t="s">
        <v>421</v>
      </c>
      <c r="B1356" t="s">
        <v>302</v>
      </c>
      <c r="C1356" s="2">
        <v>1621988000</v>
      </c>
      <c r="D1356" s="2">
        <v>476273000</v>
      </c>
    </row>
    <row r="1357" spans="1:4" x14ac:dyDescent="0.25">
      <c r="A1357" t="s">
        <v>421</v>
      </c>
      <c r="B1357" t="s">
        <v>303</v>
      </c>
      <c r="C1357" s="2">
        <v>474504000</v>
      </c>
      <c r="D1357" s="2">
        <v>112960000</v>
      </c>
    </row>
    <row r="1358" spans="1:4" x14ac:dyDescent="0.25">
      <c r="A1358" t="s">
        <v>421</v>
      </c>
      <c r="B1358" t="s">
        <v>304</v>
      </c>
      <c r="C1358" s="2">
        <v>1990885000</v>
      </c>
      <c r="D1358" s="2">
        <v>347273000</v>
      </c>
    </row>
    <row r="1359" spans="1:4" x14ac:dyDescent="0.25">
      <c r="A1359" t="s">
        <v>421</v>
      </c>
      <c r="B1359" t="s">
        <v>305</v>
      </c>
      <c r="C1359" s="2">
        <v>1060502000</v>
      </c>
      <c r="D1359" s="2">
        <v>219609000</v>
      </c>
    </row>
    <row r="1360" spans="1:4" x14ac:dyDescent="0.25">
      <c r="A1360" t="s">
        <v>421</v>
      </c>
      <c r="B1360" t="s">
        <v>306</v>
      </c>
      <c r="C1360" s="2">
        <v>714377000</v>
      </c>
      <c r="D1360" s="2">
        <v>185523000</v>
      </c>
    </row>
    <row r="1361" spans="1:4" x14ac:dyDescent="0.25">
      <c r="A1361" t="s">
        <v>421</v>
      </c>
      <c r="B1361" t="s">
        <v>307</v>
      </c>
      <c r="C1361" s="2">
        <v>868742000</v>
      </c>
      <c r="D1361" s="2">
        <v>96536000</v>
      </c>
    </row>
    <row r="1362" spans="1:4" x14ac:dyDescent="0.25">
      <c r="A1362" t="s">
        <v>421</v>
      </c>
      <c r="B1362" t="s">
        <v>308</v>
      </c>
      <c r="C1362" s="2">
        <v>1591317000</v>
      </c>
      <c r="D1362" s="2">
        <v>615799000</v>
      </c>
    </row>
    <row r="1363" spans="1:4" x14ac:dyDescent="0.25">
      <c r="A1363" t="s">
        <v>421</v>
      </c>
      <c r="B1363" t="s">
        <v>309</v>
      </c>
      <c r="C1363" s="2">
        <v>1543621000</v>
      </c>
      <c r="D1363" s="2">
        <v>226590000</v>
      </c>
    </row>
    <row r="1364" spans="1:4" x14ac:dyDescent="0.25">
      <c r="A1364" t="s">
        <v>421</v>
      </c>
      <c r="B1364" t="s">
        <v>310</v>
      </c>
      <c r="C1364" s="2">
        <v>1361361000</v>
      </c>
      <c r="D1364" s="2">
        <v>395340000</v>
      </c>
    </row>
    <row r="1365" spans="1:4" x14ac:dyDescent="0.25">
      <c r="A1365" t="s">
        <v>421</v>
      </c>
      <c r="B1365" t="s">
        <v>311</v>
      </c>
      <c r="C1365" s="2">
        <v>1213380000</v>
      </c>
      <c r="D1365" s="2">
        <v>456284000</v>
      </c>
    </row>
    <row r="1366" spans="1:4" x14ac:dyDescent="0.25">
      <c r="A1366" t="s">
        <v>421</v>
      </c>
      <c r="B1366" t="s">
        <v>312</v>
      </c>
      <c r="C1366" s="2">
        <v>1130985000</v>
      </c>
      <c r="D1366" s="2">
        <v>284987000</v>
      </c>
    </row>
    <row r="1367" spans="1:4" x14ac:dyDescent="0.25">
      <c r="A1367" t="s">
        <v>421</v>
      </c>
      <c r="B1367" t="s">
        <v>313</v>
      </c>
      <c r="C1367" s="2">
        <v>976835000</v>
      </c>
      <c r="D1367" s="2">
        <v>219021000</v>
      </c>
    </row>
    <row r="1368" spans="1:4" x14ac:dyDescent="0.25">
      <c r="A1368" t="s">
        <v>421</v>
      </c>
      <c r="B1368" t="s">
        <v>314</v>
      </c>
      <c r="C1368" s="2">
        <v>724007000</v>
      </c>
      <c r="D1368" s="2">
        <v>385156000</v>
      </c>
    </row>
    <row r="1369" spans="1:4" x14ac:dyDescent="0.25">
      <c r="A1369" t="s">
        <v>421</v>
      </c>
      <c r="B1369" t="s">
        <v>315</v>
      </c>
      <c r="C1369" s="2">
        <v>784865000</v>
      </c>
      <c r="D1369" s="2">
        <v>132428000</v>
      </c>
    </row>
    <row r="1370" spans="1:4" x14ac:dyDescent="0.25">
      <c r="A1370" t="s">
        <v>421</v>
      </c>
      <c r="B1370" t="s">
        <v>316</v>
      </c>
      <c r="C1370" s="2">
        <v>629644000</v>
      </c>
      <c r="D1370" s="2">
        <v>230024000</v>
      </c>
    </row>
    <row r="1371" spans="1:4" x14ac:dyDescent="0.25">
      <c r="A1371" t="s">
        <v>421</v>
      </c>
      <c r="B1371" t="s">
        <v>317</v>
      </c>
      <c r="C1371" s="2">
        <v>1313420000</v>
      </c>
      <c r="D1371" s="2">
        <v>212402000</v>
      </c>
    </row>
    <row r="1372" spans="1:4" x14ac:dyDescent="0.25">
      <c r="A1372" t="s">
        <v>421</v>
      </c>
      <c r="B1372" t="s">
        <v>318</v>
      </c>
      <c r="C1372" s="2">
        <v>2174536000</v>
      </c>
      <c r="D1372" s="2">
        <v>416522000</v>
      </c>
    </row>
    <row r="1373" spans="1:4" x14ac:dyDescent="0.25">
      <c r="A1373" t="s">
        <v>421</v>
      </c>
      <c r="B1373" t="s">
        <v>319</v>
      </c>
      <c r="C1373" s="2">
        <v>683702000</v>
      </c>
      <c r="D1373" s="2">
        <v>131834000</v>
      </c>
    </row>
    <row r="1374" spans="1:4" x14ac:dyDescent="0.25">
      <c r="A1374" t="s">
        <v>421</v>
      </c>
      <c r="B1374" t="s">
        <v>320</v>
      </c>
      <c r="C1374" s="2">
        <v>739505000</v>
      </c>
      <c r="D1374" s="2">
        <v>556323000</v>
      </c>
    </row>
    <row r="1375" spans="1:4" x14ac:dyDescent="0.25">
      <c r="A1375" t="s">
        <v>421</v>
      </c>
      <c r="B1375" t="s">
        <v>321</v>
      </c>
      <c r="C1375" s="2">
        <v>1930016000</v>
      </c>
      <c r="D1375" s="2">
        <v>413994000</v>
      </c>
    </row>
    <row r="1376" spans="1:4" x14ac:dyDescent="0.25">
      <c r="A1376" t="s">
        <v>421</v>
      </c>
      <c r="B1376" t="s">
        <v>322</v>
      </c>
      <c r="C1376" s="2">
        <v>541221000</v>
      </c>
      <c r="D1376" s="2">
        <v>133222000</v>
      </c>
    </row>
    <row r="1377" spans="1:4" x14ac:dyDescent="0.25">
      <c r="A1377" t="s">
        <v>421</v>
      </c>
      <c r="B1377" t="s">
        <v>323</v>
      </c>
      <c r="C1377" s="2">
        <v>736095000</v>
      </c>
      <c r="D1377" s="2">
        <v>154664000</v>
      </c>
    </row>
    <row r="1378" spans="1:4" x14ac:dyDescent="0.25">
      <c r="A1378" t="s">
        <v>421</v>
      </c>
      <c r="B1378" t="s">
        <v>324</v>
      </c>
      <c r="C1378" s="2">
        <v>925177000</v>
      </c>
      <c r="D1378" s="2">
        <v>157488000</v>
      </c>
    </row>
    <row r="1379" spans="1:4" x14ac:dyDescent="0.25">
      <c r="A1379" t="s">
        <v>421</v>
      </c>
      <c r="B1379" t="s">
        <v>325</v>
      </c>
      <c r="C1379" s="2">
        <v>1352615000</v>
      </c>
      <c r="D1379" s="2">
        <v>391861000</v>
      </c>
    </row>
    <row r="1380" spans="1:4" x14ac:dyDescent="0.25">
      <c r="A1380" t="s">
        <v>421</v>
      </c>
      <c r="B1380" t="s">
        <v>326</v>
      </c>
      <c r="C1380" s="2">
        <v>1319500000</v>
      </c>
      <c r="D1380" s="2">
        <v>202173000</v>
      </c>
    </row>
    <row r="1381" spans="1:4" x14ac:dyDescent="0.25">
      <c r="A1381" t="s">
        <v>421</v>
      </c>
      <c r="B1381" t="s">
        <v>327</v>
      </c>
      <c r="C1381" s="2">
        <v>1757704000</v>
      </c>
      <c r="D1381" s="2">
        <v>199953000</v>
      </c>
    </row>
    <row r="1382" spans="1:4" x14ac:dyDescent="0.25">
      <c r="A1382" t="s">
        <v>421</v>
      </c>
      <c r="B1382" t="s">
        <v>328</v>
      </c>
      <c r="C1382" s="2">
        <v>1117602000</v>
      </c>
      <c r="D1382" s="2">
        <v>440240000</v>
      </c>
    </row>
    <row r="1383" spans="1:4" x14ac:dyDescent="0.25">
      <c r="A1383" t="s">
        <v>421</v>
      </c>
      <c r="B1383" t="s">
        <v>329</v>
      </c>
      <c r="C1383" s="2">
        <v>1034761000</v>
      </c>
      <c r="D1383" s="2">
        <v>202886000</v>
      </c>
    </row>
    <row r="1384" spans="1:4" x14ac:dyDescent="0.25">
      <c r="A1384" t="s">
        <v>421</v>
      </c>
      <c r="B1384" t="s">
        <v>330</v>
      </c>
      <c r="C1384" s="2">
        <v>880959000</v>
      </c>
      <c r="D1384" s="2">
        <v>329032000</v>
      </c>
    </row>
    <row r="1385" spans="1:4" x14ac:dyDescent="0.25">
      <c r="A1385" t="s">
        <v>421</v>
      </c>
      <c r="B1385" t="s">
        <v>331</v>
      </c>
      <c r="C1385" s="2">
        <v>1011083000</v>
      </c>
      <c r="D1385" s="2">
        <v>218604000</v>
      </c>
    </row>
    <row r="1386" spans="1:4" x14ac:dyDescent="0.25">
      <c r="A1386" t="s">
        <v>421</v>
      </c>
      <c r="B1386" t="s">
        <v>332</v>
      </c>
      <c r="C1386" s="2">
        <v>1663812000</v>
      </c>
      <c r="D1386" s="2">
        <v>370796000</v>
      </c>
    </row>
    <row r="1387" spans="1:4" x14ac:dyDescent="0.25">
      <c r="A1387" t="s">
        <v>421</v>
      </c>
      <c r="B1387" t="s">
        <v>333</v>
      </c>
      <c r="C1387" s="2">
        <v>748340000</v>
      </c>
      <c r="D1387" s="2">
        <v>116755000</v>
      </c>
    </row>
    <row r="1388" spans="1:4" x14ac:dyDescent="0.25">
      <c r="A1388" t="s">
        <v>421</v>
      </c>
      <c r="B1388" t="s">
        <v>334</v>
      </c>
      <c r="C1388" s="2">
        <v>1510489000</v>
      </c>
      <c r="D1388" s="2">
        <v>397684000</v>
      </c>
    </row>
    <row r="1389" spans="1:4" x14ac:dyDescent="0.25">
      <c r="A1389" t="s">
        <v>421</v>
      </c>
      <c r="B1389" t="s">
        <v>335</v>
      </c>
      <c r="C1389" s="2">
        <v>758260000</v>
      </c>
      <c r="D1389" s="2">
        <v>234397000</v>
      </c>
    </row>
    <row r="1390" spans="1:4" x14ac:dyDescent="0.25">
      <c r="A1390" t="s">
        <v>421</v>
      </c>
      <c r="B1390" t="s">
        <v>336</v>
      </c>
      <c r="C1390" s="2">
        <v>1051295000</v>
      </c>
      <c r="D1390" s="2">
        <v>203915000</v>
      </c>
    </row>
    <row r="1391" spans="1:4" x14ac:dyDescent="0.25">
      <c r="A1391" t="s">
        <v>421</v>
      </c>
      <c r="B1391" t="s">
        <v>337</v>
      </c>
      <c r="C1391" s="2">
        <v>1467410000</v>
      </c>
      <c r="D1391" s="2">
        <v>196918000</v>
      </c>
    </row>
    <row r="1392" spans="1:4" x14ac:dyDescent="0.25">
      <c r="A1392" t="s">
        <v>421</v>
      </c>
      <c r="B1392" t="s">
        <v>338</v>
      </c>
      <c r="C1392" s="2">
        <v>800168000</v>
      </c>
      <c r="D1392" s="2">
        <v>208831000</v>
      </c>
    </row>
    <row r="1393" spans="1:4" x14ac:dyDescent="0.25">
      <c r="A1393" t="s">
        <v>421</v>
      </c>
      <c r="B1393" t="s">
        <v>339</v>
      </c>
      <c r="C1393" s="2">
        <v>833376000</v>
      </c>
      <c r="D1393" s="2">
        <v>21791000</v>
      </c>
    </row>
    <row r="1394" spans="1:4" x14ac:dyDescent="0.25">
      <c r="A1394" t="s">
        <v>421</v>
      </c>
      <c r="B1394" t="s">
        <v>340</v>
      </c>
      <c r="C1394" s="2">
        <v>1984618000</v>
      </c>
      <c r="D1394" s="2">
        <v>211454000</v>
      </c>
    </row>
    <row r="1395" spans="1:4" x14ac:dyDescent="0.25">
      <c r="A1395" t="s">
        <v>421</v>
      </c>
      <c r="B1395" t="s">
        <v>341</v>
      </c>
      <c r="C1395" s="2">
        <v>1210216000</v>
      </c>
      <c r="D1395" s="2">
        <v>249493000</v>
      </c>
    </row>
    <row r="1396" spans="1:4" x14ac:dyDescent="0.25">
      <c r="A1396" t="s">
        <v>421</v>
      </c>
      <c r="B1396" t="s">
        <v>342</v>
      </c>
      <c r="C1396" s="2">
        <v>1111784000</v>
      </c>
      <c r="D1396" s="2">
        <v>69333000</v>
      </c>
    </row>
    <row r="1397" spans="1:4" x14ac:dyDescent="0.25">
      <c r="A1397" t="s">
        <v>421</v>
      </c>
      <c r="B1397" t="s">
        <v>343</v>
      </c>
      <c r="C1397" s="2">
        <v>2143473000</v>
      </c>
      <c r="D1397" s="2">
        <v>291491000</v>
      </c>
    </row>
    <row r="1398" spans="1:4" x14ac:dyDescent="0.25">
      <c r="A1398" t="s">
        <v>421</v>
      </c>
      <c r="B1398" t="s">
        <v>344</v>
      </c>
      <c r="C1398" s="2">
        <v>1079902000</v>
      </c>
      <c r="D1398" s="2">
        <v>338060000</v>
      </c>
    </row>
    <row r="1399" spans="1:4" x14ac:dyDescent="0.25">
      <c r="A1399" t="s">
        <v>421</v>
      </c>
      <c r="B1399" t="s">
        <v>345</v>
      </c>
      <c r="C1399" s="2">
        <v>1743395000</v>
      </c>
      <c r="D1399" s="2">
        <v>395520000</v>
      </c>
    </row>
    <row r="1400" spans="1:4" x14ac:dyDescent="0.25">
      <c r="A1400" t="s">
        <v>421</v>
      </c>
      <c r="B1400" t="s">
        <v>346</v>
      </c>
      <c r="C1400" s="2">
        <v>1128903000</v>
      </c>
      <c r="D1400" s="2">
        <v>155567000</v>
      </c>
    </row>
    <row r="1401" spans="1:4" x14ac:dyDescent="0.25">
      <c r="A1401" t="s">
        <v>421</v>
      </c>
      <c r="B1401" t="s">
        <v>347</v>
      </c>
      <c r="C1401" s="2">
        <v>1115269000</v>
      </c>
      <c r="D1401" s="2">
        <v>295731000</v>
      </c>
    </row>
    <row r="1402" spans="1:4" x14ac:dyDescent="0.25">
      <c r="A1402" t="s">
        <v>421</v>
      </c>
      <c r="B1402" t="s">
        <v>348</v>
      </c>
      <c r="C1402" s="2">
        <v>1219455000</v>
      </c>
      <c r="D1402" s="2">
        <v>119906000</v>
      </c>
    </row>
    <row r="1403" spans="1:4" x14ac:dyDescent="0.25">
      <c r="A1403" t="s">
        <v>421</v>
      </c>
      <c r="B1403" t="s">
        <v>349</v>
      </c>
      <c r="C1403" s="2">
        <v>2193021000</v>
      </c>
      <c r="D1403" s="2">
        <v>424951000</v>
      </c>
    </row>
    <row r="1404" spans="1:4" x14ac:dyDescent="0.25">
      <c r="A1404" t="s">
        <v>421</v>
      </c>
      <c r="B1404" t="s">
        <v>350</v>
      </c>
      <c r="C1404" s="2">
        <v>1017781000</v>
      </c>
      <c r="D1404" s="2">
        <v>248391000</v>
      </c>
    </row>
    <row r="1405" spans="1:4" x14ac:dyDescent="0.25">
      <c r="A1405" t="s">
        <v>421</v>
      </c>
      <c r="B1405" t="s">
        <v>414</v>
      </c>
      <c r="C1405" s="2">
        <v>2128621000</v>
      </c>
      <c r="D1405" s="2">
        <v>443653000</v>
      </c>
    </row>
    <row r="1406" spans="1:4" x14ac:dyDescent="0.25">
      <c r="A1406" t="s">
        <v>421</v>
      </c>
      <c r="B1406" t="s">
        <v>351</v>
      </c>
      <c r="C1406" s="2">
        <v>563600000</v>
      </c>
      <c r="D1406" s="2">
        <v>202647000</v>
      </c>
    </row>
    <row r="1407" spans="1:4" x14ac:dyDescent="0.25">
      <c r="A1407" t="s">
        <v>421</v>
      </c>
      <c r="B1407" t="s">
        <v>405</v>
      </c>
      <c r="C1407" s="2">
        <v>1310689000</v>
      </c>
      <c r="D1407" s="2">
        <v>229654000</v>
      </c>
    </row>
    <row r="1408" spans="1:4" x14ac:dyDescent="0.25">
      <c r="A1408" t="s">
        <v>421</v>
      </c>
      <c r="B1408" t="s">
        <v>352</v>
      </c>
      <c r="C1408" s="2">
        <v>689048000</v>
      </c>
      <c r="D1408" s="2">
        <v>140047000</v>
      </c>
    </row>
    <row r="1409" spans="1:4" x14ac:dyDescent="0.25">
      <c r="A1409" t="s">
        <v>421</v>
      </c>
      <c r="B1409" t="s">
        <v>353</v>
      </c>
      <c r="C1409" s="2">
        <v>788004000</v>
      </c>
      <c r="D1409" s="2">
        <v>119956000</v>
      </c>
    </row>
    <row r="1410" spans="1:4" x14ac:dyDescent="0.25">
      <c r="A1410" t="s">
        <v>421</v>
      </c>
      <c r="B1410" t="s">
        <v>354</v>
      </c>
      <c r="C1410" s="2">
        <v>675137000</v>
      </c>
      <c r="D1410" s="2">
        <v>141921000</v>
      </c>
    </row>
    <row r="1411" spans="1:4" x14ac:dyDescent="0.25">
      <c r="A1411" t="s">
        <v>421</v>
      </c>
      <c r="B1411" t="s">
        <v>355</v>
      </c>
      <c r="C1411" s="2">
        <v>1012844000</v>
      </c>
      <c r="D1411" s="2">
        <v>37275000</v>
      </c>
    </row>
    <row r="1412" spans="1:4" x14ac:dyDescent="0.25">
      <c r="A1412" t="s">
        <v>421</v>
      </c>
      <c r="B1412" t="s">
        <v>356</v>
      </c>
      <c r="C1412" s="2">
        <v>847318000</v>
      </c>
      <c r="D1412" s="2">
        <v>105322000</v>
      </c>
    </row>
    <row r="1413" spans="1:4" x14ac:dyDescent="0.25">
      <c r="A1413" t="s">
        <v>421</v>
      </c>
      <c r="B1413" t="s">
        <v>357</v>
      </c>
      <c r="C1413" s="2">
        <v>1035328000</v>
      </c>
      <c r="D1413" s="2">
        <v>162885000</v>
      </c>
    </row>
    <row r="1414" spans="1:4" x14ac:dyDescent="0.25">
      <c r="A1414" t="s">
        <v>421</v>
      </c>
      <c r="B1414" t="s">
        <v>358</v>
      </c>
      <c r="C1414" s="2">
        <v>1381799000</v>
      </c>
      <c r="D1414" s="2">
        <v>321925000</v>
      </c>
    </row>
    <row r="1415" spans="1:4" x14ac:dyDescent="0.25">
      <c r="A1415" t="s">
        <v>421</v>
      </c>
      <c r="B1415" t="s">
        <v>359</v>
      </c>
      <c r="C1415" s="2">
        <v>1563627000</v>
      </c>
      <c r="D1415" s="2">
        <v>285562000</v>
      </c>
    </row>
    <row r="1416" spans="1:4" x14ac:dyDescent="0.25">
      <c r="A1416" t="s">
        <v>421</v>
      </c>
      <c r="B1416" t="s">
        <v>360</v>
      </c>
      <c r="C1416" s="2">
        <v>1224459000</v>
      </c>
      <c r="D1416" s="2">
        <v>292459000</v>
      </c>
    </row>
    <row r="1417" spans="1:4" x14ac:dyDescent="0.25">
      <c r="A1417" t="s">
        <v>421</v>
      </c>
      <c r="B1417" t="s">
        <v>361</v>
      </c>
      <c r="C1417" s="2">
        <v>1204404000</v>
      </c>
      <c r="D1417" s="2">
        <v>155036000</v>
      </c>
    </row>
    <row r="1418" spans="1:4" x14ac:dyDescent="0.25">
      <c r="A1418" t="s">
        <v>421</v>
      </c>
      <c r="B1418" t="s">
        <v>362</v>
      </c>
      <c r="C1418" s="2">
        <v>611954000</v>
      </c>
      <c r="D1418" s="2">
        <v>76485000</v>
      </c>
    </row>
    <row r="1419" spans="1:4" x14ac:dyDescent="0.25">
      <c r="A1419" t="s">
        <v>421</v>
      </c>
      <c r="B1419" t="s">
        <v>363</v>
      </c>
      <c r="C1419" s="2">
        <v>790443000</v>
      </c>
      <c r="D1419" s="2">
        <f>157688000+18983000</f>
        <v>176671000</v>
      </c>
    </row>
    <row r="1420" spans="1:4" x14ac:dyDescent="0.25">
      <c r="A1420" t="s">
        <v>421</v>
      </c>
      <c r="B1420" t="s">
        <v>364</v>
      </c>
      <c r="C1420" s="2">
        <v>587884000</v>
      </c>
      <c r="D1420" s="2">
        <v>197346000</v>
      </c>
    </row>
    <row r="1421" spans="1:4" x14ac:dyDescent="0.25">
      <c r="A1421" t="s">
        <v>421</v>
      </c>
      <c r="B1421" t="s">
        <v>365</v>
      </c>
      <c r="C1421" s="2">
        <v>1007337000</v>
      </c>
      <c r="D1421" s="2">
        <v>159891000</v>
      </c>
    </row>
    <row r="1422" spans="1:4" x14ac:dyDescent="0.25">
      <c r="A1422" t="s">
        <v>421</v>
      </c>
      <c r="B1422" t="s">
        <v>366</v>
      </c>
      <c r="C1422" s="2">
        <v>1246907000</v>
      </c>
      <c r="D1422" s="2">
        <v>227454000</v>
      </c>
    </row>
    <row r="1423" spans="1:4" x14ac:dyDescent="0.25">
      <c r="A1423" t="s">
        <v>421</v>
      </c>
      <c r="B1423" t="s">
        <v>367</v>
      </c>
      <c r="C1423" s="2">
        <v>1300493000</v>
      </c>
      <c r="D1423" s="2">
        <v>83874000</v>
      </c>
    </row>
    <row r="1424" spans="1:4" x14ac:dyDescent="0.25">
      <c r="A1424" t="s">
        <v>421</v>
      </c>
      <c r="B1424" t="s">
        <v>368</v>
      </c>
      <c r="C1424" s="2">
        <v>2417849000</v>
      </c>
      <c r="D1424" s="2">
        <v>338166000</v>
      </c>
    </row>
    <row r="1425" spans="1:4" x14ac:dyDescent="0.25">
      <c r="A1425" t="s">
        <v>421</v>
      </c>
      <c r="B1425" t="s">
        <v>369</v>
      </c>
      <c r="C1425" s="2">
        <v>2899504000</v>
      </c>
      <c r="D1425" s="2">
        <v>567876000</v>
      </c>
    </row>
    <row r="1426" spans="1:4" x14ac:dyDescent="0.25">
      <c r="A1426" t="s">
        <v>421</v>
      </c>
      <c r="B1426" t="s">
        <v>370</v>
      </c>
      <c r="C1426" s="2">
        <v>779220000</v>
      </c>
      <c r="D1426" s="2">
        <v>126148000</v>
      </c>
    </row>
    <row r="1427" spans="1:4" x14ac:dyDescent="0.25">
      <c r="A1427" t="s">
        <v>421</v>
      </c>
      <c r="B1427" t="s">
        <v>371</v>
      </c>
      <c r="C1427" s="2">
        <v>3407324000</v>
      </c>
      <c r="D1427" s="2">
        <v>948655000</v>
      </c>
    </row>
    <row r="1428" spans="1:4" x14ac:dyDescent="0.25">
      <c r="A1428" t="s">
        <v>421</v>
      </c>
      <c r="B1428" t="s">
        <v>372</v>
      </c>
      <c r="C1428" s="2">
        <v>4254208000</v>
      </c>
      <c r="D1428" s="2">
        <v>1372452000</v>
      </c>
    </row>
    <row r="1429" spans="1:4" x14ac:dyDescent="0.25">
      <c r="A1429" t="s">
        <v>421</v>
      </c>
      <c r="B1429" t="s">
        <v>373</v>
      </c>
      <c r="C1429" s="2">
        <v>1244829000</v>
      </c>
      <c r="D1429" s="2">
        <v>389753000</v>
      </c>
    </row>
    <row r="1430" spans="1:4" x14ac:dyDescent="0.25">
      <c r="A1430" t="s">
        <v>421</v>
      </c>
      <c r="B1430" t="s">
        <v>374</v>
      </c>
      <c r="C1430" s="2">
        <v>2040898000</v>
      </c>
      <c r="D1430" s="2">
        <v>435490000</v>
      </c>
    </row>
    <row r="1431" spans="1:4" x14ac:dyDescent="0.25">
      <c r="A1431" t="s">
        <v>421</v>
      </c>
      <c r="B1431" t="s">
        <v>375</v>
      </c>
      <c r="C1431" s="2">
        <v>1323162000</v>
      </c>
      <c r="D1431" s="2">
        <v>238657000</v>
      </c>
    </row>
    <row r="1432" spans="1:4" x14ac:dyDescent="0.25">
      <c r="A1432" t="s">
        <v>421</v>
      </c>
      <c r="B1432" t="s">
        <v>376</v>
      </c>
      <c r="C1432" s="2">
        <v>1691824000</v>
      </c>
      <c r="D1432" s="2">
        <v>332377000</v>
      </c>
    </row>
    <row r="1433" spans="1:4" x14ac:dyDescent="0.25">
      <c r="A1433" t="s">
        <v>421</v>
      </c>
      <c r="B1433" t="s">
        <v>377</v>
      </c>
      <c r="C1433" s="2">
        <v>1865418000</v>
      </c>
      <c r="D1433" s="2">
        <v>317368000</v>
      </c>
    </row>
    <row r="1434" spans="1:4" x14ac:dyDescent="0.25">
      <c r="A1434" t="s">
        <v>421</v>
      </c>
      <c r="B1434" t="s">
        <v>378</v>
      </c>
      <c r="C1434" s="2">
        <v>1441819000</v>
      </c>
      <c r="D1434" s="2">
        <v>210785000</v>
      </c>
    </row>
    <row r="1435" spans="1:4" x14ac:dyDescent="0.25">
      <c r="A1435" t="s">
        <v>421</v>
      </c>
      <c r="B1435" t="s">
        <v>412</v>
      </c>
      <c r="C1435" s="2">
        <v>882504000</v>
      </c>
      <c r="D1435" s="2">
        <v>119013000</v>
      </c>
    </row>
    <row r="1436" spans="1:4" x14ac:dyDescent="0.25">
      <c r="A1436" t="s">
        <v>421</v>
      </c>
      <c r="B1436" t="s">
        <v>379</v>
      </c>
      <c r="C1436" s="2">
        <v>872093000</v>
      </c>
      <c r="D1436" s="2">
        <v>430358000</v>
      </c>
    </row>
    <row r="1437" spans="1:4" x14ac:dyDescent="0.25">
      <c r="A1437" t="s">
        <v>421</v>
      </c>
      <c r="B1437" t="s">
        <v>380</v>
      </c>
      <c r="C1437" s="2">
        <v>1335791000</v>
      </c>
      <c r="D1437" s="2">
        <v>254649000</v>
      </c>
    </row>
    <row r="1438" spans="1:4" x14ac:dyDescent="0.25">
      <c r="A1438" t="s">
        <v>421</v>
      </c>
      <c r="B1438" t="s">
        <v>381</v>
      </c>
      <c r="C1438" s="2">
        <v>1469503000</v>
      </c>
      <c r="D1438" s="2">
        <v>222867000</v>
      </c>
    </row>
    <row r="1439" spans="1:4" x14ac:dyDescent="0.25">
      <c r="A1439" t="s">
        <v>421</v>
      </c>
      <c r="B1439" t="s">
        <v>382</v>
      </c>
      <c r="C1439" s="2">
        <v>1452934000</v>
      </c>
      <c r="D1439" s="2">
        <v>157907000</v>
      </c>
    </row>
    <row r="1440" spans="1:4" x14ac:dyDescent="0.25">
      <c r="A1440" t="s">
        <v>421</v>
      </c>
      <c r="B1440" t="s">
        <v>383</v>
      </c>
      <c r="C1440" s="2">
        <v>1402058000</v>
      </c>
      <c r="D1440" s="2">
        <v>230196000</v>
      </c>
    </row>
    <row r="1441" spans="1:4" x14ac:dyDescent="0.25">
      <c r="A1441" t="s">
        <v>421</v>
      </c>
      <c r="B1441" t="s">
        <v>384</v>
      </c>
      <c r="C1441" s="2">
        <v>1290158000</v>
      </c>
      <c r="D1441" s="2">
        <v>157133000</v>
      </c>
    </row>
    <row r="1442" spans="1:4" x14ac:dyDescent="0.25">
      <c r="A1442" t="s">
        <v>421</v>
      </c>
      <c r="B1442" t="s">
        <v>385</v>
      </c>
      <c r="C1442" s="2">
        <v>824011000</v>
      </c>
      <c r="D1442" s="2">
        <v>155264000</v>
      </c>
    </row>
    <row r="1443" spans="1:4" x14ac:dyDescent="0.25">
      <c r="A1443" t="s">
        <v>421</v>
      </c>
      <c r="B1443" t="s">
        <v>386</v>
      </c>
      <c r="C1443" s="2">
        <v>645449000</v>
      </c>
      <c r="D1443" s="2">
        <v>165741000</v>
      </c>
    </row>
    <row r="1444" spans="1:4" x14ac:dyDescent="0.25">
      <c r="A1444" t="s">
        <v>421</v>
      </c>
      <c r="B1444" t="s">
        <v>387</v>
      </c>
      <c r="C1444" s="2">
        <v>365339000</v>
      </c>
      <c r="D1444" s="2">
        <v>90839000</v>
      </c>
    </row>
    <row r="1445" spans="1:4" x14ac:dyDescent="0.25">
      <c r="A1445" t="s">
        <v>421</v>
      </c>
      <c r="B1445" t="s">
        <v>388</v>
      </c>
      <c r="C1445" s="2">
        <v>685468000</v>
      </c>
      <c r="D1445" s="2">
        <v>152564000</v>
      </c>
    </row>
    <row r="1446" spans="1:4" x14ac:dyDescent="0.25">
      <c r="A1446" t="s">
        <v>421</v>
      </c>
      <c r="B1446" t="s">
        <v>389</v>
      </c>
      <c r="C1446" s="2">
        <v>705510000</v>
      </c>
      <c r="D1446" s="2">
        <v>125116000</v>
      </c>
    </row>
    <row r="1447" spans="1:4" x14ac:dyDescent="0.25">
      <c r="A1447" t="s">
        <v>421</v>
      </c>
      <c r="B1447" t="s">
        <v>390</v>
      </c>
      <c r="C1447" s="2">
        <v>761215000</v>
      </c>
      <c r="D1447" s="2">
        <v>94532000</v>
      </c>
    </row>
    <row r="1448" spans="1:4" x14ac:dyDescent="0.25">
      <c r="A1448" t="s">
        <v>421</v>
      </c>
      <c r="B1448" t="s">
        <v>391</v>
      </c>
      <c r="C1448" s="2">
        <v>1087343000</v>
      </c>
      <c r="D1448" s="2">
        <v>212714000</v>
      </c>
    </row>
    <row r="1449" spans="1:4" x14ac:dyDescent="0.25">
      <c r="A1449" t="s">
        <v>421</v>
      </c>
      <c r="B1449" t="s">
        <v>392</v>
      </c>
      <c r="C1449" s="2">
        <v>1154109000</v>
      </c>
      <c r="D1449" s="2">
        <v>372568000</v>
      </c>
    </row>
    <row r="1450" spans="1:4" x14ac:dyDescent="0.25">
      <c r="A1450" t="s">
        <v>421</v>
      </c>
      <c r="B1450" t="s">
        <v>393</v>
      </c>
      <c r="C1450" s="2">
        <v>791915000</v>
      </c>
      <c r="D1450" s="2">
        <v>256610000</v>
      </c>
    </row>
    <row r="1451" spans="1:4" x14ac:dyDescent="0.25">
      <c r="A1451" t="s">
        <v>421</v>
      </c>
      <c r="B1451" t="s">
        <v>394</v>
      </c>
      <c r="C1451" s="2">
        <v>947928000</v>
      </c>
      <c r="D1451" s="2">
        <v>199586000</v>
      </c>
    </row>
    <row r="1452" spans="1:4" x14ac:dyDescent="0.25">
      <c r="A1452" t="s">
        <v>421</v>
      </c>
      <c r="B1452" t="s">
        <v>395</v>
      </c>
      <c r="C1452" s="2">
        <v>821710000</v>
      </c>
      <c r="D1452" s="2">
        <v>88953000</v>
      </c>
    </row>
    <row r="1453" spans="1:4" x14ac:dyDescent="0.25">
      <c r="A1453" t="s">
        <v>421</v>
      </c>
      <c r="B1453" t="s">
        <v>396</v>
      </c>
      <c r="C1453" s="2">
        <v>400276000</v>
      </c>
      <c r="D1453" s="2">
        <v>78035000</v>
      </c>
    </row>
    <row r="1454" spans="1:4" x14ac:dyDescent="0.25">
      <c r="A1454" t="s">
        <v>421</v>
      </c>
      <c r="B1454" t="s">
        <v>397</v>
      </c>
      <c r="C1454" s="2">
        <v>1585208000</v>
      </c>
    </row>
    <row r="1455" spans="1:4" x14ac:dyDescent="0.25">
      <c r="A1455" t="s">
        <v>422</v>
      </c>
      <c r="B1455" t="s">
        <v>201</v>
      </c>
      <c r="C1455" s="2">
        <v>330128929000</v>
      </c>
      <c r="D1455" s="2">
        <v>349636958000</v>
      </c>
    </row>
    <row r="1456" spans="1:4" x14ac:dyDescent="0.25">
      <c r="A1456" t="s">
        <v>422</v>
      </c>
      <c r="B1456" t="s">
        <v>424</v>
      </c>
      <c r="C1456" s="2">
        <v>0</v>
      </c>
      <c r="D1456" s="2">
        <v>0</v>
      </c>
    </row>
    <row r="1457" spans="1:4" x14ac:dyDescent="0.25">
      <c r="A1457" t="s">
        <v>422</v>
      </c>
      <c r="B1457" t="s">
        <v>202</v>
      </c>
      <c r="C1457" s="2">
        <v>137773000</v>
      </c>
      <c r="D1457" s="2">
        <v>144881000</v>
      </c>
    </row>
    <row r="1458" spans="1:4" x14ac:dyDescent="0.25">
      <c r="A1458" t="s">
        <v>422</v>
      </c>
      <c r="B1458" t="s">
        <v>203</v>
      </c>
      <c r="C1458" s="2">
        <v>121176000</v>
      </c>
      <c r="D1458" s="2">
        <v>121176000</v>
      </c>
    </row>
    <row r="1459" spans="1:4" x14ac:dyDescent="0.25">
      <c r="A1459" t="s">
        <v>422</v>
      </c>
      <c r="B1459" t="s">
        <v>204</v>
      </c>
      <c r="C1459" s="2">
        <v>203826000</v>
      </c>
      <c r="D1459" s="2">
        <v>209213000</v>
      </c>
    </row>
    <row r="1460" spans="1:4" x14ac:dyDescent="0.25">
      <c r="A1460" t="s">
        <v>422</v>
      </c>
      <c r="B1460" t="s">
        <v>205</v>
      </c>
      <c r="C1460" s="2">
        <v>122164000</v>
      </c>
      <c r="D1460" s="2">
        <v>137581000</v>
      </c>
    </row>
    <row r="1461" spans="1:4" x14ac:dyDescent="0.25">
      <c r="A1461" t="s">
        <v>422</v>
      </c>
      <c r="B1461" t="s">
        <v>206</v>
      </c>
      <c r="C1461" s="2">
        <v>145445000</v>
      </c>
      <c r="D1461" s="2">
        <v>145445000</v>
      </c>
    </row>
    <row r="1462" spans="1:4" x14ac:dyDescent="0.25">
      <c r="A1462" t="s">
        <v>422</v>
      </c>
      <c r="B1462" t="s">
        <v>207</v>
      </c>
      <c r="C1462" s="2">
        <v>131401000</v>
      </c>
      <c r="D1462" s="2">
        <v>142593000</v>
      </c>
    </row>
    <row r="1463" spans="1:4" x14ac:dyDescent="0.25">
      <c r="A1463" t="s">
        <v>422</v>
      </c>
      <c r="B1463" t="s">
        <v>208</v>
      </c>
      <c r="C1463" s="2">
        <v>151255000</v>
      </c>
      <c r="D1463" s="2">
        <v>155444000</v>
      </c>
    </row>
    <row r="1464" spans="1:4" x14ac:dyDescent="0.25">
      <c r="A1464" t="s">
        <v>422</v>
      </c>
      <c r="B1464" t="s">
        <v>209</v>
      </c>
      <c r="C1464" s="2">
        <v>128588000</v>
      </c>
      <c r="D1464" s="2">
        <v>135954000</v>
      </c>
    </row>
    <row r="1465" spans="1:4" x14ac:dyDescent="0.25">
      <c r="A1465" t="s">
        <v>422</v>
      </c>
      <c r="B1465" t="s">
        <v>210</v>
      </c>
      <c r="C1465" s="2">
        <v>1472723000</v>
      </c>
      <c r="D1465" s="2">
        <v>1346220000</v>
      </c>
    </row>
    <row r="1466" spans="1:4" x14ac:dyDescent="0.25">
      <c r="A1466" t="s">
        <v>422</v>
      </c>
      <c r="B1466" t="s">
        <v>211</v>
      </c>
      <c r="C1466" s="2">
        <v>1085237000</v>
      </c>
      <c r="D1466" s="2">
        <v>869271000</v>
      </c>
    </row>
    <row r="1467" spans="1:4" x14ac:dyDescent="0.25">
      <c r="A1467" t="s">
        <v>422</v>
      </c>
      <c r="B1467" t="s">
        <v>212</v>
      </c>
      <c r="C1467" s="2">
        <v>145632000</v>
      </c>
      <c r="D1467" s="2">
        <v>149260000</v>
      </c>
    </row>
    <row r="1468" spans="1:4" x14ac:dyDescent="0.25">
      <c r="A1468" t="s">
        <v>422</v>
      </c>
      <c r="B1468" t="s">
        <v>213</v>
      </c>
      <c r="C1468" s="2">
        <v>237353000</v>
      </c>
      <c r="D1468" s="2">
        <v>137687000</v>
      </c>
    </row>
    <row r="1469" spans="1:4" x14ac:dyDescent="0.25">
      <c r="A1469" t="s">
        <v>422</v>
      </c>
      <c r="B1469" t="s">
        <v>214</v>
      </c>
      <c r="C1469" s="2">
        <v>125055000</v>
      </c>
      <c r="D1469" s="2">
        <v>129339000</v>
      </c>
    </row>
    <row r="1470" spans="1:4" x14ac:dyDescent="0.25">
      <c r="A1470" t="s">
        <v>422</v>
      </c>
      <c r="B1470" t="s">
        <v>215</v>
      </c>
      <c r="C1470" s="2">
        <v>136743000</v>
      </c>
      <c r="D1470" s="2">
        <v>137837000</v>
      </c>
    </row>
    <row r="1471" spans="1:4" x14ac:dyDescent="0.25">
      <c r="A1471" t="s">
        <v>422</v>
      </c>
      <c r="B1471" t="s">
        <v>216</v>
      </c>
      <c r="C1471" s="2">
        <v>120479000</v>
      </c>
      <c r="D1471" s="2">
        <v>121563000</v>
      </c>
    </row>
    <row r="1472" spans="1:4" x14ac:dyDescent="0.25">
      <c r="A1472" t="s">
        <v>422</v>
      </c>
      <c r="B1472" t="s">
        <v>217</v>
      </c>
      <c r="C1472" s="2">
        <v>135637000</v>
      </c>
      <c r="D1472" s="2">
        <v>137673000</v>
      </c>
    </row>
    <row r="1473" spans="1:4" x14ac:dyDescent="0.25">
      <c r="A1473" t="s">
        <v>422</v>
      </c>
      <c r="B1473" t="s">
        <v>218</v>
      </c>
      <c r="C1473" s="2">
        <v>1281712000</v>
      </c>
      <c r="D1473" s="2">
        <v>984589000</v>
      </c>
    </row>
    <row r="1474" spans="1:4" x14ac:dyDescent="0.25">
      <c r="A1474" t="s">
        <v>422</v>
      </c>
      <c r="B1474" t="s">
        <v>219</v>
      </c>
      <c r="C1474" s="2">
        <v>1627551000</v>
      </c>
      <c r="D1474" s="2">
        <v>1371551000</v>
      </c>
    </row>
    <row r="1475" spans="1:4" x14ac:dyDescent="0.25">
      <c r="A1475" t="s">
        <v>422</v>
      </c>
      <c r="B1475" t="s">
        <v>220</v>
      </c>
      <c r="C1475" s="2">
        <v>5965126000</v>
      </c>
      <c r="D1475" s="2">
        <v>3187149000</v>
      </c>
    </row>
    <row r="1476" spans="1:4" x14ac:dyDescent="0.25">
      <c r="A1476" t="s">
        <v>422</v>
      </c>
      <c r="B1476" t="s">
        <v>221</v>
      </c>
      <c r="C1476" s="2">
        <v>2033953000</v>
      </c>
      <c r="D1476" s="2">
        <v>1497135000</v>
      </c>
    </row>
    <row r="1477" spans="1:4" x14ac:dyDescent="0.25">
      <c r="A1477" t="s">
        <v>422</v>
      </c>
      <c r="B1477" t="s">
        <v>222</v>
      </c>
      <c r="C1477" s="2">
        <v>3126912000</v>
      </c>
      <c r="D1477" s="2">
        <v>2735481000</v>
      </c>
    </row>
    <row r="1478" spans="1:4" x14ac:dyDescent="0.25">
      <c r="A1478" t="s">
        <v>422</v>
      </c>
      <c r="B1478" t="s">
        <v>223</v>
      </c>
      <c r="C1478" s="2">
        <v>4246669000</v>
      </c>
      <c r="D1478" s="2">
        <v>3213667000</v>
      </c>
    </row>
    <row r="1479" spans="1:4" x14ac:dyDescent="0.25">
      <c r="A1479" t="s">
        <v>422</v>
      </c>
      <c r="B1479" t="s">
        <v>224</v>
      </c>
      <c r="C1479" s="2">
        <v>3887310000</v>
      </c>
      <c r="D1479" s="2">
        <v>2505062000</v>
      </c>
    </row>
    <row r="1480" spans="1:4" x14ac:dyDescent="0.25">
      <c r="A1480" t="s">
        <v>422</v>
      </c>
      <c r="B1480" t="s">
        <v>225</v>
      </c>
      <c r="C1480" s="2">
        <v>1047223000</v>
      </c>
      <c r="D1480" s="2">
        <v>909234000</v>
      </c>
    </row>
    <row r="1481" spans="1:4" x14ac:dyDescent="0.25">
      <c r="A1481" t="s">
        <v>422</v>
      </c>
      <c r="B1481" t="s">
        <v>226</v>
      </c>
      <c r="C1481" s="2">
        <v>1429500000</v>
      </c>
      <c r="D1481" s="2">
        <v>929329000</v>
      </c>
    </row>
    <row r="1482" spans="1:4" x14ac:dyDescent="0.25">
      <c r="A1482" t="s">
        <v>422</v>
      </c>
      <c r="B1482" t="s">
        <v>227</v>
      </c>
      <c r="C1482" s="2">
        <v>1289013000</v>
      </c>
      <c r="D1482" s="2">
        <v>997937000</v>
      </c>
    </row>
    <row r="1483" spans="1:4" x14ac:dyDescent="0.25">
      <c r="A1483" t="s">
        <v>422</v>
      </c>
      <c r="B1483" t="s">
        <v>228</v>
      </c>
      <c r="C1483" s="2">
        <v>1134376000</v>
      </c>
      <c r="D1483" s="2">
        <v>1088976000</v>
      </c>
    </row>
    <row r="1484" spans="1:4" x14ac:dyDescent="0.25">
      <c r="A1484" t="s">
        <v>422</v>
      </c>
      <c r="B1484" t="s">
        <v>229</v>
      </c>
      <c r="C1484" s="2">
        <v>1186180000</v>
      </c>
      <c r="D1484" s="2">
        <v>525071000</v>
      </c>
    </row>
    <row r="1485" spans="1:4" x14ac:dyDescent="0.25">
      <c r="A1485" t="s">
        <v>422</v>
      </c>
      <c r="B1485" t="s">
        <v>230</v>
      </c>
      <c r="C1485" s="2">
        <v>1610990000</v>
      </c>
      <c r="D1485" s="2">
        <v>1145227000</v>
      </c>
    </row>
    <row r="1486" spans="1:4" x14ac:dyDescent="0.25">
      <c r="A1486" t="s">
        <v>422</v>
      </c>
      <c r="B1486" t="s">
        <v>231</v>
      </c>
      <c r="C1486" s="2">
        <v>823597000</v>
      </c>
      <c r="D1486" s="2">
        <v>635046000</v>
      </c>
    </row>
    <row r="1487" spans="1:4" x14ac:dyDescent="0.25">
      <c r="A1487" t="s">
        <v>422</v>
      </c>
      <c r="B1487" t="s">
        <v>232</v>
      </c>
      <c r="C1487" s="2">
        <v>929096000</v>
      </c>
      <c r="D1487" s="2">
        <v>833764000</v>
      </c>
    </row>
    <row r="1488" spans="1:4" x14ac:dyDescent="0.25">
      <c r="A1488" t="s">
        <v>422</v>
      </c>
      <c r="B1488" t="s">
        <v>233</v>
      </c>
      <c r="C1488" s="2">
        <v>1138427000</v>
      </c>
      <c r="D1488" s="2">
        <v>913427000</v>
      </c>
    </row>
    <row r="1489" spans="1:4" x14ac:dyDescent="0.25">
      <c r="A1489" t="s">
        <v>422</v>
      </c>
      <c r="B1489" t="s">
        <v>234</v>
      </c>
      <c r="C1489" s="2">
        <v>1003141000</v>
      </c>
      <c r="D1489" s="2">
        <v>987638000</v>
      </c>
    </row>
    <row r="1490" spans="1:4" x14ac:dyDescent="0.25">
      <c r="A1490" t="s">
        <v>422</v>
      </c>
      <c r="B1490" t="s">
        <v>235</v>
      </c>
      <c r="C1490" s="2">
        <v>1687673000</v>
      </c>
      <c r="D1490" s="2">
        <v>1379929000</v>
      </c>
    </row>
    <row r="1491" spans="1:4" x14ac:dyDescent="0.25">
      <c r="A1491" t="s">
        <v>422</v>
      </c>
      <c r="B1491" t="s">
        <v>236</v>
      </c>
      <c r="C1491" s="2">
        <v>1802724000</v>
      </c>
      <c r="D1491" s="2">
        <v>1453303000</v>
      </c>
    </row>
    <row r="1492" spans="1:4" x14ac:dyDescent="0.25">
      <c r="A1492" t="s">
        <v>422</v>
      </c>
      <c r="B1492" t="s">
        <v>237</v>
      </c>
      <c r="C1492" s="2">
        <v>2331077000</v>
      </c>
      <c r="D1492" s="2">
        <v>1252362000</v>
      </c>
    </row>
    <row r="1493" spans="1:4" x14ac:dyDescent="0.25">
      <c r="A1493" t="s">
        <v>422</v>
      </c>
      <c r="B1493" t="s">
        <v>238</v>
      </c>
      <c r="C1493" s="2">
        <v>531822000</v>
      </c>
      <c r="D1493" s="2">
        <v>464822000</v>
      </c>
    </row>
    <row r="1494" spans="1:4" x14ac:dyDescent="0.25">
      <c r="A1494" t="s">
        <v>422</v>
      </c>
      <c r="B1494" t="s">
        <v>239</v>
      </c>
      <c r="C1494" s="2">
        <v>834352000</v>
      </c>
      <c r="D1494" s="2">
        <v>808122000</v>
      </c>
    </row>
    <row r="1495" spans="1:4" x14ac:dyDescent="0.25">
      <c r="A1495" t="s">
        <v>422</v>
      </c>
      <c r="B1495" t="s">
        <v>240</v>
      </c>
      <c r="C1495" s="2">
        <v>900915000</v>
      </c>
      <c r="D1495" s="2">
        <v>828820000</v>
      </c>
    </row>
    <row r="1496" spans="1:4" x14ac:dyDescent="0.25">
      <c r="A1496" t="s">
        <v>422</v>
      </c>
      <c r="B1496" t="s">
        <v>241</v>
      </c>
      <c r="C1496" s="2">
        <v>1208562000</v>
      </c>
      <c r="D1496" s="2">
        <v>1132633000</v>
      </c>
    </row>
    <row r="1497" spans="1:4" x14ac:dyDescent="0.25">
      <c r="A1497" t="s">
        <v>422</v>
      </c>
      <c r="B1497" t="s">
        <v>242</v>
      </c>
      <c r="C1497" s="2">
        <v>613600000</v>
      </c>
      <c r="D1497" s="2">
        <v>618125000</v>
      </c>
    </row>
    <row r="1498" spans="1:4" x14ac:dyDescent="0.25">
      <c r="A1498" t="s">
        <v>422</v>
      </c>
      <c r="B1498" t="s">
        <v>243</v>
      </c>
      <c r="C1498" s="2">
        <v>489550000</v>
      </c>
      <c r="D1498" s="2">
        <v>328892000</v>
      </c>
    </row>
    <row r="1499" spans="1:4" x14ac:dyDescent="0.25">
      <c r="A1499" t="s">
        <v>422</v>
      </c>
      <c r="B1499" t="s">
        <v>244</v>
      </c>
      <c r="C1499" s="2">
        <v>700917000</v>
      </c>
      <c r="D1499" s="2">
        <v>636712000</v>
      </c>
    </row>
    <row r="1500" spans="1:4" x14ac:dyDescent="0.25">
      <c r="A1500" t="s">
        <v>422</v>
      </c>
      <c r="B1500" t="s">
        <v>245</v>
      </c>
      <c r="C1500" s="2">
        <v>930525000</v>
      </c>
      <c r="D1500" s="2">
        <v>858459000</v>
      </c>
    </row>
    <row r="1501" spans="1:4" x14ac:dyDescent="0.25">
      <c r="A1501" t="s">
        <v>422</v>
      </c>
      <c r="B1501" t="s">
        <v>246</v>
      </c>
      <c r="C1501" s="2">
        <v>893515000</v>
      </c>
      <c r="D1501" s="2">
        <v>848515000</v>
      </c>
    </row>
    <row r="1502" spans="1:4" x14ac:dyDescent="0.25">
      <c r="A1502" t="s">
        <v>422</v>
      </c>
      <c r="B1502" t="s">
        <v>247</v>
      </c>
      <c r="C1502" s="2">
        <v>739117000</v>
      </c>
      <c r="D1502" s="2">
        <v>612117000</v>
      </c>
    </row>
    <row r="1503" spans="1:4" x14ac:dyDescent="0.25">
      <c r="A1503" t="s">
        <v>422</v>
      </c>
      <c r="B1503" t="s">
        <v>248</v>
      </c>
      <c r="C1503" s="2">
        <v>1612070000</v>
      </c>
      <c r="D1503" s="2">
        <v>1080570000</v>
      </c>
    </row>
    <row r="1504" spans="1:4" x14ac:dyDescent="0.25">
      <c r="A1504" t="s">
        <v>422</v>
      </c>
      <c r="B1504" t="s">
        <v>249</v>
      </c>
      <c r="C1504" s="2">
        <v>2074926000</v>
      </c>
      <c r="D1504" s="2">
        <v>1502068000</v>
      </c>
    </row>
    <row r="1505" spans="1:4" x14ac:dyDescent="0.25">
      <c r="A1505" t="s">
        <v>422</v>
      </c>
      <c r="B1505" t="s">
        <v>250</v>
      </c>
      <c r="C1505" s="2">
        <v>857057000</v>
      </c>
      <c r="D1505" s="2">
        <v>395826000</v>
      </c>
    </row>
    <row r="1506" spans="1:4" x14ac:dyDescent="0.25">
      <c r="A1506" t="s">
        <v>422</v>
      </c>
      <c r="B1506" t="s">
        <v>251</v>
      </c>
      <c r="C1506" s="2">
        <v>1104853000</v>
      </c>
      <c r="D1506" s="2">
        <v>531836000</v>
      </c>
    </row>
    <row r="1507" spans="1:4" x14ac:dyDescent="0.25">
      <c r="A1507" t="s">
        <v>422</v>
      </c>
      <c r="B1507" t="s">
        <v>252</v>
      </c>
      <c r="C1507" s="2">
        <v>896021000</v>
      </c>
      <c r="D1507" s="2">
        <v>830009000</v>
      </c>
    </row>
    <row r="1508" spans="1:4" x14ac:dyDescent="0.25">
      <c r="A1508" t="s">
        <v>422</v>
      </c>
      <c r="B1508" t="s">
        <v>253</v>
      </c>
      <c r="C1508" s="2">
        <v>1579711000</v>
      </c>
      <c r="D1508" s="2">
        <v>868598000</v>
      </c>
    </row>
    <row r="1509" spans="1:4" x14ac:dyDescent="0.25">
      <c r="A1509" t="s">
        <v>422</v>
      </c>
      <c r="B1509" t="s">
        <v>254</v>
      </c>
      <c r="C1509" s="2">
        <v>1545838000</v>
      </c>
      <c r="D1509" s="2">
        <v>999738000</v>
      </c>
    </row>
    <row r="1510" spans="1:4" x14ac:dyDescent="0.25">
      <c r="A1510" t="s">
        <v>422</v>
      </c>
      <c r="B1510" t="s">
        <v>255</v>
      </c>
      <c r="C1510" s="2">
        <v>462216000</v>
      </c>
      <c r="D1510" s="2">
        <v>439516000</v>
      </c>
    </row>
    <row r="1511" spans="1:4" x14ac:dyDescent="0.25">
      <c r="A1511" t="s">
        <v>422</v>
      </c>
      <c r="B1511" t="s">
        <v>256</v>
      </c>
      <c r="C1511" s="2">
        <v>720863000</v>
      </c>
      <c r="D1511" s="2">
        <v>596563000</v>
      </c>
    </row>
    <row r="1512" spans="1:4" x14ac:dyDescent="0.25">
      <c r="A1512" t="s">
        <v>422</v>
      </c>
      <c r="B1512" t="s">
        <v>257</v>
      </c>
      <c r="C1512" s="2">
        <v>1107860000</v>
      </c>
      <c r="D1512" s="2">
        <v>723360000</v>
      </c>
    </row>
    <row r="1513" spans="1:4" x14ac:dyDescent="0.25">
      <c r="A1513" t="s">
        <v>422</v>
      </c>
      <c r="B1513" t="s">
        <v>258</v>
      </c>
      <c r="C1513" s="2">
        <v>2318658000</v>
      </c>
      <c r="D1513" s="2">
        <v>1246178000</v>
      </c>
    </row>
    <row r="1514" spans="1:4" x14ac:dyDescent="0.25">
      <c r="A1514" t="s">
        <v>422</v>
      </c>
      <c r="B1514" t="s">
        <v>259</v>
      </c>
      <c r="C1514" s="2">
        <v>704857000</v>
      </c>
      <c r="D1514" s="2">
        <v>438413000</v>
      </c>
    </row>
    <row r="1515" spans="1:4" x14ac:dyDescent="0.25">
      <c r="A1515" t="s">
        <v>422</v>
      </c>
      <c r="B1515" t="s">
        <v>260</v>
      </c>
      <c r="C1515" s="2">
        <v>1127859000</v>
      </c>
      <c r="D1515" s="2">
        <v>1060382000</v>
      </c>
    </row>
    <row r="1516" spans="1:4" x14ac:dyDescent="0.25">
      <c r="A1516" t="s">
        <v>422</v>
      </c>
      <c r="B1516" t="s">
        <v>261</v>
      </c>
      <c r="C1516" s="2">
        <v>2987740000</v>
      </c>
      <c r="D1516" s="2">
        <v>1476071000</v>
      </c>
    </row>
    <row r="1517" spans="1:4" x14ac:dyDescent="0.25">
      <c r="A1517" t="s">
        <v>422</v>
      </c>
      <c r="B1517" t="s">
        <v>262</v>
      </c>
      <c r="C1517" s="2">
        <v>2297144000</v>
      </c>
      <c r="D1517" s="2">
        <v>2000330000</v>
      </c>
    </row>
    <row r="1518" spans="1:4" x14ac:dyDescent="0.25">
      <c r="A1518" t="s">
        <v>422</v>
      </c>
      <c r="B1518" t="s">
        <v>263</v>
      </c>
      <c r="C1518" s="2">
        <v>2330831000</v>
      </c>
      <c r="D1518" s="2">
        <v>1860669000</v>
      </c>
    </row>
    <row r="1519" spans="1:4" x14ac:dyDescent="0.25">
      <c r="A1519" t="s">
        <v>422</v>
      </c>
      <c r="B1519" t="s">
        <v>264</v>
      </c>
      <c r="C1519" s="2">
        <v>1714514000</v>
      </c>
      <c r="D1519" s="2">
        <v>1491686000</v>
      </c>
    </row>
    <row r="1520" spans="1:4" x14ac:dyDescent="0.25">
      <c r="A1520" t="s">
        <v>422</v>
      </c>
      <c r="B1520" t="s">
        <v>265</v>
      </c>
      <c r="C1520" s="2">
        <v>1354948000</v>
      </c>
      <c r="D1520" s="2">
        <v>689656000</v>
      </c>
    </row>
    <row r="1521" spans="1:4" x14ac:dyDescent="0.25">
      <c r="A1521" t="s">
        <v>422</v>
      </c>
      <c r="B1521" t="s">
        <v>266</v>
      </c>
      <c r="C1521" s="2">
        <v>2084859000</v>
      </c>
      <c r="D1521" s="2">
        <v>1152148000</v>
      </c>
    </row>
    <row r="1522" spans="1:4" x14ac:dyDescent="0.25">
      <c r="A1522" t="s">
        <v>422</v>
      </c>
      <c r="B1522" t="s">
        <v>267</v>
      </c>
      <c r="C1522" s="2">
        <v>1255526000</v>
      </c>
      <c r="D1522" s="2">
        <v>932473000</v>
      </c>
    </row>
    <row r="1523" spans="1:4" x14ac:dyDescent="0.25">
      <c r="A1523" t="s">
        <v>422</v>
      </c>
      <c r="B1523" t="s">
        <v>268</v>
      </c>
      <c r="C1523" s="2">
        <v>1152979000</v>
      </c>
      <c r="D1523" s="2">
        <v>1122037000</v>
      </c>
    </row>
    <row r="1524" spans="1:4" x14ac:dyDescent="0.25">
      <c r="A1524" t="s">
        <v>422</v>
      </c>
      <c r="B1524" t="s">
        <v>269</v>
      </c>
      <c r="C1524" s="2">
        <v>2027339000</v>
      </c>
      <c r="D1524" s="2">
        <v>1317322000</v>
      </c>
    </row>
    <row r="1525" spans="1:4" x14ac:dyDescent="0.25">
      <c r="A1525" t="s">
        <v>422</v>
      </c>
      <c r="B1525" t="s">
        <v>270</v>
      </c>
      <c r="C1525" s="2">
        <v>1073712000</v>
      </c>
      <c r="D1525" s="2">
        <v>719902000</v>
      </c>
    </row>
    <row r="1526" spans="1:4" x14ac:dyDescent="0.25">
      <c r="A1526" t="s">
        <v>422</v>
      </c>
      <c r="B1526" t="s">
        <v>271</v>
      </c>
      <c r="C1526" s="2">
        <v>1067768000</v>
      </c>
      <c r="D1526" s="2">
        <v>957688000</v>
      </c>
    </row>
    <row r="1527" spans="1:4" x14ac:dyDescent="0.25">
      <c r="A1527" t="s">
        <v>422</v>
      </c>
      <c r="B1527" t="s">
        <v>272</v>
      </c>
      <c r="C1527" s="2">
        <v>1057656000</v>
      </c>
      <c r="D1527" s="2">
        <v>729279000</v>
      </c>
    </row>
    <row r="1528" spans="1:4" x14ac:dyDescent="0.25">
      <c r="A1528" t="s">
        <v>422</v>
      </c>
      <c r="B1528" t="s">
        <v>273</v>
      </c>
      <c r="C1528" s="2">
        <v>1338557000</v>
      </c>
      <c r="D1528" s="2">
        <v>730148000</v>
      </c>
    </row>
    <row r="1529" spans="1:4" x14ac:dyDescent="0.25">
      <c r="A1529" t="s">
        <v>422</v>
      </c>
      <c r="B1529" t="s">
        <v>274</v>
      </c>
      <c r="C1529" s="2">
        <v>1175127000</v>
      </c>
      <c r="D1529" s="2">
        <v>899750000</v>
      </c>
    </row>
    <row r="1530" spans="1:4" x14ac:dyDescent="0.25">
      <c r="A1530" t="s">
        <v>422</v>
      </c>
      <c r="B1530" t="s">
        <v>275</v>
      </c>
      <c r="C1530" s="2">
        <v>3424659000</v>
      </c>
      <c r="D1530" s="2">
        <v>904055000</v>
      </c>
    </row>
    <row r="1531" spans="1:4" x14ac:dyDescent="0.25">
      <c r="A1531" t="s">
        <v>422</v>
      </c>
      <c r="B1531" t="s">
        <v>276</v>
      </c>
      <c r="C1531" s="2">
        <v>696368000</v>
      </c>
      <c r="D1531" s="2">
        <v>494923000</v>
      </c>
    </row>
    <row r="1532" spans="1:4" x14ac:dyDescent="0.25">
      <c r="A1532" t="s">
        <v>422</v>
      </c>
      <c r="B1532" t="s">
        <v>277</v>
      </c>
      <c r="C1532" s="2">
        <v>3520601000</v>
      </c>
      <c r="D1532" s="2">
        <v>2311559000</v>
      </c>
    </row>
    <row r="1533" spans="1:4" x14ac:dyDescent="0.25">
      <c r="A1533" t="s">
        <v>422</v>
      </c>
      <c r="B1533" t="s">
        <v>278</v>
      </c>
      <c r="C1533" s="2">
        <v>600756000</v>
      </c>
      <c r="D1533" s="2">
        <v>324881000</v>
      </c>
    </row>
    <row r="1534" spans="1:4" x14ac:dyDescent="0.25">
      <c r="A1534" t="s">
        <v>422</v>
      </c>
      <c r="B1534" t="s">
        <v>279</v>
      </c>
      <c r="C1534" s="2">
        <v>1034087000</v>
      </c>
      <c r="D1534" s="2">
        <v>725272000</v>
      </c>
    </row>
    <row r="1535" spans="1:4" x14ac:dyDescent="0.25">
      <c r="A1535" t="s">
        <v>422</v>
      </c>
      <c r="B1535" t="s">
        <v>280</v>
      </c>
      <c r="C1535" s="2">
        <v>2217404000</v>
      </c>
      <c r="D1535" s="2">
        <v>1563715000</v>
      </c>
    </row>
    <row r="1536" spans="1:4" x14ac:dyDescent="0.25">
      <c r="A1536" t="s">
        <v>422</v>
      </c>
      <c r="B1536" t="s">
        <v>281</v>
      </c>
      <c r="C1536" s="2">
        <v>1883592000</v>
      </c>
      <c r="D1536" s="2">
        <v>1037893000</v>
      </c>
    </row>
    <row r="1537" spans="1:4" x14ac:dyDescent="0.25">
      <c r="A1537" t="s">
        <v>422</v>
      </c>
      <c r="B1537" t="s">
        <v>282</v>
      </c>
      <c r="C1537" s="2">
        <v>1425402000</v>
      </c>
      <c r="D1537" s="2">
        <v>1052407000</v>
      </c>
    </row>
    <row r="1538" spans="1:4" x14ac:dyDescent="0.25">
      <c r="A1538" t="s">
        <v>422</v>
      </c>
      <c r="B1538" t="s">
        <v>283</v>
      </c>
      <c r="C1538" s="2">
        <v>923783000</v>
      </c>
      <c r="D1538" s="2">
        <v>1027523000</v>
      </c>
    </row>
    <row r="1539" spans="1:4" x14ac:dyDescent="0.25">
      <c r="A1539" t="s">
        <v>422</v>
      </c>
      <c r="B1539" t="s">
        <v>284</v>
      </c>
      <c r="C1539" s="2">
        <v>2537916000</v>
      </c>
      <c r="D1539" s="2">
        <v>2036671000</v>
      </c>
    </row>
    <row r="1540" spans="1:4" x14ac:dyDescent="0.25">
      <c r="A1540" t="s">
        <v>422</v>
      </c>
      <c r="B1540" t="s">
        <v>285</v>
      </c>
      <c r="C1540" s="2">
        <v>2354076000</v>
      </c>
      <c r="D1540" s="2">
        <v>1517025000</v>
      </c>
    </row>
    <row r="1541" spans="1:4" x14ac:dyDescent="0.25">
      <c r="A1541" t="s">
        <v>422</v>
      </c>
      <c r="B1541" t="s">
        <v>286</v>
      </c>
      <c r="C1541" s="2">
        <v>1184136000</v>
      </c>
      <c r="D1541" s="2">
        <v>815766000</v>
      </c>
    </row>
    <row r="1542" spans="1:4" x14ac:dyDescent="0.25">
      <c r="A1542" t="s">
        <v>422</v>
      </c>
      <c r="B1542" t="s">
        <v>287</v>
      </c>
      <c r="C1542" s="2">
        <v>1115035000</v>
      </c>
      <c r="D1542" s="2">
        <v>767548000</v>
      </c>
    </row>
    <row r="1543" spans="1:4" x14ac:dyDescent="0.25">
      <c r="A1543" t="s">
        <v>422</v>
      </c>
      <c r="B1543" t="s">
        <v>288</v>
      </c>
      <c r="C1543" s="2">
        <v>2687074000</v>
      </c>
      <c r="D1543" s="2">
        <v>2065574000</v>
      </c>
    </row>
    <row r="1544" spans="1:4" x14ac:dyDescent="0.25">
      <c r="A1544" t="s">
        <v>422</v>
      </c>
      <c r="B1544" t="s">
        <v>289</v>
      </c>
      <c r="C1544" s="2">
        <v>861147000</v>
      </c>
      <c r="D1544" s="2">
        <v>754968000</v>
      </c>
    </row>
    <row r="1545" spans="1:4" x14ac:dyDescent="0.25">
      <c r="A1545" t="s">
        <v>422</v>
      </c>
      <c r="B1545" t="s">
        <v>290</v>
      </c>
      <c r="C1545" s="2">
        <v>1665574000</v>
      </c>
      <c r="D1545" s="2">
        <v>1020696000</v>
      </c>
    </row>
    <row r="1546" spans="1:4" x14ac:dyDescent="0.25">
      <c r="A1546" t="s">
        <v>422</v>
      </c>
      <c r="B1546" t="s">
        <v>291</v>
      </c>
      <c r="C1546" s="2">
        <v>1676487000</v>
      </c>
      <c r="D1546" s="2">
        <v>1098389000</v>
      </c>
    </row>
    <row r="1547" spans="1:4" x14ac:dyDescent="0.25">
      <c r="A1547" t="s">
        <v>422</v>
      </c>
      <c r="B1547" t="s">
        <v>292</v>
      </c>
      <c r="C1547" s="2">
        <v>982889000</v>
      </c>
      <c r="D1547" s="2">
        <v>1038534000</v>
      </c>
    </row>
    <row r="1548" spans="1:4" x14ac:dyDescent="0.25">
      <c r="A1548" t="s">
        <v>422</v>
      </c>
      <c r="B1548" t="s">
        <v>293</v>
      </c>
      <c r="C1548" s="2">
        <v>1749967000</v>
      </c>
      <c r="D1548" s="2">
        <v>1018753000</v>
      </c>
    </row>
    <row r="1549" spans="1:4" x14ac:dyDescent="0.25">
      <c r="A1549" t="s">
        <v>422</v>
      </c>
      <c r="B1549" t="s">
        <v>294</v>
      </c>
      <c r="C1549" s="2">
        <v>1569031000</v>
      </c>
      <c r="D1549" s="2">
        <v>1089553000</v>
      </c>
    </row>
    <row r="1550" spans="1:4" x14ac:dyDescent="0.25">
      <c r="A1550" t="s">
        <v>422</v>
      </c>
      <c r="B1550" t="s">
        <v>295</v>
      </c>
      <c r="C1550" s="2">
        <v>1573259000</v>
      </c>
      <c r="D1550" s="2">
        <v>1738004000</v>
      </c>
    </row>
    <row r="1551" spans="1:4" x14ac:dyDescent="0.25">
      <c r="A1551" t="s">
        <v>422</v>
      </c>
      <c r="B1551" t="s">
        <v>296</v>
      </c>
      <c r="C1551" s="2">
        <v>2790476000</v>
      </c>
      <c r="D1551" s="2">
        <v>1272242000</v>
      </c>
    </row>
    <row r="1552" spans="1:4" x14ac:dyDescent="0.25">
      <c r="A1552" t="s">
        <v>422</v>
      </c>
      <c r="B1552" t="s">
        <v>297</v>
      </c>
      <c r="C1552" s="2">
        <v>960403000</v>
      </c>
      <c r="D1552" s="2">
        <v>560403000</v>
      </c>
    </row>
    <row r="1553" spans="1:4" x14ac:dyDescent="0.25">
      <c r="A1553" t="s">
        <v>422</v>
      </c>
      <c r="B1553" t="s">
        <v>298</v>
      </c>
      <c r="C1553" s="2">
        <v>1616840000</v>
      </c>
      <c r="D1553" s="2">
        <v>1183343000</v>
      </c>
    </row>
    <row r="1554" spans="1:4" x14ac:dyDescent="0.25">
      <c r="A1554" t="s">
        <v>422</v>
      </c>
      <c r="B1554" t="s">
        <v>299</v>
      </c>
      <c r="C1554" s="2">
        <v>2623611000</v>
      </c>
      <c r="D1554" s="2">
        <v>1754111000</v>
      </c>
    </row>
    <row r="1555" spans="1:4" x14ac:dyDescent="0.25">
      <c r="A1555" t="s">
        <v>422</v>
      </c>
      <c r="B1555" t="s">
        <v>300</v>
      </c>
      <c r="C1555" s="2">
        <v>690574000</v>
      </c>
      <c r="D1555" s="2">
        <v>540574000</v>
      </c>
    </row>
    <row r="1556" spans="1:4" x14ac:dyDescent="0.25">
      <c r="A1556" t="s">
        <v>422</v>
      </c>
      <c r="B1556" t="s">
        <v>301</v>
      </c>
      <c r="C1556" s="2">
        <v>1056090000</v>
      </c>
      <c r="D1556" s="2">
        <v>889590000</v>
      </c>
    </row>
    <row r="1557" spans="1:4" x14ac:dyDescent="0.25">
      <c r="A1557" t="s">
        <v>422</v>
      </c>
      <c r="B1557" t="s">
        <v>302</v>
      </c>
      <c r="C1557" s="2">
        <v>1317030000</v>
      </c>
      <c r="D1557" s="2">
        <v>717030000</v>
      </c>
    </row>
    <row r="1558" spans="1:4" x14ac:dyDescent="0.25">
      <c r="A1558" t="s">
        <v>422</v>
      </c>
      <c r="B1558" t="s">
        <v>303</v>
      </c>
      <c r="C1558" s="2">
        <v>423221000</v>
      </c>
      <c r="D1558" s="2">
        <v>239735000</v>
      </c>
    </row>
    <row r="1559" spans="1:4" x14ac:dyDescent="0.25">
      <c r="A1559" t="s">
        <v>422</v>
      </c>
      <c r="B1559" t="s">
        <v>304</v>
      </c>
      <c r="C1559" s="2">
        <v>1654788000</v>
      </c>
      <c r="D1559" s="2">
        <v>1310088000</v>
      </c>
    </row>
    <row r="1560" spans="1:4" x14ac:dyDescent="0.25">
      <c r="A1560" t="s">
        <v>422</v>
      </c>
      <c r="B1560" t="s">
        <v>305</v>
      </c>
      <c r="C1560" s="2">
        <v>988215000</v>
      </c>
      <c r="D1560" s="2">
        <v>777215000</v>
      </c>
    </row>
    <row r="1561" spans="1:4" x14ac:dyDescent="0.25">
      <c r="A1561" t="s">
        <v>422</v>
      </c>
      <c r="B1561" t="s">
        <v>306</v>
      </c>
      <c r="C1561" s="2">
        <v>686314000</v>
      </c>
      <c r="D1561" s="2">
        <v>530314000</v>
      </c>
    </row>
    <row r="1562" spans="1:4" x14ac:dyDescent="0.25">
      <c r="A1562" t="s">
        <v>422</v>
      </c>
      <c r="B1562" t="s">
        <v>307</v>
      </c>
      <c r="C1562" s="2">
        <v>443601000</v>
      </c>
      <c r="D1562" s="2">
        <v>390889000</v>
      </c>
    </row>
    <row r="1563" spans="1:4" x14ac:dyDescent="0.25">
      <c r="A1563" t="s">
        <v>422</v>
      </c>
      <c r="B1563" t="s">
        <v>308</v>
      </c>
      <c r="C1563" s="2">
        <v>1572546000</v>
      </c>
      <c r="D1563" s="2">
        <v>835746000</v>
      </c>
    </row>
    <row r="1564" spans="1:4" x14ac:dyDescent="0.25">
      <c r="A1564" t="s">
        <v>422</v>
      </c>
      <c r="B1564" t="s">
        <v>309</v>
      </c>
      <c r="C1564" s="2">
        <v>1838417000</v>
      </c>
      <c r="D1564" s="2">
        <v>1570417000</v>
      </c>
    </row>
    <row r="1565" spans="1:4" x14ac:dyDescent="0.25">
      <c r="A1565" t="s">
        <v>422</v>
      </c>
      <c r="B1565" t="s">
        <v>310</v>
      </c>
      <c r="C1565" s="2">
        <v>1419988000</v>
      </c>
      <c r="D1565" s="2">
        <v>828608000</v>
      </c>
    </row>
    <row r="1566" spans="1:4" x14ac:dyDescent="0.25">
      <c r="A1566" t="s">
        <v>422</v>
      </c>
      <c r="B1566" t="s">
        <v>311</v>
      </c>
      <c r="C1566" s="2">
        <v>1055131000</v>
      </c>
      <c r="D1566" s="2">
        <v>1020734000</v>
      </c>
    </row>
    <row r="1567" spans="1:4" x14ac:dyDescent="0.25">
      <c r="A1567" t="s">
        <v>422</v>
      </c>
      <c r="B1567" t="s">
        <v>312</v>
      </c>
      <c r="C1567" s="2">
        <v>933097000</v>
      </c>
      <c r="D1567" s="2">
        <v>659904000</v>
      </c>
    </row>
    <row r="1568" spans="1:4" x14ac:dyDescent="0.25">
      <c r="A1568" t="s">
        <v>422</v>
      </c>
      <c r="B1568" t="s">
        <v>313</v>
      </c>
      <c r="C1568" s="2">
        <v>1172082000</v>
      </c>
      <c r="D1568" s="2">
        <v>900965000</v>
      </c>
    </row>
    <row r="1569" spans="1:4" x14ac:dyDescent="0.25">
      <c r="A1569" t="s">
        <v>422</v>
      </c>
      <c r="B1569" t="s">
        <v>314</v>
      </c>
      <c r="C1569" s="2">
        <v>1198450000</v>
      </c>
      <c r="D1569" s="2">
        <v>871578000</v>
      </c>
    </row>
    <row r="1570" spans="1:4" x14ac:dyDescent="0.25">
      <c r="A1570" t="s">
        <v>422</v>
      </c>
      <c r="B1570" t="s">
        <v>315</v>
      </c>
      <c r="C1570" s="2">
        <v>741753000</v>
      </c>
      <c r="D1570" s="2">
        <v>570778000</v>
      </c>
    </row>
    <row r="1571" spans="1:4" x14ac:dyDescent="0.25">
      <c r="A1571" t="s">
        <v>422</v>
      </c>
      <c r="B1571" t="s">
        <v>316</v>
      </c>
      <c r="C1571" s="2">
        <v>614475000</v>
      </c>
      <c r="D1571" s="2">
        <v>404527000</v>
      </c>
    </row>
    <row r="1572" spans="1:4" x14ac:dyDescent="0.25">
      <c r="A1572" t="s">
        <v>422</v>
      </c>
      <c r="B1572" t="s">
        <v>317</v>
      </c>
      <c r="C1572" s="2">
        <v>1302642000</v>
      </c>
      <c r="D1572" s="2">
        <v>1139649000</v>
      </c>
    </row>
    <row r="1573" spans="1:4" x14ac:dyDescent="0.25">
      <c r="A1573" t="s">
        <v>422</v>
      </c>
      <c r="B1573" t="s">
        <v>318</v>
      </c>
      <c r="C1573" s="2">
        <v>1933158000</v>
      </c>
      <c r="D1573" s="2">
        <v>1408214000</v>
      </c>
    </row>
    <row r="1574" spans="1:4" x14ac:dyDescent="0.25">
      <c r="A1574" t="s">
        <v>422</v>
      </c>
      <c r="B1574" t="s">
        <v>319</v>
      </c>
      <c r="C1574" s="2">
        <v>795371000</v>
      </c>
      <c r="D1574" s="2">
        <v>658819000</v>
      </c>
    </row>
    <row r="1575" spans="1:4" x14ac:dyDescent="0.25">
      <c r="A1575" t="s">
        <v>422</v>
      </c>
      <c r="B1575" t="s">
        <v>320</v>
      </c>
      <c r="C1575" s="2">
        <v>1158726000</v>
      </c>
      <c r="D1575" s="2">
        <v>595109000</v>
      </c>
    </row>
    <row r="1576" spans="1:4" x14ac:dyDescent="0.25">
      <c r="A1576" t="s">
        <v>422</v>
      </c>
      <c r="B1576" t="s">
        <v>321</v>
      </c>
      <c r="C1576" s="2">
        <v>1832779000</v>
      </c>
      <c r="D1576" s="2">
        <v>1341077000</v>
      </c>
    </row>
    <row r="1577" spans="1:4" x14ac:dyDescent="0.25">
      <c r="A1577" t="s">
        <v>422</v>
      </c>
      <c r="B1577" t="s">
        <v>322</v>
      </c>
      <c r="C1577" s="2">
        <v>638166000</v>
      </c>
      <c r="D1577" s="2">
        <v>712460000</v>
      </c>
    </row>
    <row r="1578" spans="1:4" x14ac:dyDescent="0.25">
      <c r="A1578" t="s">
        <v>422</v>
      </c>
      <c r="B1578" t="s">
        <v>323</v>
      </c>
      <c r="C1578" s="2">
        <v>1008885000</v>
      </c>
      <c r="D1578" s="2">
        <v>906780000</v>
      </c>
    </row>
    <row r="1579" spans="1:4" x14ac:dyDescent="0.25">
      <c r="A1579" t="s">
        <v>422</v>
      </c>
      <c r="B1579" t="s">
        <v>324</v>
      </c>
      <c r="C1579" s="2">
        <v>852646000</v>
      </c>
      <c r="D1579" s="2">
        <v>635160000</v>
      </c>
    </row>
    <row r="1580" spans="1:4" x14ac:dyDescent="0.25">
      <c r="A1580" t="s">
        <v>422</v>
      </c>
      <c r="B1580" t="s">
        <v>325</v>
      </c>
      <c r="C1580" s="2">
        <v>1427386000</v>
      </c>
      <c r="D1580" s="2">
        <v>1033176000</v>
      </c>
    </row>
    <row r="1581" spans="1:4" x14ac:dyDescent="0.25">
      <c r="A1581" t="s">
        <v>422</v>
      </c>
      <c r="B1581" t="s">
        <v>326</v>
      </c>
      <c r="C1581" s="2">
        <v>1168851000</v>
      </c>
      <c r="D1581" s="2">
        <v>923851000</v>
      </c>
    </row>
    <row r="1582" spans="1:4" x14ac:dyDescent="0.25">
      <c r="A1582" t="s">
        <v>422</v>
      </c>
      <c r="B1582" t="s">
        <v>327</v>
      </c>
      <c r="C1582" s="2">
        <v>1386929000</v>
      </c>
      <c r="D1582" s="2">
        <v>775929000</v>
      </c>
    </row>
    <row r="1583" spans="1:4" x14ac:dyDescent="0.25">
      <c r="A1583" t="s">
        <v>422</v>
      </c>
      <c r="B1583" t="s">
        <v>328</v>
      </c>
      <c r="C1583" s="2">
        <v>1154928000</v>
      </c>
      <c r="D1583" s="2">
        <v>488873000</v>
      </c>
    </row>
    <row r="1584" spans="1:4" x14ac:dyDescent="0.25">
      <c r="A1584" t="s">
        <v>422</v>
      </c>
      <c r="B1584" t="s">
        <v>329</v>
      </c>
      <c r="C1584" s="2">
        <v>1178075000</v>
      </c>
      <c r="D1584" s="2">
        <v>1105714000</v>
      </c>
    </row>
    <row r="1585" spans="1:4" x14ac:dyDescent="0.25">
      <c r="A1585" t="s">
        <v>422</v>
      </c>
      <c r="B1585" t="s">
        <v>330</v>
      </c>
      <c r="C1585" s="2">
        <v>998315000</v>
      </c>
      <c r="D1585" s="2">
        <v>671974000</v>
      </c>
    </row>
    <row r="1586" spans="1:4" x14ac:dyDescent="0.25">
      <c r="A1586" t="s">
        <v>422</v>
      </c>
      <c r="B1586" t="s">
        <v>331</v>
      </c>
      <c r="C1586" s="2">
        <v>965118000</v>
      </c>
      <c r="D1586" s="2">
        <v>869230000</v>
      </c>
    </row>
    <row r="1587" spans="1:4" x14ac:dyDescent="0.25">
      <c r="A1587" t="s">
        <v>422</v>
      </c>
      <c r="B1587" t="s">
        <v>332</v>
      </c>
      <c r="C1587" s="2">
        <v>1508740000</v>
      </c>
      <c r="D1587" s="2">
        <v>994396000</v>
      </c>
    </row>
    <row r="1588" spans="1:4" x14ac:dyDescent="0.25">
      <c r="A1588" t="s">
        <v>422</v>
      </c>
      <c r="B1588" t="s">
        <v>333</v>
      </c>
      <c r="C1588" s="2">
        <v>862603000</v>
      </c>
      <c r="D1588" s="2">
        <v>679278000</v>
      </c>
    </row>
    <row r="1589" spans="1:4" x14ac:dyDescent="0.25">
      <c r="A1589" t="s">
        <v>422</v>
      </c>
      <c r="B1589" t="s">
        <v>334</v>
      </c>
      <c r="C1589" s="2">
        <v>1313514000</v>
      </c>
      <c r="D1589" s="2">
        <v>874942000</v>
      </c>
    </row>
    <row r="1590" spans="1:4" x14ac:dyDescent="0.25">
      <c r="A1590" t="s">
        <v>422</v>
      </c>
      <c r="B1590" t="s">
        <v>335</v>
      </c>
      <c r="C1590" s="2">
        <v>1139361000</v>
      </c>
      <c r="D1590" s="2">
        <v>888861000</v>
      </c>
    </row>
    <row r="1591" spans="1:4" x14ac:dyDescent="0.25">
      <c r="A1591" t="s">
        <v>422</v>
      </c>
      <c r="B1591" t="s">
        <v>336</v>
      </c>
      <c r="C1591" s="2">
        <v>1004664000</v>
      </c>
      <c r="D1591" s="2">
        <v>816316000</v>
      </c>
    </row>
    <row r="1592" spans="1:4" x14ac:dyDescent="0.25">
      <c r="A1592" t="s">
        <v>422</v>
      </c>
      <c r="B1592" t="s">
        <v>337</v>
      </c>
      <c r="C1592" s="2">
        <v>1264906000</v>
      </c>
      <c r="D1592" s="2">
        <v>1031180000</v>
      </c>
    </row>
    <row r="1593" spans="1:4" x14ac:dyDescent="0.25">
      <c r="A1593" t="s">
        <v>422</v>
      </c>
      <c r="B1593" t="s">
        <v>338</v>
      </c>
      <c r="C1593" s="2">
        <v>630783000</v>
      </c>
      <c r="D1593" s="2">
        <v>387722000</v>
      </c>
    </row>
    <row r="1594" spans="1:4" x14ac:dyDescent="0.25">
      <c r="A1594" t="s">
        <v>422</v>
      </c>
      <c r="B1594" t="s">
        <v>339</v>
      </c>
      <c r="C1594" s="2">
        <v>397410000</v>
      </c>
      <c r="D1594" s="2">
        <v>223410000</v>
      </c>
    </row>
    <row r="1595" spans="1:4" x14ac:dyDescent="0.25">
      <c r="A1595" t="s">
        <v>422</v>
      </c>
      <c r="B1595" t="s">
        <v>340</v>
      </c>
      <c r="C1595" s="2">
        <v>1096032000</v>
      </c>
      <c r="D1595" s="2">
        <v>752007000</v>
      </c>
    </row>
    <row r="1596" spans="1:4" x14ac:dyDescent="0.25">
      <c r="A1596" t="s">
        <v>422</v>
      </c>
      <c r="B1596" t="s">
        <v>341</v>
      </c>
      <c r="C1596" s="2">
        <v>1531473000</v>
      </c>
      <c r="D1596" s="2">
        <v>1245369000</v>
      </c>
    </row>
    <row r="1597" spans="1:4" x14ac:dyDescent="0.25">
      <c r="A1597" t="s">
        <v>422</v>
      </c>
      <c r="B1597" t="s">
        <v>342</v>
      </c>
      <c r="C1597" s="2">
        <v>1212071000</v>
      </c>
      <c r="D1597" s="2">
        <v>631384000</v>
      </c>
    </row>
    <row r="1598" spans="1:4" x14ac:dyDescent="0.25">
      <c r="A1598" t="s">
        <v>422</v>
      </c>
      <c r="B1598" t="s">
        <v>343</v>
      </c>
      <c r="C1598" s="2">
        <v>1099907000</v>
      </c>
      <c r="D1598" s="2">
        <v>856865000</v>
      </c>
    </row>
    <row r="1599" spans="1:4" x14ac:dyDescent="0.25">
      <c r="A1599" t="s">
        <v>422</v>
      </c>
      <c r="B1599" t="s">
        <v>344</v>
      </c>
      <c r="C1599" s="2">
        <v>1402721000</v>
      </c>
      <c r="D1599" s="2">
        <v>1068612000</v>
      </c>
    </row>
    <row r="1600" spans="1:4" x14ac:dyDescent="0.25">
      <c r="A1600" t="s">
        <v>422</v>
      </c>
      <c r="B1600" t="s">
        <v>345</v>
      </c>
      <c r="C1600" s="2">
        <v>1199585000</v>
      </c>
      <c r="D1600" s="2">
        <v>715387000</v>
      </c>
    </row>
    <row r="1601" spans="1:4" x14ac:dyDescent="0.25">
      <c r="A1601" t="s">
        <v>422</v>
      </c>
      <c r="B1601" t="s">
        <v>346</v>
      </c>
      <c r="C1601" s="2">
        <v>966828000</v>
      </c>
      <c r="D1601" s="2">
        <v>926445000</v>
      </c>
    </row>
    <row r="1602" spans="1:4" x14ac:dyDescent="0.25">
      <c r="A1602" t="s">
        <v>422</v>
      </c>
      <c r="B1602" t="s">
        <v>347</v>
      </c>
      <c r="C1602" s="2">
        <v>1215942000</v>
      </c>
      <c r="D1602" s="2">
        <v>1127653000</v>
      </c>
    </row>
    <row r="1603" spans="1:4" x14ac:dyDescent="0.25">
      <c r="A1603" t="s">
        <v>422</v>
      </c>
      <c r="B1603" t="s">
        <v>348</v>
      </c>
      <c r="C1603" s="2">
        <v>946309000</v>
      </c>
      <c r="D1603" s="2">
        <v>725644000</v>
      </c>
    </row>
    <row r="1604" spans="1:4" x14ac:dyDescent="0.25">
      <c r="A1604" t="s">
        <v>422</v>
      </c>
      <c r="B1604" t="s">
        <v>349</v>
      </c>
      <c r="C1604" s="2">
        <v>1488610000</v>
      </c>
      <c r="D1604" s="2">
        <v>1083512000</v>
      </c>
    </row>
    <row r="1605" spans="1:4" x14ac:dyDescent="0.25">
      <c r="A1605" t="s">
        <v>422</v>
      </c>
      <c r="B1605" t="s">
        <v>350</v>
      </c>
      <c r="C1605" s="2">
        <v>1170694000</v>
      </c>
      <c r="D1605" s="2">
        <v>954044000</v>
      </c>
    </row>
    <row r="1606" spans="1:4" x14ac:dyDescent="0.25">
      <c r="A1606" t="s">
        <v>422</v>
      </c>
      <c r="B1606" t="s">
        <v>414</v>
      </c>
      <c r="C1606" s="2">
        <v>1652097000</v>
      </c>
      <c r="D1606" s="2">
        <v>1111403000</v>
      </c>
    </row>
    <row r="1607" spans="1:4" x14ac:dyDescent="0.25">
      <c r="A1607" t="s">
        <v>422</v>
      </c>
      <c r="B1607" t="s">
        <v>351</v>
      </c>
      <c r="C1607" s="2">
        <v>702807000</v>
      </c>
      <c r="D1607" s="2">
        <v>206553000</v>
      </c>
    </row>
    <row r="1608" spans="1:4" x14ac:dyDescent="0.25">
      <c r="A1608" t="s">
        <v>422</v>
      </c>
      <c r="B1608" t="s">
        <v>405</v>
      </c>
      <c r="C1608" s="2">
        <v>1281118000</v>
      </c>
      <c r="D1608" s="2">
        <v>1066778000</v>
      </c>
    </row>
    <row r="1609" spans="1:4" x14ac:dyDescent="0.25">
      <c r="A1609" t="s">
        <v>422</v>
      </c>
      <c r="B1609" t="s">
        <v>352</v>
      </c>
      <c r="C1609" s="2">
        <v>607554000</v>
      </c>
      <c r="D1609" s="2">
        <v>458550000</v>
      </c>
    </row>
    <row r="1610" spans="1:4" x14ac:dyDescent="0.25">
      <c r="A1610" t="s">
        <v>422</v>
      </c>
      <c r="B1610" t="s">
        <v>353</v>
      </c>
      <c r="C1610" s="2">
        <v>685072000</v>
      </c>
      <c r="D1610" s="2">
        <v>599168000</v>
      </c>
    </row>
    <row r="1611" spans="1:4" x14ac:dyDescent="0.25">
      <c r="A1611" t="s">
        <v>422</v>
      </c>
      <c r="B1611" t="s">
        <v>354</v>
      </c>
      <c r="C1611" s="2">
        <v>1137424000</v>
      </c>
      <c r="D1611" s="2">
        <v>1265956000</v>
      </c>
    </row>
    <row r="1612" spans="1:4" x14ac:dyDescent="0.25">
      <c r="A1612" t="s">
        <v>422</v>
      </c>
      <c r="B1612" t="s">
        <v>355</v>
      </c>
      <c r="C1612" s="2">
        <v>1113212000</v>
      </c>
      <c r="D1612" s="2">
        <v>739212000</v>
      </c>
    </row>
    <row r="1613" spans="1:4" x14ac:dyDescent="0.25">
      <c r="A1613" t="s">
        <v>422</v>
      </c>
      <c r="B1613" t="s">
        <v>356</v>
      </c>
      <c r="C1613" s="2">
        <v>812764000</v>
      </c>
      <c r="D1613" s="2">
        <v>676764000</v>
      </c>
    </row>
    <row r="1614" spans="1:4" x14ac:dyDescent="0.25">
      <c r="A1614" t="s">
        <v>422</v>
      </c>
      <c r="B1614" t="s">
        <v>357</v>
      </c>
      <c r="C1614" s="2">
        <v>1161696000</v>
      </c>
      <c r="D1614" s="2">
        <v>835515000</v>
      </c>
    </row>
    <row r="1615" spans="1:4" x14ac:dyDescent="0.25">
      <c r="A1615" t="s">
        <v>422</v>
      </c>
      <c r="B1615" t="s">
        <v>358</v>
      </c>
      <c r="C1615" s="2">
        <v>1324243000</v>
      </c>
      <c r="D1615" s="2">
        <v>1184649000</v>
      </c>
    </row>
    <row r="1616" spans="1:4" x14ac:dyDescent="0.25">
      <c r="A1616" t="s">
        <v>422</v>
      </c>
      <c r="B1616" t="s">
        <v>359</v>
      </c>
      <c r="C1616" s="2">
        <v>1165266000</v>
      </c>
      <c r="D1616" s="2">
        <v>1607388000</v>
      </c>
    </row>
    <row r="1617" spans="1:4" x14ac:dyDescent="0.25">
      <c r="A1617" t="s">
        <v>422</v>
      </c>
      <c r="B1617" t="s">
        <v>360</v>
      </c>
      <c r="C1617" s="2">
        <v>1042083000</v>
      </c>
      <c r="D1617" s="2">
        <v>881328000</v>
      </c>
    </row>
    <row r="1618" spans="1:4" x14ac:dyDescent="0.25">
      <c r="A1618" t="s">
        <v>422</v>
      </c>
      <c r="B1618" t="s">
        <v>361</v>
      </c>
      <c r="C1618" s="2">
        <v>1002261000</v>
      </c>
      <c r="D1618" s="2">
        <v>712493000</v>
      </c>
    </row>
    <row r="1619" spans="1:4" x14ac:dyDescent="0.25">
      <c r="A1619" t="s">
        <v>422</v>
      </c>
      <c r="B1619" t="s">
        <v>362</v>
      </c>
      <c r="C1619" s="2">
        <v>260723000</v>
      </c>
      <c r="D1619" s="2">
        <v>404818000</v>
      </c>
    </row>
    <row r="1620" spans="1:4" x14ac:dyDescent="0.25">
      <c r="A1620" t="s">
        <v>422</v>
      </c>
      <c r="B1620" t="s">
        <v>363</v>
      </c>
      <c r="C1620" s="2">
        <f>1091608000+30000000</f>
        <v>1121608000</v>
      </c>
      <c r="D1620" s="2">
        <v>1000108000</v>
      </c>
    </row>
    <row r="1621" spans="1:4" x14ac:dyDescent="0.25">
      <c r="A1621" t="s">
        <v>422</v>
      </c>
      <c r="B1621" t="s">
        <v>364</v>
      </c>
      <c r="C1621" s="2">
        <v>586596000</v>
      </c>
      <c r="D1621" s="2">
        <v>368986000</v>
      </c>
    </row>
    <row r="1622" spans="1:4" x14ac:dyDescent="0.25">
      <c r="A1622" t="s">
        <v>422</v>
      </c>
      <c r="B1622" t="s">
        <v>365</v>
      </c>
      <c r="C1622" s="2">
        <v>1005257000</v>
      </c>
      <c r="D1622" s="2">
        <v>912684000</v>
      </c>
    </row>
    <row r="1623" spans="1:4" x14ac:dyDescent="0.25">
      <c r="A1623" t="s">
        <v>422</v>
      </c>
      <c r="B1623" t="s">
        <v>366</v>
      </c>
      <c r="C1623" s="2">
        <v>1304393000</v>
      </c>
      <c r="D1623" s="2">
        <v>1120376000</v>
      </c>
    </row>
    <row r="1624" spans="1:4" x14ac:dyDescent="0.25">
      <c r="A1624" t="s">
        <v>422</v>
      </c>
      <c r="B1624" t="s">
        <v>367</v>
      </c>
      <c r="C1624" s="2">
        <v>858936000</v>
      </c>
      <c r="D1624" s="2">
        <v>762169000</v>
      </c>
    </row>
    <row r="1625" spans="1:4" x14ac:dyDescent="0.25">
      <c r="A1625" t="s">
        <v>422</v>
      </c>
      <c r="B1625" t="s">
        <v>368</v>
      </c>
      <c r="C1625" s="2">
        <v>2045717000</v>
      </c>
      <c r="D1625" s="2">
        <v>1390717000</v>
      </c>
    </row>
    <row r="1626" spans="1:4" x14ac:dyDescent="0.25">
      <c r="A1626" t="s">
        <v>422</v>
      </c>
      <c r="B1626" t="s">
        <v>369</v>
      </c>
      <c r="C1626" s="2">
        <v>1749878000</v>
      </c>
      <c r="D1626" s="2">
        <v>1117089000</v>
      </c>
    </row>
    <row r="1627" spans="1:4" x14ac:dyDescent="0.25">
      <c r="A1627" t="s">
        <v>422</v>
      </c>
      <c r="B1627" t="s">
        <v>370</v>
      </c>
      <c r="C1627" s="2">
        <v>778399000</v>
      </c>
      <c r="D1627" s="2">
        <v>539706000</v>
      </c>
    </row>
    <row r="1628" spans="1:4" x14ac:dyDescent="0.25">
      <c r="A1628" t="s">
        <v>422</v>
      </c>
      <c r="B1628" t="s">
        <v>371</v>
      </c>
      <c r="C1628" s="2">
        <v>3356514000</v>
      </c>
      <c r="D1628" s="2">
        <v>1980239000</v>
      </c>
    </row>
    <row r="1629" spans="1:4" x14ac:dyDescent="0.25">
      <c r="A1629" t="s">
        <v>422</v>
      </c>
      <c r="B1629" t="s">
        <v>372</v>
      </c>
      <c r="C1629" s="2">
        <v>3305438000</v>
      </c>
      <c r="D1629" s="2">
        <v>1997476000</v>
      </c>
    </row>
    <row r="1630" spans="1:4" x14ac:dyDescent="0.25">
      <c r="A1630" t="s">
        <v>422</v>
      </c>
      <c r="B1630" t="s">
        <v>373</v>
      </c>
      <c r="C1630" s="2">
        <v>2109058000</v>
      </c>
      <c r="D1630" s="2">
        <v>1020961000</v>
      </c>
    </row>
    <row r="1631" spans="1:4" x14ac:dyDescent="0.25">
      <c r="A1631" t="s">
        <v>422</v>
      </c>
      <c r="B1631" t="s">
        <v>374</v>
      </c>
      <c r="C1631" s="2">
        <v>1733083000</v>
      </c>
      <c r="D1631" s="2">
        <v>1426710000</v>
      </c>
    </row>
    <row r="1632" spans="1:4" x14ac:dyDescent="0.25">
      <c r="A1632" t="s">
        <v>422</v>
      </c>
      <c r="B1632" t="s">
        <v>375</v>
      </c>
      <c r="C1632" s="2">
        <v>1503418000</v>
      </c>
      <c r="D1632" s="2">
        <v>1215418000</v>
      </c>
    </row>
    <row r="1633" spans="1:4" x14ac:dyDescent="0.25">
      <c r="A1633" t="s">
        <v>422</v>
      </c>
      <c r="B1633" t="s">
        <v>376</v>
      </c>
      <c r="C1633" s="2">
        <v>1958198000</v>
      </c>
      <c r="D1633" s="2">
        <v>1621721000</v>
      </c>
    </row>
    <row r="1634" spans="1:4" x14ac:dyDescent="0.25">
      <c r="A1634" t="s">
        <v>422</v>
      </c>
      <c r="B1634" t="s">
        <v>377</v>
      </c>
      <c r="C1634" s="2">
        <v>1848339000</v>
      </c>
      <c r="D1634" s="2">
        <v>918401000</v>
      </c>
    </row>
    <row r="1635" spans="1:4" x14ac:dyDescent="0.25">
      <c r="A1635" t="s">
        <v>422</v>
      </c>
      <c r="B1635" t="s">
        <v>378</v>
      </c>
      <c r="C1635" s="2">
        <v>1135147000</v>
      </c>
      <c r="D1635" s="2">
        <v>975260000</v>
      </c>
    </row>
    <row r="1636" spans="1:4" x14ac:dyDescent="0.25">
      <c r="A1636" t="s">
        <v>422</v>
      </c>
      <c r="B1636" t="s">
        <v>412</v>
      </c>
      <c r="C1636" s="2">
        <v>1262482000</v>
      </c>
      <c r="D1636" s="2">
        <v>934482000</v>
      </c>
    </row>
    <row r="1637" spans="1:4" x14ac:dyDescent="0.25">
      <c r="A1637" t="s">
        <v>422</v>
      </c>
      <c r="B1637" t="s">
        <v>379</v>
      </c>
      <c r="C1637" s="2">
        <v>1543012000</v>
      </c>
      <c r="D1637" s="2">
        <v>1273280000</v>
      </c>
    </row>
    <row r="1638" spans="1:4" x14ac:dyDescent="0.25">
      <c r="A1638" t="s">
        <v>422</v>
      </c>
      <c r="B1638" t="s">
        <v>380</v>
      </c>
      <c r="C1638" s="2">
        <v>1115061000</v>
      </c>
      <c r="D1638" s="2">
        <v>1228601000</v>
      </c>
    </row>
    <row r="1639" spans="1:4" x14ac:dyDescent="0.25">
      <c r="A1639" t="s">
        <v>422</v>
      </c>
      <c r="B1639" t="s">
        <v>381</v>
      </c>
      <c r="C1639" s="2">
        <v>1166895000</v>
      </c>
      <c r="D1639" s="2">
        <v>903895000</v>
      </c>
    </row>
    <row r="1640" spans="1:4" x14ac:dyDescent="0.25">
      <c r="A1640" t="s">
        <v>422</v>
      </c>
      <c r="B1640" t="s">
        <v>382</v>
      </c>
      <c r="C1640" s="2">
        <v>1071563000</v>
      </c>
      <c r="D1640" s="2">
        <v>1006651000</v>
      </c>
    </row>
    <row r="1641" spans="1:4" x14ac:dyDescent="0.25">
      <c r="A1641" t="s">
        <v>422</v>
      </c>
      <c r="B1641" t="s">
        <v>383</v>
      </c>
      <c r="C1641" s="2">
        <v>1343284000</v>
      </c>
      <c r="D1641" s="2">
        <v>1124796000</v>
      </c>
    </row>
    <row r="1642" spans="1:4" x14ac:dyDescent="0.25">
      <c r="A1642" t="s">
        <v>422</v>
      </c>
      <c r="B1642" t="s">
        <v>384</v>
      </c>
      <c r="C1642" s="2">
        <v>1050718000</v>
      </c>
      <c r="D1642" s="2">
        <v>929522000</v>
      </c>
    </row>
    <row r="1643" spans="1:4" x14ac:dyDescent="0.25">
      <c r="A1643" t="s">
        <v>422</v>
      </c>
      <c r="B1643" t="s">
        <v>385</v>
      </c>
      <c r="C1643" s="2">
        <v>802165000</v>
      </c>
      <c r="D1643" s="2">
        <v>659165000</v>
      </c>
    </row>
    <row r="1644" spans="1:4" x14ac:dyDescent="0.25">
      <c r="A1644" t="s">
        <v>422</v>
      </c>
      <c r="B1644" t="s">
        <v>386</v>
      </c>
      <c r="C1644" s="2">
        <v>1072245000</v>
      </c>
      <c r="D1644" s="2">
        <v>749715000</v>
      </c>
    </row>
    <row r="1645" spans="1:4" x14ac:dyDescent="0.25">
      <c r="A1645" t="s">
        <v>422</v>
      </c>
      <c r="B1645" t="s">
        <v>387</v>
      </c>
      <c r="C1645" s="2">
        <v>641440000</v>
      </c>
      <c r="D1645" s="2">
        <v>556440000</v>
      </c>
    </row>
    <row r="1646" spans="1:4" x14ac:dyDescent="0.25">
      <c r="A1646" t="s">
        <v>422</v>
      </c>
      <c r="B1646" t="s">
        <v>388</v>
      </c>
      <c r="C1646" s="2">
        <v>1033248000</v>
      </c>
      <c r="D1646" s="2">
        <v>1005876000</v>
      </c>
    </row>
    <row r="1647" spans="1:4" x14ac:dyDescent="0.25">
      <c r="A1647" t="s">
        <v>422</v>
      </c>
      <c r="B1647" t="s">
        <v>389</v>
      </c>
      <c r="C1647" s="2">
        <v>507392000</v>
      </c>
      <c r="D1647" s="2">
        <v>499265000</v>
      </c>
    </row>
    <row r="1648" spans="1:4" x14ac:dyDescent="0.25">
      <c r="A1648" t="s">
        <v>422</v>
      </c>
      <c r="B1648" t="s">
        <v>390</v>
      </c>
      <c r="C1648" s="2">
        <v>595755000</v>
      </c>
      <c r="D1648" s="2">
        <v>377857000</v>
      </c>
    </row>
    <row r="1649" spans="1:4" x14ac:dyDescent="0.25">
      <c r="A1649" t="s">
        <v>422</v>
      </c>
      <c r="B1649" t="s">
        <v>391</v>
      </c>
      <c r="C1649" s="2">
        <v>1213532000</v>
      </c>
      <c r="D1649" s="2">
        <v>1023011000</v>
      </c>
    </row>
    <row r="1650" spans="1:4" x14ac:dyDescent="0.25">
      <c r="A1650" t="s">
        <v>422</v>
      </c>
      <c r="B1650" t="s">
        <v>392</v>
      </c>
      <c r="C1650" s="2">
        <v>832441000</v>
      </c>
      <c r="D1650" s="2">
        <v>433848000</v>
      </c>
    </row>
    <row r="1651" spans="1:4" x14ac:dyDescent="0.25">
      <c r="A1651" t="s">
        <v>422</v>
      </c>
      <c r="B1651" t="s">
        <v>393</v>
      </c>
      <c r="C1651" s="2">
        <v>1000563000</v>
      </c>
      <c r="D1651" s="2">
        <v>623281000</v>
      </c>
    </row>
    <row r="1652" spans="1:4" x14ac:dyDescent="0.25">
      <c r="A1652" t="s">
        <v>422</v>
      </c>
      <c r="B1652" t="s">
        <v>394</v>
      </c>
      <c r="C1652" s="2">
        <v>1191108000</v>
      </c>
      <c r="D1652" s="2">
        <v>942994000</v>
      </c>
    </row>
    <row r="1653" spans="1:4" x14ac:dyDescent="0.25">
      <c r="A1653" t="s">
        <v>422</v>
      </c>
      <c r="B1653" t="s">
        <v>395</v>
      </c>
      <c r="C1653" s="2">
        <v>690111000</v>
      </c>
      <c r="D1653" s="2">
        <v>856208000</v>
      </c>
    </row>
    <row r="1654" spans="1:4" x14ac:dyDescent="0.25">
      <c r="A1654" t="s">
        <v>422</v>
      </c>
      <c r="B1654" t="s">
        <v>396</v>
      </c>
      <c r="C1654" s="2">
        <v>484194000</v>
      </c>
      <c r="D1654" s="2">
        <v>434194000</v>
      </c>
    </row>
    <row r="1655" spans="1:4" x14ac:dyDescent="0.25">
      <c r="A1655" s="23" t="s">
        <v>445</v>
      </c>
      <c r="B1655" t="s">
        <v>201</v>
      </c>
      <c r="C1655" s="1">
        <f>333364024000-74066387000</f>
        <v>259297637000</v>
      </c>
      <c r="D1655" s="2">
        <v>359555882000</v>
      </c>
    </row>
    <row r="1656" spans="1:4" x14ac:dyDescent="0.25">
      <c r="A1656" s="23" t="s">
        <v>445</v>
      </c>
      <c r="B1656" t="s">
        <v>424</v>
      </c>
      <c r="C1656" s="2">
        <v>0</v>
      </c>
      <c r="D1656" s="2">
        <v>0</v>
      </c>
    </row>
    <row r="1657" spans="1:4" x14ac:dyDescent="0.25">
      <c r="A1657" s="23" t="s">
        <v>445</v>
      </c>
      <c r="B1657" t="s">
        <v>202</v>
      </c>
      <c r="C1657" s="2">
        <v>138399000</v>
      </c>
      <c r="D1657" s="2">
        <v>138399000</v>
      </c>
    </row>
    <row r="1658" spans="1:4" x14ac:dyDescent="0.25">
      <c r="A1658" s="23" t="s">
        <v>445</v>
      </c>
      <c r="B1658" t="s">
        <v>203</v>
      </c>
      <c r="C1658" s="2">
        <v>120971000</v>
      </c>
      <c r="D1658" s="2">
        <v>120971000</v>
      </c>
    </row>
    <row r="1659" spans="1:4" x14ac:dyDescent="0.25">
      <c r="A1659" s="23" t="s">
        <v>445</v>
      </c>
      <c r="B1659" t="s">
        <v>204</v>
      </c>
      <c r="C1659" s="2">
        <v>196641000</v>
      </c>
      <c r="D1659" s="2">
        <v>196641000</v>
      </c>
    </row>
    <row r="1660" spans="1:4" x14ac:dyDescent="0.25">
      <c r="A1660" s="23" t="s">
        <v>445</v>
      </c>
      <c r="B1660" t="s">
        <v>205</v>
      </c>
      <c r="C1660" s="1">
        <f>2589612000-205000000</f>
        <v>2384612000</v>
      </c>
      <c r="D1660" s="2">
        <v>2087408000</v>
      </c>
    </row>
    <row r="1661" spans="1:4" x14ac:dyDescent="0.25">
      <c r="A1661" s="23" t="s">
        <v>445</v>
      </c>
      <c r="B1661" t="s">
        <v>206</v>
      </c>
      <c r="C1661" s="2">
        <v>150263000</v>
      </c>
      <c r="D1661" s="2">
        <v>150263000</v>
      </c>
    </row>
    <row r="1662" spans="1:4" x14ac:dyDescent="0.25">
      <c r="A1662" s="23" t="s">
        <v>445</v>
      </c>
      <c r="B1662" t="s">
        <v>207</v>
      </c>
      <c r="C1662" s="2">
        <v>126668000</v>
      </c>
      <c r="D1662" s="2">
        <v>126668000</v>
      </c>
    </row>
    <row r="1663" spans="1:4" x14ac:dyDescent="0.25">
      <c r="A1663" s="23" t="s">
        <v>445</v>
      </c>
      <c r="B1663" t="s">
        <v>208</v>
      </c>
      <c r="C1663" s="2">
        <v>138791000</v>
      </c>
      <c r="D1663" s="2">
        <v>138791000</v>
      </c>
    </row>
    <row r="1664" spans="1:4" x14ac:dyDescent="0.25">
      <c r="A1664" s="23" t="s">
        <v>445</v>
      </c>
      <c r="B1664" t="s">
        <v>209</v>
      </c>
      <c r="C1664" s="2">
        <v>129713000</v>
      </c>
      <c r="D1664" s="2">
        <v>129713000</v>
      </c>
    </row>
    <row r="1665" spans="1:4" x14ac:dyDescent="0.25">
      <c r="A1665" s="23" t="s">
        <v>445</v>
      </c>
      <c r="B1665" t="s">
        <v>210</v>
      </c>
      <c r="C1665" s="2">
        <v>708443000</v>
      </c>
      <c r="D1665" s="2">
        <v>482943000</v>
      </c>
    </row>
    <row r="1666" spans="1:4" x14ac:dyDescent="0.25">
      <c r="A1666" s="23" t="s">
        <v>445</v>
      </c>
      <c r="B1666" t="s">
        <v>211</v>
      </c>
      <c r="C1666" s="2">
        <v>845965000</v>
      </c>
      <c r="D1666" s="2">
        <v>529865000</v>
      </c>
    </row>
    <row r="1667" spans="1:4" x14ac:dyDescent="0.25">
      <c r="A1667" s="23" t="s">
        <v>445</v>
      </c>
      <c r="B1667" t="s">
        <v>212</v>
      </c>
      <c r="C1667" s="2">
        <v>135595000</v>
      </c>
      <c r="D1667" s="2">
        <v>135595000</v>
      </c>
    </row>
    <row r="1668" spans="1:4" x14ac:dyDescent="0.25">
      <c r="A1668" s="23" t="s">
        <v>445</v>
      </c>
      <c r="B1668" t="s">
        <v>213</v>
      </c>
      <c r="C1668" s="2">
        <v>130668000</v>
      </c>
      <c r="D1668" s="2">
        <v>127668000</v>
      </c>
    </row>
    <row r="1669" spans="1:4" x14ac:dyDescent="0.25">
      <c r="A1669" s="23" t="s">
        <v>445</v>
      </c>
      <c r="B1669" t="s">
        <v>214</v>
      </c>
      <c r="C1669" s="2">
        <v>120378000</v>
      </c>
      <c r="D1669" s="2">
        <v>120378000</v>
      </c>
    </row>
    <row r="1670" spans="1:4" x14ac:dyDescent="0.25">
      <c r="A1670" s="23" t="s">
        <v>445</v>
      </c>
      <c r="B1670" t="s">
        <v>215</v>
      </c>
      <c r="C1670" s="2">
        <v>130664000</v>
      </c>
      <c r="D1670" s="2">
        <v>130664000</v>
      </c>
    </row>
    <row r="1671" spans="1:4" x14ac:dyDescent="0.25">
      <c r="A1671" s="23" t="s">
        <v>445</v>
      </c>
      <c r="B1671" t="s">
        <v>216</v>
      </c>
      <c r="C1671" s="2">
        <v>117192000</v>
      </c>
      <c r="D1671" s="2">
        <v>117192000</v>
      </c>
    </row>
    <row r="1672" spans="1:4" x14ac:dyDescent="0.25">
      <c r="A1672" s="23" t="s">
        <v>445</v>
      </c>
      <c r="B1672" t="s">
        <v>217</v>
      </c>
      <c r="C1672" s="2">
        <v>135200000</v>
      </c>
      <c r="D1672" s="2">
        <v>135200000</v>
      </c>
    </row>
    <row r="1673" spans="1:4" x14ac:dyDescent="0.25">
      <c r="A1673" s="23" t="s">
        <v>445</v>
      </c>
      <c r="B1673" t="s">
        <v>218</v>
      </c>
      <c r="C1673" s="2">
        <v>1429290000</v>
      </c>
      <c r="D1673" s="2">
        <v>974510000</v>
      </c>
    </row>
    <row r="1674" spans="1:4" x14ac:dyDescent="0.25">
      <c r="A1674" s="23" t="s">
        <v>445</v>
      </c>
      <c r="B1674" t="s">
        <v>219</v>
      </c>
      <c r="C1674" s="1">
        <f>2261367000-775000000</f>
        <v>1486367000</v>
      </c>
      <c r="D1674" s="2">
        <v>1004367000</v>
      </c>
    </row>
    <row r="1675" spans="1:4" x14ac:dyDescent="0.25">
      <c r="A1675" s="23" t="s">
        <v>445</v>
      </c>
      <c r="B1675" t="s">
        <v>220</v>
      </c>
      <c r="C1675" s="1">
        <f>5310835000-672000000</f>
        <v>4638835000</v>
      </c>
      <c r="D1675" s="2">
        <v>4140589000</v>
      </c>
    </row>
    <row r="1676" spans="1:4" x14ac:dyDescent="0.25">
      <c r="A1676" s="23" t="s">
        <v>445</v>
      </c>
      <c r="B1676" t="s">
        <v>221</v>
      </c>
      <c r="C1676" s="2">
        <v>2279374000</v>
      </c>
      <c r="D1676" s="2">
        <v>2002374000</v>
      </c>
    </row>
    <row r="1677" spans="1:4" x14ac:dyDescent="0.25">
      <c r="A1677" s="23" t="s">
        <v>445</v>
      </c>
      <c r="B1677" t="s">
        <v>222</v>
      </c>
      <c r="C1677" s="2">
        <v>2976050000</v>
      </c>
      <c r="D1677" s="2">
        <v>2681950000</v>
      </c>
    </row>
    <row r="1678" spans="1:4" x14ac:dyDescent="0.25">
      <c r="A1678" s="23" t="s">
        <v>445</v>
      </c>
      <c r="B1678" t="s">
        <v>223</v>
      </c>
      <c r="C1678" s="1">
        <f>1943357000-25360000</f>
        <v>1917997000</v>
      </c>
      <c r="D1678" s="2">
        <v>2058165000</v>
      </c>
    </row>
    <row r="1679" spans="1:4" x14ac:dyDescent="0.25">
      <c r="A1679" s="23" t="s">
        <v>445</v>
      </c>
      <c r="B1679" t="s">
        <v>224</v>
      </c>
      <c r="C1679" s="1">
        <f>3098754000-275000000</f>
        <v>2823754000</v>
      </c>
      <c r="D1679" s="2">
        <v>2359553000</v>
      </c>
    </row>
    <row r="1680" spans="1:4" x14ac:dyDescent="0.25">
      <c r="A1680" s="23" t="s">
        <v>445</v>
      </c>
      <c r="B1680" t="s">
        <v>225</v>
      </c>
      <c r="C1680" s="1">
        <f>1485099000-320000000</f>
        <v>1165099000</v>
      </c>
      <c r="D1680" s="2">
        <v>1273242000</v>
      </c>
    </row>
    <row r="1681" spans="1:4" x14ac:dyDescent="0.25">
      <c r="A1681" s="23" t="s">
        <v>445</v>
      </c>
      <c r="B1681" t="s">
        <v>226</v>
      </c>
      <c r="C1681" s="2">
        <v>938684000</v>
      </c>
      <c r="D1681" s="2">
        <v>700095000</v>
      </c>
    </row>
    <row r="1682" spans="1:4" x14ac:dyDescent="0.25">
      <c r="A1682" s="23" t="s">
        <v>445</v>
      </c>
      <c r="B1682" t="s">
        <v>227</v>
      </c>
      <c r="C1682" s="2">
        <v>117619000</v>
      </c>
      <c r="D1682" s="2">
        <v>1610526000</v>
      </c>
    </row>
    <row r="1683" spans="1:4" x14ac:dyDescent="0.25">
      <c r="A1683" s="23" t="s">
        <v>445</v>
      </c>
      <c r="B1683" t="s">
        <v>228</v>
      </c>
      <c r="C1683" s="2">
        <v>1981780000</v>
      </c>
      <c r="D1683" s="2">
        <v>1715911000</v>
      </c>
    </row>
    <row r="1684" spans="1:4" x14ac:dyDescent="0.25">
      <c r="A1684" s="23" t="s">
        <v>445</v>
      </c>
      <c r="B1684" t="s">
        <v>229</v>
      </c>
      <c r="C1684" s="1">
        <f>1216931000-100000000</f>
        <v>1116931000</v>
      </c>
      <c r="D1684" s="2">
        <v>1001719000</v>
      </c>
    </row>
    <row r="1685" spans="1:4" x14ac:dyDescent="0.25">
      <c r="A1685" s="23" t="s">
        <v>445</v>
      </c>
      <c r="B1685" t="s">
        <v>230</v>
      </c>
      <c r="C1685" s="2">
        <v>1559006000</v>
      </c>
      <c r="D1685" s="2">
        <v>1015935000</v>
      </c>
    </row>
    <row r="1686" spans="1:4" x14ac:dyDescent="0.25">
      <c r="A1686" s="23" t="s">
        <v>445</v>
      </c>
      <c r="B1686" t="s">
        <v>231</v>
      </c>
      <c r="C1686" s="2">
        <v>994639000</v>
      </c>
      <c r="D1686" s="2">
        <v>845139000</v>
      </c>
    </row>
    <row r="1687" spans="1:4" x14ac:dyDescent="0.25">
      <c r="A1687" s="23" t="s">
        <v>445</v>
      </c>
      <c r="B1687" t="s">
        <v>232</v>
      </c>
      <c r="C1687" s="2">
        <v>914007000</v>
      </c>
      <c r="D1687" s="2">
        <v>859269000</v>
      </c>
    </row>
    <row r="1688" spans="1:4" x14ac:dyDescent="0.25">
      <c r="A1688" s="23" t="s">
        <v>445</v>
      </c>
      <c r="B1688" t="s">
        <v>233</v>
      </c>
      <c r="C1688" s="1">
        <f>1584723000-463600000</f>
        <v>1121123000</v>
      </c>
      <c r="D1688" s="2">
        <v>916000000</v>
      </c>
    </row>
    <row r="1689" spans="1:4" x14ac:dyDescent="0.25">
      <c r="A1689" s="23" t="s">
        <v>445</v>
      </c>
      <c r="B1689" t="s">
        <v>234</v>
      </c>
      <c r="C1689" s="1">
        <f>1405942000-25000000</f>
        <v>1380942000</v>
      </c>
      <c r="D1689" s="2">
        <v>1092660000</v>
      </c>
    </row>
    <row r="1690" spans="1:4" x14ac:dyDescent="0.25">
      <c r="A1690" s="23" t="s">
        <v>445</v>
      </c>
      <c r="B1690" t="s">
        <v>235</v>
      </c>
      <c r="C1690" s="1">
        <f>1206021000-50000000</f>
        <v>1156021000</v>
      </c>
      <c r="D1690" s="2">
        <v>1580272000</v>
      </c>
    </row>
    <row r="1691" spans="1:4" x14ac:dyDescent="0.25">
      <c r="A1691" s="23" t="s">
        <v>445</v>
      </c>
      <c r="B1691" t="s">
        <v>236</v>
      </c>
      <c r="C1691" s="1">
        <f>2867086000-300000000</f>
        <v>2567086000</v>
      </c>
      <c r="D1691" s="2">
        <v>2022763000</v>
      </c>
    </row>
    <row r="1692" spans="1:4" x14ac:dyDescent="0.25">
      <c r="A1692" s="23" t="s">
        <v>445</v>
      </c>
      <c r="B1692" t="s">
        <v>237</v>
      </c>
      <c r="C1692" s="1">
        <f>2943367000-1117626000</f>
        <v>1825741000</v>
      </c>
      <c r="D1692" s="2">
        <v>1211398000</v>
      </c>
    </row>
    <row r="1693" spans="1:4" x14ac:dyDescent="0.25">
      <c r="A1693" s="23" t="s">
        <v>445</v>
      </c>
      <c r="B1693" t="s">
        <v>238</v>
      </c>
      <c r="C1693" s="2">
        <v>404714000</v>
      </c>
      <c r="D1693" s="2">
        <v>437409000</v>
      </c>
    </row>
    <row r="1694" spans="1:4" x14ac:dyDescent="0.25">
      <c r="A1694" s="23" t="s">
        <v>445</v>
      </c>
      <c r="B1694" t="s">
        <v>239</v>
      </c>
      <c r="C1694" s="2">
        <v>802261000</v>
      </c>
      <c r="D1694" s="2">
        <v>783611000</v>
      </c>
    </row>
    <row r="1695" spans="1:4" x14ac:dyDescent="0.25">
      <c r="A1695" s="23" t="s">
        <v>445</v>
      </c>
      <c r="B1695" t="s">
        <v>240</v>
      </c>
      <c r="C1695" s="2">
        <v>706695000</v>
      </c>
      <c r="D1695" s="2">
        <v>746885000</v>
      </c>
    </row>
    <row r="1696" spans="1:4" x14ac:dyDescent="0.25">
      <c r="A1696" s="23" t="s">
        <v>445</v>
      </c>
      <c r="B1696" t="s">
        <v>241</v>
      </c>
      <c r="C1696" s="2">
        <v>907419000</v>
      </c>
      <c r="D1696" s="2">
        <v>693376000</v>
      </c>
    </row>
    <row r="1697" spans="1:4" x14ac:dyDescent="0.25">
      <c r="A1697" s="23" t="s">
        <v>445</v>
      </c>
      <c r="B1697" t="s">
        <v>242</v>
      </c>
      <c r="C1697" s="2">
        <v>351825000</v>
      </c>
      <c r="D1697" s="2">
        <v>539405000</v>
      </c>
    </row>
    <row r="1698" spans="1:4" x14ac:dyDescent="0.25">
      <c r="A1698" s="23" t="s">
        <v>445</v>
      </c>
      <c r="B1698" t="s">
        <v>243</v>
      </c>
      <c r="C1698" s="2">
        <v>235316000</v>
      </c>
      <c r="D1698" s="2">
        <v>480286000</v>
      </c>
    </row>
    <row r="1699" spans="1:4" x14ac:dyDescent="0.25">
      <c r="A1699" s="23" t="s">
        <v>445</v>
      </c>
      <c r="B1699" t="s">
        <v>244</v>
      </c>
      <c r="C1699" s="2">
        <v>100702000</v>
      </c>
      <c r="D1699" s="2">
        <v>478244000</v>
      </c>
    </row>
    <row r="1700" spans="1:4" x14ac:dyDescent="0.25">
      <c r="A1700" s="23" t="s">
        <v>445</v>
      </c>
      <c r="B1700" t="s">
        <v>245</v>
      </c>
      <c r="C1700" s="1">
        <f>941432000-25000000</f>
        <v>916432000</v>
      </c>
      <c r="D1700" s="2">
        <v>677932000</v>
      </c>
    </row>
    <row r="1701" spans="1:4" x14ac:dyDescent="0.25">
      <c r="A1701" s="23" t="s">
        <v>445</v>
      </c>
      <c r="B1701" t="s">
        <v>246</v>
      </c>
      <c r="C1701" s="2">
        <v>195461000</v>
      </c>
      <c r="D1701" s="2">
        <v>753400000</v>
      </c>
    </row>
    <row r="1702" spans="1:4" x14ac:dyDescent="0.25">
      <c r="A1702" s="23" t="s">
        <v>445</v>
      </c>
      <c r="B1702" t="s">
        <v>247</v>
      </c>
      <c r="C1702" s="2">
        <v>244466000</v>
      </c>
      <c r="D1702" s="2">
        <v>568114000</v>
      </c>
    </row>
    <row r="1703" spans="1:4" x14ac:dyDescent="0.25">
      <c r="A1703" s="23" t="s">
        <v>445</v>
      </c>
      <c r="B1703" t="s">
        <v>248</v>
      </c>
      <c r="C1703" s="2">
        <v>577359000</v>
      </c>
      <c r="D1703" s="2">
        <v>1097035000</v>
      </c>
    </row>
    <row r="1704" spans="1:4" x14ac:dyDescent="0.25">
      <c r="A1704" s="23" t="s">
        <v>445</v>
      </c>
      <c r="B1704" t="s">
        <v>249</v>
      </c>
      <c r="C1704" s="2">
        <v>1837869000</v>
      </c>
      <c r="D1704" s="2">
        <v>1673740000</v>
      </c>
    </row>
    <row r="1705" spans="1:4" x14ac:dyDescent="0.25">
      <c r="A1705" s="23" t="s">
        <v>445</v>
      </c>
      <c r="B1705" t="s">
        <v>250</v>
      </c>
      <c r="C1705" s="2">
        <v>493961000</v>
      </c>
      <c r="D1705" s="2">
        <v>489270000</v>
      </c>
    </row>
    <row r="1706" spans="1:4" x14ac:dyDescent="0.25">
      <c r="A1706" s="23" t="s">
        <v>445</v>
      </c>
      <c r="B1706" t="s">
        <v>251</v>
      </c>
      <c r="C1706" s="1">
        <f>1087108000-50000000</f>
        <v>1037108000</v>
      </c>
      <c r="D1706" s="2">
        <v>839608000</v>
      </c>
    </row>
    <row r="1707" spans="1:4" x14ac:dyDescent="0.25">
      <c r="A1707" s="23" t="s">
        <v>445</v>
      </c>
      <c r="B1707" t="s">
        <v>252</v>
      </c>
      <c r="C1707" s="2">
        <v>812372000</v>
      </c>
      <c r="D1707" s="2">
        <v>789614000</v>
      </c>
    </row>
    <row r="1708" spans="1:4" x14ac:dyDescent="0.25">
      <c r="A1708" s="23" t="s">
        <v>445</v>
      </c>
      <c r="B1708" t="s">
        <v>253</v>
      </c>
      <c r="C1708" s="2">
        <v>923497000</v>
      </c>
      <c r="D1708" s="2">
        <v>687997000</v>
      </c>
    </row>
    <row r="1709" spans="1:4" x14ac:dyDescent="0.25">
      <c r="A1709" s="23" t="s">
        <v>445</v>
      </c>
      <c r="B1709" t="s">
        <v>254</v>
      </c>
      <c r="C1709" s="2">
        <v>745382000</v>
      </c>
      <c r="D1709" s="2">
        <v>582254000</v>
      </c>
    </row>
    <row r="1710" spans="1:4" x14ac:dyDescent="0.25">
      <c r="A1710" s="23" t="s">
        <v>445</v>
      </c>
      <c r="B1710" t="s">
        <v>255</v>
      </c>
      <c r="C1710" s="2">
        <v>708009000</v>
      </c>
      <c r="D1710" s="2">
        <v>522109000</v>
      </c>
    </row>
    <row r="1711" spans="1:4" x14ac:dyDescent="0.25">
      <c r="A1711" s="23" t="s">
        <v>445</v>
      </c>
      <c r="B1711" t="s">
        <v>256</v>
      </c>
      <c r="C1711" s="2">
        <v>635191000</v>
      </c>
      <c r="D1711" s="2">
        <v>545091000</v>
      </c>
    </row>
    <row r="1712" spans="1:4" x14ac:dyDescent="0.25">
      <c r="A1712" s="23" t="s">
        <v>445</v>
      </c>
      <c r="B1712" t="s">
        <v>257</v>
      </c>
      <c r="C1712" s="2">
        <v>736270000</v>
      </c>
      <c r="D1712" s="2">
        <v>683270000</v>
      </c>
    </row>
    <row r="1713" spans="1:4" x14ac:dyDescent="0.25">
      <c r="A1713" s="23" t="s">
        <v>445</v>
      </c>
      <c r="B1713" t="s">
        <v>258</v>
      </c>
      <c r="C1713" s="2">
        <v>2055034000</v>
      </c>
      <c r="D1713" s="2">
        <v>1282862000</v>
      </c>
    </row>
    <row r="1714" spans="1:4" x14ac:dyDescent="0.25">
      <c r="A1714" s="23" t="s">
        <v>445</v>
      </c>
      <c r="B1714" t="s">
        <v>259</v>
      </c>
      <c r="C1714" s="1">
        <f>1310583000-150000000</f>
        <v>1160583000</v>
      </c>
      <c r="D1714" s="2">
        <v>1004083000</v>
      </c>
    </row>
    <row r="1715" spans="1:4" x14ac:dyDescent="0.25">
      <c r="A1715" s="23" t="s">
        <v>445</v>
      </c>
      <c r="B1715" t="s">
        <v>260</v>
      </c>
      <c r="C1715" s="1">
        <f>1480985000-90000000</f>
        <v>1390985000</v>
      </c>
      <c r="D1715" s="2">
        <v>1048332000</v>
      </c>
    </row>
    <row r="1716" spans="1:4" x14ac:dyDescent="0.25">
      <c r="A1716" s="23" t="s">
        <v>445</v>
      </c>
      <c r="B1716" t="s">
        <v>261</v>
      </c>
      <c r="C1716" s="1">
        <f>3393259000-520000000</f>
        <v>2873259000</v>
      </c>
      <c r="D1716" s="2">
        <v>2449285000</v>
      </c>
    </row>
    <row r="1717" spans="1:4" x14ac:dyDescent="0.25">
      <c r="A1717" s="23" t="s">
        <v>445</v>
      </c>
      <c r="B1717" t="s">
        <v>262</v>
      </c>
      <c r="C1717" s="1">
        <f>3254561000-1232000000</f>
        <v>2022561000</v>
      </c>
      <c r="D1717" s="2">
        <v>1344377000</v>
      </c>
    </row>
    <row r="1718" spans="1:4" x14ac:dyDescent="0.25">
      <c r="A1718" s="23" t="s">
        <v>445</v>
      </c>
      <c r="B1718" t="s">
        <v>263</v>
      </c>
      <c r="C1718" s="2">
        <v>1730156000</v>
      </c>
      <c r="D1718" s="2">
        <v>1369005000</v>
      </c>
    </row>
    <row r="1719" spans="1:4" x14ac:dyDescent="0.25">
      <c r="A1719" s="23" t="s">
        <v>445</v>
      </c>
      <c r="B1719" t="s">
        <v>264</v>
      </c>
      <c r="C1719" s="2">
        <v>1570238000</v>
      </c>
      <c r="D1719" s="2">
        <v>1394513000</v>
      </c>
    </row>
    <row r="1720" spans="1:4" x14ac:dyDescent="0.25">
      <c r="A1720" s="23" t="s">
        <v>445</v>
      </c>
      <c r="B1720" t="s">
        <v>265</v>
      </c>
      <c r="C1720" s="2">
        <v>1350281000</v>
      </c>
      <c r="D1720" s="2">
        <v>561606000</v>
      </c>
    </row>
    <row r="1721" spans="1:4" x14ac:dyDescent="0.25">
      <c r="A1721" s="23" t="s">
        <v>445</v>
      </c>
      <c r="B1721" t="s">
        <v>266</v>
      </c>
      <c r="C1721" s="1">
        <f>1926151000-100000000</f>
        <v>1826151000</v>
      </c>
      <c r="D1721" s="2">
        <v>1390456000</v>
      </c>
    </row>
    <row r="1722" spans="1:4" x14ac:dyDescent="0.25">
      <c r="A1722" s="23" t="s">
        <v>445</v>
      </c>
      <c r="B1722" t="s">
        <v>267</v>
      </c>
      <c r="C1722" s="1">
        <f>3607458000-2101050000</f>
        <v>1506408000</v>
      </c>
      <c r="D1722" s="2">
        <v>797993000</v>
      </c>
    </row>
    <row r="1723" spans="1:4" x14ac:dyDescent="0.25">
      <c r="A1723" s="23" t="s">
        <v>445</v>
      </c>
      <c r="B1723" t="s">
        <v>268</v>
      </c>
      <c r="C1723" s="1">
        <f>1168010000-50000000</f>
        <v>1118010000</v>
      </c>
      <c r="D1723" s="2">
        <v>1101497000</v>
      </c>
    </row>
    <row r="1724" spans="1:4" x14ac:dyDescent="0.25">
      <c r="A1724" s="23" t="s">
        <v>445</v>
      </c>
      <c r="B1724" t="s">
        <v>269</v>
      </c>
      <c r="C1724" s="2">
        <v>2215150000</v>
      </c>
      <c r="D1724" s="2">
        <v>1839315000</v>
      </c>
    </row>
    <row r="1725" spans="1:4" x14ac:dyDescent="0.25">
      <c r="A1725" s="23" t="s">
        <v>445</v>
      </c>
      <c r="B1725" t="s">
        <v>270</v>
      </c>
      <c r="C1725" s="2">
        <v>1829474000</v>
      </c>
      <c r="D1725" s="2">
        <v>1668274000</v>
      </c>
    </row>
    <row r="1726" spans="1:4" x14ac:dyDescent="0.25">
      <c r="A1726" s="23" t="s">
        <v>445</v>
      </c>
      <c r="B1726" t="s">
        <v>271</v>
      </c>
      <c r="C1726" s="2">
        <v>1040242000</v>
      </c>
      <c r="D1726" s="2">
        <v>751352000</v>
      </c>
    </row>
    <row r="1727" spans="1:4" x14ac:dyDescent="0.25">
      <c r="A1727" s="23" t="s">
        <v>445</v>
      </c>
      <c r="B1727" t="s">
        <v>272</v>
      </c>
      <c r="C1727" s="1">
        <f>1065705000-315000000</f>
        <v>750705000</v>
      </c>
      <c r="D1727" s="2">
        <v>377117000</v>
      </c>
    </row>
    <row r="1728" spans="1:4" x14ac:dyDescent="0.25">
      <c r="A1728" s="23" t="s">
        <v>445</v>
      </c>
      <c r="B1728" t="s">
        <v>273</v>
      </c>
      <c r="C1728" s="1">
        <f>1140795000-243500000</f>
        <v>897295000</v>
      </c>
      <c r="D1728" s="2">
        <v>928788000</v>
      </c>
    </row>
    <row r="1729" spans="1:4" x14ac:dyDescent="0.25">
      <c r="A1729" s="23" t="s">
        <v>445</v>
      </c>
      <c r="B1729" t="s">
        <v>274</v>
      </c>
      <c r="C1729" s="1">
        <f>1025738000-328000000</f>
        <v>697738000</v>
      </c>
      <c r="D1729" s="2">
        <v>480545000</v>
      </c>
    </row>
    <row r="1730" spans="1:4" x14ac:dyDescent="0.25">
      <c r="A1730" s="23" t="s">
        <v>445</v>
      </c>
      <c r="B1730" t="s">
        <v>275</v>
      </c>
      <c r="C1730" s="1">
        <f>4352810000-585000000</f>
        <v>3767810000</v>
      </c>
      <c r="D1730" s="2">
        <v>1314683000</v>
      </c>
    </row>
    <row r="1731" spans="1:4" x14ac:dyDescent="0.25">
      <c r="A1731" s="23" t="s">
        <v>445</v>
      </c>
      <c r="B1731" t="s">
        <v>276</v>
      </c>
      <c r="C1731" s="2">
        <v>916312000</v>
      </c>
      <c r="D1731" s="2">
        <v>612312000</v>
      </c>
    </row>
    <row r="1732" spans="1:4" x14ac:dyDescent="0.25">
      <c r="A1732" s="23" t="s">
        <v>445</v>
      </c>
      <c r="B1732" t="s">
        <v>277</v>
      </c>
      <c r="C1732" s="2">
        <v>1579821000</v>
      </c>
      <c r="D1732" s="2">
        <v>1282500000</v>
      </c>
    </row>
    <row r="1733" spans="1:4" x14ac:dyDescent="0.25">
      <c r="A1733" s="23" t="s">
        <v>445</v>
      </c>
      <c r="B1733" t="s">
        <v>278</v>
      </c>
      <c r="C1733" s="2">
        <v>720621000</v>
      </c>
      <c r="D1733" s="2">
        <v>505621000</v>
      </c>
    </row>
    <row r="1734" spans="1:4" x14ac:dyDescent="0.25">
      <c r="A1734" s="23" t="s">
        <v>445</v>
      </c>
      <c r="B1734" t="s">
        <v>279</v>
      </c>
      <c r="C1734" s="2">
        <v>333792000</v>
      </c>
      <c r="D1734" s="2">
        <v>941048000</v>
      </c>
    </row>
    <row r="1735" spans="1:4" x14ac:dyDescent="0.25">
      <c r="A1735" s="23" t="s">
        <v>445</v>
      </c>
      <c r="B1735" t="s">
        <v>280</v>
      </c>
      <c r="C1735" s="1">
        <f>2242976000-530000000</f>
        <v>1712976000</v>
      </c>
      <c r="D1735" s="2">
        <v>1433920000</v>
      </c>
    </row>
    <row r="1736" spans="1:4" x14ac:dyDescent="0.25">
      <c r="A1736" s="23" t="s">
        <v>445</v>
      </c>
      <c r="B1736" t="s">
        <v>281</v>
      </c>
      <c r="C1736" s="2">
        <v>1284362000</v>
      </c>
      <c r="D1736" s="2">
        <v>836270000</v>
      </c>
    </row>
    <row r="1737" spans="1:4" x14ac:dyDescent="0.25">
      <c r="A1737" s="23" t="s">
        <v>445</v>
      </c>
      <c r="B1737" t="s">
        <v>282</v>
      </c>
      <c r="C1737" s="2">
        <v>449230000</v>
      </c>
      <c r="D1737" s="2">
        <v>541511000</v>
      </c>
    </row>
    <row r="1738" spans="1:4" x14ac:dyDescent="0.25">
      <c r="A1738" s="23" t="s">
        <v>445</v>
      </c>
      <c r="B1738" t="s">
        <v>283</v>
      </c>
      <c r="C1738" s="1">
        <f>1071540000-130000000</f>
        <v>941540000</v>
      </c>
      <c r="D1738" s="2">
        <v>642554000</v>
      </c>
    </row>
    <row r="1739" spans="1:4" x14ac:dyDescent="0.25">
      <c r="A1739" s="23" t="s">
        <v>445</v>
      </c>
      <c r="B1739" t="s">
        <v>284</v>
      </c>
      <c r="C1739" s="1">
        <f>2263443000-400000000</f>
        <v>1863443000</v>
      </c>
      <c r="D1739" s="2">
        <v>1793815000</v>
      </c>
    </row>
    <row r="1740" spans="1:4" x14ac:dyDescent="0.25">
      <c r="A1740" s="23" t="s">
        <v>445</v>
      </c>
      <c r="B1740" t="s">
        <v>285</v>
      </c>
      <c r="C1740" s="2">
        <v>1706097000</v>
      </c>
      <c r="D1740" s="2">
        <v>1702601000</v>
      </c>
    </row>
    <row r="1741" spans="1:4" x14ac:dyDescent="0.25">
      <c r="A1741" s="23" t="s">
        <v>445</v>
      </c>
      <c r="B1741" t="s">
        <v>286</v>
      </c>
      <c r="C1741" s="2">
        <v>1089609000</v>
      </c>
      <c r="D1741" s="2">
        <v>849315000</v>
      </c>
    </row>
    <row r="1742" spans="1:4" x14ac:dyDescent="0.25">
      <c r="A1742" s="23" t="s">
        <v>445</v>
      </c>
      <c r="B1742" t="s">
        <v>287</v>
      </c>
      <c r="C1742" s="2">
        <v>891735000</v>
      </c>
      <c r="D1742" s="2">
        <v>564939000</v>
      </c>
    </row>
    <row r="1743" spans="1:4" x14ac:dyDescent="0.25">
      <c r="A1743" s="23" t="s">
        <v>445</v>
      </c>
      <c r="B1743" t="s">
        <v>288</v>
      </c>
      <c r="C1743" s="1">
        <f>2205037000-20000000</f>
        <v>2185037000</v>
      </c>
      <c r="D1743" s="2">
        <v>1560766000</v>
      </c>
    </row>
    <row r="1744" spans="1:4" x14ac:dyDescent="0.25">
      <c r="A1744" s="23" t="s">
        <v>445</v>
      </c>
      <c r="B1744" t="s">
        <v>289</v>
      </c>
      <c r="C1744" s="1">
        <f>817767000-100000000</f>
        <v>717767000</v>
      </c>
      <c r="D1744" s="2">
        <v>458344000</v>
      </c>
    </row>
    <row r="1745" spans="1:4" x14ac:dyDescent="0.25">
      <c r="A1745" s="23" t="s">
        <v>445</v>
      </c>
      <c r="B1745" t="s">
        <v>290</v>
      </c>
      <c r="C1745" s="2">
        <v>785011000</v>
      </c>
      <c r="D1745" s="2">
        <v>1368192000</v>
      </c>
    </row>
    <row r="1746" spans="1:4" x14ac:dyDescent="0.25">
      <c r="A1746" s="23" t="s">
        <v>445</v>
      </c>
      <c r="B1746" t="s">
        <v>291</v>
      </c>
      <c r="C1746" s="2">
        <v>764393000</v>
      </c>
      <c r="D1746" s="2">
        <v>1486673000</v>
      </c>
    </row>
    <row r="1747" spans="1:4" x14ac:dyDescent="0.25">
      <c r="A1747" s="23" t="s">
        <v>445</v>
      </c>
      <c r="B1747" t="s">
        <v>292</v>
      </c>
      <c r="C1747" s="2">
        <v>390002000</v>
      </c>
      <c r="D1747" s="2">
        <v>1258069000</v>
      </c>
    </row>
    <row r="1748" spans="1:4" x14ac:dyDescent="0.25">
      <c r="A1748" s="23" t="s">
        <v>445</v>
      </c>
      <c r="B1748" t="s">
        <v>293</v>
      </c>
      <c r="C1748" s="2">
        <v>1753831000</v>
      </c>
      <c r="D1748" s="2">
        <v>2151278000</v>
      </c>
    </row>
    <row r="1749" spans="1:4" x14ac:dyDescent="0.25">
      <c r="A1749" s="23" t="s">
        <v>445</v>
      </c>
      <c r="B1749" t="s">
        <v>294</v>
      </c>
      <c r="C1749" s="2">
        <v>474684000</v>
      </c>
      <c r="D1749" s="2">
        <v>1197384000</v>
      </c>
    </row>
    <row r="1750" spans="1:4" x14ac:dyDescent="0.25">
      <c r="A1750" s="23" t="s">
        <v>445</v>
      </c>
      <c r="B1750" t="s">
        <v>295</v>
      </c>
      <c r="C1750" s="1">
        <f>2162406000-165000000</f>
        <v>1997406000</v>
      </c>
      <c r="D1750" s="2">
        <v>1364033000</v>
      </c>
    </row>
    <row r="1751" spans="1:4" x14ac:dyDescent="0.25">
      <c r="A1751" s="23" t="s">
        <v>445</v>
      </c>
      <c r="B1751" t="s">
        <v>296</v>
      </c>
      <c r="C1751" s="1">
        <f>2568623000-500000000</f>
        <v>2068623000</v>
      </c>
      <c r="D1751" s="2">
        <v>2214059000</v>
      </c>
    </row>
    <row r="1752" spans="1:4" x14ac:dyDescent="0.25">
      <c r="A1752" s="23" t="s">
        <v>445</v>
      </c>
      <c r="B1752" t="s">
        <v>297</v>
      </c>
      <c r="C1752" s="1">
        <f>702815000-25000000</f>
        <v>677815000</v>
      </c>
      <c r="D1752" s="2">
        <v>883090000</v>
      </c>
    </row>
    <row r="1753" spans="1:4" x14ac:dyDescent="0.25">
      <c r="A1753" s="23" t="s">
        <v>445</v>
      </c>
      <c r="B1753" t="s">
        <v>298</v>
      </c>
      <c r="C1753" s="2">
        <v>1423853000</v>
      </c>
      <c r="D1753" s="2">
        <v>1079611000</v>
      </c>
    </row>
    <row r="1754" spans="1:4" x14ac:dyDescent="0.25">
      <c r="A1754" s="23" t="s">
        <v>445</v>
      </c>
      <c r="B1754" t="s">
        <v>299</v>
      </c>
      <c r="C1754" s="2">
        <v>326938000</v>
      </c>
      <c r="D1754" s="2">
        <v>562615000</v>
      </c>
    </row>
    <row r="1755" spans="1:4" x14ac:dyDescent="0.25">
      <c r="A1755" s="23" t="s">
        <v>445</v>
      </c>
      <c r="B1755" t="s">
        <v>300</v>
      </c>
      <c r="C1755" s="1">
        <f>466486000-50000000</f>
        <v>416486000</v>
      </c>
      <c r="D1755" s="2">
        <v>999153000</v>
      </c>
    </row>
    <row r="1756" spans="1:4" x14ac:dyDescent="0.25">
      <c r="A1756" s="23" t="s">
        <v>445</v>
      </c>
      <c r="B1756" t="s">
        <v>301</v>
      </c>
      <c r="C1756" s="1">
        <f>1407424000-212000000</f>
        <v>1195424000</v>
      </c>
      <c r="D1756" s="2">
        <v>818843000</v>
      </c>
    </row>
    <row r="1757" spans="1:4" x14ac:dyDescent="0.25">
      <c r="A1757" s="23" t="s">
        <v>445</v>
      </c>
      <c r="B1757" t="s">
        <v>302</v>
      </c>
      <c r="C1757" s="1">
        <f>327984000-5000000</f>
        <v>322984000</v>
      </c>
      <c r="D1757" s="2">
        <v>367889000</v>
      </c>
    </row>
    <row r="1758" spans="1:4" x14ac:dyDescent="0.25">
      <c r="A1758" s="23" t="s">
        <v>445</v>
      </c>
      <c r="B1758" t="s">
        <v>303</v>
      </c>
      <c r="C1758" s="2">
        <v>782837000</v>
      </c>
      <c r="D1758" s="2">
        <v>948574000</v>
      </c>
    </row>
    <row r="1759" spans="1:4" x14ac:dyDescent="0.25">
      <c r="A1759" s="23" t="s">
        <v>445</v>
      </c>
      <c r="B1759" t="s">
        <v>304</v>
      </c>
      <c r="C1759" s="1">
        <f>2165513000-205000000</f>
        <v>1960513000</v>
      </c>
      <c r="D1759" s="2">
        <v>1560023000</v>
      </c>
    </row>
    <row r="1760" spans="1:4" x14ac:dyDescent="0.25">
      <c r="A1760" s="23" t="s">
        <v>445</v>
      </c>
      <c r="B1760" t="s">
        <v>305</v>
      </c>
      <c r="C1760" s="1">
        <f>1196736000-465000000</f>
        <v>731736000</v>
      </c>
      <c r="D1760" s="2">
        <v>687295000</v>
      </c>
    </row>
    <row r="1761" spans="1:4" x14ac:dyDescent="0.25">
      <c r="A1761" s="23" t="s">
        <v>445</v>
      </c>
      <c r="B1761" t="s">
        <v>306</v>
      </c>
      <c r="C1761" s="2">
        <v>676156000</v>
      </c>
      <c r="D1761" s="2">
        <v>585551000</v>
      </c>
    </row>
    <row r="1762" spans="1:4" x14ac:dyDescent="0.25">
      <c r="A1762" s="23" t="s">
        <v>445</v>
      </c>
      <c r="B1762" t="s">
        <v>307</v>
      </c>
      <c r="C1762" s="2">
        <v>750924000</v>
      </c>
      <c r="D1762" s="2">
        <v>605562000</v>
      </c>
    </row>
    <row r="1763" spans="1:4" x14ac:dyDescent="0.25">
      <c r="A1763" s="23" t="s">
        <v>445</v>
      </c>
      <c r="B1763" t="s">
        <v>308</v>
      </c>
      <c r="C1763" s="1">
        <f>2589651000-100000000</f>
        <v>2489651000</v>
      </c>
      <c r="D1763" s="2">
        <v>1440651000</v>
      </c>
    </row>
    <row r="1764" spans="1:4" x14ac:dyDescent="0.25">
      <c r="A1764" s="23" t="s">
        <v>445</v>
      </c>
      <c r="B1764" t="s">
        <v>309</v>
      </c>
      <c r="C1764" s="1">
        <f>1851325000-555800000</f>
        <v>1295525000</v>
      </c>
      <c r="D1764" s="2">
        <v>2189391000</v>
      </c>
    </row>
    <row r="1765" spans="1:4" x14ac:dyDescent="0.25">
      <c r="A1765" s="23" t="s">
        <v>445</v>
      </c>
      <c r="B1765" t="s">
        <v>310</v>
      </c>
      <c r="C1765" s="2">
        <v>500169000</v>
      </c>
      <c r="D1765" s="2">
        <v>689848000</v>
      </c>
    </row>
    <row r="1766" spans="1:4" x14ac:dyDescent="0.25">
      <c r="A1766" s="23" t="s">
        <v>445</v>
      </c>
      <c r="B1766" t="s">
        <v>311</v>
      </c>
      <c r="C1766" s="2">
        <v>697481000</v>
      </c>
      <c r="D1766" s="2">
        <v>796831000</v>
      </c>
    </row>
    <row r="1767" spans="1:4" x14ac:dyDescent="0.25">
      <c r="A1767" s="23" t="s">
        <v>445</v>
      </c>
      <c r="B1767" t="s">
        <v>312</v>
      </c>
      <c r="C1767" s="2">
        <v>764277000</v>
      </c>
      <c r="D1767" s="2">
        <v>677352000</v>
      </c>
    </row>
    <row r="1768" spans="1:4" x14ac:dyDescent="0.25">
      <c r="A1768" s="23" t="s">
        <v>445</v>
      </c>
      <c r="B1768" t="s">
        <v>313</v>
      </c>
      <c r="C1768" s="2">
        <v>241996000</v>
      </c>
      <c r="D1768" s="2">
        <v>954532000</v>
      </c>
    </row>
    <row r="1769" spans="1:4" x14ac:dyDescent="0.25">
      <c r="A1769" s="23" t="s">
        <v>445</v>
      </c>
      <c r="B1769" t="s">
        <v>314</v>
      </c>
      <c r="C1769" s="1">
        <f>1188462000-170328000</f>
        <v>1018134000</v>
      </c>
      <c r="D1769" s="2">
        <v>930770000</v>
      </c>
    </row>
    <row r="1770" spans="1:4" x14ac:dyDescent="0.25">
      <c r="A1770" s="23" t="s">
        <v>445</v>
      </c>
      <c r="B1770" t="s">
        <v>315</v>
      </c>
      <c r="C1770" s="2">
        <v>683981000</v>
      </c>
      <c r="D1770" s="2">
        <v>639423000</v>
      </c>
    </row>
    <row r="1771" spans="1:4" x14ac:dyDescent="0.25">
      <c r="A1771" s="23" t="s">
        <v>445</v>
      </c>
      <c r="B1771" t="s">
        <v>316</v>
      </c>
      <c r="C1771" s="2">
        <v>710532000</v>
      </c>
      <c r="D1771" s="2">
        <v>685342000</v>
      </c>
    </row>
    <row r="1772" spans="1:4" x14ac:dyDescent="0.25">
      <c r="A1772" s="23" t="s">
        <v>445</v>
      </c>
      <c r="B1772" t="s">
        <v>317</v>
      </c>
      <c r="C1772" s="2">
        <v>834936000</v>
      </c>
      <c r="D1772" s="2">
        <v>612436000</v>
      </c>
    </row>
    <row r="1773" spans="1:4" x14ac:dyDescent="0.25">
      <c r="A1773" s="23" t="s">
        <v>445</v>
      </c>
      <c r="B1773" t="s">
        <v>318</v>
      </c>
      <c r="C1773" s="2">
        <v>1788084000</v>
      </c>
      <c r="D1773" s="2">
        <v>1275906000</v>
      </c>
    </row>
    <row r="1774" spans="1:4" x14ac:dyDescent="0.25">
      <c r="A1774" s="23" t="s">
        <v>445</v>
      </c>
      <c r="B1774" t="s">
        <v>319</v>
      </c>
      <c r="C1774" s="1">
        <f>960285000-65000000</f>
        <v>895285000</v>
      </c>
      <c r="D1774" s="2">
        <v>757965000</v>
      </c>
    </row>
    <row r="1775" spans="1:4" x14ac:dyDescent="0.25">
      <c r="A1775" s="23" t="s">
        <v>445</v>
      </c>
      <c r="B1775" t="s">
        <v>320</v>
      </c>
      <c r="C1775" s="2">
        <v>743606000</v>
      </c>
      <c r="D1775" s="2">
        <v>564441000</v>
      </c>
    </row>
    <row r="1776" spans="1:4" x14ac:dyDescent="0.25">
      <c r="A1776" s="23" t="s">
        <v>445</v>
      </c>
      <c r="B1776" t="s">
        <v>321</v>
      </c>
      <c r="C1776" s="2">
        <v>1964651000</v>
      </c>
      <c r="D1776" s="2">
        <v>1637902000</v>
      </c>
    </row>
    <row r="1777" spans="1:4" x14ac:dyDescent="0.25">
      <c r="A1777" s="23" t="s">
        <v>445</v>
      </c>
      <c r="B1777" t="s">
        <v>322</v>
      </c>
      <c r="C1777" s="2">
        <v>341032000</v>
      </c>
      <c r="D1777" s="2">
        <v>489029000</v>
      </c>
    </row>
    <row r="1778" spans="1:4" x14ac:dyDescent="0.25">
      <c r="A1778" s="23" t="s">
        <v>445</v>
      </c>
      <c r="B1778" t="s">
        <v>323</v>
      </c>
      <c r="C1778" s="2">
        <v>860655000</v>
      </c>
      <c r="D1778" s="2">
        <v>594655000</v>
      </c>
    </row>
    <row r="1779" spans="1:4" x14ac:dyDescent="0.25">
      <c r="A1779" s="23" t="s">
        <v>445</v>
      </c>
      <c r="B1779" t="s">
        <v>324</v>
      </c>
      <c r="C1779" s="2">
        <v>780213000</v>
      </c>
      <c r="D1779" s="2">
        <v>666791000</v>
      </c>
    </row>
    <row r="1780" spans="1:4" x14ac:dyDescent="0.25">
      <c r="A1780" s="23" t="s">
        <v>445</v>
      </c>
      <c r="B1780" t="s">
        <v>325</v>
      </c>
      <c r="C1780" s="1">
        <f>1544616000-41000000</f>
        <v>1503616000</v>
      </c>
      <c r="D1780" s="2">
        <v>1036367000</v>
      </c>
    </row>
    <row r="1781" spans="1:4" x14ac:dyDescent="0.25">
      <c r="A1781" s="23" t="s">
        <v>445</v>
      </c>
      <c r="B1781" t="s">
        <v>326</v>
      </c>
      <c r="C1781" s="1">
        <f>1191713000-139000000</f>
        <v>1052713000</v>
      </c>
      <c r="D1781" s="2">
        <v>855174000</v>
      </c>
    </row>
    <row r="1782" spans="1:4" x14ac:dyDescent="0.25">
      <c r="A1782" s="23" t="s">
        <v>445</v>
      </c>
      <c r="B1782" t="s">
        <v>327</v>
      </c>
      <c r="C1782" s="1">
        <f>1732128000-550000000</f>
        <v>1182128000</v>
      </c>
      <c r="D1782" s="2">
        <v>865128000</v>
      </c>
    </row>
    <row r="1783" spans="1:4" x14ac:dyDescent="0.25">
      <c r="A1783" s="23" t="s">
        <v>445</v>
      </c>
      <c r="B1783" t="s">
        <v>328</v>
      </c>
      <c r="C1783" s="1">
        <f>1158776000-25000000</f>
        <v>1133776000</v>
      </c>
      <c r="D1783" s="2">
        <v>809276000</v>
      </c>
    </row>
    <row r="1784" spans="1:4" x14ac:dyDescent="0.25">
      <c r="A1784" s="23" t="s">
        <v>445</v>
      </c>
      <c r="B1784" t="s">
        <v>329</v>
      </c>
      <c r="C1784" s="2">
        <v>988834000</v>
      </c>
      <c r="D1784" s="2">
        <v>827334000</v>
      </c>
    </row>
    <row r="1785" spans="1:4" x14ac:dyDescent="0.25">
      <c r="A1785" s="23" t="s">
        <v>445</v>
      </c>
      <c r="B1785" t="s">
        <v>330</v>
      </c>
      <c r="C1785" s="2">
        <v>625158000</v>
      </c>
      <c r="D1785" s="2">
        <v>609708000</v>
      </c>
    </row>
    <row r="1786" spans="1:4" x14ac:dyDescent="0.25">
      <c r="A1786" s="23" t="s">
        <v>445</v>
      </c>
      <c r="B1786" t="s">
        <v>331</v>
      </c>
      <c r="C1786" s="2">
        <v>1016372000</v>
      </c>
      <c r="D1786" s="2">
        <v>957612000</v>
      </c>
    </row>
    <row r="1787" spans="1:4" x14ac:dyDescent="0.25">
      <c r="A1787" s="23" t="s">
        <v>445</v>
      </c>
      <c r="B1787" t="s">
        <v>332</v>
      </c>
      <c r="C1787" s="2">
        <v>1237669000</v>
      </c>
      <c r="D1787" s="2">
        <v>1480991000</v>
      </c>
    </row>
    <row r="1788" spans="1:4" x14ac:dyDescent="0.25">
      <c r="A1788" s="23" t="s">
        <v>445</v>
      </c>
      <c r="B1788" t="s">
        <v>333</v>
      </c>
      <c r="C1788" s="2">
        <v>549494000</v>
      </c>
      <c r="D1788" s="2">
        <v>549184000</v>
      </c>
    </row>
    <row r="1789" spans="1:4" x14ac:dyDescent="0.25">
      <c r="A1789" s="23" t="s">
        <v>445</v>
      </c>
      <c r="B1789" t="s">
        <v>334</v>
      </c>
      <c r="C1789" s="2">
        <v>517377000</v>
      </c>
      <c r="D1789" s="2">
        <v>667105000</v>
      </c>
    </row>
    <row r="1790" spans="1:4" x14ac:dyDescent="0.25">
      <c r="A1790" s="23" t="s">
        <v>445</v>
      </c>
      <c r="B1790" t="s">
        <v>335</v>
      </c>
      <c r="C1790" s="2">
        <v>354849000</v>
      </c>
      <c r="D1790" s="2">
        <v>752512000</v>
      </c>
    </row>
    <row r="1791" spans="1:4" x14ac:dyDescent="0.25">
      <c r="A1791" s="23" t="s">
        <v>445</v>
      </c>
      <c r="B1791" t="s">
        <v>336</v>
      </c>
      <c r="C1791" s="1">
        <f>862204000-45000000</f>
        <v>817204000</v>
      </c>
      <c r="D1791" s="2">
        <v>714805000</v>
      </c>
    </row>
    <row r="1792" spans="1:4" x14ac:dyDescent="0.25">
      <c r="A1792" s="23" t="s">
        <v>445</v>
      </c>
      <c r="B1792" t="s">
        <v>337</v>
      </c>
      <c r="C1792" s="2">
        <v>337907000</v>
      </c>
      <c r="D1792" s="2">
        <v>781444000</v>
      </c>
    </row>
    <row r="1793" spans="1:4" x14ac:dyDescent="0.25">
      <c r="A1793" s="23" t="s">
        <v>445</v>
      </c>
      <c r="B1793" t="s">
        <v>338</v>
      </c>
      <c r="C1793" s="2">
        <v>444579000</v>
      </c>
      <c r="D1793" s="2">
        <v>448191000</v>
      </c>
    </row>
    <row r="1794" spans="1:4" x14ac:dyDescent="0.25">
      <c r="A1794" s="23" t="s">
        <v>445</v>
      </c>
      <c r="B1794" t="s">
        <v>339</v>
      </c>
      <c r="C1794" s="2">
        <v>664416000</v>
      </c>
      <c r="D1794" s="2">
        <v>390192000</v>
      </c>
    </row>
    <row r="1795" spans="1:4" x14ac:dyDescent="0.25">
      <c r="A1795" s="23" t="s">
        <v>445</v>
      </c>
      <c r="B1795" t="s">
        <v>340</v>
      </c>
      <c r="C1795" s="1">
        <f>1526293000-385000000</f>
        <v>1141293000</v>
      </c>
      <c r="D1795" s="2">
        <v>841793000</v>
      </c>
    </row>
    <row r="1796" spans="1:4" x14ac:dyDescent="0.25">
      <c r="A1796" s="23" t="s">
        <v>445</v>
      </c>
      <c r="B1796" t="s">
        <v>341</v>
      </c>
      <c r="C1796" s="2">
        <v>548028000</v>
      </c>
      <c r="D1796" s="2">
        <v>1221555000</v>
      </c>
    </row>
    <row r="1797" spans="1:4" x14ac:dyDescent="0.25">
      <c r="A1797" s="23" t="s">
        <v>445</v>
      </c>
      <c r="B1797" t="s">
        <v>342</v>
      </c>
      <c r="C1797" s="2">
        <v>554087000</v>
      </c>
      <c r="D1797" s="2">
        <v>581724000</v>
      </c>
    </row>
    <row r="1798" spans="1:4" x14ac:dyDescent="0.25">
      <c r="A1798" s="23" t="s">
        <v>445</v>
      </c>
      <c r="B1798" t="s">
        <v>343</v>
      </c>
      <c r="C1798" s="2">
        <v>967035000</v>
      </c>
      <c r="D1798" s="2">
        <v>819636000</v>
      </c>
    </row>
    <row r="1799" spans="1:4" x14ac:dyDescent="0.25">
      <c r="A1799" s="23" t="s">
        <v>445</v>
      </c>
      <c r="B1799" t="s">
        <v>344</v>
      </c>
      <c r="C1799" s="1">
        <f>1468806000-50000000</f>
        <v>1418806000</v>
      </c>
      <c r="D1799" s="2">
        <v>1119806000</v>
      </c>
    </row>
    <row r="1800" spans="1:4" x14ac:dyDescent="0.25">
      <c r="A1800" s="23" t="s">
        <v>445</v>
      </c>
      <c r="B1800" t="s">
        <v>345</v>
      </c>
      <c r="C1800" s="2">
        <v>318888000</v>
      </c>
      <c r="D1800" s="2">
        <v>579397000</v>
      </c>
    </row>
    <row r="1801" spans="1:4" x14ac:dyDescent="0.25">
      <c r="A1801" s="23" t="s">
        <v>445</v>
      </c>
      <c r="B1801" t="s">
        <v>346</v>
      </c>
      <c r="C1801" s="1">
        <f>1170325000-5000000</f>
        <v>1165325000</v>
      </c>
      <c r="D1801" s="2">
        <v>746056000</v>
      </c>
    </row>
    <row r="1802" spans="1:4" x14ac:dyDescent="0.25">
      <c r="A1802" s="23" t="s">
        <v>445</v>
      </c>
      <c r="B1802" t="s">
        <v>347</v>
      </c>
      <c r="C1802" s="1">
        <f>437410000-10000000</f>
        <v>427410000</v>
      </c>
      <c r="D1802" s="2">
        <v>1189797000</v>
      </c>
    </row>
    <row r="1803" spans="1:4" x14ac:dyDescent="0.25">
      <c r="A1803" s="23" t="s">
        <v>445</v>
      </c>
      <c r="B1803" t="s">
        <v>348</v>
      </c>
      <c r="C1803" s="2">
        <v>824852000</v>
      </c>
      <c r="D1803" s="2">
        <v>695679000</v>
      </c>
    </row>
    <row r="1804" spans="1:4" x14ac:dyDescent="0.25">
      <c r="A1804" s="23" t="s">
        <v>445</v>
      </c>
      <c r="B1804" t="s">
        <v>349</v>
      </c>
      <c r="C1804" s="2">
        <v>2247405000</v>
      </c>
      <c r="D1804" s="2">
        <v>3602787000</v>
      </c>
    </row>
    <row r="1805" spans="1:4" x14ac:dyDescent="0.25">
      <c r="A1805" s="23" t="s">
        <v>445</v>
      </c>
      <c r="B1805" t="s">
        <v>350</v>
      </c>
      <c r="C1805" s="2">
        <v>944291000</v>
      </c>
      <c r="D1805" s="2">
        <v>852101000</v>
      </c>
    </row>
    <row r="1806" spans="1:4" x14ac:dyDescent="0.25">
      <c r="A1806" s="23" t="s">
        <v>445</v>
      </c>
      <c r="B1806" t="s">
        <v>414</v>
      </c>
      <c r="C1806" s="1">
        <f>447460000-45000000</f>
        <v>402460000</v>
      </c>
      <c r="D1806" s="2">
        <v>919044000</v>
      </c>
    </row>
    <row r="1807" spans="1:4" x14ac:dyDescent="0.25">
      <c r="A1807" s="23" t="s">
        <v>445</v>
      </c>
      <c r="B1807" t="s">
        <v>351</v>
      </c>
      <c r="C1807" s="2">
        <v>275122000</v>
      </c>
      <c r="D1807" s="2">
        <v>171673000</v>
      </c>
    </row>
    <row r="1808" spans="1:4" x14ac:dyDescent="0.25">
      <c r="A1808" s="23" t="s">
        <v>445</v>
      </c>
      <c r="B1808" t="s">
        <v>405</v>
      </c>
      <c r="C1808" s="2">
        <v>723391000</v>
      </c>
      <c r="D1808" s="2">
        <v>1365567000</v>
      </c>
    </row>
    <row r="1809" spans="1:4" x14ac:dyDescent="0.25">
      <c r="A1809" s="23" t="s">
        <v>445</v>
      </c>
      <c r="B1809" t="s">
        <v>352</v>
      </c>
      <c r="C1809" s="2">
        <v>182732000</v>
      </c>
      <c r="D1809" s="2">
        <v>613291000</v>
      </c>
    </row>
    <row r="1810" spans="1:4" x14ac:dyDescent="0.25">
      <c r="A1810" s="23" t="s">
        <v>445</v>
      </c>
      <c r="B1810" t="s">
        <v>353</v>
      </c>
      <c r="C1810" s="1">
        <f>382826000-90000000</f>
        <v>292826000</v>
      </c>
      <c r="D1810" s="2">
        <v>292643000</v>
      </c>
    </row>
    <row r="1811" spans="1:4" x14ac:dyDescent="0.25">
      <c r="A1811" s="23" t="s">
        <v>445</v>
      </c>
      <c r="B1811" t="s">
        <v>354</v>
      </c>
      <c r="C1811" s="2">
        <v>892259000</v>
      </c>
      <c r="D1811" s="2">
        <v>716533000</v>
      </c>
    </row>
    <row r="1812" spans="1:4" x14ac:dyDescent="0.25">
      <c r="A1812" s="23" t="s">
        <v>445</v>
      </c>
      <c r="B1812" t="s">
        <v>355</v>
      </c>
      <c r="C1812" s="1">
        <f>1295876000-330000000</f>
        <v>965876000</v>
      </c>
      <c r="D1812" s="2">
        <v>913293000</v>
      </c>
    </row>
    <row r="1813" spans="1:4" x14ac:dyDescent="0.25">
      <c r="A1813" s="23" t="s">
        <v>445</v>
      </c>
      <c r="B1813" t="s">
        <v>356</v>
      </c>
      <c r="C1813" s="2">
        <v>522349000</v>
      </c>
      <c r="D1813" s="2">
        <v>839227000</v>
      </c>
    </row>
    <row r="1814" spans="1:4" x14ac:dyDescent="0.25">
      <c r="A1814" s="23" t="s">
        <v>445</v>
      </c>
      <c r="B1814" t="s">
        <v>357</v>
      </c>
      <c r="C1814" s="2">
        <v>523864000</v>
      </c>
      <c r="D1814" s="2">
        <v>476896000</v>
      </c>
    </row>
    <row r="1815" spans="1:4" x14ac:dyDescent="0.25">
      <c r="A1815" s="23" t="s">
        <v>445</v>
      </c>
      <c r="B1815" t="s">
        <v>358</v>
      </c>
      <c r="C1815" s="2">
        <v>386773000</v>
      </c>
      <c r="D1815" s="2">
        <v>406800000</v>
      </c>
    </row>
    <row r="1816" spans="1:4" x14ac:dyDescent="0.25">
      <c r="A1816" s="23" t="s">
        <v>445</v>
      </c>
      <c r="B1816" t="s">
        <v>359</v>
      </c>
      <c r="C1816" s="2">
        <v>918715000</v>
      </c>
      <c r="D1816" s="2">
        <v>463062000</v>
      </c>
    </row>
    <row r="1817" spans="1:4" x14ac:dyDescent="0.25">
      <c r="A1817" s="23" t="s">
        <v>445</v>
      </c>
      <c r="B1817" t="s">
        <v>360</v>
      </c>
      <c r="C1817" s="2">
        <v>682107000</v>
      </c>
      <c r="D1817" s="2">
        <v>397950000</v>
      </c>
    </row>
    <row r="1818" spans="1:4" x14ac:dyDescent="0.25">
      <c r="A1818" s="23" t="s">
        <v>445</v>
      </c>
      <c r="B1818" t="s">
        <v>361</v>
      </c>
      <c r="C1818" s="2">
        <v>880551000</v>
      </c>
      <c r="D1818" s="2">
        <v>577653000</v>
      </c>
    </row>
    <row r="1819" spans="1:4" x14ac:dyDescent="0.25">
      <c r="A1819" s="23" t="s">
        <v>445</v>
      </c>
      <c r="B1819" t="s">
        <v>362</v>
      </c>
      <c r="C1819" s="2">
        <v>701605000</v>
      </c>
      <c r="D1819" s="2">
        <v>642030000</v>
      </c>
    </row>
    <row r="1820" spans="1:4" x14ac:dyDescent="0.25">
      <c r="A1820" s="23" t="s">
        <v>445</v>
      </c>
      <c r="B1820" t="s">
        <v>363</v>
      </c>
      <c r="C1820" s="2">
        <v>201760000</v>
      </c>
      <c r="D1820" s="2">
        <v>700903000</v>
      </c>
    </row>
    <row r="1821" spans="1:4" x14ac:dyDescent="0.25">
      <c r="A1821" s="23" t="s">
        <v>445</v>
      </c>
      <c r="B1821" t="s">
        <v>364</v>
      </c>
      <c r="C1821" s="1">
        <f>1020879000-350000000</f>
        <v>670879000</v>
      </c>
      <c r="D1821" s="2">
        <v>541879000</v>
      </c>
    </row>
    <row r="1822" spans="1:4" x14ac:dyDescent="0.25">
      <c r="A1822" s="23" t="s">
        <v>445</v>
      </c>
      <c r="B1822" t="s">
        <v>365</v>
      </c>
      <c r="C1822" s="2">
        <v>990399000</v>
      </c>
      <c r="D1822" s="2">
        <v>766686000</v>
      </c>
    </row>
    <row r="1823" spans="1:4" x14ac:dyDescent="0.25">
      <c r="A1823" s="23" t="s">
        <v>445</v>
      </c>
      <c r="B1823" t="s">
        <v>366</v>
      </c>
      <c r="C1823" s="1">
        <f>1154284000-100000000</f>
        <v>1054284000</v>
      </c>
      <c r="D1823" s="2">
        <v>907954000</v>
      </c>
    </row>
    <row r="1824" spans="1:4" x14ac:dyDescent="0.25">
      <c r="A1824" s="23" t="s">
        <v>445</v>
      </c>
      <c r="B1824" t="s">
        <v>367</v>
      </c>
      <c r="C1824" s="2">
        <v>756468000</v>
      </c>
      <c r="D1824" s="2">
        <v>656968000</v>
      </c>
    </row>
    <row r="1825" spans="1:4" x14ac:dyDescent="0.25">
      <c r="A1825" s="23" t="s">
        <v>445</v>
      </c>
      <c r="B1825" t="s">
        <v>368</v>
      </c>
      <c r="C1825" s="2">
        <v>493725000</v>
      </c>
      <c r="D1825" s="2">
        <v>1458436000</v>
      </c>
    </row>
    <row r="1826" spans="1:4" x14ac:dyDescent="0.25">
      <c r="A1826" s="23" t="s">
        <v>445</v>
      </c>
      <c r="B1826" t="s">
        <v>369</v>
      </c>
      <c r="C1826" s="2">
        <v>856079000</v>
      </c>
      <c r="D1826" s="2">
        <v>566468000</v>
      </c>
    </row>
    <row r="1827" spans="1:4" x14ac:dyDescent="0.25">
      <c r="A1827" s="23" t="s">
        <v>445</v>
      </c>
      <c r="B1827" t="s">
        <v>370</v>
      </c>
      <c r="C1827" s="2">
        <v>571323000</v>
      </c>
      <c r="D1827" s="2">
        <v>317342000</v>
      </c>
    </row>
    <row r="1828" spans="1:4" x14ac:dyDescent="0.25">
      <c r="A1828" s="23" t="s">
        <v>445</v>
      </c>
      <c r="B1828" t="s">
        <v>371</v>
      </c>
      <c r="C1828" s="1">
        <f>2101462000-1410000000</f>
        <v>691462000</v>
      </c>
      <c r="D1828" s="2">
        <v>1662727000</v>
      </c>
    </row>
    <row r="1829" spans="1:4" x14ac:dyDescent="0.25">
      <c r="A1829" s="23" t="s">
        <v>445</v>
      </c>
      <c r="B1829" t="s">
        <v>372</v>
      </c>
      <c r="C1829" s="1">
        <f>3498170000-10000000</f>
        <v>3488170000</v>
      </c>
      <c r="D1829" s="2">
        <v>1896478000</v>
      </c>
    </row>
    <row r="1830" spans="1:4" x14ac:dyDescent="0.25">
      <c r="A1830" s="23" t="s">
        <v>445</v>
      </c>
      <c r="B1830" t="s">
        <v>373</v>
      </c>
      <c r="C1830" s="1">
        <f>1404889000-575000000</f>
        <v>829889000</v>
      </c>
      <c r="D1830" s="2">
        <v>703119000</v>
      </c>
    </row>
    <row r="1831" spans="1:4" x14ac:dyDescent="0.25">
      <c r="A1831" s="23" t="s">
        <v>445</v>
      </c>
      <c r="B1831" t="s">
        <v>374</v>
      </c>
      <c r="C1831" s="1">
        <f>4004907000-2381790000</f>
        <v>1623117000</v>
      </c>
      <c r="D1831" s="2">
        <v>2850607000</v>
      </c>
    </row>
    <row r="1832" spans="1:4" x14ac:dyDescent="0.25">
      <c r="A1832" s="23" t="s">
        <v>445</v>
      </c>
      <c r="B1832" t="s">
        <v>375</v>
      </c>
      <c r="C1832" s="2">
        <v>385744000</v>
      </c>
      <c r="D1832" s="2">
        <v>1107770000</v>
      </c>
    </row>
    <row r="1833" spans="1:4" x14ac:dyDescent="0.25">
      <c r="A1833" s="23" t="s">
        <v>445</v>
      </c>
      <c r="B1833" t="s">
        <v>376</v>
      </c>
      <c r="C1833" s="1">
        <f>1240486000-100000000</f>
        <v>1140486000</v>
      </c>
      <c r="D1833" s="2">
        <v>970856000</v>
      </c>
    </row>
    <row r="1834" spans="1:4" x14ac:dyDescent="0.25">
      <c r="A1834" s="23" t="s">
        <v>445</v>
      </c>
      <c r="B1834" t="s">
        <v>377</v>
      </c>
      <c r="C1834" s="1">
        <f>1426917000-2800000</f>
        <v>1424117000</v>
      </c>
      <c r="D1834" s="2">
        <v>1256427000</v>
      </c>
    </row>
    <row r="1835" spans="1:4" x14ac:dyDescent="0.25">
      <c r="A1835" s="23" t="s">
        <v>445</v>
      </c>
      <c r="B1835" t="s">
        <v>378</v>
      </c>
      <c r="C1835" s="1">
        <f>676116000-60000000</f>
        <v>616116000</v>
      </c>
      <c r="D1835" s="2">
        <v>1157405000</v>
      </c>
    </row>
    <row r="1836" spans="1:4" x14ac:dyDescent="0.25">
      <c r="A1836" s="23" t="s">
        <v>445</v>
      </c>
      <c r="B1836" t="s">
        <v>412</v>
      </c>
      <c r="C1836" s="2">
        <v>839757000</v>
      </c>
      <c r="D1836" s="2">
        <v>469257000</v>
      </c>
    </row>
    <row r="1837" spans="1:4" x14ac:dyDescent="0.25">
      <c r="A1837" s="23" t="s">
        <v>445</v>
      </c>
      <c r="B1837" t="s">
        <v>379</v>
      </c>
      <c r="C1837" s="2">
        <v>995937000</v>
      </c>
      <c r="D1837" s="2">
        <v>1106462000</v>
      </c>
    </row>
    <row r="1838" spans="1:4" x14ac:dyDescent="0.25">
      <c r="A1838" s="23" t="s">
        <v>445</v>
      </c>
      <c r="B1838" t="s">
        <v>380</v>
      </c>
      <c r="C1838" s="2">
        <v>714409000</v>
      </c>
      <c r="D1838" s="2">
        <v>1090197000</v>
      </c>
    </row>
    <row r="1839" spans="1:4" x14ac:dyDescent="0.25">
      <c r="A1839" s="23" t="s">
        <v>445</v>
      </c>
      <c r="B1839" t="s">
        <v>381</v>
      </c>
      <c r="C1839" s="2">
        <v>1115738000</v>
      </c>
      <c r="D1839" s="2">
        <v>823396000</v>
      </c>
    </row>
    <row r="1840" spans="1:4" x14ac:dyDescent="0.25">
      <c r="A1840" s="23" t="s">
        <v>445</v>
      </c>
      <c r="B1840" t="s">
        <v>382</v>
      </c>
      <c r="C1840" s="2">
        <v>925318000</v>
      </c>
      <c r="D1840" s="2">
        <v>768572000</v>
      </c>
    </row>
    <row r="1841" spans="1:4" x14ac:dyDescent="0.25">
      <c r="A1841" s="23" t="s">
        <v>445</v>
      </c>
      <c r="B1841" t="s">
        <v>383</v>
      </c>
      <c r="C1841" s="2">
        <v>1295423000</v>
      </c>
      <c r="D1841" s="2">
        <v>966423000</v>
      </c>
    </row>
    <row r="1842" spans="1:4" x14ac:dyDescent="0.25">
      <c r="A1842" s="23" t="s">
        <v>445</v>
      </c>
      <c r="B1842" t="s">
        <v>384</v>
      </c>
      <c r="C1842" s="2">
        <v>654363000</v>
      </c>
      <c r="D1842" s="2">
        <v>601475000</v>
      </c>
    </row>
    <row r="1843" spans="1:4" x14ac:dyDescent="0.25">
      <c r="A1843" s="23" t="s">
        <v>445</v>
      </c>
      <c r="B1843" t="s">
        <v>385</v>
      </c>
      <c r="C1843" s="2">
        <v>821840000</v>
      </c>
      <c r="D1843" s="2">
        <v>816843000</v>
      </c>
    </row>
    <row r="1844" spans="1:4" x14ac:dyDescent="0.25">
      <c r="A1844" s="23" t="s">
        <v>445</v>
      </c>
      <c r="B1844" t="s">
        <v>386</v>
      </c>
      <c r="C1844" s="2">
        <v>681745000</v>
      </c>
      <c r="D1844" s="2">
        <v>652945000</v>
      </c>
    </row>
    <row r="1845" spans="1:4" x14ac:dyDescent="0.25">
      <c r="A1845" s="23" t="s">
        <v>445</v>
      </c>
      <c r="B1845" t="s">
        <v>387</v>
      </c>
      <c r="C1845" s="1">
        <f>348156000-100000000</f>
        <v>248156000</v>
      </c>
      <c r="D1845" s="2">
        <v>704404000</v>
      </c>
    </row>
    <row r="1846" spans="1:4" x14ac:dyDescent="0.25">
      <c r="A1846" s="23" t="s">
        <v>445</v>
      </c>
      <c r="B1846" t="s">
        <v>388</v>
      </c>
      <c r="C1846" s="2">
        <v>514917000</v>
      </c>
      <c r="D1846" s="2">
        <v>969071000</v>
      </c>
    </row>
    <row r="1847" spans="1:4" x14ac:dyDescent="0.25">
      <c r="A1847" s="23" t="s">
        <v>445</v>
      </c>
      <c r="B1847" t="s">
        <v>389</v>
      </c>
      <c r="C1847" s="2">
        <v>691998000</v>
      </c>
      <c r="D1847" s="2">
        <v>629838000</v>
      </c>
    </row>
    <row r="1848" spans="1:4" x14ac:dyDescent="0.25">
      <c r="A1848" s="23" t="s">
        <v>445</v>
      </c>
      <c r="B1848" t="s">
        <v>390</v>
      </c>
      <c r="C1848" s="2">
        <v>366909000</v>
      </c>
      <c r="D1848" s="2">
        <v>505465000</v>
      </c>
    </row>
    <row r="1849" spans="1:4" x14ac:dyDescent="0.25">
      <c r="A1849" s="23" t="s">
        <v>445</v>
      </c>
      <c r="B1849" t="s">
        <v>391</v>
      </c>
      <c r="C1849" s="2">
        <v>1141534000</v>
      </c>
      <c r="D1849" s="2">
        <v>837170000</v>
      </c>
    </row>
    <row r="1850" spans="1:4" x14ac:dyDescent="0.25">
      <c r="A1850" s="23" t="s">
        <v>445</v>
      </c>
      <c r="B1850" t="s">
        <v>392</v>
      </c>
      <c r="C1850" s="1">
        <f>540819000-12000000</f>
        <v>528819000</v>
      </c>
      <c r="D1850" s="2">
        <v>834054000</v>
      </c>
    </row>
    <row r="1851" spans="1:4" x14ac:dyDescent="0.25">
      <c r="A1851" s="23" t="s">
        <v>445</v>
      </c>
      <c r="B1851" t="s">
        <v>393</v>
      </c>
      <c r="C1851" s="1">
        <f>1351997000-530000000</f>
        <v>821997000</v>
      </c>
      <c r="D1851" s="2">
        <v>661497000</v>
      </c>
    </row>
    <row r="1852" spans="1:4" x14ac:dyDescent="0.25">
      <c r="A1852" s="23" t="s">
        <v>445</v>
      </c>
      <c r="B1852" t="s">
        <v>394</v>
      </c>
      <c r="C1852" s="2">
        <v>899394000</v>
      </c>
      <c r="D1852" s="2">
        <v>851046000</v>
      </c>
    </row>
    <row r="1853" spans="1:4" x14ac:dyDescent="0.25">
      <c r="A1853" s="23" t="s">
        <v>445</v>
      </c>
      <c r="B1853" t="s">
        <v>395</v>
      </c>
      <c r="C1853" s="1">
        <f>617447000-100000000</f>
        <v>517447000</v>
      </c>
      <c r="D1853" s="2">
        <v>438347000</v>
      </c>
    </row>
    <row r="1854" spans="1:4" x14ac:dyDescent="0.25">
      <c r="A1854" s="23" t="s">
        <v>445</v>
      </c>
      <c r="B1854" t="s">
        <v>396</v>
      </c>
      <c r="C1854" s="2">
        <v>82712000</v>
      </c>
      <c r="D1854" s="2">
        <v>351694000</v>
      </c>
    </row>
    <row r="1855" spans="1:4" x14ac:dyDescent="0.25">
      <c r="A1855" s="23" t="s">
        <v>446</v>
      </c>
      <c r="B1855" t="s">
        <v>201</v>
      </c>
      <c r="C1855" s="2">
        <v>409494391000</v>
      </c>
      <c r="D1855" s="2">
        <v>426738562000</v>
      </c>
    </row>
    <row r="1856" spans="1:4" x14ac:dyDescent="0.25">
      <c r="A1856" s="23" t="s">
        <v>446</v>
      </c>
      <c r="B1856" t="s">
        <v>424</v>
      </c>
      <c r="C1856" s="2">
        <v>0</v>
      </c>
      <c r="D1856" s="2">
        <v>0</v>
      </c>
    </row>
    <row r="1857" spans="1:4" x14ac:dyDescent="0.25">
      <c r="A1857" s="23" t="s">
        <v>446</v>
      </c>
      <c r="B1857" t="s">
        <v>202</v>
      </c>
      <c r="C1857" s="2">
        <v>226345000</v>
      </c>
      <c r="D1857" s="2">
        <v>125145000</v>
      </c>
    </row>
    <row r="1858" spans="1:4" x14ac:dyDescent="0.25">
      <c r="A1858" s="23" t="s">
        <v>446</v>
      </c>
      <c r="B1858" t="s">
        <v>203</v>
      </c>
      <c r="C1858" s="2">
        <v>112393000</v>
      </c>
      <c r="D1858" s="2">
        <v>112393000</v>
      </c>
    </row>
    <row r="1859" spans="1:4" x14ac:dyDescent="0.25">
      <c r="A1859" s="23" t="s">
        <v>446</v>
      </c>
      <c r="B1859" t="s">
        <v>204</v>
      </c>
      <c r="C1859" s="2">
        <v>178065000</v>
      </c>
      <c r="D1859" s="2">
        <v>178065000</v>
      </c>
    </row>
    <row r="1860" spans="1:4" x14ac:dyDescent="0.25">
      <c r="A1860" s="23" t="s">
        <v>446</v>
      </c>
      <c r="B1860" t="s">
        <v>205</v>
      </c>
      <c r="C1860" s="2">
        <v>2865377000</v>
      </c>
      <c r="D1860" s="2">
        <v>2558049000</v>
      </c>
    </row>
    <row r="1861" spans="1:4" x14ac:dyDescent="0.25">
      <c r="A1861" s="23" t="s">
        <v>446</v>
      </c>
      <c r="B1861" t="s">
        <v>206</v>
      </c>
      <c r="C1861" s="2">
        <v>133715000</v>
      </c>
      <c r="D1861" s="2">
        <v>133715000</v>
      </c>
    </row>
    <row r="1862" spans="1:4" x14ac:dyDescent="0.25">
      <c r="A1862" s="23" t="s">
        <v>446</v>
      </c>
      <c r="B1862" t="s">
        <v>207</v>
      </c>
      <c r="C1862" s="2">
        <v>111336000</v>
      </c>
      <c r="D1862" s="2">
        <v>111336000</v>
      </c>
    </row>
    <row r="1863" spans="1:4" x14ac:dyDescent="0.25">
      <c r="A1863" s="23" t="s">
        <v>446</v>
      </c>
      <c r="B1863" t="s">
        <v>208</v>
      </c>
      <c r="C1863" s="2">
        <v>130318000</v>
      </c>
      <c r="D1863" s="2">
        <v>130318000</v>
      </c>
    </row>
    <row r="1864" spans="1:4" x14ac:dyDescent="0.25">
      <c r="A1864" s="23" t="s">
        <v>446</v>
      </c>
      <c r="B1864" t="s">
        <v>209</v>
      </c>
      <c r="C1864" s="2">
        <v>116444000</v>
      </c>
      <c r="D1864" s="2">
        <v>116444000</v>
      </c>
    </row>
    <row r="1865" spans="1:4" x14ac:dyDescent="0.25">
      <c r="A1865" s="23" t="s">
        <v>446</v>
      </c>
      <c r="B1865" t="s">
        <v>210</v>
      </c>
      <c r="C1865" s="2">
        <v>490384000</v>
      </c>
      <c r="D1865" s="2">
        <v>410733000</v>
      </c>
    </row>
    <row r="1866" spans="1:4" x14ac:dyDescent="0.25">
      <c r="A1866" s="23" t="s">
        <v>446</v>
      </c>
      <c r="B1866" t="s">
        <v>211</v>
      </c>
      <c r="C1866" s="2">
        <v>541270000</v>
      </c>
      <c r="D1866" s="2">
        <v>445330000</v>
      </c>
    </row>
    <row r="1867" spans="1:4" x14ac:dyDescent="0.25">
      <c r="A1867" s="23" t="s">
        <v>446</v>
      </c>
      <c r="B1867" t="s">
        <v>212</v>
      </c>
      <c r="C1867" s="2">
        <v>179055000</v>
      </c>
      <c r="D1867" s="2">
        <v>127325000</v>
      </c>
    </row>
    <row r="1868" spans="1:4" x14ac:dyDescent="0.25">
      <c r="A1868" s="23" t="s">
        <v>446</v>
      </c>
      <c r="B1868" t="s">
        <v>213</v>
      </c>
      <c r="C1868" s="2">
        <v>111062000</v>
      </c>
      <c r="D1868" s="2">
        <v>111062000</v>
      </c>
    </row>
    <row r="1869" spans="1:4" x14ac:dyDescent="0.25">
      <c r="A1869" s="23" t="s">
        <v>446</v>
      </c>
      <c r="B1869" t="s">
        <v>214</v>
      </c>
      <c r="C1869" s="2">
        <v>116086000</v>
      </c>
      <c r="D1869" s="2">
        <v>116086000</v>
      </c>
    </row>
    <row r="1870" spans="1:4" x14ac:dyDescent="0.25">
      <c r="A1870" s="23" t="s">
        <v>446</v>
      </c>
      <c r="B1870" t="s">
        <v>215</v>
      </c>
      <c r="C1870" s="2">
        <v>127741000</v>
      </c>
      <c r="D1870" s="2">
        <v>127741000</v>
      </c>
    </row>
    <row r="1871" spans="1:4" x14ac:dyDescent="0.25">
      <c r="A1871" s="23" t="s">
        <v>446</v>
      </c>
      <c r="B1871" t="s">
        <v>216</v>
      </c>
      <c r="C1871" s="2">
        <v>108809000</v>
      </c>
      <c r="D1871" s="2">
        <v>108809000</v>
      </c>
    </row>
    <row r="1872" spans="1:4" x14ac:dyDescent="0.25">
      <c r="A1872" s="23" t="s">
        <v>446</v>
      </c>
      <c r="B1872" t="s">
        <v>217</v>
      </c>
      <c r="C1872" s="2">
        <v>123466000</v>
      </c>
      <c r="D1872" s="2">
        <v>123466000</v>
      </c>
    </row>
    <row r="1873" spans="1:4" x14ac:dyDescent="0.25">
      <c r="A1873" s="23" t="s">
        <v>446</v>
      </c>
      <c r="B1873" t="s">
        <v>218</v>
      </c>
      <c r="C1873" s="2">
        <v>1875670000</v>
      </c>
      <c r="D1873" s="2">
        <v>1615670000</v>
      </c>
    </row>
    <row r="1874" spans="1:4" x14ac:dyDescent="0.25">
      <c r="A1874" s="23" t="s">
        <v>446</v>
      </c>
      <c r="B1874" t="s">
        <v>219</v>
      </c>
      <c r="C1874" s="2">
        <v>1574263000</v>
      </c>
      <c r="D1874" s="2">
        <v>1459263000</v>
      </c>
    </row>
    <row r="1875" spans="1:4" x14ac:dyDescent="0.25">
      <c r="A1875" s="23" t="s">
        <v>446</v>
      </c>
      <c r="B1875" t="s">
        <v>220</v>
      </c>
      <c r="C1875" s="2">
        <v>4455690000</v>
      </c>
      <c r="D1875" s="2">
        <v>4803826000</v>
      </c>
    </row>
    <row r="1876" spans="1:4" x14ac:dyDescent="0.25">
      <c r="A1876" s="23" t="s">
        <v>446</v>
      </c>
      <c r="B1876" t="s">
        <v>221</v>
      </c>
      <c r="C1876" s="2">
        <v>2922729000</v>
      </c>
      <c r="D1876" s="2">
        <v>2793382000</v>
      </c>
    </row>
    <row r="1877" spans="1:4" x14ac:dyDescent="0.25">
      <c r="A1877" s="23" t="s">
        <v>446</v>
      </c>
      <c r="B1877" t="s">
        <v>222</v>
      </c>
      <c r="C1877" s="2">
        <v>2557822000</v>
      </c>
      <c r="D1877" s="2">
        <v>3150919000</v>
      </c>
    </row>
    <row r="1878" spans="1:4" x14ac:dyDescent="0.25">
      <c r="A1878" s="23" t="s">
        <v>446</v>
      </c>
      <c r="B1878" t="s">
        <v>223</v>
      </c>
      <c r="C1878" s="2">
        <v>4043518000</v>
      </c>
      <c r="D1878" s="2">
        <v>4213818000</v>
      </c>
    </row>
    <row r="1879" spans="1:4" x14ac:dyDescent="0.25">
      <c r="A1879" s="23" t="s">
        <v>446</v>
      </c>
      <c r="B1879" t="s">
        <v>224</v>
      </c>
      <c r="C1879" s="2">
        <v>2443838000</v>
      </c>
      <c r="D1879" s="2">
        <v>3008610000</v>
      </c>
    </row>
    <row r="1880" spans="1:4" x14ac:dyDescent="0.25">
      <c r="A1880" s="23" t="s">
        <v>446</v>
      </c>
      <c r="B1880" t="s">
        <v>225</v>
      </c>
      <c r="C1880" s="2">
        <v>1179101000</v>
      </c>
      <c r="D1880" s="2">
        <v>1634298000</v>
      </c>
    </row>
    <row r="1881" spans="1:4" x14ac:dyDescent="0.25">
      <c r="A1881" s="23" t="s">
        <v>446</v>
      </c>
      <c r="B1881" t="s">
        <v>226</v>
      </c>
      <c r="C1881" s="2">
        <v>1572539000</v>
      </c>
      <c r="D1881" s="2">
        <v>1499016000</v>
      </c>
    </row>
    <row r="1882" spans="1:4" x14ac:dyDescent="0.25">
      <c r="A1882" s="23" t="s">
        <v>446</v>
      </c>
      <c r="B1882" t="s">
        <v>227</v>
      </c>
      <c r="C1882" s="2">
        <v>2761454000</v>
      </c>
      <c r="D1882" s="2">
        <v>2544454000</v>
      </c>
    </row>
    <row r="1883" spans="1:4" x14ac:dyDescent="0.25">
      <c r="A1883" s="23" t="s">
        <v>446</v>
      </c>
      <c r="B1883" t="s">
        <v>228</v>
      </c>
      <c r="C1883" s="2">
        <v>199713000</v>
      </c>
      <c r="D1883" s="2">
        <v>1121592000</v>
      </c>
    </row>
    <row r="1884" spans="1:4" x14ac:dyDescent="0.25">
      <c r="A1884" s="23" t="s">
        <v>446</v>
      </c>
      <c r="B1884" t="s">
        <v>229</v>
      </c>
      <c r="C1884" s="2">
        <v>1225376000</v>
      </c>
      <c r="D1884" s="2">
        <v>1074666000</v>
      </c>
    </row>
    <row r="1885" spans="1:4" x14ac:dyDescent="0.25">
      <c r="A1885" s="23" t="s">
        <v>446</v>
      </c>
      <c r="B1885" t="s">
        <v>230</v>
      </c>
      <c r="C1885" s="2">
        <v>1432726000</v>
      </c>
      <c r="D1885" s="2">
        <v>1463426000</v>
      </c>
    </row>
    <row r="1886" spans="1:4" x14ac:dyDescent="0.25">
      <c r="A1886" s="23" t="s">
        <v>446</v>
      </c>
      <c r="B1886" t="s">
        <v>231</v>
      </c>
      <c r="C1886" s="2">
        <v>718615000</v>
      </c>
      <c r="D1886" s="2">
        <v>614615000</v>
      </c>
    </row>
    <row r="1887" spans="1:4" x14ac:dyDescent="0.25">
      <c r="A1887" s="23" t="s">
        <v>446</v>
      </c>
      <c r="B1887" t="s">
        <v>232</v>
      </c>
      <c r="C1887" s="2">
        <v>1098567000</v>
      </c>
      <c r="D1887" s="2">
        <v>963567000</v>
      </c>
    </row>
    <row r="1888" spans="1:4" x14ac:dyDescent="0.25">
      <c r="A1888" s="23" t="s">
        <v>446</v>
      </c>
      <c r="B1888" t="s">
        <v>233</v>
      </c>
      <c r="C1888" s="2">
        <v>1282249000</v>
      </c>
      <c r="D1888" s="2">
        <v>1262249000</v>
      </c>
    </row>
    <row r="1889" spans="1:4" x14ac:dyDescent="0.25">
      <c r="A1889" s="23" t="s">
        <v>446</v>
      </c>
      <c r="B1889" t="s">
        <v>234</v>
      </c>
      <c r="C1889" s="2">
        <v>1598786000</v>
      </c>
      <c r="D1889" s="2">
        <v>1277249000</v>
      </c>
    </row>
    <row r="1890" spans="1:4" x14ac:dyDescent="0.25">
      <c r="A1890" s="23" t="s">
        <v>446</v>
      </c>
      <c r="B1890" t="s">
        <v>235</v>
      </c>
      <c r="C1890" s="2">
        <v>2173712000</v>
      </c>
      <c r="D1890" s="2">
        <v>1967897000</v>
      </c>
    </row>
    <row r="1891" spans="1:4" x14ac:dyDescent="0.25">
      <c r="A1891" s="23" t="s">
        <v>446</v>
      </c>
      <c r="B1891" t="s">
        <v>236</v>
      </c>
      <c r="C1891" s="2">
        <v>2029970000</v>
      </c>
      <c r="D1891" s="2">
        <v>1754328000</v>
      </c>
    </row>
    <row r="1892" spans="1:4" x14ac:dyDescent="0.25">
      <c r="A1892" s="23" t="s">
        <v>446</v>
      </c>
      <c r="B1892" t="s">
        <v>237</v>
      </c>
      <c r="C1892" s="2">
        <v>2531577000</v>
      </c>
      <c r="D1892" s="2">
        <v>1372527000</v>
      </c>
    </row>
    <row r="1893" spans="1:4" x14ac:dyDescent="0.25">
      <c r="A1893" s="23" t="s">
        <v>446</v>
      </c>
      <c r="B1893" t="s">
        <v>238</v>
      </c>
      <c r="C1893" s="2">
        <v>448569000</v>
      </c>
      <c r="D1893" s="2">
        <v>331028000</v>
      </c>
    </row>
    <row r="1894" spans="1:4" x14ac:dyDescent="0.25">
      <c r="A1894" s="23" t="s">
        <v>446</v>
      </c>
      <c r="B1894" t="s">
        <v>239</v>
      </c>
      <c r="C1894" s="2">
        <v>629558000</v>
      </c>
      <c r="D1894" s="2">
        <v>577658000</v>
      </c>
    </row>
    <row r="1895" spans="1:4" x14ac:dyDescent="0.25">
      <c r="A1895" s="23" t="s">
        <v>446</v>
      </c>
      <c r="B1895" t="s">
        <v>240</v>
      </c>
      <c r="C1895" s="2">
        <v>662035000</v>
      </c>
      <c r="D1895" s="2">
        <v>513785000</v>
      </c>
    </row>
    <row r="1896" spans="1:4" x14ac:dyDescent="0.25">
      <c r="A1896" s="23" t="s">
        <v>446</v>
      </c>
      <c r="B1896" t="s">
        <v>241</v>
      </c>
      <c r="C1896" s="2">
        <v>745230000</v>
      </c>
      <c r="D1896" s="2">
        <v>646703000</v>
      </c>
    </row>
    <row r="1897" spans="1:4" x14ac:dyDescent="0.25">
      <c r="A1897" s="23" t="s">
        <v>446</v>
      </c>
      <c r="B1897" t="s">
        <v>242</v>
      </c>
      <c r="C1897" s="2">
        <v>470032000</v>
      </c>
      <c r="D1897" s="2">
        <v>389032000</v>
      </c>
    </row>
    <row r="1898" spans="1:4" x14ac:dyDescent="0.25">
      <c r="A1898" s="23" t="s">
        <v>446</v>
      </c>
      <c r="B1898" t="s">
        <v>243</v>
      </c>
      <c r="C1898" s="2">
        <v>43547000</v>
      </c>
      <c r="D1898" s="2">
        <v>229199000</v>
      </c>
    </row>
    <row r="1899" spans="1:4" x14ac:dyDescent="0.25">
      <c r="A1899" s="23" t="s">
        <v>446</v>
      </c>
      <c r="B1899" t="s">
        <v>244</v>
      </c>
      <c r="C1899" s="2">
        <v>29142000</v>
      </c>
      <c r="D1899" s="2">
        <v>278167000</v>
      </c>
    </row>
    <row r="1900" spans="1:4" x14ac:dyDescent="0.25">
      <c r="A1900" s="23" t="s">
        <v>446</v>
      </c>
      <c r="B1900" t="s">
        <v>245</v>
      </c>
      <c r="C1900" s="2">
        <v>947770000</v>
      </c>
      <c r="D1900" s="2">
        <v>744204000</v>
      </c>
    </row>
    <row r="1901" spans="1:4" x14ac:dyDescent="0.25">
      <c r="A1901" s="23" t="s">
        <v>446</v>
      </c>
      <c r="B1901" t="s">
        <v>246</v>
      </c>
      <c r="C1901" s="2">
        <v>513941000</v>
      </c>
      <c r="D1901" s="2">
        <v>529441000</v>
      </c>
    </row>
    <row r="1902" spans="1:4" x14ac:dyDescent="0.25">
      <c r="A1902" s="23" t="s">
        <v>446</v>
      </c>
      <c r="B1902" t="s">
        <v>247</v>
      </c>
      <c r="C1902" s="2">
        <v>681306000</v>
      </c>
      <c r="D1902" s="2">
        <v>608806000</v>
      </c>
    </row>
    <row r="1903" spans="1:4" x14ac:dyDescent="0.25">
      <c r="A1903" s="23" t="s">
        <v>446</v>
      </c>
      <c r="B1903" t="s">
        <v>248</v>
      </c>
      <c r="C1903" s="2">
        <v>698913000</v>
      </c>
      <c r="D1903" s="2">
        <v>525108000</v>
      </c>
    </row>
    <row r="1904" spans="1:4" x14ac:dyDescent="0.25">
      <c r="A1904" s="23" t="s">
        <v>446</v>
      </c>
      <c r="B1904" t="s">
        <v>249</v>
      </c>
      <c r="C1904" s="2">
        <v>1787648000</v>
      </c>
      <c r="D1904" s="2">
        <v>1871587000</v>
      </c>
    </row>
    <row r="1905" spans="1:4" x14ac:dyDescent="0.25">
      <c r="A1905" s="23" t="s">
        <v>446</v>
      </c>
      <c r="B1905" t="s">
        <v>250</v>
      </c>
      <c r="C1905" s="2">
        <v>612840000</v>
      </c>
      <c r="D1905" s="2">
        <v>626840000</v>
      </c>
    </row>
    <row r="1906" spans="1:4" x14ac:dyDescent="0.25">
      <c r="A1906" s="23" t="s">
        <v>446</v>
      </c>
      <c r="B1906" t="s">
        <v>251</v>
      </c>
      <c r="C1906" s="2">
        <v>708795000</v>
      </c>
      <c r="D1906" s="2">
        <v>553455000</v>
      </c>
    </row>
    <row r="1907" spans="1:4" x14ac:dyDescent="0.25">
      <c r="A1907" s="23" t="s">
        <v>446</v>
      </c>
      <c r="B1907" t="s">
        <v>252</v>
      </c>
      <c r="C1907" s="2">
        <v>946843000</v>
      </c>
      <c r="D1907" s="2">
        <v>877843000</v>
      </c>
    </row>
    <row r="1908" spans="1:4" x14ac:dyDescent="0.25">
      <c r="A1908" s="23" t="s">
        <v>446</v>
      </c>
      <c r="B1908" t="s">
        <v>253</v>
      </c>
      <c r="C1908" s="2">
        <v>947103000</v>
      </c>
      <c r="D1908" s="2">
        <v>1157697000</v>
      </c>
    </row>
    <row r="1909" spans="1:4" x14ac:dyDescent="0.25">
      <c r="A1909" s="23" t="s">
        <v>446</v>
      </c>
      <c r="B1909" t="s">
        <v>254</v>
      </c>
      <c r="C1909" s="2">
        <v>763533000</v>
      </c>
      <c r="D1909" s="2">
        <v>750533000</v>
      </c>
    </row>
    <row r="1910" spans="1:4" x14ac:dyDescent="0.25">
      <c r="A1910" s="23" t="s">
        <v>446</v>
      </c>
      <c r="B1910" t="s">
        <v>255</v>
      </c>
      <c r="C1910" s="2">
        <v>632863000</v>
      </c>
      <c r="D1910" s="2">
        <v>457793000</v>
      </c>
    </row>
    <row r="1911" spans="1:4" x14ac:dyDescent="0.25">
      <c r="A1911" s="23" t="s">
        <v>446</v>
      </c>
      <c r="B1911" t="s">
        <v>256</v>
      </c>
      <c r="C1911" s="2">
        <v>356771000</v>
      </c>
      <c r="D1911" s="2">
        <v>356771000</v>
      </c>
    </row>
    <row r="1912" spans="1:4" x14ac:dyDescent="0.25">
      <c r="A1912" s="23" t="s">
        <v>446</v>
      </c>
      <c r="B1912" t="s">
        <v>257</v>
      </c>
      <c r="C1912" s="2">
        <v>990131000</v>
      </c>
      <c r="D1912" s="2">
        <v>704511000</v>
      </c>
    </row>
    <row r="1913" spans="1:4" x14ac:dyDescent="0.25">
      <c r="A1913" s="23" t="s">
        <v>446</v>
      </c>
      <c r="B1913" t="s">
        <v>258</v>
      </c>
      <c r="C1913" s="2">
        <v>1550747000</v>
      </c>
      <c r="D1913" s="2">
        <v>900088000</v>
      </c>
    </row>
    <row r="1914" spans="1:4" x14ac:dyDescent="0.25">
      <c r="A1914" s="23" t="s">
        <v>446</v>
      </c>
      <c r="B1914" t="s">
        <v>259</v>
      </c>
      <c r="C1914" s="2">
        <v>778569000</v>
      </c>
      <c r="D1914" s="2">
        <v>661569000</v>
      </c>
    </row>
    <row r="1915" spans="1:4" x14ac:dyDescent="0.25">
      <c r="A1915" s="23" t="s">
        <v>446</v>
      </c>
      <c r="B1915" t="s">
        <v>260</v>
      </c>
      <c r="C1915" s="2">
        <v>884029000</v>
      </c>
      <c r="D1915" s="2">
        <v>713481000</v>
      </c>
    </row>
    <row r="1916" spans="1:4" x14ac:dyDescent="0.25">
      <c r="A1916" s="23" t="s">
        <v>446</v>
      </c>
      <c r="B1916" t="s">
        <v>261</v>
      </c>
      <c r="C1916" s="2">
        <v>3075182000</v>
      </c>
      <c r="D1916" s="2">
        <v>2450182000</v>
      </c>
    </row>
    <row r="1917" spans="1:4" x14ac:dyDescent="0.25">
      <c r="A1917" s="23" t="s">
        <v>446</v>
      </c>
      <c r="B1917" t="s">
        <v>262</v>
      </c>
      <c r="C1917" s="2">
        <v>2549278000</v>
      </c>
      <c r="D1917" s="2">
        <v>1698028000</v>
      </c>
    </row>
    <row r="1918" spans="1:4" x14ac:dyDescent="0.25">
      <c r="A1918" s="23" t="s">
        <v>446</v>
      </c>
      <c r="B1918" t="s">
        <v>263</v>
      </c>
      <c r="C1918" s="2">
        <v>1847017000</v>
      </c>
      <c r="D1918" s="2">
        <v>1577816000</v>
      </c>
    </row>
    <row r="1919" spans="1:4" x14ac:dyDescent="0.25">
      <c r="A1919" s="23" t="s">
        <v>446</v>
      </c>
      <c r="B1919" t="s">
        <v>264</v>
      </c>
      <c r="C1919" s="2">
        <v>2378456000</v>
      </c>
      <c r="D1919" s="2">
        <v>1757381000</v>
      </c>
    </row>
    <row r="1920" spans="1:4" x14ac:dyDescent="0.25">
      <c r="A1920" s="23" t="s">
        <v>446</v>
      </c>
      <c r="B1920" t="s">
        <v>265</v>
      </c>
      <c r="C1920" s="2">
        <v>714434000</v>
      </c>
      <c r="D1920" s="2">
        <v>550682000</v>
      </c>
    </row>
    <row r="1921" spans="1:4" x14ac:dyDescent="0.25">
      <c r="A1921" s="23" t="s">
        <v>446</v>
      </c>
      <c r="B1921" t="s">
        <v>266</v>
      </c>
      <c r="C1921" s="2">
        <v>2533433000</v>
      </c>
      <c r="D1921" s="2">
        <v>1458803000</v>
      </c>
    </row>
    <row r="1922" spans="1:4" x14ac:dyDescent="0.25">
      <c r="A1922" s="23" t="s">
        <v>446</v>
      </c>
      <c r="B1922" t="s">
        <v>267</v>
      </c>
      <c r="C1922" s="2">
        <v>1818990000</v>
      </c>
      <c r="D1922" s="2">
        <v>966586000</v>
      </c>
    </row>
    <row r="1923" spans="1:4" x14ac:dyDescent="0.25">
      <c r="A1923" s="23" t="s">
        <v>446</v>
      </c>
      <c r="B1923" t="s">
        <v>268</v>
      </c>
      <c r="C1923" s="2">
        <v>1651872000</v>
      </c>
      <c r="D1923" s="2">
        <v>1297511000</v>
      </c>
    </row>
    <row r="1924" spans="1:4" x14ac:dyDescent="0.25">
      <c r="A1924" s="23" t="s">
        <v>446</v>
      </c>
      <c r="B1924" t="s">
        <v>269</v>
      </c>
      <c r="C1924" s="2">
        <v>2921563000</v>
      </c>
      <c r="D1924" s="2">
        <v>2545926000</v>
      </c>
    </row>
    <row r="1925" spans="1:4" x14ac:dyDescent="0.25">
      <c r="A1925" s="23" t="s">
        <v>446</v>
      </c>
      <c r="B1925" t="s">
        <v>270</v>
      </c>
      <c r="C1925" s="2">
        <v>1468738000</v>
      </c>
      <c r="D1925" s="2">
        <v>1234238000</v>
      </c>
    </row>
    <row r="1926" spans="1:4" x14ac:dyDescent="0.25">
      <c r="A1926" s="23" t="s">
        <v>446</v>
      </c>
      <c r="B1926" t="s">
        <v>271</v>
      </c>
      <c r="C1926" s="2">
        <v>1371685000</v>
      </c>
      <c r="D1926" s="2">
        <v>1288685000</v>
      </c>
    </row>
    <row r="1927" spans="1:4" x14ac:dyDescent="0.25">
      <c r="A1927" s="23" t="s">
        <v>446</v>
      </c>
      <c r="B1927" t="s">
        <v>272</v>
      </c>
      <c r="C1927" s="2">
        <v>1341446000</v>
      </c>
      <c r="D1927" s="2">
        <v>844669000</v>
      </c>
    </row>
    <row r="1928" spans="1:4" x14ac:dyDescent="0.25">
      <c r="A1928" s="23" t="s">
        <v>446</v>
      </c>
      <c r="B1928" t="s">
        <v>273</v>
      </c>
      <c r="C1928" s="2">
        <v>1408328000</v>
      </c>
      <c r="D1928" s="2">
        <v>856636000</v>
      </c>
    </row>
    <row r="1929" spans="1:4" x14ac:dyDescent="0.25">
      <c r="A1929" s="23" t="s">
        <v>446</v>
      </c>
      <c r="B1929" t="s">
        <v>274</v>
      </c>
      <c r="C1929" s="2">
        <v>823190000</v>
      </c>
      <c r="D1929" s="2">
        <v>851314000</v>
      </c>
    </row>
    <row r="1930" spans="1:4" x14ac:dyDescent="0.25">
      <c r="A1930" s="23" t="s">
        <v>446</v>
      </c>
      <c r="B1930" t="s">
        <v>275</v>
      </c>
      <c r="C1930" s="2">
        <v>3616197000</v>
      </c>
      <c r="D1930" s="2">
        <v>1401352000</v>
      </c>
    </row>
    <row r="1931" spans="1:4" x14ac:dyDescent="0.25">
      <c r="A1931" s="23" t="s">
        <v>446</v>
      </c>
      <c r="B1931" t="s">
        <v>276</v>
      </c>
      <c r="C1931" s="2">
        <v>1257062000</v>
      </c>
      <c r="D1931" s="2">
        <v>639842000</v>
      </c>
    </row>
    <row r="1932" spans="1:4" x14ac:dyDescent="0.25">
      <c r="A1932" s="23" t="s">
        <v>446</v>
      </c>
      <c r="B1932" t="s">
        <v>277</v>
      </c>
      <c r="C1932" s="2">
        <v>1983167000</v>
      </c>
      <c r="D1932" s="2">
        <v>2435925000</v>
      </c>
    </row>
    <row r="1933" spans="1:4" x14ac:dyDescent="0.25">
      <c r="A1933" s="23" t="s">
        <v>446</v>
      </c>
      <c r="B1933" t="s">
        <v>278</v>
      </c>
      <c r="C1933" s="2">
        <v>991489000</v>
      </c>
      <c r="D1933" s="2">
        <v>873489000</v>
      </c>
    </row>
    <row r="1934" spans="1:4" x14ac:dyDescent="0.25">
      <c r="A1934" s="23" t="s">
        <v>446</v>
      </c>
      <c r="B1934" t="s">
        <v>279</v>
      </c>
      <c r="C1934" s="2">
        <v>784855000</v>
      </c>
      <c r="D1934" s="2">
        <v>592608000</v>
      </c>
    </row>
    <row r="1935" spans="1:4" x14ac:dyDescent="0.25">
      <c r="A1935" s="23" t="s">
        <v>446</v>
      </c>
      <c r="B1935" t="s">
        <v>280</v>
      </c>
      <c r="C1935" s="2">
        <v>2194659000</v>
      </c>
      <c r="D1935" s="2">
        <v>1680654000</v>
      </c>
    </row>
    <row r="1936" spans="1:4" x14ac:dyDescent="0.25">
      <c r="A1936" s="23" t="s">
        <v>446</v>
      </c>
      <c r="B1936" t="s">
        <v>281</v>
      </c>
      <c r="C1936" s="2">
        <v>951092000</v>
      </c>
      <c r="D1936" s="2">
        <v>912592000</v>
      </c>
    </row>
    <row r="1937" spans="1:4" x14ac:dyDescent="0.25">
      <c r="A1937" s="23" t="s">
        <v>446</v>
      </c>
      <c r="B1937" t="s">
        <v>282</v>
      </c>
      <c r="C1937" s="2">
        <v>162269000</v>
      </c>
      <c r="D1937" s="2">
        <v>349953000</v>
      </c>
    </row>
    <row r="1938" spans="1:4" x14ac:dyDescent="0.25">
      <c r="A1938" s="23" t="s">
        <v>446</v>
      </c>
      <c r="B1938" t="s">
        <v>283</v>
      </c>
      <c r="C1938" s="2">
        <v>1654673000</v>
      </c>
      <c r="D1938" s="2">
        <v>1246373000</v>
      </c>
    </row>
    <row r="1939" spans="1:4" x14ac:dyDescent="0.25">
      <c r="A1939" s="23" t="s">
        <v>446</v>
      </c>
      <c r="B1939" t="s">
        <v>284</v>
      </c>
      <c r="C1939" s="2">
        <v>1857137000</v>
      </c>
      <c r="D1939" s="2">
        <v>1836137000</v>
      </c>
    </row>
    <row r="1940" spans="1:4" x14ac:dyDescent="0.25">
      <c r="A1940" s="23" t="s">
        <v>446</v>
      </c>
      <c r="B1940" t="s">
        <v>285</v>
      </c>
      <c r="C1940" s="2">
        <v>1965808000</v>
      </c>
      <c r="D1940" s="2">
        <v>1911769000</v>
      </c>
    </row>
    <row r="1941" spans="1:4" x14ac:dyDescent="0.25">
      <c r="A1941" s="23" t="s">
        <v>446</v>
      </c>
      <c r="B1941" t="s">
        <v>286</v>
      </c>
      <c r="C1941" s="2">
        <v>1279591000</v>
      </c>
      <c r="D1941" s="2">
        <v>1172591000</v>
      </c>
    </row>
    <row r="1942" spans="1:4" x14ac:dyDescent="0.25">
      <c r="A1942" s="23" t="s">
        <v>446</v>
      </c>
      <c r="B1942" t="s">
        <v>287</v>
      </c>
      <c r="C1942" s="2">
        <v>1377822000</v>
      </c>
      <c r="D1942" s="2">
        <v>1053368000</v>
      </c>
    </row>
    <row r="1943" spans="1:4" x14ac:dyDescent="0.25">
      <c r="A1943" s="23" t="s">
        <v>446</v>
      </c>
      <c r="B1943" t="s">
        <v>288</v>
      </c>
      <c r="C1943" s="2">
        <v>1769970000</v>
      </c>
      <c r="D1943" s="2">
        <v>1566895000</v>
      </c>
    </row>
    <row r="1944" spans="1:4" x14ac:dyDescent="0.25">
      <c r="A1944" s="23" t="s">
        <v>446</v>
      </c>
      <c r="B1944" t="s">
        <v>289</v>
      </c>
      <c r="C1944" s="2">
        <v>1394489000</v>
      </c>
      <c r="D1944" s="2">
        <v>1066489000</v>
      </c>
    </row>
    <row r="1945" spans="1:4" x14ac:dyDescent="0.25">
      <c r="A1945" s="23" t="s">
        <v>446</v>
      </c>
      <c r="B1945" t="s">
        <v>290</v>
      </c>
      <c r="C1945" s="2">
        <v>1254391000</v>
      </c>
      <c r="D1945" s="2">
        <v>1322045000</v>
      </c>
    </row>
    <row r="1946" spans="1:4" x14ac:dyDescent="0.25">
      <c r="A1946" s="23" t="s">
        <v>446</v>
      </c>
      <c r="B1946" t="s">
        <v>291</v>
      </c>
      <c r="C1946" s="2">
        <v>966736000</v>
      </c>
      <c r="D1946" s="2">
        <v>969736000</v>
      </c>
    </row>
    <row r="1947" spans="1:4" x14ac:dyDescent="0.25">
      <c r="A1947" s="23" t="s">
        <v>446</v>
      </c>
      <c r="B1947" t="s">
        <v>292</v>
      </c>
      <c r="C1947" s="2">
        <v>387194000</v>
      </c>
      <c r="D1947" s="2">
        <v>464032000</v>
      </c>
    </row>
    <row r="1948" spans="1:4" x14ac:dyDescent="0.25">
      <c r="A1948" s="23" t="s">
        <v>446</v>
      </c>
      <c r="B1948" t="s">
        <v>293</v>
      </c>
      <c r="C1948" s="2">
        <v>1469263000</v>
      </c>
      <c r="D1948" s="2">
        <v>1562591000</v>
      </c>
    </row>
    <row r="1949" spans="1:4" x14ac:dyDescent="0.25">
      <c r="A1949" s="23" t="s">
        <v>446</v>
      </c>
      <c r="B1949" t="s">
        <v>294</v>
      </c>
      <c r="C1949" s="2">
        <v>1067678000</v>
      </c>
      <c r="D1949" s="2">
        <v>966194000</v>
      </c>
    </row>
    <row r="1950" spans="1:4" x14ac:dyDescent="0.25">
      <c r="A1950" s="23" t="s">
        <v>446</v>
      </c>
      <c r="B1950" t="s">
        <v>295</v>
      </c>
      <c r="C1950" s="2">
        <v>193160000</v>
      </c>
      <c r="D1950" s="2">
        <v>1378260000</v>
      </c>
    </row>
    <row r="1951" spans="1:4" x14ac:dyDescent="0.25">
      <c r="A1951" s="23" t="s">
        <v>446</v>
      </c>
      <c r="B1951" t="s">
        <v>296</v>
      </c>
      <c r="C1951" s="2">
        <v>3449285000</v>
      </c>
      <c r="D1951" s="2">
        <v>2100944000</v>
      </c>
    </row>
    <row r="1952" spans="1:4" x14ac:dyDescent="0.25">
      <c r="A1952" s="23" t="s">
        <v>446</v>
      </c>
      <c r="B1952" t="s">
        <v>297</v>
      </c>
      <c r="C1952" s="2">
        <v>966290000</v>
      </c>
      <c r="D1952" s="2">
        <v>831290000</v>
      </c>
    </row>
    <row r="1953" spans="1:4" x14ac:dyDescent="0.25">
      <c r="A1953" s="23" t="s">
        <v>446</v>
      </c>
      <c r="B1953" t="s">
        <v>298</v>
      </c>
      <c r="C1953" s="2">
        <v>1313395000</v>
      </c>
      <c r="D1953" s="2">
        <v>1237895000</v>
      </c>
    </row>
    <row r="1954" spans="1:4" x14ac:dyDescent="0.25">
      <c r="A1954" s="23" t="s">
        <v>446</v>
      </c>
      <c r="B1954" t="s">
        <v>299</v>
      </c>
      <c r="C1954" s="2">
        <v>1017807000</v>
      </c>
      <c r="D1954" s="2">
        <v>633177000</v>
      </c>
    </row>
    <row r="1955" spans="1:4" x14ac:dyDescent="0.25">
      <c r="A1955" s="23" t="s">
        <v>446</v>
      </c>
      <c r="B1955" t="s">
        <v>300</v>
      </c>
      <c r="C1955" s="2">
        <v>879597000</v>
      </c>
      <c r="D1955" s="2">
        <v>808597000</v>
      </c>
    </row>
    <row r="1956" spans="1:4" x14ac:dyDescent="0.25">
      <c r="A1956" s="23" t="s">
        <v>446</v>
      </c>
      <c r="B1956" t="s">
        <v>301</v>
      </c>
      <c r="C1956" s="2">
        <v>945849000</v>
      </c>
      <c r="D1956" s="2">
        <v>738849000</v>
      </c>
    </row>
    <row r="1957" spans="1:4" x14ac:dyDescent="0.25">
      <c r="A1957" s="23" t="s">
        <v>446</v>
      </c>
      <c r="B1957" t="s">
        <v>302</v>
      </c>
      <c r="C1957" s="2">
        <v>279647000</v>
      </c>
      <c r="D1957" s="2">
        <v>274647000</v>
      </c>
    </row>
    <row r="1958" spans="1:4" x14ac:dyDescent="0.25">
      <c r="A1958" s="23" t="s">
        <v>446</v>
      </c>
      <c r="B1958" t="s">
        <v>303</v>
      </c>
      <c r="C1958" s="2">
        <v>629142000</v>
      </c>
      <c r="D1958" s="2">
        <v>888142000</v>
      </c>
    </row>
    <row r="1959" spans="1:4" x14ac:dyDescent="0.25">
      <c r="A1959" s="23" t="s">
        <v>446</v>
      </c>
      <c r="B1959" t="s">
        <v>304</v>
      </c>
      <c r="C1959" s="2">
        <v>1648882000</v>
      </c>
      <c r="D1959" s="2">
        <v>1001802000</v>
      </c>
    </row>
    <row r="1960" spans="1:4" x14ac:dyDescent="0.25">
      <c r="A1960" s="23" t="s">
        <v>446</v>
      </c>
      <c r="B1960" t="s">
        <v>305</v>
      </c>
      <c r="C1960" s="2">
        <v>754851000</v>
      </c>
      <c r="D1960" s="2">
        <v>696925000</v>
      </c>
    </row>
    <row r="1961" spans="1:4" x14ac:dyDescent="0.25">
      <c r="A1961" s="23" t="s">
        <v>446</v>
      </c>
      <c r="B1961" t="s">
        <v>306</v>
      </c>
      <c r="C1961" s="2">
        <v>819949000</v>
      </c>
      <c r="D1961" s="2">
        <v>604959000</v>
      </c>
    </row>
    <row r="1962" spans="1:4" x14ac:dyDescent="0.25">
      <c r="A1962" s="23" t="s">
        <v>446</v>
      </c>
      <c r="B1962" t="s">
        <v>307</v>
      </c>
      <c r="C1962" s="2">
        <v>825365000</v>
      </c>
      <c r="D1962" s="2">
        <v>728737000</v>
      </c>
    </row>
    <row r="1963" spans="1:4" x14ac:dyDescent="0.25">
      <c r="A1963" s="23" t="s">
        <v>446</v>
      </c>
      <c r="B1963" t="s">
        <v>308</v>
      </c>
      <c r="C1963" s="2">
        <v>1960991000</v>
      </c>
      <c r="D1963" s="2">
        <v>1311491000</v>
      </c>
    </row>
    <row r="1964" spans="1:4" x14ac:dyDescent="0.25">
      <c r="A1964" s="23" t="s">
        <v>446</v>
      </c>
      <c r="B1964" t="s">
        <v>309</v>
      </c>
      <c r="C1964" s="2">
        <v>2490374000</v>
      </c>
      <c r="D1964" s="2">
        <v>2484299000</v>
      </c>
    </row>
    <row r="1965" spans="1:4" x14ac:dyDescent="0.25">
      <c r="A1965" s="23" t="s">
        <v>446</v>
      </c>
      <c r="B1965" t="s">
        <v>310</v>
      </c>
      <c r="C1965" s="2">
        <v>1168454000</v>
      </c>
      <c r="D1965" s="2">
        <v>1018954000</v>
      </c>
    </row>
    <row r="1966" spans="1:4" x14ac:dyDescent="0.25">
      <c r="A1966" s="23" t="s">
        <v>446</v>
      </c>
      <c r="B1966" t="s">
        <v>311</v>
      </c>
      <c r="C1966" s="2">
        <v>1163674000</v>
      </c>
      <c r="D1966" s="2">
        <v>1158343000</v>
      </c>
    </row>
    <row r="1967" spans="1:4" x14ac:dyDescent="0.25">
      <c r="A1967" s="23" t="s">
        <v>446</v>
      </c>
      <c r="B1967" t="s">
        <v>312</v>
      </c>
      <c r="C1967" s="2">
        <v>777740000</v>
      </c>
      <c r="D1967" s="2">
        <v>741080000</v>
      </c>
    </row>
    <row r="1968" spans="1:4" x14ac:dyDescent="0.25">
      <c r="A1968" s="23" t="s">
        <v>446</v>
      </c>
      <c r="B1968" t="s">
        <v>313</v>
      </c>
      <c r="C1968" s="2">
        <v>102046000</v>
      </c>
      <c r="D1968" s="2">
        <v>1328969000</v>
      </c>
    </row>
    <row r="1969" spans="1:4" x14ac:dyDescent="0.25">
      <c r="A1969" s="23" t="s">
        <v>446</v>
      </c>
      <c r="B1969" t="s">
        <v>314</v>
      </c>
      <c r="C1969" s="2">
        <v>1052023000</v>
      </c>
      <c r="D1969" s="2">
        <v>1009023000</v>
      </c>
    </row>
    <row r="1970" spans="1:4" x14ac:dyDescent="0.25">
      <c r="A1970" s="23" t="s">
        <v>446</v>
      </c>
      <c r="B1970" t="s">
        <v>315</v>
      </c>
      <c r="C1970" s="2">
        <v>840743000</v>
      </c>
      <c r="D1970" s="2">
        <v>748874000</v>
      </c>
    </row>
    <row r="1971" spans="1:4" x14ac:dyDescent="0.25">
      <c r="A1971" s="23" t="s">
        <v>446</v>
      </c>
      <c r="B1971" t="s">
        <v>316</v>
      </c>
      <c r="C1971" s="2">
        <v>1109392000</v>
      </c>
      <c r="D1971" s="2">
        <v>1123487000</v>
      </c>
    </row>
    <row r="1972" spans="1:4" x14ac:dyDescent="0.25">
      <c r="A1972" s="23" t="s">
        <v>446</v>
      </c>
      <c r="B1972" t="s">
        <v>317</v>
      </c>
      <c r="C1972" s="2">
        <v>990893000</v>
      </c>
      <c r="D1972" s="2">
        <v>697546000</v>
      </c>
    </row>
    <row r="1973" spans="1:4" x14ac:dyDescent="0.25">
      <c r="A1973" s="23" t="s">
        <v>446</v>
      </c>
      <c r="B1973" t="s">
        <v>318</v>
      </c>
      <c r="C1973" s="2">
        <v>1677839000</v>
      </c>
      <c r="D1973" s="2">
        <v>1090177000</v>
      </c>
    </row>
    <row r="1974" spans="1:4" x14ac:dyDescent="0.25">
      <c r="A1974" s="23" t="s">
        <v>446</v>
      </c>
      <c r="B1974" t="s">
        <v>319</v>
      </c>
      <c r="C1974" s="2">
        <v>1178543000</v>
      </c>
      <c r="D1974" s="2">
        <v>849426000</v>
      </c>
    </row>
    <row r="1975" spans="1:4" x14ac:dyDescent="0.25">
      <c r="A1975" s="23" t="s">
        <v>446</v>
      </c>
      <c r="B1975" t="s">
        <v>320</v>
      </c>
      <c r="C1975" s="2">
        <v>530849000</v>
      </c>
      <c r="D1975" s="2">
        <v>518524000</v>
      </c>
    </row>
    <row r="1976" spans="1:4" x14ac:dyDescent="0.25">
      <c r="A1976" s="23" t="s">
        <v>446</v>
      </c>
      <c r="B1976" t="s">
        <v>321</v>
      </c>
      <c r="C1976" s="2">
        <v>1667399000</v>
      </c>
      <c r="D1976" s="2">
        <v>1496368000</v>
      </c>
    </row>
    <row r="1977" spans="1:4" x14ac:dyDescent="0.25">
      <c r="A1977" s="23" t="s">
        <v>446</v>
      </c>
      <c r="B1977" t="s">
        <v>322</v>
      </c>
      <c r="C1977" s="2">
        <v>460972000</v>
      </c>
      <c r="D1977" s="2">
        <v>455472000</v>
      </c>
    </row>
    <row r="1978" spans="1:4" x14ac:dyDescent="0.25">
      <c r="A1978" s="23" t="s">
        <v>446</v>
      </c>
      <c r="B1978" t="s">
        <v>323</v>
      </c>
      <c r="C1978" s="2">
        <v>465996000</v>
      </c>
      <c r="D1978" s="2">
        <v>416496000</v>
      </c>
    </row>
    <row r="1979" spans="1:4" x14ac:dyDescent="0.25">
      <c r="A1979" s="23" t="s">
        <v>446</v>
      </c>
      <c r="B1979" t="s">
        <v>324</v>
      </c>
      <c r="C1979" s="2">
        <v>600446000</v>
      </c>
      <c r="D1979" s="2">
        <v>378446000</v>
      </c>
    </row>
    <row r="1980" spans="1:4" x14ac:dyDescent="0.25">
      <c r="A1980" s="23" t="s">
        <v>446</v>
      </c>
      <c r="B1980" t="s">
        <v>325</v>
      </c>
      <c r="C1980" s="2">
        <v>1524448000</v>
      </c>
      <c r="D1980" s="2">
        <v>1071353000</v>
      </c>
    </row>
    <row r="1981" spans="1:4" x14ac:dyDescent="0.25">
      <c r="A1981" s="23" t="s">
        <v>446</v>
      </c>
      <c r="B1981" t="s">
        <v>326</v>
      </c>
      <c r="C1981" s="2">
        <v>1079548000</v>
      </c>
      <c r="D1981" s="2">
        <v>853113000</v>
      </c>
    </row>
    <row r="1982" spans="1:4" x14ac:dyDescent="0.25">
      <c r="A1982" s="23" t="s">
        <v>446</v>
      </c>
      <c r="B1982" t="s">
        <v>327</v>
      </c>
      <c r="C1982" s="2">
        <v>1510336000</v>
      </c>
      <c r="D1982" s="2">
        <v>1197336000</v>
      </c>
    </row>
    <row r="1983" spans="1:4" x14ac:dyDescent="0.25">
      <c r="A1983" s="23" t="s">
        <v>446</v>
      </c>
      <c r="B1983" t="s">
        <v>328</v>
      </c>
      <c r="C1983" s="2">
        <v>1446307000</v>
      </c>
      <c r="D1983" s="2">
        <v>1559992000</v>
      </c>
    </row>
    <row r="1984" spans="1:4" x14ac:dyDescent="0.25">
      <c r="A1984" s="23" t="s">
        <v>446</v>
      </c>
      <c r="B1984" t="s">
        <v>329</v>
      </c>
      <c r="C1984" s="2">
        <v>1245294000</v>
      </c>
      <c r="D1984" s="2">
        <v>1233005000</v>
      </c>
    </row>
    <row r="1985" spans="1:4" x14ac:dyDescent="0.25">
      <c r="A1985" s="23" t="s">
        <v>446</v>
      </c>
      <c r="B1985" t="s">
        <v>330</v>
      </c>
      <c r="C1985" s="2">
        <v>962587000</v>
      </c>
      <c r="D1985" s="2">
        <v>874587000</v>
      </c>
    </row>
    <row r="1986" spans="1:4" x14ac:dyDescent="0.25">
      <c r="A1986" s="23" t="s">
        <v>446</v>
      </c>
      <c r="B1986" t="s">
        <v>331</v>
      </c>
      <c r="C1986" s="2">
        <v>1039958000</v>
      </c>
      <c r="D1986" s="2">
        <v>1106247000</v>
      </c>
    </row>
    <row r="1987" spans="1:4" x14ac:dyDescent="0.25">
      <c r="A1987" s="23" t="s">
        <v>446</v>
      </c>
      <c r="B1987" t="s">
        <v>332</v>
      </c>
      <c r="C1987" s="2">
        <v>1192888000</v>
      </c>
      <c r="D1987" s="2">
        <v>1180887000</v>
      </c>
    </row>
    <row r="1988" spans="1:4" x14ac:dyDescent="0.25">
      <c r="A1988" s="23" t="s">
        <v>446</v>
      </c>
      <c r="B1988" t="s">
        <v>333</v>
      </c>
      <c r="C1988" s="2">
        <v>429915000</v>
      </c>
      <c r="D1988" s="2">
        <v>518057000</v>
      </c>
    </row>
    <row r="1989" spans="1:4" x14ac:dyDescent="0.25">
      <c r="A1989" s="23" t="s">
        <v>446</v>
      </c>
      <c r="B1989" t="s">
        <v>334</v>
      </c>
      <c r="C1989" s="2">
        <v>501308000</v>
      </c>
      <c r="D1989" s="2">
        <v>601285000</v>
      </c>
    </row>
    <row r="1990" spans="1:4" x14ac:dyDescent="0.25">
      <c r="A1990" s="23" t="s">
        <v>446</v>
      </c>
      <c r="B1990" t="s">
        <v>335</v>
      </c>
      <c r="C1990" s="2">
        <v>887083000</v>
      </c>
      <c r="D1990" s="2">
        <v>853083000</v>
      </c>
    </row>
    <row r="1991" spans="1:4" x14ac:dyDescent="0.25">
      <c r="A1991" s="23" t="s">
        <v>446</v>
      </c>
      <c r="B1991" t="s">
        <v>336</v>
      </c>
      <c r="C1991" s="2">
        <v>1141888000</v>
      </c>
      <c r="D1991" s="2">
        <v>962604000</v>
      </c>
    </row>
    <row r="1992" spans="1:4" x14ac:dyDescent="0.25">
      <c r="A1992" s="23" t="s">
        <v>446</v>
      </c>
      <c r="B1992" t="s">
        <v>337</v>
      </c>
      <c r="C1992" s="2">
        <v>1050869000</v>
      </c>
      <c r="D1992" s="2">
        <v>962869000</v>
      </c>
    </row>
    <row r="1993" spans="1:4" x14ac:dyDescent="0.25">
      <c r="A1993" s="23" t="s">
        <v>446</v>
      </c>
      <c r="B1993" t="s">
        <v>338</v>
      </c>
      <c r="C1993" s="2">
        <v>706684000</v>
      </c>
      <c r="D1993" s="2">
        <v>740183000</v>
      </c>
    </row>
    <row r="1994" spans="1:4" x14ac:dyDescent="0.25">
      <c r="A1994" s="23" t="s">
        <v>446</v>
      </c>
      <c r="B1994" t="s">
        <v>339</v>
      </c>
      <c r="C1994" s="2">
        <v>578563000</v>
      </c>
      <c r="D1994" s="2">
        <v>633221000</v>
      </c>
    </row>
    <row r="1995" spans="1:4" x14ac:dyDescent="0.25">
      <c r="A1995" s="23" t="s">
        <v>446</v>
      </c>
      <c r="B1995" t="s">
        <v>340</v>
      </c>
      <c r="C1995" s="2">
        <v>1143366000</v>
      </c>
      <c r="D1995" s="2">
        <v>1095866000</v>
      </c>
    </row>
    <row r="1996" spans="1:4" x14ac:dyDescent="0.25">
      <c r="A1996" s="23" t="s">
        <v>446</v>
      </c>
      <c r="B1996" t="s">
        <v>341</v>
      </c>
      <c r="C1996" s="2">
        <v>1198925000</v>
      </c>
      <c r="D1996" s="2">
        <v>719516000</v>
      </c>
    </row>
    <row r="1997" spans="1:4" x14ac:dyDescent="0.25">
      <c r="A1997" s="23" t="s">
        <v>446</v>
      </c>
      <c r="B1997" t="s">
        <v>342</v>
      </c>
      <c r="C1997" s="2">
        <v>781954000</v>
      </c>
      <c r="D1997" s="2">
        <v>755232000</v>
      </c>
    </row>
    <row r="1998" spans="1:4" x14ac:dyDescent="0.25">
      <c r="A1998" s="23" t="s">
        <v>446</v>
      </c>
      <c r="B1998" t="s">
        <v>343</v>
      </c>
      <c r="C1998" s="2">
        <v>1210877000</v>
      </c>
      <c r="D1998" s="2">
        <v>1177123000</v>
      </c>
    </row>
    <row r="1999" spans="1:4" x14ac:dyDescent="0.25">
      <c r="A1999" s="23" t="s">
        <v>446</v>
      </c>
      <c r="B1999" t="s">
        <v>344</v>
      </c>
      <c r="C1999" s="2">
        <v>889861000</v>
      </c>
      <c r="D1999" s="2">
        <v>840788000</v>
      </c>
    </row>
    <row r="2000" spans="1:4" x14ac:dyDescent="0.25">
      <c r="A2000" s="23" t="s">
        <v>446</v>
      </c>
      <c r="B2000" t="s">
        <v>345</v>
      </c>
      <c r="C2000" s="2">
        <v>1018407000</v>
      </c>
      <c r="D2000" s="2">
        <v>986604000</v>
      </c>
    </row>
    <row r="2001" spans="1:4" x14ac:dyDescent="0.25">
      <c r="A2001" s="23" t="s">
        <v>446</v>
      </c>
      <c r="B2001" t="s">
        <v>346</v>
      </c>
      <c r="C2001" s="2">
        <v>1319123000</v>
      </c>
      <c r="D2001" s="2">
        <v>1336438000</v>
      </c>
    </row>
    <row r="2002" spans="1:4" x14ac:dyDescent="0.25">
      <c r="A2002" s="23" t="s">
        <v>446</v>
      </c>
      <c r="B2002" t="s">
        <v>347</v>
      </c>
      <c r="C2002" s="2">
        <v>930454000</v>
      </c>
      <c r="D2002" s="2">
        <v>847465000</v>
      </c>
    </row>
    <row r="2003" spans="1:4" x14ac:dyDescent="0.25">
      <c r="A2003" s="23" t="s">
        <v>446</v>
      </c>
      <c r="B2003" t="s">
        <v>348</v>
      </c>
      <c r="C2003" s="2">
        <v>1280422000</v>
      </c>
      <c r="D2003" s="2">
        <v>1241719000</v>
      </c>
    </row>
    <row r="2004" spans="1:4" x14ac:dyDescent="0.25">
      <c r="A2004" s="23" t="s">
        <v>446</v>
      </c>
      <c r="B2004" t="s">
        <v>349</v>
      </c>
      <c r="C2004" s="2">
        <v>3294273000</v>
      </c>
      <c r="D2004" s="2">
        <v>1430273000</v>
      </c>
    </row>
    <row r="2005" spans="1:4" x14ac:dyDescent="0.25">
      <c r="A2005" s="23" t="s">
        <v>446</v>
      </c>
      <c r="B2005" t="s">
        <v>350</v>
      </c>
      <c r="C2005" s="2">
        <v>804931000</v>
      </c>
      <c r="D2005" s="2">
        <v>1040172000</v>
      </c>
    </row>
    <row r="2006" spans="1:4" x14ac:dyDescent="0.25">
      <c r="A2006" s="23" t="s">
        <v>446</v>
      </c>
      <c r="B2006" t="s">
        <v>414</v>
      </c>
      <c r="C2006" s="2">
        <v>1400257000</v>
      </c>
      <c r="D2006" s="2">
        <v>1332195000</v>
      </c>
    </row>
    <row r="2007" spans="1:4" x14ac:dyDescent="0.25">
      <c r="A2007" s="23" t="s">
        <v>446</v>
      </c>
      <c r="B2007" t="s">
        <v>351</v>
      </c>
      <c r="C2007" s="2">
        <v>346519000</v>
      </c>
      <c r="D2007" s="2">
        <v>283831000</v>
      </c>
    </row>
    <row r="2008" spans="1:4" x14ac:dyDescent="0.25">
      <c r="A2008" s="23" t="s">
        <v>446</v>
      </c>
      <c r="B2008" t="s">
        <v>405</v>
      </c>
      <c r="C2008" s="2">
        <v>835049000</v>
      </c>
      <c r="D2008" s="2">
        <v>1010316000</v>
      </c>
    </row>
    <row r="2009" spans="1:4" x14ac:dyDescent="0.25">
      <c r="A2009" s="23" t="s">
        <v>446</v>
      </c>
      <c r="B2009" t="s">
        <v>352</v>
      </c>
      <c r="C2009" s="2">
        <v>413116000</v>
      </c>
      <c r="D2009" s="2">
        <v>453116000</v>
      </c>
    </row>
    <row r="2010" spans="1:4" x14ac:dyDescent="0.25">
      <c r="A2010" s="23" t="s">
        <v>446</v>
      </c>
      <c r="B2010" t="s">
        <v>353</v>
      </c>
      <c r="C2010" s="2">
        <v>556722000</v>
      </c>
      <c r="D2010" s="2">
        <v>546508000</v>
      </c>
    </row>
    <row r="2011" spans="1:4" x14ac:dyDescent="0.25">
      <c r="A2011" s="23" t="s">
        <v>446</v>
      </c>
      <c r="B2011" t="s">
        <v>354</v>
      </c>
      <c r="C2011" s="2">
        <v>1046956000</v>
      </c>
      <c r="D2011" s="2">
        <v>1101956000</v>
      </c>
    </row>
    <row r="2012" spans="1:4" x14ac:dyDescent="0.25">
      <c r="A2012" s="23" t="s">
        <v>446</v>
      </c>
      <c r="B2012" t="s">
        <v>355</v>
      </c>
      <c r="C2012" s="2">
        <v>1584240000</v>
      </c>
      <c r="D2012" s="2">
        <v>1618781000</v>
      </c>
    </row>
    <row r="2013" spans="1:4" x14ac:dyDescent="0.25">
      <c r="A2013" s="23" t="s">
        <v>446</v>
      </c>
      <c r="B2013" t="s">
        <v>356</v>
      </c>
      <c r="C2013" s="2">
        <v>218317000</v>
      </c>
      <c r="D2013" s="2">
        <v>654167000</v>
      </c>
    </row>
    <row r="2014" spans="1:4" x14ac:dyDescent="0.25">
      <c r="A2014" s="23" t="s">
        <v>446</v>
      </c>
      <c r="B2014" t="s">
        <v>357</v>
      </c>
      <c r="C2014" s="2">
        <v>964775000</v>
      </c>
      <c r="D2014" s="2">
        <v>762775000</v>
      </c>
    </row>
    <row r="2015" spans="1:4" x14ac:dyDescent="0.25">
      <c r="A2015" s="23" t="s">
        <v>446</v>
      </c>
      <c r="B2015" t="s">
        <v>358</v>
      </c>
      <c r="C2015" s="2">
        <v>985347000</v>
      </c>
      <c r="D2015" s="2">
        <v>853847000</v>
      </c>
    </row>
    <row r="2016" spans="1:4" x14ac:dyDescent="0.25">
      <c r="A2016" s="23" t="s">
        <v>446</v>
      </c>
      <c r="B2016" t="s">
        <v>359</v>
      </c>
      <c r="C2016" s="2">
        <v>1100803000</v>
      </c>
      <c r="D2016" s="2">
        <v>611631000</v>
      </c>
    </row>
    <row r="2017" spans="1:4" x14ac:dyDescent="0.25">
      <c r="A2017" s="23" t="s">
        <v>446</v>
      </c>
      <c r="B2017" t="s">
        <v>360</v>
      </c>
      <c r="C2017" s="2">
        <v>793652000</v>
      </c>
      <c r="D2017" s="2">
        <v>639285000</v>
      </c>
    </row>
    <row r="2018" spans="1:4" x14ac:dyDescent="0.25">
      <c r="A2018" s="23" t="s">
        <v>446</v>
      </c>
      <c r="B2018" t="s">
        <v>361</v>
      </c>
      <c r="C2018" s="2">
        <v>471237000</v>
      </c>
      <c r="D2018" s="2">
        <v>495457000</v>
      </c>
    </row>
    <row r="2019" spans="1:4" x14ac:dyDescent="0.25">
      <c r="A2019" s="23" t="s">
        <v>446</v>
      </c>
      <c r="B2019" t="s">
        <v>362</v>
      </c>
      <c r="C2019" s="2">
        <v>614187000</v>
      </c>
      <c r="D2019" s="2">
        <v>574187000</v>
      </c>
    </row>
    <row r="2020" spans="1:4" x14ac:dyDescent="0.25">
      <c r="A2020" s="23" t="s">
        <v>446</v>
      </c>
      <c r="B2020" t="s">
        <v>363</v>
      </c>
      <c r="C2020" s="2">
        <v>449406000</v>
      </c>
      <c r="D2020" s="2">
        <v>369406000</v>
      </c>
    </row>
    <row r="2021" spans="1:4" x14ac:dyDescent="0.25">
      <c r="A2021" s="23" t="s">
        <v>446</v>
      </c>
      <c r="B2021" t="s">
        <v>364</v>
      </c>
      <c r="C2021" s="2">
        <v>416638000</v>
      </c>
      <c r="D2021" s="2">
        <v>408638000</v>
      </c>
    </row>
    <row r="2022" spans="1:4" x14ac:dyDescent="0.25">
      <c r="A2022" s="23" t="s">
        <v>446</v>
      </c>
      <c r="B2022" t="s">
        <v>365</v>
      </c>
      <c r="C2022" s="2">
        <v>988669000</v>
      </c>
      <c r="D2022" s="2">
        <v>885605000</v>
      </c>
    </row>
    <row r="2023" spans="1:4" x14ac:dyDescent="0.25">
      <c r="A2023" s="23" t="s">
        <v>446</v>
      </c>
      <c r="B2023" t="s">
        <v>366</v>
      </c>
      <c r="C2023" s="2">
        <v>1222536000</v>
      </c>
      <c r="D2023" s="2">
        <v>1127036000</v>
      </c>
    </row>
    <row r="2024" spans="1:4" x14ac:dyDescent="0.25">
      <c r="A2024" s="23" t="s">
        <v>446</v>
      </c>
      <c r="B2024" t="s">
        <v>367</v>
      </c>
      <c r="C2024" s="2">
        <v>1211557000</v>
      </c>
      <c r="D2024" s="2">
        <v>1243567000</v>
      </c>
    </row>
    <row r="2025" spans="1:4" x14ac:dyDescent="0.25">
      <c r="A2025" s="23" t="s">
        <v>446</v>
      </c>
      <c r="B2025" t="s">
        <v>368</v>
      </c>
      <c r="C2025" s="2">
        <v>2215849000</v>
      </c>
      <c r="D2025" s="2">
        <v>1634997000</v>
      </c>
    </row>
    <row r="2026" spans="1:4" x14ac:dyDescent="0.25">
      <c r="A2026" s="23" t="s">
        <v>446</v>
      </c>
      <c r="B2026" t="s">
        <v>369</v>
      </c>
      <c r="C2026" s="2">
        <v>1679730000</v>
      </c>
      <c r="D2026" s="2">
        <v>1208793000</v>
      </c>
    </row>
    <row r="2027" spans="1:4" x14ac:dyDescent="0.25">
      <c r="A2027" s="23" t="s">
        <v>446</v>
      </c>
      <c r="B2027" t="s">
        <v>370</v>
      </c>
      <c r="C2027" s="2">
        <v>863951000</v>
      </c>
      <c r="D2027" s="2">
        <v>897578000</v>
      </c>
    </row>
    <row r="2028" spans="1:4" x14ac:dyDescent="0.25">
      <c r="A2028" s="23" t="s">
        <v>446</v>
      </c>
      <c r="B2028" t="s">
        <v>371</v>
      </c>
      <c r="C2028" s="2">
        <v>2473750000</v>
      </c>
      <c r="D2028" s="2">
        <v>1896067000</v>
      </c>
    </row>
    <row r="2029" spans="1:4" x14ac:dyDescent="0.25">
      <c r="A2029" s="23" t="s">
        <v>446</v>
      </c>
      <c r="B2029" t="s">
        <v>372</v>
      </c>
      <c r="C2029" s="2">
        <v>3024181000</v>
      </c>
      <c r="D2029" s="2">
        <v>2592463000</v>
      </c>
    </row>
    <row r="2030" spans="1:4" x14ac:dyDescent="0.25">
      <c r="A2030" s="23" t="s">
        <v>446</v>
      </c>
      <c r="B2030" t="s">
        <v>373</v>
      </c>
      <c r="C2030" s="2">
        <v>1045156000</v>
      </c>
      <c r="D2030" s="2">
        <v>882740000</v>
      </c>
    </row>
    <row r="2031" spans="1:4" x14ac:dyDescent="0.25">
      <c r="A2031" s="23" t="s">
        <v>446</v>
      </c>
      <c r="B2031" t="s">
        <v>374</v>
      </c>
      <c r="C2031" s="2">
        <v>709105000</v>
      </c>
      <c r="D2031" s="2">
        <v>904362000</v>
      </c>
    </row>
    <row r="2032" spans="1:4" x14ac:dyDescent="0.25">
      <c r="A2032" s="23" t="s">
        <v>446</v>
      </c>
      <c r="B2032" t="s">
        <v>375</v>
      </c>
      <c r="C2032" s="2">
        <v>1327897000</v>
      </c>
      <c r="D2032" s="2">
        <v>1027210000</v>
      </c>
    </row>
    <row r="2033" spans="1:4" x14ac:dyDescent="0.25">
      <c r="A2033" s="23" t="s">
        <v>446</v>
      </c>
      <c r="B2033" t="s">
        <v>376</v>
      </c>
      <c r="C2033" s="2">
        <v>1367951000</v>
      </c>
      <c r="D2033" s="2">
        <v>1280084000</v>
      </c>
    </row>
    <row r="2034" spans="1:4" x14ac:dyDescent="0.25">
      <c r="A2034" s="23" t="s">
        <v>446</v>
      </c>
      <c r="B2034" t="s">
        <v>377</v>
      </c>
      <c r="C2034" s="2">
        <v>1071241000</v>
      </c>
      <c r="D2034" s="2">
        <v>981730000</v>
      </c>
    </row>
    <row r="2035" spans="1:4" x14ac:dyDescent="0.25">
      <c r="A2035" s="23" t="s">
        <v>446</v>
      </c>
      <c r="B2035" t="s">
        <v>378</v>
      </c>
      <c r="C2035" s="2">
        <v>1481201000</v>
      </c>
      <c r="D2035" s="2">
        <v>1404201000</v>
      </c>
    </row>
    <row r="2036" spans="1:4" x14ac:dyDescent="0.25">
      <c r="A2036" s="23" t="s">
        <v>446</v>
      </c>
      <c r="B2036" t="s">
        <v>412</v>
      </c>
      <c r="C2036" s="2">
        <v>1263894000</v>
      </c>
      <c r="D2036" s="2">
        <v>594894000</v>
      </c>
    </row>
    <row r="2037" spans="1:4" x14ac:dyDescent="0.25">
      <c r="A2037" s="23" t="s">
        <v>446</v>
      </c>
      <c r="B2037" t="s">
        <v>379</v>
      </c>
      <c r="C2037" s="2">
        <v>1830055000</v>
      </c>
      <c r="D2037" s="2">
        <v>1653654000</v>
      </c>
    </row>
    <row r="2038" spans="1:4" x14ac:dyDescent="0.25">
      <c r="A2038" s="23" t="s">
        <v>446</v>
      </c>
      <c r="B2038" t="s">
        <v>380</v>
      </c>
      <c r="C2038" s="2">
        <v>1761812000</v>
      </c>
      <c r="D2038" s="2">
        <v>1624312000</v>
      </c>
    </row>
    <row r="2039" spans="1:4" x14ac:dyDescent="0.25">
      <c r="A2039" s="23" t="s">
        <v>446</v>
      </c>
      <c r="B2039" t="s">
        <v>381</v>
      </c>
      <c r="C2039" s="2">
        <v>786802000</v>
      </c>
      <c r="D2039" s="2">
        <v>658594000</v>
      </c>
    </row>
    <row r="2040" spans="1:4" x14ac:dyDescent="0.25">
      <c r="A2040" s="23" t="s">
        <v>446</v>
      </c>
      <c r="B2040" t="s">
        <v>382</v>
      </c>
      <c r="C2040" s="2">
        <v>870760000</v>
      </c>
      <c r="D2040" s="2">
        <v>690760000</v>
      </c>
    </row>
    <row r="2041" spans="1:4" x14ac:dyDescent="0.25">
      <c r="A2041" s="23" t="s">
        <v>446</v>
      </c>
      <c r="B2041" t="s">
        <v>383</v>
      </c>
      <c r="C2041" s="2">
        <v>1214334000</v>
      </c>
      <c r="D2041" s="2">
        <v>948059000</v>
      </c>
    </row>
    <row r="2042" spans="1:4" x14ac:dyDescent="0.25">
      <c r="A2042" s="23" t="s">
        <v>446</v>
      </c>
      <c r="B2042" t="s">
        <v>384</v>
      </c>
      <c r="C2042" s="2">
        <v>706205000</v>
      </c>
      <c r="D2042" s="2">
        <v>656351000</v>
      </c>
    </row>
    <row r="2043" spans="1:4" x14ac:dyDescent="0.25">
      <c r="A2043" s="23" t="s">
        <v>446</v>
      </c>
      <c r="B2043" t="s">
        <v>385</v>
      </c>
      <c r="C2043" s="2">
        <v>850003000</v>
      </c>
      <c r="D2043" s="2">
        <v>840003000</v>
      </c>
    </row>
    <row r="2044" spans="1:4" x14ac:dyDescent="0.25">
      <c r="A2044" s="23" t="s">
        <v>446</v>
      </c>
      <c r="B2044" t="s">
        <v>386</v>
      </c>
      <c r="C2044" s="2">
        <v>839891000</v>
      </c>
      <c r="D2044" s="2">
        <v>911891000</v>
      </c>
    </row>
    <row r="2045" spans="1:4" x14ac:dyDescent="0.25">
      <c r="A2045" s="23" t="s">
        <v>446</v>
      </c>
      <c r="B2045" t="s">
        <v>387</v>
      </c>
      <c r="C2045" s="2">
        <v>638128000</v>
      </c>
      <c r="D2045" s="2">
        <v>906878000</v>
      </c>
    </row>
    <row r="2046" spans="1:4" x14ac:dyDescent="0.25">
      <c r="A2046" s="23" t="s">
        <v>446</v>
      </c>
      <c r="B2046" t="s">
        <v>388</v>
      </c>
      <c r="C2046" s="2">
        <v>1000242000</v>
      </c>
      <c r="D2046" s="2">
        <v>957242000</v>
      </c>
    </row>
    <row r="2047" spans="1:4" x14ac:dyDescent="0.25">
      <c r="A2047" s="23" t="s">
        <v>446</v>
      </c>
      <c r="B2047" t="s">
        <v>389</v>
      </c>
      <c r="C2047" s="2">
        <v>765855000</v>
      </c>
      <c r="D2047" s="2">
        <v>739685000</v>
      </c>
    </row>
    <row r="2048" spans="1:4" x14ac:dyDescent="0.25">
      <c r="A2048" s="23" t="s">
        <v>446</v>
      </c>
      <c r="B2048" t="s">
        <v>390</v>
      </c>
      <c r="C2048" s="2">
        <v>37279000</v>
      </c>
      <c r="D2048" s="2">
        <v>672340000</v>
      </c>
    </row>
    <row r="2049" spans="1:4" x14ac:dyDescent="0.25">
      <c r="A2049" s="23" t="s">
        <v>446</v>
      </c>
      <c r="B2049" t="s">
        <v>391</v>
      </c>
      <c r="C2049" s="2">
        <v>939494000</v>
      </c>
      <c r="D2049" s="2">
        <v>492232000</v>
      </c>
    </row>
    <row r="2050" spans="1:4" x14ac:dyDescent="0.25">
      <c r="A2050" s="23" t="s">
        <v>446</v>
      </c>
      <c r="B2050" t="s">
        <v>392</v>
      </c>
      <c r="C2050" s="2">
        <v>1368976000</v>
      </c>
      <c r="D2050" s="2">
        <v>1185831000</v>
      </c>
    </row>
    <row r="2051" spans="1:4" x14ac:dyDescent="0.25">
      <c r="A2051" s="23" t="s">
        <v>446</v>
      </c>
      <c r="B2051" t="s">
        <v>393</v>
      </c>
      <c r="C2051" s="2">
        <v>1198940000</v>
      </c>
      <c r="D2051" s="2">
        <v>1100940000</v>
      </c>
    </row>
    <row r="2052" spans="1:4" x14ac:dyDescent="0.25">
      <c r="A2052" s="23" t="s">
        <v>446</v>
      </c>
      <c r="B2052" t="s">
        <v>394</v>
      </c>
      <c r="C2052" s="2">
        <v>908175000</v>
      </c>
      <c r="D2052" s="2">
        <v>800765000</v>
      </c>
    </row>
    <row r="2053" spans="1:4" x14ac:dyDescent="0.25">
      <c r="A2053" s="23" t="s">
        <v>446</v>
      </c>
      <c r="B2053" t="s">
        <v>395</v>
      </c>
      <c r="C2053" s="2">
        <v>556181000</v>
      </c>
      <c r="D2053" s="2">
        <v>387028000</v>
      </c>
    </row>
    <row r="2054" spans="1:4" x14ac:dyDescent="0.25">
      <c r="A2054" s="23" t="s">
        <v>446</v>
      </c>
      <c r="B2054" t="s">
        <v>396</v>
      </c>
      <c r="C2054" s="2">
        <v>352359000</v>
      </c>
      <c r="D2054" s="2">
        <v>390764000</v>
      </c>
    </row>
    <row r="2055" spans="1:4" x14ac:dyDescent="0.25">
      <c r="A2055" s="23" t="s">
        <v>447</v>
      </c>
      <c r="B2055" t="s">
        <v>201</v>
      </c>
      <c r="C2055" s="2">
        <v>288709124000</v>
      </c>
      <c r="D2055" s="2">
        <v>312078122000</v>
      </c>
    </row>
    <row r="2056" spans="1:4" x14ac:dyDescent="0.25">
      <c r="A2056" s="23" t="s">
        <v>447</v>
      </c>
      <c r="B2056" t="s">
        <v>424</v>
      </c>
      <c r="C2056" s="2">
        <v>0</v>
      </c>
      <c r="D2056" s="2">
        <v>0</v>
      </c>
    </row>
    <row r="2057" spans="1:4" x14ac:dyDescent="0.25">
      <c r="A2057" s="23" t="s">
        <v>447</v>
      </c>
      <c r="B2057" t="s">
        <v>202</v>
      </c>
      <c r="C2057" s="2">
        <v>118546000</v>
      </c>
      <c r="D2057" s="2">
        <v>118546000</v>
      </c>
    </row>
    <row r="2058" spans="1:4" x14ac:dyDescent="0.25">
      <c r="A2058" s="23" t="s">
        <v>447</v>
      </c>
      <c r="B2058" t="s">
        <v>203</v>
      </c>
      <c r="C2058" s="2">
        <v>106816000</v>
      </c>
      <c r="D2058" s="2">
        <v>106816000</v>
      </c>
    </row>
    <row r="2059" spans="1:4" x14ac:dyDescent="0.25">
      <c r="A2059" s="23" t="s">
        <v>447</v>
      </c>
      <c r="B2059" t="s">
        <v>204</v>
      </c>
      <c r="C2059" s="2">
        <v>516001000</v>
      </c>
      <c r="D2059" s="2">
        <v>263492000</v>
      </c>
    </row>
    <row r="2060" spans="1:4" x14ac:dyDescent="0.25">
      <c r="A2060" s="23" t="s">
        <v>447</v>
      </c>
      <c r="B2060" t="s">
        <v>205</v>
      </c>
      <c r="C2060" s="2">
        <v>1498779000</v>
      </c>
      <c r="D2060" s="2">
        <v>1192466000</v>
      </c>
    </row>
    <row r="2061" spans="1:4" x14ac:dyDescent="0.25">
      <c r="A2061" s="23" t="s">
        <v>447</v>
      </c>
      <c r="B2061" t="s">
        <v>206</v>
      </c>
      <c r="C2061" s="2">
        <v>180507000</v>
      </c>
      <c r="D2061" s="2">
        <v>180507000</v>
      </c>
    </row>
    <row r="2062" spans="1:4" x14ac:dyDescent="0.25">
      <c r="A2062" s="23" t="s">
        <v>447</v>
      </c>
      <c r="B2062" t="s">
        <v>207</v>
      </c>
      <c r="C2062" s="2">
        <v>107877000</v>
      </c>
      <c r="D2062" s="2">
        <v>207877000</v>
      </c>
    </row>
    <row r="2063" spans="1:4" x14ac:dyDescent="0.25">
      <c r="A2063" s="23" t="s">
        <v>447</v>
      </c>
      <c r="B2063" t="s">
        <v>208</v>
      </c>
      <c r="C2063" s="2">
        <v>121246000</v>
      </c>
      <c r="D2063" s="2">
        <v>121246000</v>
      </c>
    </row>
    <row r="2064" spans="1:4" x14ac:dyDescent="0.25">
      <c r="A2064" s="23" t="s">
        <v>447</v>
      </c>
      <c r="B2064" t="s">
        <v>209</v>
      </c>
      <c r="C2064" s="2">
        <v>185288000</v>
      </c>
      <c r="D2064" s="2">
        <v>189458000</v>
      </c>
    </row>
    <row r="2065" spans="1:4" x14ac:dyDescent="0.25">
      <c r="A2065" s="23" t="s">
        <v>447</v>
      </c>
      <c r="B2065" t="s">
        <v>210</v>
      </c>
      <c r="C2065" s="2">
        <v>860910000</v>
      </c>
      <c r="D2065" s="2">
        <v>581910000</v>
      </c>
    </row>
    <row r="2066" spans="1:4" x14ac:dyDescent="0.25">
      <c r="A2066" s="23" t="s">
        <v>447</v>
      </c>
      <c r="B2066" t="s">
        <v>211</v>
      </c>
      <c r="C2066" s="2">
        <v>1011930000</v>
      </c>
      <c r="D2066" s="2">
        <v>933992000</v>
      </c>
    </row>
    <row r="2067" spans="1:4" x14ac:dyDescent="0.25">
      <c r="A2067" s="23" t="s">
        <v>447</v>
      </c>
      <c r="B2067" t="s">
        <v>212</v>
      </c>
      <c r="C2067" s="2">
        <v>120889000</v>
      </c>
      <c r="D2067" s="2">
        <v>170889000</v>
      </c>
    </row>
    <row r="2068" spans="1:4" x14ac:dyDescent="0.25">
      <c r="A2068" s="23" t="s">
        <v>447</v>
      </c>
      <c r="B2068" t="s">
        <v>213</v>
      </c>
      <c r="C2068" s="2">
        <v>113057000</v>
      </c>
      <c r="D2068" s="2">
        <v>158057000</v>
      </c>
    </row>
    <row r="2069" spans="1:4" x14ac:dyDescent="0.25">
      <c r="A2069" s="23" t="s">
        <v>447</v>
      </c>
      <c r="B2069" t="s">
        <v>214</v>
      </c>
      <c r="C2069" s="2">
        <v>108377000</v>
      </c>
      <c r="D2069" s="2">
        <v>118377000</v>
      </c>
    </row>
    <row r="2070" spans="1:4" x14ac:dyDescent="0.25">
      <c r="A2070" s="23" t="s">
        <v>447</v>
      </c>
      <c r="B2070" t="s">
        <v>215</v>
      </c>
      <c r="C2070" s="2">
        <v>118192000</v>
      </c>
      <c r="D2070" s="2">
        <v>118192000</v>
      </c>
    </row>
    <row r="2071" spans="1:4" x14ac:dyDescent="0.25">
      <c r="A2071" s="23" t="s">
        <v>447</v>
      </c>
      <c r="B2071" t="s">
        <v>216</v>
      </c>
      <c r="C2071" s="2">
        <v>308074000</v>
      </c>
      <c r="D2071" s="2">
        <v>203074000</v>
      </c>
    </row>
    <row r="2072" spans="1:4" x14ac:dyDescent="0.25">
      <c r="A2072" s="23" t="s">
        <v>447</v>
      </c>
      <c r="B2072" t="s">
        <v>217</v>
      </c>
      <c r="C2072" s="2">
        <v>218601000</v>
      </c>
      <c r="D2072" s="2">
        <v>118601000</v>
      </c>
    </row>
    <row r="2073" spans="1:4" x14ac:dyDescent="0.25">
      <c r="A2073" s="23" t="s">
        <v>447</v>
      </c>
      <c r="B2073" t="s">
        <v>218</v>
      </c>
      <c r="C2073" s="2">
        <v>955429000</v>
      </c>
      <c r="D2073" s="2">
        <v>683429000</v>
      </c>
    </row>
    <row r="2074" spans="1:4" x14ac:dyDescent="0.25">
      <c r="A2074" s="23" t="s">
        <v>447</v>
      </c>
      <c r="B2074" t="s">
        <v>219</v>
      </c>
      <c r="C2074" s="2">
        <v>1238479000</v>
      </c>
      <c r="D2074" s="2">
        <v>950479000</v>
      </c>
    </row>
    <row r="2075" spans="1:4" x14ac:dyDescent="0.25">
      <c r="A2075" s="23" t="s">
        <v>447</v>
      </c>
      <c r="B2075" t="s">
        <v>220</v>
      </c>
      <c r="C2075" s="2">
        <v>3239575000</v>
      </c>
      <c r="D2075" s="2">
        <v>2650575000</v>
      </c>
    </row>
    <row r="2076" spans="1:4" x14ac:dyDescent="0.25">
      <c r="A2076" s="23" t="s">
        <v>447</v>
      </c>
      <c r="B2076" t="s">
        <v>221</v>
      </c>
      <c r="C2076" s="2">
        <v>1545152000</v>
      </c>
      <c r="D2076" s="2">
        <v>1375152000</v>
      </c>
    </row>
    <row r="2077" spans="1:4" x14ac:dyDescent="0.25">
      <c r="A2077" s="23" t="s">
        <v>447</v>
      </c>
      <c r="B2077" t="s">
        <v>222</v>
      </c>
      <c r="C2077" s="2">
        <v>1940043000</v>
      </c>
      <c r="D2077" s="2">
        <v>1715043000</v>
      </c>
    </row>
    <row r="2078" spans="1:4" x14ac:dyDescent="0.25">
      <c r="A2078" s="23" t="s">
        <v>447</v>
      </c>
      <c r="B2078" t="s">
        <v>223</v>
      </c>
      <c r="C2078" s="2">
        <v>2669025000</v>
      </c>
      <c r="D2078" s="2">
        <v>2228525000</v>
      </c>
    </row>
    <row r="2079" spans="1:4" x14ac:dyDescent="0.25">
      <c r="A2079" s="23" t="s">
        <v>447</v>
      </c>
      <c r="B2079" t="s">
        <v>224</v>
      </c>
      <c r="C2079" s="2">
        <v>1605330000</v>
      </c>
      <c r="D2079" s="2">
        <v>1314966000</v>
      </c>
    </row>
    <row r="2080" spans="1:4" x14ac:dyDescent="0.25">
      <c r="A2080" s="23" t="s">
        <v>447</v>
      </c>
      <c r="B2080" t="s">
        <v>225</v>
      </c>
      <c r="C2080" s="2">
        <v>1890664000</v>
      </c>
      <c r="D2080" s="2">
        <v>1732405000</v>
      </c>
    </row>
    <row r="2081" spans="1:4" x14ac:dyDescent="0.25">
      <c r="A2081" s="23" t="s">
        <v>447</v>
      </c>
      <c r="B2081" t="s">
        <v>226</v>
      </c>
      <c r="C2081" s="2">
        <v>865105000</v>
      </c>
      <c r="D2081" s="2">
        <v>694745000</v>
      </c>
    </row>
    <row r="2082" spans="1:4" x14ac:dyDescent="0.25">
      <c r="A2082" s="23" t="s">
        <v>447</v>
      </c>
      <c r="B2082" t="s">
        <v>227</v>
      </c>
      <c r="C2082" s="2">
        <v>2300245000</v>
      </c>
      <c r="D2082" s="2">
        <v>1595746000</v>
      </c>
    </row>
    <row r="2083" spans="1:4" x14ac:dyDescent="0.25">
      <c r="A2083" s="23" t="s">
        <v>447</v>
      </c>
      <c r="B2083" t="s">
        <v>228</v>
      </c>
      <c r="C2083" s="2">
        <v>1154311000</v>
      </c>
      <c r="D2083" s="2">
        <v>922369000</v>
      </c>
    </row>
    <row r="2084" spans="1:4" x14ac:dyDescent="0.25">
      <c r="A2084" s="23" t="s">
        <v>447</v>
      </c>
      <c r="B2084" t="s">
        <v>229</v>
      </c>
      <c r="C2084" s="2">
        <v>663217000</v>
      </c>
      <c r="D2084" s="2">
        <v>505137000</v>
      </c>
    </row>
    <row r="2085" spans="1:4" x14ac:dyDescent="0.25">
      <c r="A2085" s="23" t="s">
        <v>447</v>
      </c>
      <c r="B2085" t="s">
        <v>230</v>
      </c>
      <c r="C2085" s="2">
        <v>1290494000</v>
      </c>
      <c r="D2085" s="2">
        <v>1199494000</v>
      </c>
    </row>
    <row r="2086" spans="1:4" x14ac:dyDescent="0.25">
      <c r="A2086" s="23" t="s">
        <v>447</v>
      </c>
      <c r="B2086" t="s">
        <v>231</v>
      </c>
      <c r="C2086" s="2">
        <v>953952000</v>
      </c>
      <c r="D2086" s="2">
        <v>822952000</v>
      </c>
    </row>
    <row r="2087" spans="1:4" x14ac:dyDescent="0.25">
      <c r="A2087" s="23" t="s">
        <v>447</v>
      </c>
      <c r="B2087" t="s">
        <v>232</v>
      </c>
      <c r="C2087" s="2">
        <v>676422000</v>
      </c>
      <c r="D2087" s="2">
        <v>673422000</v>
      </c>
    </row>
    <row r="2088" spans="1:4" x14ac:dyDescent="0.25">
      <c r="A2088" s="23" t="s">
        <v>447</v>
      </c>
      <c r="B2088" t="s">
        <v>233</v>
      </c>
      <c r="C2088" s="2">
        <v>1116410000</v>
      </c>
      <c r="D2088" s="2">
        <v>966410000</v>
      </c>
    </row>
    <row r="2089" spans="1:4" x14ac:dyDescent="0.25">
      <c r="A2089" s="23" t="s">
        <v>447</v>
      </c>
      <c r="B2089" t="s">
        <v>234</v>
      </c>
      <c r="C2089" s="2">
        <v>935227000</v>
      </c>
      <c r="D2089" s="2">
        <v>602227000</v>
      </c>
    </row>
    <row r="2090" spans="1:4" x14ac:dyDescent="0.25">
      <c r="A2090" s="23" t="s">
        <v>447</v>
      </c>
      <c r="B2090" t="s">
        <v>235</v>
      </c>
      <c r="C2090" s="2">
        <v>1353710000</v>
      </c>
      <c r="D2090" s="2">
        <v>1190209999.9999998</v>
      </c>
    </row>
    <row r="2091" spans="1:4" x14ac:dyDescent="0.25">
      <c r="A2091" s="23" t="s">
        <v>447</v>
      </c>
      <c r="B2091" t="s">
        <v>236</v>
      </c>
      <c r="C2091" s="2">
        <v>1534627000</v>
      </c>
      <c r="D2091" s="2">
        <v>1312853000</v>
      </c>
    </row>
    <row r="2092" spans="1:4" x14ac:dyDescent="0.25">
      <c r="A2092" s="23" t="s">
        <v>447</v>
      </c>
      <c r="B2092" t="s">
        <v>237</v>
      </c>
      <c r="C2092" s="2">
        <v>1117908000</v>
      </c>
      <c r="D2092" s="2">
        <v>576531000</v>
      </c>
    </row>
    <row r="2093" spans="1:4" x14ac:dyDescent="0.25">
      <c r="A2093" s="23" t="s">
        <v>447</v>
      </c>
      <c r="B2093" t="s">
        <v>238</v>
      </c>
      <c r="C2093" s="2">
        <v>209232000</v>
      </c>
      <c r="D2093" s="2">
        <v>190232000</v>
      </c>
    </row>
    <row r="2094" spans="1:4" x14ac:dyDescent="0.25">
      <c r="A2094" s="23" t="s">
        <v>447</v>
      </c>
      <c r="B2094" t="s">
        <v>239</v>
      </c>
      <c r="C2094" s="2">
        <v>324574000</v>
      </c>
      <c r="D2094" s="2">
        <v>243574000</v>
      </c>
    </row>
    <row r="2095" spans="1:4" x14ac:dyDescent="0.25">
      <c r="A2095" s="23" t="s">
        <v>447</v>
      </c>
      <c r="B2095" t="s">
        <v>240</v>
      </c>
      <c r="C2095" s="2">
        <v>636568000</v>
      </c>
      <c r="D2095" s="2">
        <v>475033000</v>
      </c>
    </row>
    <row r="2096" spans="1:4" x14ac:dyDescent="0.25">
      <c r="A2096" s="23" t="s">
        <v>447</v>
      </c>
      <c r="B2096" t="s">
        <v>241</v>
      </c>
      <c r="C2096" s="2">
        <v>416279000</v>
      </c>
      <c r="D2096" s="2">
        <v>376544000</v>
      </c>
    </row>
    <row r="2097" spans="1:4" x14ac:dyDescent="0.25">
      <c r="A2097" s="23" t="s">
        <v>447</v>
      </c>
      <c r="B2097" t="s">
        <v>242</v>
      </c>
      <c r="C2097" s="2">
        <v>505186000</v>
      </c>
      <c r="D2097" s="2">
        <v>319491000</v>
      </c>
    </row>
    <row r="2098" spans="1:4" x14ac:dyDescent="0.25">
      <c r="A2098" s="23" t="s">
        <v>447</v>
      </c>
      <c r="B2098" t="s">
        <v>243</v>
      </c>
      <c r="C2098" s="2">
        <v>356665000</v>
      </c>
      <c r="D2098" s="2">
        <v>274665000</v>
      </c>
    </row>
    <row r="2099" spans="1:4" x14ac:dyDescent="0.25">
      <c r="A2099" s="23" t="s">
        <v>447</v>
      </c>
      <c r="B2099" t="s">
        <v>244</v>
      </c>
      <c r="C2099" s="2">
        <v>233875000</v>
      </c>
      <c r="D2099" s="2">
        <v>237217000</v>
      </c>
    </row>
    <row r="2100" spans="1:4" x14ac:dyDescent="0.25">
      <c r="A2100" s="23" t="s">
        <v>447</v>
      </c>
      <c r="B2100" t="s">
        <v>245</v>
      </c>
      <c r="C2100" s="2">
        <v>483731000</v>
      </c>
      <c r="D2100" s="2">
        <v>462108000</v>
      </c>
    </row>
    <row r="2101" spans="1:4" x14ac:dyDescent="0.25">
      <c r="A2101" s="23" t="s">
        <v>447</v>
      </c>
      <c r="B2101" t="s">
        <v>246</v>
      </c>
      <c r="C2101" s="2">
        <v>561481000</v>
      </c>
      <c r="D2101" s="2">
        <v>580279000</v>
      </c>
    </row>
    <row r="2102" spans="1:4" x14ac:dyDescent="0.25">
      <c r="A2102" s="23" t="s">
        <v>447</v>
      </c>
      <c r="B2102" t="s">
        <v>247</v>
      </c>
      <c r="C2102" s="2">
        <v>367411000</v>
      </c>
      <c r="D2102" s="2">
        <v>377411000</v>
      </c>
    </row>
    <row r="2103" spans="1:4" x14ac:dyDescent="0.25">
      <c r="A2103" s="23" t="s">
        <v>447</v>
      </c>
      <c r="B2103" t="s">
        <v>248</v>
      </c>
      <c r="C2103" s="2">
        <v>785702000</v>
      </c>
      <c r="D2103" s="2">
        <v>674102000</v>
      </c>
    </row>
    <row r="2104" spans="1:4" x14ac:dyDescent="0.25">
      <c r="A2104" s="23" t="s">
        <v>447</v>
      </c>
      <c r="B2104" t="s">
        <v>249</v>
      </c>
      <c r="C2104" s="2">
        <v>1496844000</v>
      </c>
      <c r="D2104" s="2">
        <v>1203594000</v>
      </c>
    </row>
    <row r="2105" spans="1:4" x14ac:dyDescent="0.25">
      <c r="A2105" s="23" t="s">
        <v>447</v>
      </c>
      <c r="B2105" t="s">
        <v>250</v>
      </c>
      <c r="C2105" s="2">
        <v>1131906000</v>
      </c>
      <c r="D2105" s="2">
        <v>1086006000</v>
      </c>
    </row>
    <row r="2106" spans="1:4" x14ac:dyDescent="0.25">
      <c r="A2106" s="23" t="s">
        <v>447</v>
      </c>
      <c r="B2106" t="s">
        <v>251</v>
      </c>
      <c r="C2106" s="2">
        <v>759507000</v>
      </c>
      <c r="D2106" s="2">
        <v>517427000</v>
      </c>
    </row>
    <row r="2107" spans="1:4" x14ac:dyDescent="0.25">
      <c r="A2107" s="23" t="s">
        <v>447</v>
      </c>
      <c r="B2107" t="s">
        <v>252</v>
      </c>
      <c r="C2107" s="2">
        <v>609665000</v>
      </c>
      <c r="D2107" s="2">
        <v>487132000</v>
      </c>
    </row>
    <row r="2108" spans="1:4" x14ac:dyDescent="0.25">
      <c r="A2108" s="23" t="s">
        <v>447</v>
      </c>
      <c r="B2108" t="s">
        <v>253</v>
      </c>
      <c r="C2108" s="2">
        <v>468045000</v>
      </c>
      <c r="D2108" s="2">
        <v>373045000</v>
      </c>
    </row>
    <row r="2109" spans="1:4" x14ac:dyDescent="0.25">
      <c r="A2109" s="23" t="s">
        <v>447</v>
      </c>
      <c r="B2109" t="s">
        <v>254</v>
      </c>
      <c r="C2109" s="2">
        <v>498488000</v>
      </c>
      <c r="D2109" s="2">
        <v>472488000</v>
      </c>
    </row>
    <row r="2110" spans="1:4" x14ac:dyDescent="0.25">
      <c r="A2110" s="23" t="s">
        <v>447</v>
      </c>
      <c r="B2110" t="s">
        <v>255</v>
      </c>
      <c r="C2110" s="2">
        <v>429325000</v>
      </c>
      <c r="D2110" s="2">
        <v>379268000</v>
      </c>
    </row>
    <row r="2111" spans="1:4" x14ac:dyDescent="0.25">
      <c r="A2111" s="23" t="s">
        <v>447</v>
      </c>
      <c r="B2111" t="s">
        <v>256</v>
      </c>
      <c r="C2111" s="2">
        <v>583884000</v>
      </c>
      <c r="D2111" s="2">
        <v>486884000</v>
      </c>
    </row>
    <row r="2112" spans="1:4" x14ac:dyDescent="0.25">
      <c r="A2112" s="23" t="s">
        <v>447</v>
      </c>
      <c r="B2112" t="s">
        <v>257</v>
      </c>
      <c r="C2112" s="2">
        <v>498154000</v>
      </c>
      <c r="D2112" s="2">
        <v>343154000</v>
      </c>
    </row>
    <row r="2113" spans="1:4" x14ac:dyDescent="0.25">
      <c r="A2113" s="23" t="s">
        <v>447</v>
      </c>
      <c r="B2113" t="s">
        <v>258</v>
      </c>
      <c r="C2113" s="2">
        <v>811801000</v>
      </c>
      <c r="D2113" s="2">
        <v>637431000</v>
      </c>
    </row>
    <row r="2114" spans="1:4" x14ac:dyDescent="0.25">
      <c r="A2114" s="23" t="s">
        <v>447</v>
      </c>
      <c r="B2114" t="s">
        <v>259</v>
      </c>
      <c r="C2114" s="2">
        <v>486747000</v>
      </c>
      <c r="D2114" s="2">
        <v>397642000</v>
      </c>
    </row>
    <row r="2115" spans="1:4" x14ac:dyDescent="0.25">
      <c r="A2115" s="23" t="s">
        <v>447</v>
      </c>
      <c r="B2115" t="s">
        <v>260</v>
      </c>
      <c r="C2115" s="2">
        <v>965586000</v>
      </c>
      <c r="D2115" s="2">
        <v>775586000</v>
      </c>
    </row>
    <row r="2116" spans="1:4" x14ac:dyDescent="0.25">
      <c r="A2116" s="23" t="s">
        <v>447</v>
      </c>
      <c r="B2116" t="s">
        <v>261</v>
      </c>
      <c r="C2116" s="2">
        <v>2225942000</v>
      </c>
      <c r="D2116" s="2">
        <v>1845942000</v>
      </c>
    </row>
    <row r="2117" spans="1:4" x14ac:dyDescent="0.25">
      <c r="A2117" s="23" t="s">
        <v>447</v>
      </c>
      <c r="B2117" t="s">
        <v>262</v>
      </c>
      <c r="C2117" s="2">
        <v>2600471000</v>
      </c>
      <c r="D2117" s="2">
        <v>2039371000</v>
      </c>
    </row>
    <row r="2118" spans="1:4" x14ac:dyDescent="0.25">
      <c r="A2118" s="23" t="s">
        <v>447</v>
      </c>
      <c r="B2118" t="s">
        <v>263</v>
      </c>
      <c r="C2118" s="2">
        <v>1817483000</v>
      </c>
      <c r="D2118" s="2">
        <v>1463264000</v>
      </c>
    </row>
    <row r="2119" spans="1:4" x14ac:dyDescent="0.25">
      <c r="A2119" s="23" t="s">
        <v>447</v>
      </c>
      <c r="B2119" t="s">
        <v>264</v>
      </c>
      <c r="C2119" s="2">
        <v>2025560000</v>
      </c>
      <c r="D2119" s="2">
        <v>1396985000</v>
      </c>
    </row>
    <row r="2120" spans="1:4" x14ac:dyDescent="0.25">
      <c r="A2120" s="23" t="s">
        <v>447</v>
      </c>
      <c r="B2120" t="s">
        <v>265</v>
      </c>
      <c r="C2120" s="2">
        <v>488683000</v>
      </c>
      <c r="D2120" s="2">
        <v>337883000</v>
      </c>
    </row>
    <row r="2121" spans="1:4" x14ac:dyDescent="0.25">
      <c r="A2121" s="23" t="s">
        <v>447</v>
      </c>
      <c r="B2121" t="s">
        <v>266</v>
      </c>
      <c r="C2121" s="2">
        <v>1274085000</v>
      </c>
      <c r="D2121" s="2">
        <v>829924000</v>
      </c>
    </row>
    <row r="2122" spans="1:4" x14ac:dyDescent="0.25">
      <c r="A2122" s="23" t="s">
        <v>447</v>
      </c>
      <c r="B2122" t="s">
        <v>267</v>
      </c>
      <c r="C2122" s="2">
        <v>1366359000</v>
      </c>
      <c r="D2122" s="2">
        <v>1044951000</v>
      </c>
    </row>
    <row r="2123" spans="1:4" x14ac:dyDescent="0.25">
      <c r="A2123" s="23" t="s">
        <v>447</v>
      </c>
      <c r="B2123" t="s">
        <v>268</v>
      </c>
      <c r="C2123" s="2">
        <v>1628870000</v>
      </c>
      <c r="D2123" s="2">
        <v>1290370000</v>
      </c>
    </row>
    <row r="2124" spans="1:4" x14ac:dyDescent="0.25">
      <c r="A2124" s="23" t="s">
        <v>447</v>
      </c>
      <c r="B2124" t="s">
        <v>269</v>
      </c>
      <c r="C2124" s="2">
        <v>2075490000</v>
      </c>
      <c r="D2124" s="2">
        <v>1671790000</v>
      </c>
    </row>
    <row r="2125" spans="1:4" x14ac:dyDescent="0.25">
      <c r="A2125" s="23" t="s">
        <v>447</v>
      </c>
      <c r="B2125" t="s">
        <v>270</v>
      </c>
      <c r="C2125" s="2">
        <v>961868000</v>
      </c>
      <c r="D2125" s="2">
        <v>749478000</v>
      </c>
    </row>
    <row r="2126" spans="1:4" x14ac:dyDescent="0.25">
      <c r="A2126" s="23" t="s">
        <v>447</v>
      </c>
      <c r="B2126" t="s">
        <v>271</v>
      </c>
      <c r="C2126" s="2">
        <v>1008118000</v>
      </c>
      <c r="D2126" s="2">
        <v>817103000</v>
      </c>
    </row>
    <row r="2127" spans="1:4" x14ac:dyDescent="0.25">
      <c r="A2127" s="23" t="s">
        <v>447</v>
      </c>
      <c r="B2127" t="s">
        <v>272</v>
      </c>
      <c r="C2127" s="2">
        <v>837951000</v>
      </c>
      <c r="D2127" s="2">
        <v>548648000</v>
      </c>
    </row>
    <row r="2128" spans="1:4" x14ac:dyDescent="0.25">
      <c r="A2128" s="23" t="s">
        <v>447</v>
      </c>
      <c r="B2128" t="s">
        <v>273</v>
      </c>
      <c r="C2128" s="2">
        <v>999010000</v>
      </c>
      <c r="D2128" s="2">
        <v>855241000</v>
      </c>
    </row>
    <row r="2129" spans="1:4" x14ac:dyDescent="0.25">
      <c r="A2129" s="23" t="s">
        <v>447</v>
      </c>
      <c r="B2129" t="s">
        <v>274</v>
      </c>
      <c r="C2129" s="2">
        <v>517704000</v>
      </c>
      <c r="D2129" s="2">
        <v>624285000</v>
      </c>
    </row>
    <row r="2130" spans="1:4" x14ac:dyDescent="0.25">
      <c r="A2130" s="23" t="s">
        <v>447</v>
      </c>
      <c r="B2130" t="s">
        <v>275</v>
      </c>
      <c r="C2130" s="2">
        <v>1613522000</v>
      </c>
      <c r="D2130" s="2">
        <v>447522000</v>
      </c>
    </row>
    <row r="2131" spans="1:4" x14ac:dyDescent="0.25">
      <c r="A2131" s="23" t="s">
        <v>447</v>
      </c>
      <c r="B2131" t="s">
        <v>276</v>
      </c>
      <c r="C2131" s="2">
        <v>754146000</v>
      </c>
      <c r="D2131" s="2">
        <v>610992000</v>
      </c>
    </row>
    <row r="2132" spans="1:4" x14ac:dyDescent="0.25">
      <c r="A2132" s="23" t="s">
        <v>447</v>
      </c>
      <c r="B2132" t="s">
        <v>277</v>
      </c>
      <c r="C2132" s="2">
        <v>2135561000</v>
      </c>
      <c r="D2132" s="2">
        <v>1860961000</v>
      </c>
    </row>
    <row r="2133" spans="1:4" x14ac:dyDescent="0.25">
      <c r="A2133" s="23" t="s">
        <v>447</v>
      </c>
      <c r="B2133" t="s">
        <v>278</v>
      </c>
      <c r="C2133" s="2">
        <v>595815000</v>
      </c>
      <c r="D2133" s="2">
        <v>514815000</v>
      </c>
    </row>
    <row r="2134" spans="1:4" x14ac:dyDescent="0.25">
      <c r="A2134" s="23" t="s">
        <v>447</v>
      </c>
      <c r="B2134" t="s">
        <v>279</v>
      </c>
      <c r="C2134" s="2">
        <v>690940000</v>
      </c>
      <c r="D2134" s="2">
        <v>529940000</v>
      </c>
    </row>
    <row r="2135" spans="1:4" x14ac:dyDescent="0.25">
      <c r="A2135" s="23" t="s">
        <v>447</v>
      </c>
      <c r="B2135" t="s">
        <v>280</v>
      </c>
      <c r="C2135" s="2">
        <v>962642000</v>
      </c>
      <c r="D2135" s="2">
        <v>931642000</v>
      </c>
    </row>
    <row r="2136" spans="1:4" x14ac:dyDescent="0.25">
      <c r="A2136" s="23" t="s">
        <v>447</v>
      </c>
      <c r="B2136" t="s">
        <v>281</v>
      </c>
      <c r="C2136" s="2">
        <v>943308000</v>
      </c>
      <c r="D2136" s="2">
        <v>885123000</v>
      </c>
    </row>
    <row r="2137" spans="1:4" x14ac:dyDescent="0.25">
      <c r="A2137" s="23" t="s">
        <v>447</v>
      </c>
      <c r="B2137" t="s">
        <v>282</v>
      </c>
      <c r="C2137" s="2">
        <v>858975000</v>
      </c>
      <c r="D2137" s="2">
        <v>558175000</v>
      </c>
    </row>
    <row r="2138" spans="1:4" x14ac:dyDescent="0.25">
      <c r="A2138" s="23" t="s">
        <v>447</v>
      </c>
      <c r="B2138" t="s">
        <v>283</v>
      </c>
      <c r="C2138" s="2">
        <v>1013804000</v>
      </c>
      <c r="D2138" s="2">
        <v>735804000</v>
      </c>
    </row>
    <row r="2139" spans="1:4" x14ac:dyDescent="0.25">
      <c r="A2139" s="23" t="s">
        <v>447</v>
      </c>
      <c r="B2139" t="s">
        <v>284</v>
      </c>
      <c r="C2139" s="2">
        <v>1189183000</v>
      </c>
      <c r="D2139" s="2">
        <v>897445000</v>
      </c>
    </row>
    <row r="2140" spans="1:4" x14ac:dyDescent="0.25">
      <c r="A2140" s="23" t="s">
        <v>447</v>
      </c>
      <c r="B2140" t="s">
        <v>285</v>
      </c>
      <c r="C2140" s="2">
        <v>1319219000</v>
      </c>
      <c r="D2140" s="2">
        <v>1134819000</v>
      </c>
    </row>
    <row r="2141" spans="1:4" x14ac:dyDescent="0.25">
      <c r="A2141" s="23" t="s">
        <v>447</v>
      </c>
      <c r="B2141" t="s">
        <v>286</v>
      </c>
      <c r="C2141" s="2">
        <v>852963000</v>
      </c>
      <c r="D2141" s="2">
        <v>766463000</v>
      </c>
    </row>
    <row r="2142" spans="1:4" x14ac:dyDescent="0.25">
      <c r="A2142" s="23" t="s">
        <v>447</v>
      </c>
      <c r="B2142" t="s">
        <v>287</v>
      </c>
      <c r="C2142" s="2">
        <v>913571000</v>
      </c>
      <c r="D2142" s="2">
        <v>712406000</v>
      </c>
    </row>
    <row r="2143" spans="1:4" x14ac:dyDescent="0.25">
      <c r="A2143" s="23" t="s">
        <v>447</v>
      </c>
      <c r="B2143" t="s">
        <v>288</v>
      </c>
      <c r="C2143" s="2">
        <v>2528590000</v>
      </c>
      <c r="D2143" s="2">
        <v>2307890000</v>
      </c>
    </row>
    <row r="2144" spans="1:4" x14ac:dyDescent="0.25">
      <c r="A2144" s="23" t="s">
        <v>447</v>
      </c>
      <c r="B2144" t="s">
        <v>289</v>
      </c>
      <c r="C2144" s="2">
        <v>989050000</v>
      </c>
      <c r="D2144" s="2">
        <v>522950000</v>
      </c>
    </row>
    <row r="2145" spans="1:4" x14ac:dyDescent="0.25">
      <c r="A2145" s="23" t="s">
        <v>447</v>
      </c>
      <c r="B2145" t="s">
        <v>290</v>
      </c>
      <c r="C2145" s="2">
        <v>546804000</v>
      </c>
      <c r="D2145" s="2">
        <v>478596000</v>
      </c>
    </row>
    <row r="2146" spans="1:4" x14ac:dyDescent="0.25">
      <c r="A2146" s="23" t="s">
        <v>447</v>
      </c>
      <c r="B2146" t="s">
        <v>291</v>
      </c>
      <c r="C2146" s="2">
        <v>604186000</v>
      </c>
      <c r="D2146" s="2">
        <v>557689000</v>
      </c>
    </row>
    <row r="2147" spans="1:4" x14ac:dyDescent="0.25">
      <c r="A2147" s="23" t="s">
        <v>447</v>
      </c>
      <c r="B2147" t="s">
        <v>292</v>
      </c>
      <c r="C2147" s="2">
        <v>682681000</v>
      </c>
      <c r="D2147" s="2">
        <v>672919000</v>
      </c>
    </row>
    <row r="2148" spans="1:4" x14ac:dyDescent="0.25">
      <c r="A2148" s="23" t="s">
        <v>447</v>
      </c>
      <c r="B2148" t="s">
        <v>293</v>
      </c>
      <c r="C2148" s="2">
        <v>727738000</v>
      </c>
      <c r="D2148" s="2">
        <v>719530000</v>
      </c>
    </row>
    <row r="2149" spans="1:4" x14ac:dyDescent="0.25">
      <c r="A2149" s="23" t="s">
        <v>447</v>
      </c>
      <c r="B2149" t="s">
        <v>294</v>
      </c>
      <c r="C2149" s="2">
        <v>839053000</v>
      </c>
      <c r="D2149" s="2">
        <v>442153000</v>
      </c>
    </row>
    <row r="2150" spans="1:4" x14ac:dyDescent="0.25">
      <c r="A2150" s="23" t="s">
        <v>447</v>
      </c>
      <c r="B2150" t="s">
        <v>295</v>
      </c>
      <c r="C2150" s="2">
        <v>1863352000</v>
      </c>
      <c r="D2150" s="2">
        <v>1197912000</v>
      </c>
    </row>
    <row r="2151" spans="1:4" x14ac:dyDescent="0.25">
      <c r="A2151" s="23" t="s">
        <v>447</v>
      </c>
      <c r="B2151" t="s">
        <v>296</v>
      </c>
      <c r="C2151" s="2">
        <v>2029866000</v>
      </c>
      <c r="D2151" s="2">
        <v>1413366000</v>
      </c>
    </row>
    <row r="2152" spans="1:4" x14ac:dyDescent="0.25">
      <c r="A2152" s="23" t="s">
        <v>447</v>
      </c>
      <c r="B2152" t="s">
        <v>297</v>
      </c>
      <c r="C2152" s="2">
        <v>393807000</v>
      </c>
      <c r="D2152" s="2">
        <v>337807000</v>
      </c>
    </row>
    <row r="2153" spans="1:4" x14ac:dyDescent="0.25">
      <c r="A2153" s="23" t="s">
        <v>447</v>
      </c>
      <c r="B2153" t="s">
        <v>298</v>
      </c>
      <c r="C2153" s="2">
        <v>680768000</v>
      </c>
      <c r="D2153" s="2">
        <v>462368000</v>
      </c>
    </row>
    <row r="2154" spans="1:4" x14ac:dyDescent="0.25">
      <c r="A2154" s="23" t="s">
        <v>447</v>
      </c>
      <c r="B2154" t="s">
        <v>299</v>
      </c>
      <c r="C2154" s="2">
        <v>742431000</v>
      </c>
      <c r="D2154" s="2">
        <v>666231000</v>
      </c>
    </row>
    <row r="2155" spans="1:4" x14ac:dyDescent="0.25">
      <c r="A2155" s="23" t="s">
        <v>447</v>
      </c>
      <c r="B2155" t="s">
        <v>300</v>
      </c>
      <c r="C2155" s="2">
        <v>1119432000</v>
      </c>
      <c r="D2155" s="2">
        <v>1007432000</v>
      </c>
    </row>
    <row r="2156" spans="1:4" x14ac:dyDescent="0.25">
      <c r="A2156" s="23" t="s">
        <v>447</v>
      </c>
      <c r="B2156" t="s">
        <v>301</v>
      </c>
      <c r="C2156" s="2">
        <v>631718000</v>
      </c>
      <c r="D2156" s="2">
        <v>515968000</v>
      </c>
    </row>
    <row r="2157" spans="1:4" x14ac:dyDescent="0.25">
      <c r="A2157" s="23" t="s">
        <v>447</v>
      </c>
      <c r="B2157" t="s">
        <v>302</v>
      </c>
      <c r="C2157" s="2">
        <v>185198000</v>
      </c>
      <c r="D2157" s="2">
        <v>155198000</v>
      </c>
    </row>
    <row r="2158" spans="1:4" x14ac:dyDescent="0.25">
      <c r="A2158" s="23" t="s">
        <v>447</v>
      </c>
      <c r="B2158" t="s">
        <v>303</v>
      </c>
      <c r="C2158" s="2">
        <v>450356000</v>
      </c>
      <c r="D2158" s="2">
        <v>375856000</v>
      </c>
    </row>
    <row r="2159" spans="1:4" x14ac:dyDescent="0.25">
      <c r="A2159" s="23" t="s">
        <v>447</v>
      </c>
      <c r="B2159" t="s">
        <v>304</v>
      </c>
      <c r="C2159" s="2">
        <v>1048448000</v>
      </c>
      <c r="D2159" s="2">
        <v>916948000</v>
      </c>
    </row>
    <row r="2160" spans="1:4" x14ac:dyDescent="0.25">
      <c r="A2160" s="23" t="s">
        <v>447</v>
      </c>
      <c r="B2160" t="s">
        <v>305</v>
      </c>
      <c r="C2160" s="2">
        <v>692450000</v>
      </c>
      <c r="D2160" s="2">
        <v>726300000</v>
      </c>
    </row>
    <row r="2161" spans="1:4" x14ac:dyDescent="0.25">
      <c r="A2161" s="23" t="s">
        <v>447</v>
      </c>
      <c r="B2161" t="s">
        <v>306</v>
      </c>
      <c r="C2161" s="2">
        <v>197007000</v>
      </c>
      <c r="D2161" s="2">
        <v>147148000</v>
      </c>
    </row>
    <row r="2162" spans="1:4" x14ac:dyDescent="0.25">
      <c r="A2162" s="23" t="s">
        <v>447</v>
      </c>
      <c r="B2162" t="s">
        <v>307</v>
      </c>
      <c r="C2162" s="2">
        <v>169828000</v>
      </c>
      <c r="D2162" s="2">
        <v>169828000</v>
      </c>
    </row>
    <row r="2163" spans="1:4" x14ac:dyDescent="0.25">
      <c r="A2163" s="23" t="s">
        <v>447</v>
      </c>
      <c r="B2163" t="s">
        <v>308</v>
      </c>
      <c r="C2163" s="2">
        <v>1816077000</v>
      </c>
      <c r="D2163" s="2">
        <v>1218577000</v>
      </c>
    </row>
    <row r="2164" spans="1:4" x14ac:dyDescent="0.25">
      <c r="A2164" s="23" t="s">
        <v>447</v>
      </c>
      <c r="B2164" t="s">
        <v>309</v>
      </c>
      <c r="C2164" s="2">
        <v>1670090000</v>
      </c>
      <c r="D2164" s="2">
        <v>1174090000</v>
      </c>
    </row>
    <row r="2165" spans="1:4" x14ac:dyDescent="0.25">
      <c r="A2165" s="23" t="s">
        <v>447</v>
      </c>
      <c r="B2165" t="s">
        <v>310</v>
      </c>
      <c r="C2165" s="2">
        <v>587077000</v>
      </c>
      <c r="D2165" s="2">
        <v>389077000</v>
      </c>
    </row>
    <row r="2166" spans="1:4" x14ac:dyDescent="0.25">
      <c r="A2166" s="23" t="s">
        <v>447</v>
      </c>
      <c r="B2166" t="s">
        <v>311</v>
      </c>
      <c r="C2166" s="2">
        <v>1942546000</v>
      </c>
      <c r="D2166" s="2">
        <v>691296000</v>
      </c>
    </row>
    <row r="2167" spans="1:4" x14ac:dyDescent="0.25">
      <c r="A2167" s="23" t="s">
        <v>447</v>
      </c>
      <c r="B2167" t="s">
        <v>312</v>
      </c>
      <c r="C2167" s="2">
        <v>464006000</v>
      </c>
      <c r="D2167" s="2">
        <v>442506000</v>
      </c>
    </row>
    <row r="2168" spans="1:4" x14ac:dyDescent="0.25">
      <c r="A2168" s="23" t="s">
        <v>447</v>
      </c>
      <c r="B2168" t="s">
        <v>313</v>
      </c>
      <c r="C2168" s="2">
        <v>765533000</v>
      </c>
      <c r="D2168" s="2">
        <v>564833000</v>
      </c>
    </row>
    <row r="2169" spans="1:4" x14ac:dyDescent="0.25">
      <c r="A2169" s="23" t="s">
        <v>447</v>
      </c>
      <c r="B2169" t="s">
        <v>314</v>
      </c>
      <c r="C2169" s="2">
        <v>528259000</v>
      </c>
      <c r="D2169" s="2">
        <v>410133000</v>
      </c>
    </row>
    <row r="2170" spans="1:4" x14ac:dyDescent="0.25">
      <c r="A2170" s="23" t="s">
        <v>447</v>
      </c>
      <c r="B2170" t="s">
        <v>315</v>
      </c>
      <c r="C2170" s="2">
        <v>336288000</v>
      </c>
      <c r="D2170" s="2">
        <v>233856000</v>
      </c>
    </row>
    <row r="2171" spans="1:4" x14ac:dyDescent="0.25">
      <c r="A2171" s="23" t="s">
        <v>447</v>
      </c>
      <c r="B2171" t="s">
        <v>316</v>
      </c>
      <c r="C2171" s="2">
        <v>886945000</v>
      </c>
      <c r="D2171" s="2">
        <v>408761000</v>
      </c>
    </row>
    <row r="2172" spans="1:4" x14ac:dyDescent="0.25">
      <c r="A2172" s="23" t="s">
        <v>447</v>
      </c>
      <c r="B2172" t="s">
        <v>317</v>
      </c>
      <c r="C2172" s="2">
        <v>750762000</v>
      </c>
      <c r="D2172" s="2">
        <v>420122000</v>
      </c>
    </row>
    <row r="2173" spans="1:4" x14ac:dyDescent="0.25">
      <c r="A2173" s="23" t="s">
        <v>447</v>
      </c>
      <c r="B2173" t="s">
        <v>318</v>
      </c>
      <c r="C2173" s="2">
        <v>995900000</v>
      </c>
      <c r="D2173" s="2">
        <v>747144000</v>
      </c>
    </row>
    <row r="2174" spans="1:4" x14ac:dyDescent="0.25">
      <c r="A2174" s="23" t="s">
        <v>447</v>
      </c>
      <c r="B2174" t="s">
        <v>319</v>
      </c>
      <c r="C2174" s="2">
        <v>563542000</v>
      </c>
      <c r="D2174" s="2">
        <v>516632000</v>
      </c>
    </row>
    <row r="2175" spans="1:4" x14ac:dyDescent="0.25">
      <c r="A2175" s="23" t="s">
        <v>447</v>
      </c>
      <c r="B2175" t="s">
        <v>320</v>
      </c>
      <c r="C2175" s="2">
        <v>453349000</v>
      </c>
      <c r="D2175" s="2">
        <v>362333000</v>
      </c>
    </row>
    <row r="2176" spans="1:4" x14ac:dyDescent="0.25">
      <c r="A2176" s="23" t="s">
        <v>447</v>
      </c>
      <c r="B2176" t="s">
        <v>321</v>
      </c>
      <c r="C2176" s="2">
        <v>816380000</v>
      </c>
      <c r="D2176" s="2">
        <v>753380000</v>
      </c>
    </row>
    <row r="2177" spans="1:4" x14ac:dyDescent="0.25">
      <c r="A2177" s="23" t="s">
        <v>447</v>
      </c>
      <c r="B2177" t="s">
        <v>322</v>
      </c>
      <c r="C2177" s="2">
        <v>474691000</v>
      </c>
      <c r="D2177" s="2">
        <v>412191000</v>
      </c>
    </row>
    <row r="2178" spans="1:4" x14ac:dyDescent="0.25">
      <c r="A2178" s="23" t="s">
        <v>447</v>
      </c>
      <c r="B2178" t="s">
        <v>323</v>
      </c>
      <c r="C2178" s="2">
        <v>648756000</v>
      </c>
      <c r="D2178" s="2">
        <v>551756000</v>
      </c>
    </row>
    <row r="2179" spans="1:4" x14ac:dyDescent="0.25">
      <c r="A2179" s="23" t="s">
        <v>447</v>
      </c>
      <c r="B2179" t="s">
        <v>324</v>
      </c>
      <c r="C2179" s="2">
        <v>574110000</v>
      </c>
      <c r="D2179" s="2">
        <v>615754000</v>
      </c>
    </row>
    <row r="2180" spans="1:4" x14ac:dyDescent="0.25">
      <c r="A2180" s="23" t="s">
        <v>447</v>
      </c>
      <c r="B2180" t="s">
        <v>325</v>
      </c>
      <c r="C2180" s="2">
        <v>984179000</v>
      </c>
      <c r="D2180" s="2">
        <v>736579000</v>
      </c>
    </row>
    <row r="2181" spans="1:4" x14ac:dyDescent="0.25">
      <c r="A2181" s="23" t="s">
        <v>447</v>
      </c>
      <c r="B2181" t="s">
        <v>326</v>
      </c>
      <c r="C2181" s="2">
        <v>495193000</v>
      </c>
      <c r="D2181" s="2">
        <v>331467000</v>
      </c>
    </row>
    <row r="2182" spans="1:4" x14ac:dyDescent="0.25">
      <c r="A2182" s="23" t="s">
        <v>447</v>
      </c>
      <c r="B2182" t="s">
        <v>327</v>
      </c>
      <c r="C2182" s="2">
        <v>847022000</v>
      </c>
      <c r="D2182" s="2">
        <v>676777000</v>
      </c>
    </row>
    <row r="2183" spans="1:4" x14ac:dyDescent="0.25">
      <c r="A2183" s="23" t="s">
        <v>447</v>
      </c>
      <c r="B2183" t="s">
        <v>328</v>
      </c>
      <c r="C2183" s="2">
        <v>1344735000</v>
      </c>
      <c r="D2183" s="2">
        <v>1015235000</v>
      </c>
    </row>
    <row r="2184" spans="1:4" x14ac:dyDescent="0.25">
      <c r="A2184" s="23" t="s">
        <v>447</v>
      </c>
      <c r="B2184" t="s">
        <v>329</v>
      </c>
      <c r="C2184" s="2">
        <v>1510452000</v>
      </c>
      <c r="D2184" s="2">
        <v>1330072000</v>
      </c>
    </row>
    <row r="2185" spans="1:4" x14ac:dyDescent="0.25">
      <c r="A2185" s="23" t="s">
        <v>447</v>
      </c>
      <c r="B2185" t="s">
        <v>330</v>
      </c>
      <c r="C2185" s="2">
        <v>844009000</v>
      </c>
      <c r="D2185" s="2">
        <v>858509000</v>
      </c>
    </row>
    <row r="2186" spans="1:4" x14ac:dyDescent="0.25">
      <c r="A2186" s="23" t="s">
        <v>447</v>
      </c>
      <c r="B2186" t="s">
        <v>331</v>
      </c>
      <c r="C2186" s="2">
        <v>961438000</v>
      </c>
      <c r="D2186" s="2">
        <v>917663000</v>
      </c>
    </row>
    <row r="2187" spans="1:4" x14ac:dyDescent="0.25">
      <c r="A2187" s="23" t="s">
        <v>447</v>
      </c>
      <c r="B2187" t="s">
        <v>332</v>
      </c>
      <c r="C2187" s="2">
        <v>806588000</v>
      </c>
      <c r="D2187" s="2">
        <v>697588000</v>
      </c>
    </row>
    <row r="2188" spans="1:4" x14ac:dyDescent="0.25">
      <c r="A2188" s="23" t="s">
        <v>447</v>
      </c>
      <c r="B2188" t="s">
        <v>333</v>
      </c>
      <c r="C2188" s="2">
        <v>711857000</v>
      </c>
      <c r="D2188" s="2">
        <v>618857000</v>
      </c>
    </row>
    <row r="2189" spans="1:4" x14ac:dyDescent="0.25">
      <c r="A2189" s="23" t="s">
        <v>447</v>
      </c>
      <c r="B2189" t="s">
        <v>334</v>
      </c>
      <c r="C2189" s="2">
        <v>361453000</v>
      </c>
      <c r="D2189" s="2">
        <v>349465000</v>
      </c>
    </row>
    <row r="2190" spans="1:4" x14ac:dyDescent="0.25">
      <c r="A2190" s="23" t="s">
        <v>447</v>
      </c>
      <c r="B2190" t="s">
        <v>335</v>
      </c>
      <c r="C2190" s="2">
        <v>319518000</v>
      </c>
      <c r="D2190" s="2">
        <v>319518000</v>
      </c>
    </row>
    <row r="2191" spans="1:4" x14ac:dyDescent="0.25">
      <c r="A2191" s="23" t="s">
        <v>447</v>
      </c>
      <c r="B2191" t="s">
        <v>336</v>
      </c>
      <c r="C2191" s="2">
        <v>526016000</v>
      </c>
      <c r="D2191" s="2">
        <v>413016000</v>
      </c>
    </row>
    <row r="2192" spans="1:4" x14ac:dyDescent="0.25">
      <c r="A2192" s="23" t="s">
        <v>447</v>
      </c>
      <c r="B2192" t="s">
        <v>337</v>
      </c>
      <c r="C2192" s="2">
        <v>834758000</v>
      </c>
      <c r="D2192" s="2">
        <v>552812000</v>
      </c>
    </row>
    <row r="2193" spans="1:4" x14ac:dyDescent="0.25">
      <c r="A2193" s="23" t="s">
        <v>447</v>
      </c>
      <c r="B2193" t="s">
        <v>338</v>
      </c>
      <c r="C2193" s="2">
        <v>355604000</v>
      </c>
      <c r="D2193" s="2">
        <v>276660000</v>
      </c>
    </row>
    <row r="2194" spans="1:4" x14ac:dyDescent="0.25">
      <c r="A2194" s="23" t="s">
        <v>447</v>
      </c>
      <c r="B2194" t="s">
        <v>339</v>
      </c>
      <c r="C2194" s="2">
        <v>410595000</v>
      </c>
      <c r="D2194" s="2">
        <v>281179000</v>
      </c>
    </row>
    <row r="2195" spans="1:4" x14ac:dyDescent="0.25">
      <c r="A2195" s="23" t="s">
        <v>447</v>
      </c>
      <c r="B2195" t="s">
        <v>340</v>
      </c>
      <c r="C2195" s="2">
        <v>425059000</v>
      </c>
      <c r="D2195" s="2">
        <v>330815000</v>
      </c>
    </row>
    <row r="2196" spans="1:4" x14ac:dyDescent="0.25">
      <c r="A2196" s="23" t="s">
        <v>447</v>
      </c>
      <c r="B2196" t="s">
        <v>341</v>
      </c>
      <c r="C2196" s="2">
        <v>1290908000</v>
      </c>
      <c r="D2196" s="2">
        <v>1035391000</v>
      </c>
    </row>
    <row r="2197" spans="1:4" x14ac:dyDescent="0.25">
      <c r="A2197" s="23" t="s">
        <v>447</v>
      </c>
      <c r="B2197" t="s">
        <v>342</v>
      </c>
      <c r="C2197" s="2">
        <v>701277000</v>
      </c>
      <c r="D2197" s="2">
        <v>646616000</v>
      </c>
    </row>
    <row r="2198" spans="1:4" x14ac:dyDescent="0.25">
      <c r="A2198" s="23" t="s">
        <v>447</v>
      </c>
      <c r="B2198" t="s">
        <v>343</v>
      </c>
      <c r="C2198" s="2">
        <v>789747000</v>
      </c>
      <c r="D2198" s="2">
        <v>695747000</v>
      </c>
    </row>
    <row r="2199" spans="1:4" x14ac:dyDescent="0.25">
      <c r="A2199" s="23" t="s">
        <v>447</v>
      </c>
      <c r="B2199" t="s">
        <v>344</v>
      </c>
      <c r="C2199" s="2">
        <v>652437000</v>
      </c>
      <c r="D2199" s="2">
        <v>625437000</v>
      </c>
    </row>
    <row r="2200" spans="1:4" x14ac:dyDescent="0.25">
      <c r="A2200" s="23" t="s">
        <v>447</v>
      </c>
      <c r="B2200" t="s">
        <v>345</v>
      </c>
      <c r="C2200" s="2">
        <v>797327000</v>
      </c>
      <c r="D2200" s="2">
        <v>728461000</v>
      </c>
    </row>
    <row r="2201" spans="1:4" x14ac:dyDescent="0.25">
      <c r="A2201" s="23" t="s">
        <v>447</v>
      </c>
      <c r="B2201" t="s">
        <v>346</v>
      </c>
      <c r="C2201" s="2">
        <v>931834000</v>
      </c>
      <c r="D2201" s="2">
        <v>814664000</v>
      </c>
    </row>
    <row r="2202" spans="1:4" x14ac:dyDescent="0.25">
      <c r="A2202" s="23" t="s">
        <v>447</v>
      </c>
      <c r="B2202" t="s">
        <v>347</v>
      </c>
      <c r="C2202" s="2">
        <v>488078000</v>
      </c>
      <c r="D2202" s="2">
        <v>418078000</v>
      </c>
    </row>
    <row r="2203" spans="1:4" x14ac:dyDescent="0.25">
      <c r="A2203" s="23" t="s">
        <v>447</v>
      </c>
      <c r="B2203" t="s">
        <v>348</v>
      </c>
      <c r="C2203" s="2">
        <v>1017536000</v>
      </c>
      <c r="D2203" s="2">
        <v>958536000</v>
      </c>
    </row>
    <row r="2204" spans="1:4" x14ac:dyDescent="0.25">
      <c r="A2204" s="23" t="s">
        <v>447</v>
      </c>
      <c r="B2204" t="s">
        <v>349</v>
      </c>
      <c r="C2204" s="2">
        <v>1389798000</v>
      </c>
      <c r="D2204" s="2">
        <v>1007798000</v>
      </c>
    </row>
    <row r="2205" spans="1:4" x14ac:dyDescent="0.25">
      <c r="A2205" s="23" t="s">
        <v>447</v>
      </c>
      <c r="B2205" t="s">
        <v>350</v>
      </c>
      <c r="C2205" s="2">
        <v>410248000</v>
      </c>
      <c r="D2205" s="2">
        <v>526210000</v>
      </c>
    </row>
    <row r="2206" spans="1:4" x14ac:dyDescent="0.25">
      <c r="A2206" s="23" t="s">
        <v>447</v>
      </c>
      <c r="B2206" t="s">
        <v>414</v>
      </c>
      <c r="C2206" s="2">
        <v>1032890000</v>
      </c>
      <c r="D2206" s="2">
        <v>932138000</v>
      </c>
    </row>
    <row r="2207" spans="1:4" x14ac:dyDescent="0.25">
      <c r="A2207" s="23" t="s">
        <v>447</v>
      </c>
      <c r="B2207" t="s">
        <v>351</v>
      </c>
      <c r="C2207" s="2">
        <v>424604000</v>
      </c>
      <c r="D2207" s="2">
        <v>87604000</v>
      </c>
    </row>
    <row r="2208" spans="1:4" x14ac:dyDescent="0.25">
      <c r="A2208" s="23" t="s">
        <v>447</v>
      </c>
      <c r="B2208" t="s">
        <v>405</v>
      </c>
      <c r="C2208" s="2">
        <v>1040444000</v>
      </c>
      <c r="D2208" s="2">
        <v>808964000</v>
      </c>
    </row>
    <row r="2209" spans="1:4" x14ac:dyDescent="0.25">
      <c r="A2209" s="23" t="s">
        <v>447</v>
      </c>
      <c r="B2209" t="s">
        <v>352</v>
      </c>
      <c r="C2209" s="2">
        <v>416730000</v>
      </c>
      <c r="D2209" s="2">
        <v>398203000</v>
      </c>
    </row>
    <row r="2210" spans="1:4" x14ac:dyDescent="0.25">
      <c r="A2210" s="23" t="s">
        <v>447</v>
      </c>
      <c r="B2210" t="s">
        <v>353</v>
      </c>
      <c r="C2210" s="2">
        <v>372158000</v>
      </c>
      <c r="D2210" s="2">
        <v>251974000</v>
      </c>
    </row>
    <row r="2211" spans="1:4" x14ac:dyDescent="0.25">
      <c r="A2211" s="23" t="s">
        <v>447</v>
      </c>
      <c r="B2211" t="s">
        <v>354</v>
      </c>
      <c r="C2211" s="2">
        <v>640086000</v>
      </c>
      <c r="D2211" s="2">
        <v>555086000</v>
      </c>
    </row>
    <row r="2212" spans="1:4" x14ac:dyDescent="0.25">
      <c r="A2212" s="23" t="s">
        <v>447</v>
      </c>
      <c r="B2212" t="s">
        <v>355</v>
      </c>
      <c r="C2212" s="2">
        <v>688174000</v>
      </c>
      <c r="D2212" s="2">
        <v>605674000</v>
      </c>
    </row>
    <row r="2213" spans="1:4" x14ac:dyDescent="0.25">
      <c r="A2213" s="23" t="s">
        <v>447</v>
      </c>
      <c r="B2213" t="s">
        <v>356</v>
      </c>
      <c r="C2213" s="2">
        <v>549857000</v>
      </c>
      <c r="D2213" s="2">
        <v>277661000</v>
      </c>
    </row>
    <row r="2214" spans="1:4" x14ac:dyDescent="0.25">
      <c r="A2214" s="23" t="s">
        <v>447</v>
      </c>
      <c r="B2214" t="s">
        <v>357</v>
      </c>
      <c r="C2214" s="2">
        <v>639527000</v>
      </c>
      <c r="D2214" s="2">
        <v>532737000</v>
      </c>
    </row>
    <row r="2215" spans="1:4" x14ac:dyDescent="0.25">
      <c r="A2215" s="23" t="s">
        <v>447</v>
      </c>
      <c r="B2215" t="s">
        <v>358</v>
      </c>
      <c r="C2215" s="2">
        <v>541172000</v>
      </c>
      <c r="D2215" s="2">
        <v>530122000</v>
      </c>
    </row>
    <row r="2216" spans="1:4" x14ac:dyDescent="0.25">
      <c r="A2216" s="23" t="s">
        <v>447</v>
      </c>
      <c r="B2216" t="s">
        <v>359</v>
      </c>
      <c r="C2216" s="2">
        <v>1595441000</v>
      </c>
      <c r="D2216" s="2">
        <v>588338000</v>
      </c>
    </row>
    <row r="2217" spans="1:4" x14ac:dyDescent="0.25">
      <c r="A2217" s="23" t="s">
        <v>447</v>
      </c>
      <c r="B2217" t="s">
        <v>360</v>
      </c>
      <c r="C2217" s="2">
        <v>581409000</v>
      </c>
      <c r="D2217" s="2">
        <v>524886000</v>
      </c>
    </row>
    <row r="2218" spans="1:4" x14ac:dyDescent="0.25">
      <c r="A2218" s="23" t="s">
        <v>447</v>
      </c>
      <c r="B2218" t="s">
        <v>361</v>
      </c>
      <c r="C2218" s="2">
        <v>370609000</v>
      </c>
      <c r="D2218" s="2">
        <v>328960000</v>
      </c>
    </row>
    <row r="2219" spans="1:4" x14ac:dyDescent="0.25">
      <c r="A2219" s="23" t="s">
        <v>447</v>
      </c>
      <c r="B2219" t="s">
        <v>362</v>
      </c>
      <c r="C2219" s="2">
        <v>303248000</v>
      </c>
      <c r="D2219" s="2">
        <v>238248000</v>
      </c>
    </row>
    <row r="2220" spans="1:4" x14ac:dyDescent="0.25">
      <c r="A2220" s="23" t="s">
        <v>447</v>
      </c>
      <c r="B2220" t="s">
        <v>363</v>
      </c>
      <c r="C2220" s="2">
        <v>319454000</v>
      </c>
      <c r="D2220" s="2">
        <v>238105000</v>
      </c>
    </row>
    <row r="2221" spans="1:4" x14ac:dyDescent="0.25">
      <c r="A2221" s="23" t="s">
        <v>447</v>
      </c>
      <c r="B2221" t="s">
        <v>364</v>
      </c>
      <c r="C2221" s="2">
        <v>19718000</v>
      </c>
      <c r="D2221" s="2">
        <v>344553000</v>
      </c>
    </row>
    <row r="2222" spans="1:4" x14ac:dyDescent="0.25">
      <c r="A2222" s="23" t="s">
        <v>447</v>
      </c>
      <c r="B2222" t="s">
        <v>365</v>
      </c>
      <c r="C2222" s="2">
        <v>703602000</v>
      </c>
      <c r="D2222" s="2">
        <v>571602000</v>
      </c>
    </row>
    <row r="2223" spans="1:4" x14ac:dyDescent="0.25">
      <c r="A2223" s="23" t="s">
        <v>447</v>
      </c>
      <c r="B2223" t="s">
        <v>366</v>
      </c>
      <c r="C2223" s="2">
        <v>696720000</v>
      </c>
      <c r="D2223" s="2">
        <v>683720000</v>
      </c>
    </row>
    <row r="2224" spans="1:4" x14ac:dyDescent="0.25">
      <c r="A2224" s="23" t="s">
        <v>447</v>
      </c>
      <c r="B2224" t="s">
        <v>367</v>
      </c>
      <c r="C2224" s="2">
        <v>697775000</v>
      </c>
      <c r="D2224" s="2">
        <v>636904000</v>
      </c>
    </row>
    <row r="2225" spans="1:4" x14ac:dyDescent="0.25">
      <c r="A2225" s="23" t="s">
        <v>447</v>
      </c>
      <c r="B2225" t="s">
        <v>368</v>
      </c>
      <c r="C2225" s="2">
        <v>623973000</v>
      </c>
      <c r="D2225" s="2">
        <v>463585000</v>
      </c>
    </row>
    <row r="2226" spans="1:4" x14ac:dyDescent="0.25">
      <c r="A2226" s="23" t="s">
        <v>447</v>
      </c>
      <c r="B2226" t="s">
        <v>369</v>
      </c>
      <c r="C2226" s="2">
        <v>703257000</v>
      </c>
      <c r="D2226" s="2">
        <v>736425000</v>
      </c>
    </row>
    <row r="2227" spans="1:4" x14ac:dyDescent="0.25">
      <c r="A2227" s="23" t="s">
        <v>447</v>
      </c>
      <c r="B2227" t="s">
        <v>370</v>
      </c>
      <c r="C2227" s="2">
        <v>800441000</v>
      </c>
      <c r="D2227" s="2">
        <v>519261000</v>
      </c>
    </row>
    <row r="2228" spans="1:4" x14ac:dyDescent="0.25">
      <c r="A2228" s="23" t="s">
        <v>447</v>
      </c>
      <c r="B2228" t="s">
        <v>371</v>
      </c>
      <c r="C2228" s="2">
        <v>1671508000</v>
      </c>
      <c r="D2228" s="2">
        <v>1361205000</v>
      </c>
    </row>
    <row r="2229" spans="1:4" x14ac:dyDescent="0.25">
      <c r="A2229" s="23" t="s">
        <v>447</v>
      </c>
      <c r="B2229" t="s">
        <v>372</v>
      </c>
      <c r="C2229" s="2">
        <v>1588008000</v>
      </c>
      <c r="D2229" s="2">
        <v>840883000</v>
      </c>
    </row>
    <row r="2230" spans="1:4" x14ac:dyDescent="0.25">
      <c r="A2230" s="23" t="s">
        <v>447</v>
      </c>
      <c r="B2230" t="s">
        <v>373</v>
      </c>
      <c r="C2230" s="2">
        <v>761348000</v>
      </c>
      <c r="D2230" s="2">
        <v>646198000</v>
      </c>
    </row>
    <row r="2231" spans="1:4" x14ac:dyDescent="0.25">
      <c r="A2231" s="23" t="s">
        <v>447</v>
      </c>
      <c r="B2231" t="s">
        <v>374</v>
      </c>
      <c r="C2231" s="2">
        <v>1161743000</v>
      </c>
      <c r="D2231" s="2">
        <v>770268000</v>
      </c>
    </row>
    <row r="2232" spans="1:4" x14ac:dyDescent="0.25">
      <c r="A2232" s="23" t="s">
        <v>447</v>
      </c>
      <c r="B2232" t="s">
        <v>375</v>
      </c>
      <c r="C2232" s="2">
        <v>631387000</v>
      </c>
      <c r="D2232" s="2">
        <v>539897000</v>
      </c>
    </row>
    <row r="2233" spans="1:4" x14ac:dyDescent="0.25">
      <c r="A2233" s="23" t="s">
        <v>447</v>
      </c>
      <c r="B2233" t="s">
        <v>376</v>
      </c>
      <c r="C2233" s="2">
        <v>904876000</v>
      </c>
      <c r="D2233" s="2">
        <v>828376000</v>
      </c>
    </row>
    <row r="2234" spans="1:4" x14ac:dyDescent="0.25">
      <c r="A2234" s="23" t="s">
        <v>447</v>
      </c>
      <c r="B2234" t="s">
        <v>377</v>
      </c>
      <c r="C2234" s="2">
        <v>554045000</v>
      </c>
      <c r="D2234" s="2">
        <v>401045000</v>
      </c>
    </row>
    <row r="2235" spans="1:4" x14ac:dyDescent="0.25">
      <c r="A2235" s="23" t="s">
        <v>447</v>
      </c>
      <c r="B2235" t="s">
        <v>378</v>
      </c>
      <c r="C2235" s="2">
        <v>695871000</v>
      </c>
      <c r="D2235" s="2">
        <v>490237000</v>
      </c>
    </row>
    <row r="2236" spans="1:4" x14ac:dyDescent="0.25">
      <c r="A2236" s="23" t="s">
        <v>447</v>
      </c>
      <c r="B2236" t="s">
        <v>412</v>
      </c>
      <c r="C2236" s="2">
        <v>542212000</v>
      </c>
      <c r="D2236" s="2">
        <v>384212000</v>
      </c>
    </row>
    <row r="2237" spans="1:4" x14ac:dyDescent="0.25">
      <c r="A2237" s="23" t="s">
        <v>447</v>
      </c>
      <c r="B2237" t="s">
        <v>379</v>
      </c>
      <c r="C2237" s="2">
        <v>1240075000</v>
      </c>
      <c r="D2237" s="2">
        <v>1198075000</v>
      </c>
    </row>
    <row r="2238" spans="1:4" x14ac:dyDescent="0.25">
      <c r="A2238" s="23" t="s">
        <v>447</v>
      </c>
      <c r="B2238" t="s">
        <v>380</v>
      </c>
      <c r="C2238" s="2">
        <v>753880000</v>
      </c>
      <c r="D2238" s="2">
        <v>685880000</v>
      </c>
    </row>
    <row r="2239" spans="1:4" x14ac:dyDescent="0.25">
      <c r="A2239" s="23" t="s">
        <v>447</v>
      </c>
      <c r="B2239" t="s">
        <v>381</v>
      </c>
      <c r="C2239" s="2">
        <v>664772000</v>
      </c>
      <c r="D2239" s="2">
        <v>426772000</v>
      </c>
    </row>
    <row r="2240" spans="1:4" x14ac:dyDescent="0.25">
      <c r="A2240" s="23" t="s">
        <v>447</v>
      </c>
      <c r="B2240" t="s">
        <v>382</v>
      </c>
      <c r="C2240" s="2">
        <v>361511000</v>
      </c>
      <c r="D2240" s="2">
        <v>315511000</v>
      </c>
    </row>
    <row r="2241" spans="1:4" x14ac:dyDescent="0.25">
      <c r="A2241" s="23" t="s">
        <v>447</v>
      </c>
      <c r="B2241" t="s">
        <v>383</v>
      </c>
      <c r="C2241" s="2">
        <v>772422000</v>
      </c>
      <c r="D2241" s="2">
        <v>617422000</v>
      </c>
    </row>
    <row r="2242" spans="1:4" x14ac:dyDescent="0.25">
      <c r="A2242" s="23" t="s">
        <v>447</v>
      </c>
      <c r="B2242" t="s">
        <v>384</v>
      </c>
      <c r="C2242" s="2">
        <v>298046000</v>
      </c>
      <c r="D2242" s="2">
        <v>193046000</v>
      </c>
    </row>
    <row r="2243" spans="1:4" x14ac:dyDescent="0.25">
      <c r="A2243" s="23" t="s">
        <v>447</v>
      </c>
      <c r="B2243" t="s">
        <v>385</v>
      </c>
      <c r="C2243" s="2">
        <v>262185000</v>
      </c>
      <c r="D2243" s="2">
        <v>244275000</v>
      </c>
    </row>
    <row r="2244" spans="1:4" x14ac:dyDescent="0.25">
      <c r="A2244" s="23" t="s">
        <v>447</v>
      </c>
      <c r="B2244" t="s">
        <v>386</v>
      </c>
      <c r="C2244" s="2">
        <v>1029350000</v>
      </c>
      <c r="D2244" s="2">
        <v>946350000</v>
      </c>
    </row>
    <row r="2245" spans="1:4" x14ac:dyDescent="0.25">
      <c r="A2245" s="23" t="s">
        <v>447</v>
      </c>
      <c r="B2245" t="s">
        <v>387</v>
      </c>
      <c r="C2245" s="2">
        <v>472327000</v>
      </c>
      <c r="D2245" s="2">
        <v>1231896000</v>
      </c>
    </row>
    <row r="2246" spans="1:4" x14ac:dyDescent="0.25">
      <c r="A2246" s="23" t="s">
        <v>447</v>
      </c>
      <c r="B2246" t="s">
        <v>388</v>
      </c>
      <c r="C2246" s="2">
        <v>692058000</v>
      </c>
      <c r="D2246" s="2">
        <v>690558000</v>
      </c>
    </row>
    <row r="2247" spans="1:4" x14ac:dyDescent="0.25">
      <c r="A2247" s="23" t="s">
        <v>447</v>
      </c>
      <c r="B2247" t="s">
        <v>389</v>
      </c>
      <c r="C2247" s="2">
        <v>470296000</v>
      </c>
      <c r="D2247" s="2">
        <v>445796000</v>
      </c>
    </row>
    <row r="2248" spans="1:4" x14ac:dyDescent="0.25">
      <c r="A2248" s="23" t="s">
        <v>447</v>
      </c>
      <c r="B2248" t="s">
        <v>390</v>
      </c>
      <c r="C2248" s="2">
        <v>314386000</v>
      </c>
      <c r="D2248" s="2">
        <v>247153000</v>
      </c>
    </row>
    <row r="2249" spans="1:4" x14ac:dyDescent="0.25">
      <c r="A2249" s="23" t="s">
        <v>447</v>
      </c>
      <c r="B2249" t="s">
        <v>391</v>
      </c>
      <c r="C2249" s="2">
        <v>428130000</v>
      </c>
      <c r="D2249" s="2">
        <v>313763000</v>
      </c>
    </row>
    <row r="2250" spans="1:4" x14ac:dyDescent="0.25">
      <c r="A2250" s="23" t="s">
        <v>447</v>
      </c>
      <c r="B2250" t="s">
        <v>392</v>
      </c>
      <c r="C2250" s="2">
        <v>975289000</v>
      </c>
      <c r="D2250" s="2">
        <v>900804000</v>
      </c>
    </row>
    <row r="2251" spans="1:4" x14ac:dyDescent="0.25">
      <c r="A2251" s="23" t="s">
        <v>447</v>
      </c>
      <c r="B2251" t="s">
        <v>393</v>
      </c>
      <c r="C2251" s="2">
        <v>620270000</v>
      </c>
      <c r="D2251" s="2">
        <v>471770000</v>
      </c>
    </row>
    <row r="2252" spans="1:4" x14ac:dyDescent="0.25">
      <c r="A2252" s="23" t="s">
        <v>447</v>
      </c>
      <c r="B2252" t="s">
        <v>394</v>
      </c>
      <c r="C2252" s="2">
        <v>416836000</v>
      </c>
      <c r="D2252" s="2">
        <v>351806000</v>
      </c>
    </row>
    <row r="2253" spans="1:4" x14ac:dyDescent="0.25">
      <c r="A2253" s="23" t="s">
        <v>447</v>
      </c>
      <c r="B2253" t="s">
        <v>395</v>
      </c>
      <c r="C2253" s="2">
        <v>330715000</v>
      </c>
      <c r="D2253" s="2">
        <v>353025000</v>
      </c>
    </row>
    <row r="2254" spans="1:4" x14ac:dyDescent="0.25">
      <c r="A2254" s="23" t="s">
        <v>447</v>
      </c>
      <c r="B2254" t="s">
        <v>396</v>
      </c>
    </row>
    <row r="2255" spans="1:4" x14ac:dyDescent="0.25">
      <c r="A2255" s="23" t="s">
        <v>448</v>
      </c>
      <c r="B2255" t="s">
        <v>201</v>
      </c>
      <c r="C2255" s="2">
        <v>150387192000</v>
      </c>
      <c r="D2255" s="2">
        <v>180507801000</v>
      </c>
    </row>
    <row r="2256" spans="1:4" x14ac:dyDescent="0.25">
      <c r="A2256" s="23" t="s">
        <v>448</v>
      </c>
      <c r="B2256" t="s">
        <v>424</v>
      </c>
      <c r="C2256" s="2">
        <v>0</v>
      </c>
      <c r="D2256" s="2">
        <v>0</v>
      </c>
    </row>
    <row r="2257" spans="1:4" x14ac:dyDescent="0.25">
      <c r="A2257" s="23" t="s">
        <v>448</v>
      </c>
      <c r="B2257" t="s">
        <v>202</v>
      </c>
      <c r="C2257" s="2">
        <v>5115589000</v>
      </c>
      <c r="D2257" s="2">
        <v>5205965000</v>
      </c>
    </row>
    <row r="2258" spans="1:4" x14ac:dyDescent="0.25">
      <c r="A2258" s="23" t="s">
        <v>448</v>
      </c>
      <c r="B2258" t="s">
        <v>203</v>
      </c>
      <c r="C2258" s="2">
        <v>5689904000</v>
      </c>
      <c r="D2258" s="2">
        <v>5179776000</v>
      </c>
    </row>
    <row r="2259" spans="1:4" x14ac:dyDescent="0.25">
      <c r="A2259" s="23" t="s">
        <v>448</v>
      </c>
      <c r="B2259" t="s">
        <v>204</v>
      </c>
      <c r="C2259" s="2">
        <v>5884843000</v>
      </c>
      <c r="D2259" s="2">
        <v>5441368000</v>
      </c>
    </row>
    <row r="2260" spans="1:4" x14ac:dyDescent="0.25">
      <c r="A2260" s="23" t="s">
        <v>448</v>
      </c>
      <c r="B2260" t="s">
        <v>205</v>
      </c>
      <c r="C2260" s="2">
        <v>6887594000</v>
      </c>
      <c r="D2260" s="2">
        <v>8164625000</v>
      </c>
    </row>
    <row r="2261" spans="1:4" x14ac:dyDescent="0.25">
      <c r="A2261" s="23" t="s">
        <v>448</v>
      </c>
      <c r="B2261" t="s">
        <v>206</v>
      </c>
      <c r="C2261" s="2">
        <v>6858095000</v>
      </c>
      <c r="D2261" s="2">
        <v>7640728000</v>
      </c>
    </row>
    <row r="2262" spans="1:4" x14ac:dyDescent="0.25">
      <c r="A2262" s="23" t="s">
        <v>448</v>
      </c>
      <c r="B2262" t="s">
        <v>207</v>
      </c>
      <c r="C2262" s="2">
        <v>7677776000</v>
      </c>
      <c r="D2262" s="2">
        <v>8090969000</v>
      </c>
    </row>
    <row r="2263" spans="1:4" x14ac:dyDescent="0.25">
      <c r="A2263" s="23" t="s">
        <v>448</v>
      </c>
      <c r="B2263" t="s">
        <v>208</v>
      </c>
      <c r="C2263" s="2">
        <v>4645147000</v>
      </c>
      <c r="D2263" s="2">
        <v>6330123000</v>
      </c>
    </row>
    <row r="2264" spans="1:4" x14ac:dyDescent="0.25">
      <c r="A2264" s="23" t="s">
        <v>448</v>
      </c>
      <c r="B2264" t="s">
        <v>209</v>
      </c>
      <c r="C2264" s="2">
        <v>7029625000</v>
      </c>
      <c r="D2264" s="2">
        <v>7482483000</v>
      </c>
    </row>
    <row r="2265" spans="1:4" x14ac:dyDescent="0.25">
      <c r="A2265" s="23" t="s">
        <v>448</v>
      </c>
      <c r="B2265" t="s">
        <v>210</v>
      </c>
      <c r="C2265" s="2">
        <v>10843731000</v>
      </c>
      <c r="D2265" s="2">
        <v>11676973000</v>
      </c>
    </row>
    <row r="2266" spans="1:4" x14ac:dyDescent="0.25">
      <c r="A2266" s="23" t="s">
        <v>448</v>
      </c>
      <c r="B2266" t="s">
        <v>211</v>
      </c>
      <c r="C2266" s="2">
        <v>17957680000</v>
      </c>
      <c r="D2266" s="2">
        <v>15630726000</v>
      </c>
    </row>
    <row r="2267" spans="1:4" x14ac:dyDescent="0.25">
      <c r="A2267" s="23" t="s">
        <v>448</v>
      </c>
      <c r="B2267" t="s">
        <v>212</v>
      </c>
      <c r="C2267" s="2">
        <v>7711994000</v>
      </c>
      <c r="D2267" s="2">
        <v>8100910000</v>
      </c>
    </row>
    <row r="2268" spans="1:4" x14ac:dyDescent="0.25">
      <c r="A2268" s="23" t="s">
        <v>448</v>
      </c>
      <c r="B2268" t="s">
        <v>213</v>
      </c>
      <c r="C2268" s="2">
        <v>7454647000</v>
      </c>
      <c r="D2268" s="2">
        <v>7701866000</v>
      </c>
    </row>
    <row r="2269" spans="1:4" x14ac:dyDescent="0.25">
      <c r="A2269" s="23" t="s">
        <v>448</v>
      </c>
      <c r="B2269" t="s">
        <v>214</v>
      </c>
      <c r="C2269" s="2">
        <v>2005755000</v>
      </c>
      <c r="D2269" s="2">
        <v>3194531000</v>
      </c>
    </row>
    <row r="2270" spans="1:4" x14ac:dyDescent="0.25">
      <c r="A2270" s="23" t="s">
        <v>448</v>
      </c>
      <c r="B2270" t="s">
        <v>215</v>
      </c>
      <c r="C2270" s="2">
        <v>7365927000</v>
      </c>
      <c r="D2270" s="2">
        <v>7592712000</v>
      </c>
    </row>
    <row r="2271" spans="1:4" x14ac:dyDescent="0.25">
      <c r="A2271" s="23" t="s">
        <v>448</v>
      </c>
      <c r="B2271" t="s">
        <v>216</v>
      </c>
      <c r="C2271" s="2">
        <v>7365342000</v>
      </c>
      <c r="D2271" s="2">
        <v>6690961000</v>
      </c>
    </row>
    <row r="2272" spans="1:4" x14ac:dyDescent="0.25">
      <c r="A2272" s="23" t="s">
        <v>448</v>
      </c>
      <c r="B2272" t="s">
        <v>217</v>
      </c>
      <c r="C2272" s="2">
        <v>5972848000</v>
      </c>
      <c r="D2272" s="2">
        <v>6559894000</v>
      </c>
    </row>
    <row r="2273" spans="1:4" x14ac:dyDescent="0.25">
      <c r="A2273" s="23" t="s">
        <v>448</v>
      </c>
      <c r="B2273" t="s">
        <v>218</v>
      </c>
      <c r="C2273" s="2">
        <v>929264000</v>
      </c>
      <c r="D2273" s="2">
        <v>326764000</v>
      </c>
    </row>
    <row r="2274" spans="1:4" x14ac:dyDescent="0.25">
      <c r="A2274" s="23" t="s">
        <v>448</v>
      </c>
      <c r="B2274" t="s">
        <v>219</v>
      </c>
      <c r="C2274" s="2">
        <v>965724000</v>
      </c>
      <c r="D2274" s="2">
        <v>722724000</v>
      </c>
    </row>
    <row r="2275" spans="1:4" x14ac:dyDescent="0.25">
      <c r="A2275" s="23" t="s">
        <v>448</v>
      </c>
      <c r="B2275" t="s">
        <v>220</v>
      </c>
      <c r="C2275" s="2">
        <v>4396645000</v>
      </c>
      <c r="D2275" s="2">
        <v>1379792000</v>
      </c>
    </row>
    <row r="2276" spans="1:4" x14ac:dyDescent="0.25">
      <c r="A2276" s="23" t="s">
        <v>448</v>
      </c>
      <c r="B2276" t="s">
        <v>221</v>
      </c>
      <c r="C2276" s="2">
        <v>936990000</v>
      </c>
      <c r="D2276" s="2">
        <v>639990000</v>
      </c>
    </row>
    <row r="2277" spans="1:4" x14ac:dyDescent="0.25">
      <c r="A2277" s="23" t="s">
        <v>448</v>
      </c>
      <c r="B2277" t="s">
        <v>222</v>
      </c>
      <c r="C2277" s="2">
        <v>1943091000</v>
      </c>
      <c r="D2277" s="2">
        <v>1648591000</v>
      </c>
    </row>
    <row r="2278" spans="1:4" x14ac:dyDescent="0.25">
      <c r="A2278" s="23" t="s">
        <v>448</v>
      </c>
      <c r="B2278" t="s">
        <v>223</v>
      </c>
      <c r="C2278" s="2">
        <v>2258782000</v>
      </c>
      <c r="D2278" s="2">
        <v>902282000</v>
      </c>
    </row>
    <row r="2279" spans="1:4" x14ac:dyDescent="0.25">
      <c r="A2279" s="23" t="s">
        <v>448</v>
      </c>
      <c r="B2279" t="s">
        <v>224</v>
      </c>
      <c r="C2279" s="2">
        <v>1884138000</v>
      </c>
      <c r="D2279" s="2">
        <v>879338000</v>
      </c>
    </row>
    <row r="2280" spans="1:4" x14ac:dyDescent="0.25">
      <c r="A2280" s="23" t="s">
        <v>448</v>
      </c>
      <c r="B2280" t="s">
        <v>225</v>
      </c>
      <c r="C2280" s="2">
        <v>1575385000</v>
      </c>
      <c r="D2280" s="2">
        <v>977475000</v>
      </c>
    </row>
    <row r="2281" spans="1:4" x14ac:dyDescent="0.25">
      <c r="A2281" s="23" t="s">
        <v>448</v>
      </c>
      <c r="B2281" t="s">
        <v>226</v>
      </c>
      <c r="C2281" s="2">
        <v>1069743000</v>
      </c>
      <c r="D2281" s="2">
        <v>501463000</v>
      </c>
    </row>
    <row r="2282" spans="1:4" x14ac:dyDescent="0.25">
      <c r="A2282" s="23" t="s">
        <v>448</v>
      </c>
      <c r="B2282" t="s">
        <v>227</v>
      </c>
      <c r="C2282" s="2">
        <v>836678000</v>
      </c>
      <c r="D2282" s="2">
        <v>417478000</v>
      </c>
    </row>
    <row r="2283" spans="1:4" x14ac:dyDescent="0.25">
      <c r="A2283" s="23" t="s">
        <v>448</v>
      </c>
      <c r="B2283" t="s">
        <v>228</v>
      </c>
      <c r="C2283" s="2">
        <v>778489000</v>
      </c>
      <c r="D2283" s="2">
        <v>342814000</v>
      </c>
    </row>
    <row r="2284" spans="1:4" x14ac:dyDescent="0.25">
      <c r="A2284" s="23" t="s">
        <v>448</v>
      </c>
      <c r="B2284" t="s">
        <v>229</v>
      </c>
      <c r="C2284" s="2">
        <v>399368000</v>
      </c>
      <c r="D2284" s="2">
        <v>272210000</v>
      </c>
    </row>
    <row r="2285" spans="1:4" x14ac:dyDescent="0.25">
      <c r="A2285" s="23" t="s">
        <v>448</v>
      </c>
      <c r="B2285" t="s">
        <v>230</v>
      </c>
      <c r="C2285" s="2">
        <v>816287000</v>
      </c>
      <c r="D2285" s="2">
        <v>349966000</v>
      </c>
    </row>
    <row r="2286" spans="1:4" x14ac:dyDescent="0.25">
      <c r="A2286" s="23" t="s">
        <v>448</v>
      </c>
      <c r="B2286" t="s">
        <v>231</v>
      </c>
      <c r="C2286" s="2">
        <v>413132000</v>
      </c>
      <c r="D2286" s="2">
        <v>276132000</v>
      </c>
    </row>
    <row r="2287" spans="1:4" x14ac:dyDescent="0.25">
      <c r="A2287" s="23" t="s">
        <v>448</v>
      </c>
      <c r="B2287" t="s">
        <v>232</v>
      </c>
      <c r="C2287" s="2">
        <v>309358000</v>
      </c>
      <c r="D2287" s="2">
        <v>200358000</v>
      </c>
    </row>
    <row r="2288" spans="1:4" x14ac:dyDescent="0.25">
      <c r="A2288" s="23" t="s">
        <v>448</v>
      </c>
      <c r="B2288" t="s">
        <v>233</v>
      </c>
      <c r="C2288" s="2">
        <v>862655000</v>
      </c>
      <c r="D2288" s="2">
        <v>559755000</v>
      </c>
    </row>
    <row r="2289" spans="1:4" x14ac:dyDescent="0.25">
      <c r="A2289" s="23" t="s">
        <v>448</v>
      </c>
      <c r="B2289" t="s">
        <v>234</v>
      </c>
      <c r="C2289" s="2">
        <v>396161000</v>
      </c>
      <c r="D2289" s="2">
        <v>376961000</v>
      </c>
    </row>
    <row r="2290" spans="1:4" x14ac:dyDescent="0.25">
      <c r="A2290" s="23" t="s">
        <v>448</v>
      </c>
      <c r="B2290" t="s">
        <v>235</v>
      </c>
      <c r="C2290" s="2">
        <v>1163631000</v>
      </c>
      <c r="D2290" s="2">
        <v>765631000</v>
      </c>
    </row>
    <row r="2291" spans="1:4" x14ac:dyDescent="0.25">
      <c r="A2291" s="23" t="s">
        <v>448</v>
      </c>
      <c r="B2291" t="s">
        <v>236</v>
      </c>
      <c r="C2291" s="2">
        <v>1640990000</v>
      </c>
      <c r="D2291" s="2">
        <v>1399313000</v>
      </c>
    </row>
    <row r="2292" spans="1:4" x14ac:dyDescent="0.25">
      <c r="A2292" s="23" t="s">
        <v>448</v>
      </c>
      <c r="B2292" t="s">
        <v>237</v>
      </c>
      <c r="C2292" s="2">
        <v>605185000</v>
      </c>
      <c r="D2292" s="2">
        <v>620185000</v>
      </c>
    </row>
    <row r="2293" spans="1:4" x14ac:dyDescent="0.25">
      <c r="A2293" s="23" t="s">
        <v>448</v>
      </c>
      <c r="B2293" t="s">
        <v>238</v>
      </c>
      <c r="C2293" s="2">
        <v>320657000</v>
      </c>
      <c r="D2293" s="2">
        <v>281907000</v>
      </c>
    </row>
    <row r="2294" spans="1:4" x14ac:dyDescent="0.25">
      <c r="A2294" s="23" t="s">
        <v>448</v>
      </c>
      <c r="B2294" t="s">
        <v>239</v>
      </c>
      <c r="C2294" s="2">
        <v>188707000</v>
      </c>
      <c r="D2294" s="2">
        <v>148707000</v>
      </c>
    </row>
    <row r="2295" spans="1:4" x14ac:dyDescent="0.25">
      <c r="A2295" s="23" t="s">
        <v>448</v>
      </c>
      <c r="B2295" t="s">
        <v>240</v>
      </c>
      <c r="C2295" s="2">
        <v>682010000</v>
      </c>
      <c r="D2295" s="2">
        <v>376130000</v>
      </c>
    </row>
    <row r="2296" spans="1:4" x14ac:dyDescent="0.25">
      <c r="A2296" s="23" t="s">
        <v>448</v>
      </c>
      <c r="B2296" t="s">
        <v>241</v>
      </c>
      <c r="C2296" s="2">
        <v>405628000</v>
      </c>
      <c r="D2296" s="2">
        <v>314028000</v>
      </c>
    </row>
    <row r="2297" spans="1:4" x14ac:dyDescent="0.25">
      <c r="A2297" s="23" t="s">
        <v>448</v>
      </c>
      <c r="B2297" t="s">
        <v>242</v>
      </c>
      <c r="C2297" s="2">
        <v>349055000</v>
      </c>
      <c r="D2297" s="2">
        <v>224640000</v>
      </c>
    </row>
    <row r="2298" spans="1:4" x14ac:dyDescent="0.25">
      <c r="A2298" s="23" t="s">
        <v>448</v>
      </c>
      <c r="B2298" t="s">
        <v>243</v>
      </c>
      <c r="C2298" s="2">
        <v>55622000</v>
      </c>
      <c r="D2298" s="2">
        <v>52622000</v>
      </c>
    </row>
    <row r="2299" spans="1:4" x14ac:dyDescent="0.25">
      <c r="A2299" s="23" t="s">
        <v>448</v>
      </c>
      <c r="B2299" t="s">
        <v>244</v>
      </c>
      <c r="C2299" s="2">
        <v>207204000</v>
      </c>
      <c r="D2299" s="2">
        <v>207204000</v>
      </c>
    </row>
    <row r="2300" spans="1:4" x14ac:dyDescent="0.25">
      <c r="A2300" s="23" t="s">
        <v>448</v>
      </c>
      <c r="B2300" t="s">
        <v>245</v>
      </c>
      <c r="C2300" s="2">
        <v>361381000</v>
      </c>
      <c r="D2300" s="2">
        <v>274881000</v>
      </c>
    </row>
    <row r="2301" spans="1:4" x14ac:dyDescent="0.25">
      <c r="A2301" s="23" t="s">
        <v>448</v>
      </c>
      <c r="B2301" t="s">
        <v>246</v>
      </c>
      <c r="C2301" s="2">
        <v>284048000</v>
      </c>
      <c r="D2301" s="2">
        <v>265048000</v>
      </c>
    </row>
    <row r="2302" spans="1:4" x14ac:dyDescent="0.25">
      <c r="A2302" s="23" t="s">
        <v>448</v>
      </c>
      <c r="B2302" t="s">
        <v>247</v>
      </c>
      <c r="C2302" s="2">
        <v>497294000</v>
      </c>
      <c r="D2302" s="2">
        <v>497294000</v>
      </c>
    </row>
    <row r="2303" spans="1:4" x14ac:dyDescent="0.25">
      <c r="A2303" s="23" t="s">
        <v>448</v>
      </c>
      <c r="B2303" t="s">
        <v>248</v>
      </c>
      <c r="C2303" s="2">
        <v>612436000</v>
      </c>
      <c r="D2303" s="2">
        <v>364436000</v>
      </c>
    </row>
    <row r="2304" spans="1:4" x14ac:dyDescent="0.25">
      <c r="A2304" s="23" t="s">
        <v>448</v>
      </c>
      <c r="B2304" t="s">
        <v>249</v>
      </c>
      <c r="C2304" s="2">
        <v>710545000</v>
      </c>
      <c r="D2304" s="2">
        <v>610545000</v>
      </c>
    </row>
    <row r="2305" spans="1:4" x14ac:dyDescent="0.25">
      <c r="A2305" s="23" t="s">
        <v>448</v>
      </c>
      <c r="B2305" t="s">
        <v>250</v>
      </c>
      <c r="C2305" s="2">
        <v>616339000</v>
      </c>
      <c r="D2305" s="2">
        <v>180839000</v>
      </c>
    </row>
    <row r="2306" spans="1:4" x14ac:dyDescent="0.25">
      <c r="A2306" s="23" t="s">
        <v>448</v>
      </c>
      <c r="B2306" t="s">
        <v>251</v>
      </c>
      <c r="C2306" s="2">
        <v>420570000</v>
      </c>
      <c r="D2306" s="2">
        <v>277104000</v>
      </c>
    </row>
    <row r="2307" spans="1:4" x14ac:dyDescent="0.25">
      <c r="A2307" s="23" t="s">
        <v>448</v>
      </c>
      <c r="B2307" t="s">
        <v>252</v>
      </c>
      <c r="C2307" s="2">
        <v>333740000</v>
      </c>
      <c r="D2307" s="2">
        <v>272740000</v>
      </c>
    </row>
    <row r="2308" spans="1:4" x14ac:dyDescent="0.25">
      <c r="A2308" s="23" t="s">
        <v>448</v>
      </c>
      <c r="B2308" t="s">
        <v>253</v>
      </c>
      <c r="C2308" s="2">
        <v>222209000</v>
      </c>
      <c r="D2308" s="2">
        <v>212209000</v>
      </c>
    </row>
    <row r="2309" spans="1:4" x14ac:dyDescent="0.25">
      <c r="A2309" s="23" t="s">
        <v>448</v>
      </c>
      <c r="B2309" t="s">
        <v>254</v>
      </c>
      <c r="C2309" s="2">
        <v>293065000</v>
      </c>
      <c r="D2309" s="2">
        <v>191065000</v>
      </c>
    </row>
    <row r="2310" spans="1:4" x14ac:dyDescent="0.25">
      <c r="A2310" s="23" t="s">
        <v>448</v>
      </c>
      <c r="B2310" t="s">
        <v>255</v>
      </c>
      <c r="C2310" s="2">
        <v>332113000</v>
      </c>
      <c r="D2310" s="2">
        <v>262320000</v>
      </c>
    </row>
    <row r="2311" spans="1:4" x14ac:dyDescent="0.25">
      <c r="A2311" s="23" t="s">
        <v>448</v>
      </c>
      <c r="B2311" t="s">
        <v>256</v>
      </c>
      <c r="C2311" s="2">
        <v>274099000</v>
      </c>
      <c r="D2311" s="2">
        <v>266599000</v>
      </c>
    </row>
    <row r="2312" spans="1:4" x14ac:dyDescent="0.25">
      <c r="A2312" s="23" t="s">
        <v>448</v>
      </c>
      <c r="B2312" t="s">
        <v>257</v>
      </c>
      <c r="C2312" s="2">
        <v>528889000</v>
      </c>
      <c r="D2312" s="2">
        <v>388389000</v>
      </c>
    </row>
    <row r="2313" spans="1:4" x14ac:dyDescent="0.25">
      <c r="A2313" s="23" t="s">
        <v>448</v>
      </c>
      <c r="B2313" t="s">
        <v>258</v>
      </c>
      <c r="C2313" s="2">
        <v>444502000</v>
      </c>
      <c r="D2313" s="2">
        <v>289902000</v>
      </c>
    </row>
    <row r="2314" spans="1:4" x14ac:dyDescent="0.25">
      <c r="A2314" s="23" t="s">
        <v>448</v>
      </c>
      <c r="B2314" t="s">
        <v>259</v>
      </c>
      <c r="C2314" s="2">
        <v>472044000</v>
      </c>
      <c r="D2314" s="2">
        <v>407044000</v>
      </c>
    </row>
    <row r="2315" spans="1:4" x14ac:dyDescent="0.25">
      <c r="A2315" s="23" t="s">
        <v>448</v>
      </c>
      <c r="B2315" t="s">
        <v>260</v>
      </c>
      <c r="C2315" s="2">
        <v>301357000</v>
      </c>
      <c r="D2315" s="2">
        <v>224917000</v>
      </c>
    </row>
    <row r="2316" spans="1:4" x14ac:dyDescent="0.25">
      <c r="A2316" s="23" t="s">
        <v>448</v>
      </c>
      <c r="B2316" t="s">
        <v>261</v>
      </c>
      <c r="C2316" s="2">
        <v>1313932000</v>
      </c>
      <c r="D2316" s="2">
        <v>792295000</v>
      </c>
    </row>
    <row r="2317" spans="1:4" x14ac:dyDescent="0.25">
      <c r="A2317" s="23" t="s">
        <v>448</v>
      </c>
      <c r="B2317" t="s">
        <v>262</v>
      </c>
      <c r="C2317" s="2">
        <v>2204425000</v>
      </c>
      <c r="D2317" s="2">
        <v>1497661000</v>
      </c>
    </row>
    <row r="2318" spans="1:4" x14ac:dyDescent="0.25">
      <c r="A2318" s="23" t="s">
        <v>448</v>
      </c>
      <c r="B2318" t="s">
        <v>263</v>
      </c>
      <c r="C2318" s="2">
        <v>801156000</v>
      </c>
      <c r="D2318" s="2">
        <v>622132000</v>
      </c>
    </row>
    <row r="2319" spans="1:4" x14ac:dyDescent="0.25">
      <c r="A2319" s="23" t="s">
        <v>448</v>
      </c>
      <c r="B2319" t="s">
        <v>264</v>
      </c>
      <c r="C2319" s="2">
        <v>964833000</v>
      </c>
      <c r="D2319" s="2">
        <v>668462000</v>
      </c>
    </row>
    <row r="2320" spans="1:4" x14ac:dyDescent="0.25">
      <c r="A2320" s="23" t="s">
        <v>448</v>
      </c>
      <c r="B2320" t="s">
        <v>265</v>
      </c>
      <c r="C2320" s="2">
        <v>634353000</v>
      </c>
      <c r="D2320" s="2">
        <v>256185000</v>
      </c>
    </row>
    <row r="2321" spans="1:4" x14ac:dyDescent="0.25">
      <c r="A2321" s="23" t="s">
        <v>448</v>
      </c>
      <c r="B2321" t="s">
        <v>266</v>
      </c>
      <c r="C2321" s="2">
        <v>1177309000</v>
      </c>
      <c r="D2321" s="2">
        <v>750369000</v>
      </c>
    </row>
    <row r="2322" spans="1:4" x14ac:dyDescent="0.25">
      <c r="A2322" s="23" t="s">
        <v>448</v>
      </c>
      <c r="B2322" t="s">
        <v>267</v>
      </c>
      <c r="C2322" s="2">
        <v>644471000</v>
      </c>
      <c r="D2322" s="2">
        <v>313471000</v>
      </c>
    </row>
    <row r="2323" spans="1:4" x14ac:dyDescent="0.25">
      <c r="A2323" s="23" t="s">
        <v>448</v>
      </c>
      <c r="B2323" t="s">
        <v>268</v>
      </c>
      <c r="C2323" s="2">
        <v>721133000</v>
      </c>
      <c r="D2323" s="2">
        <v>670133000</v>
      </c>
    </row>
    <row r="2324" spans="1:4" x14ac:dyDescent="0.25">
      <c r="A2324" s="23" t="s">
        <v>448</v>
      </c>
      <c r="B2324" t="s">
        <v>269</v>
      </c>
      <c r="C2324" s="2">
        <v>1886919000</v>
      </c>
      <c r="D2324" s="2">
        <v>1735299000</v>
      </c>
    </row>
    <row r="2325" spans="1:4" x14ac:dyDescent="0.25">
      <c r="A2325" s="23" t="s">
        <v>448</v>
      </c>
      <c r="B2325" t="s">
        <v>270</v>
      </c>
      <c r="C2325" s="2">
        <v>650791000</v>
      </c>
      <c r="D2325" s="2">
        <v>529506000</v>
      </c>
    </row>
    <row r="2326" spans="1:4" x14ac:dyDescent="0.25">
      <c r="A2326" s="23" t="s">
        <v>448</v>
      </c>
      <c r="B2326" t="s">
        <v>271</v>
      </c>
      <c r="C2326" s="2">
        <v>689011000</v>
      </c>
      <c r="D2326" s="2">
        <v>687011000</v>
      </c>
    </row>
    <row r="2327" spans="1:4" x14ac:dyDescent="0.25">
      <c r="A2327" s="23" t="s">
        <v>448</v>
      </c>
      <c r="B2327" t="s">
        <v>272</v>
      </c>
      <c r="C2327" s="2">
        <v>962618000</v>
      </c>
      <c r="D2327" s="2">
        <v>611568000</v>
      </c>
    </row>
    <row r="2328" spans="1:4" x14ac:dyDescent="0.25">
      <c r="A2328" s="23" t="s">
        <v>448</v>
      </c>
      <c r="B2328" t="s">
        <v>273</v>
      </c>
      <c r="C2328" s="2">
        <v>506728000</v>
      </c>
      <c r="D2328" s="2">
        <v>322200000</v>
      </c>
    </row>
    <row r="2329" spans="1:4" x14ac:dyDescent="0.25">
      <c r="A2329" s="23" t="s">
        <v>448</v>
      </c>
      <c r="B2329" t="s">
        <v>274</v>
      </c>
      <c r="C2329" s="2">
        <v>630386000</v>
      </c>
      <c r="D2329" s="2">
        <v>624686000</v>
      </c>
    </row>
    <row r="2330" spans="1:4" x14ac:dyDescent="0.25">
      <c r="A2330" s="23" t="s">
        <v>448</v>
      </c>
      <c r="B2330" t="s">
        <v>275</v>
      </c>
      <c r="C2330" s="2">
        <v>1004931000</v>
      </c>
      <c r="D2330" s="2">
        <v>494431000</v>
      </c>
    </row>
    <row r="2331" spans="1:4" x14ac:dyDescent="0.25">
      <c r="A2331" s="23" t="s">
        <v>448</v>
      </c>
      <c r="B2331" t="s">
        <v>276</v>
      </c>
      <c r="C2331" s="2">
        <v>935935000</v>
      </c>
      <c r="D2331" s="2">
        <v>884635000</v>
      </c>
    </row>
    <row r="2332" spans="1:4" x14ac:dyDescent="0.25">
      <c r="A2332" s="23" t="s">
        <v>448</v>
      </c>
      <c r="B2332" t="s">
        <v>277</v>
      </c>
      <c r="C2332" s="2">
        <v>2944980000</v>
      </c>
      <c r="D2332" s="2">
        <v>1416280000</v>
      </c>
    </row>
    <row r="2333" spans="1:4" x14ac:dyDescent="0.25">
      <c r="A2333" s="23" t="s">
        <v>448</v>
      </c>
      <c r="B2333" t="s">
        <v>278</v>
      </c>
      <c r="C2333" s="2">
        <v>448196000</v>
      </c>
      <c r="D2333" s="2">
        <v>292696000</v>
      </c>
    </row>
    <row r="2334" spans="1:4" x14ac:dyDescent="0.25">
      <c r="A2334" s="23" t="s">
        <v>448</v>
      </c>
      <c r="B2334" t="s">
        <v>279</v>
      </c>
      <c r="C2334" s="2">
        <v>518061000</v>
      </c>
      <c r="D2334" s="2">
        <v>371061000</v>
      </c>
    </row>
    <row r="2335" spans="1:4" x14ac:dyDescent="0.25">
      <c r="A2335" s="23" t="s">
        <v>448</v>
      </c>
      <c r="B2335" t="s">
        <v>280</v>
      </c>
      <c r="C2335" s="2">
        <v>942927000</v>
      </c>
      <c r="D2335" s="2">
        <v>429727000</v>
      </c>
    </row>
    <row r="2336" spans="1:4" x14ac:dyDescent="0.25">
      <c r="A2336" s="23" t="s">
        <v>448</v>
      </c>
      <c r="B2336" t="s">
        <v>281</v>
      </c>
      <c r="C2336" s="2">
        <v>452089000</v>
      </c>
      <c r="D2336" s="2">
        <v>410539000</v>
      </c>
    </row>
    <row r="2337" spans="1:4" x14ac:dyDescent="0.25">
      <c r="A2337" s="23" t="s">
        <v>448</v>
      </c>
      <c r="B2337" t="s">
        <v>282</v>
      </c>
      <c r="C2337" s="2">
        <v>505061000</v>
      </c>
      <c r="D2337" s="2">
        <v>350061000</v>
      </c>
    </row>
    <row r="2338" spans="1:4" x14ac:dyDescent="0.25">
      <c r="A2338" s="23" t="s">
        <v>448</v>
      </c>
      <c r="B2338" t="s">
        <v>283</v>
      </c>
      <c r="C2338" s="2">
        <v>214649000</v>
      </c>
      <c r="D2338" s="2">
        <v>189149000</v>
      </c>
    </row>
    <row r="2339" spans="1:4" x14ac:dyDescent="0.25">
      <c r="A2339" s="23" t="s">
        <v>448</v>
      </c>
      <c r="B2339" t="s">
        <v>284</v>
      </c>
      <c r="C2339" s="2">
        <v>412790000</v>
      </c>
      <c r="D2339" s="2">
        <v>463075000</v>
      </c>
    </row>
    <row r="2340" spans="1:4" x14ac:dyDescent="0.25">
      <c r="A2340" s="23" t="s">
        <v>448</v>
      </c>
      <c r="B2340" t="s">
        <v>285</v>
      </c>
      <c r="C2340" s="2">
        <v>1263280000</v>
      </c>
      <c r="D2340" s="2">
        <v>849030000</v>
      </c>
    </row>
    <row r="2341" spans="1:4" x14ac:dyDescent="0.25">
      <c r="A2341" s="23" t="s">
        <v>448</v>
      </c>
      <c r="B2341" t="s">
        <v>286</v>
      </c>
      <c r="C2341" s="2">
        <v>574351000</v>
      </c>
      <c r="D2341" s="2">
        <v>364041000</v>
      </c>
    </row>
    <row r="2342" spans="1:4" x14ac:dyDescent="0.25">
      <c r="A2342" s="23" t="s">
        <v>448</v>
      </c>
      <c r="B2342" t="s">
        <v>287</v>
      </c>
      <c r="C2342" s="2">
        <v>292213000</v>
      </c>
      <c r="D2342" s="2">
        <v>248251000</v>
      </c>
    </row>
    <row r="2343" spans="1:4" x14ac:dyDescent="0.25">
      <c r="A2343" s="23" t="s">
        <v>448</v>
      </c>
      <c r="B2343" t="s">
        <v>288</v>
      </c>
      <c r="C2343" s="2">
        <v>1437153000</v>
      </c>
      <c r="D2343" s="2">
        <v>1027835000</v>
      </c>
    </row>
    <row r="2344" spans="1:4" x14ac:dyDescent="0.25">
      <c r="A2344" s="23" t="s">
        <v>448</v>
      </c>
      <c r="B2344" t="s">
        <v>289</v>
      </c>
      <c r="C2344" s="2">
        <v>893180000</v>
      </c>
      <c r="D2344" s="2">
        <v>420515000</v>
      </c>
    </row>
    <row r="2345" spans="1:4" x14ac:dyDescent="0.25">
      <c r="A2345" s="23" t="s">
        <v>448</v>
      </c>
      <c r="B2345" t="s">
        <v>290</v>
      </c>
      <c r="C2345" s="2">
        <v>384768000</v>
      </c>
      <c r="D2345" s="2">
        <v>312268000</v>
      </c>
    </row>
    <row r="2346" spans="1:4" x14ac:dyDescent="0.25">
      <c r="A2346" s="23" t="s">
        <v>448</v>
      </c>
      <c r="B2346" t="s">
        <v>291</v>
      </c>
      <c r="C2346" s="2">
        <v>576300000</v>
      </c>
      <c r="D2346" s="2">
        <v>576300000</v>
      </c>
    </row>
    <row r="2347" spans="1:4" x14ac:dyDescent="0.25">
      <c r="A2347" s="23" t="s">
        <v>448</v>
      </c>
      <c r="B2347" t="s">
        <v>292</v>
      </c>
      <c r="C2347" s="2">
        <v>403963000</v>
      </c>
      <c r="D2347" s="2">
        <v>397288000</v>
      </c>
    </row>
    <row r="2348" spans="1:4" x14ac:dyDescent="0.25">
      <c r="A2348" s="23" t="s">
        <v>448</v>
      </c>
      <c r="B2348" t="s">
        <v>293</v>
      </c>
      <c r="C2348" s="2">
        <v>1146665000</v>
      </c>
      <c r="D2348" s="2">
        <v>935165000</v>
      </c>
    </row>
    <row r="2349" spans="1:4" x14ac:dyDescent="0.25">
      <c r="A2349" s="23" t="s">
        <v>448</v>
      </c>
      <c r="B2349" t="s">
        <v>294</v>
      </c>
      <c r="C2349" s="2">
        <v>219690000</v>
      </c>
      <c r="D2349" s="2">
        <v>193040000</v>
      </c>
    </row>
    <row r="2350" spans="1:4" x14ac:dyDescent="0.25">
      <c r="A2350" s="23" t="s">
        <v>448</v>
      </c>
      <c r="B2350" t="s">
        <v>295</v>
      </c>
      <c r="C2350" s="2">
        <v>1697216000</v>
      </c>
      <c r="D2350" s="2">
        <v>1156757000</v>
      </c>
    </row>
    <row r="2351" spans="1:4" x14ac:dyDescent="0.25">
      <c r="A2351" s="23" t="s">
        <v>448</v>
      </c>
      <c r="B2351" t="s">
        <v>296</v>
      </c>
      <c r="C2351" s="2">
        <v>1282508000</v>
      </c>
      <c r="D2351" s="2">
        <v>718508000</v>
      </c>
    </row>
    <row r="2352" spans="1:4" x14ac:dyDescent="0.25">
      <c r="A2352" s="23" t="s">
        <v>448</v>
      </c>
      <c r="B2352" t="s">
        <v>297</v>
      </c>
      <c r="C2352" s="2">
        <v>316412000</v>
      </c>
      <c r="D2352" s="2">
        <v>149387000</v>
      </c>
    </row>
    <row r="2353" spans="1:4" x14ac:dyDescent="0.25">
      <c r="A2353" s="23" t="s">
        <v>448</v>
      </c>
      <c r="B2353" t="s">
        <v>298</v>
      </c>
      <c r="C2353" s="2">
        <v>443476000</v>
      </c>
      <c r="D2353" s="2">
        <v>414476000</v>
      </c>
    </row>
    <row r="2354" spans="1:4" x14ac:dyDescent="0.25">
      <c r="A2354" s="23" t="s">
        <v>448</v>
      </c>
      <c r="B2354" t="s">
        <v>299</v>
      </c>
      <c r="C2354" s="2">
        <v>498121000</v>
      </c>
      <c r="D2354" s="2">
        <v>316121000</v>
      </c>
    </row>
    <row r="2355" spans="1:4" x14ac:dyDescent="0.25">
      <c r="A2355" s="23" t="s">
        <v>448</v>
      </c>
      <c r="B2355" t="s">
        <v>300</v>
      </c>
      <c r="C2355" s="2">
        <v>817956000</v>
      </c>
      <c r="D2355" s="2">
        <v>815956000</v>
      </c>
    </row>
    <row r="2356" spans="1:4" x14ac:dyDescent="0.25">
      <c r="A2356" s="23" t="s">
        <v>448</v>
      </c>
      <c r="B2356" t="s">
        <v>301</v>
      </c>
      <c r="C2356" s="2">
        <v>703947000</v>
      </c>
      <c r="D2356" s="2">
        <v>482547000</v>
      </c>
    </row>
    <row r="2357" spans="1:4" x14ac:dyDescent="0.25">
      <c r="A2357" s="23" t="s">
        <v>448</v>
      </c>
      <c r="B2357" t="s">
        <v>302</v>
      </c>
      <c r="C2357" s="2">
        <v>281125000</v>
      </c>
      <c r="D2357" s="2">
        <v>135625000</v>
      </c>
    </row>
    <row r="2358" spans="1:4" x14ac:dyDescent="0.25">
      <c r="A2358" s="23" t="s">
        <v>448</v>
      </c>
      <c r="B2358" t="s">
        <v>303</v>
      </c>
      <c r="C2358" s="2">
        <v>97438000</v>
      </c>
      <c r="D2358" s="2">
        <v>97438000</v>
      </c>
    </row>
    <row r="2359" spans="1:4" x14ac:dyDescent="0.25">
      <c r="A2359" s="23" t="s">
        <v>448</v>
      </c>
      <c r="B2359" t="s">
        <v>304</v>
      </c>
      <c r="C2359" s="2">
        <v>906382000</v>
      </c>
      <c r="D2359" s="2">
        <v>508017000</v>
      </c>
    </row>
    <row r="2360" spans="1:4" x14ac:dyDescent="0.25">
      <c r="A2360" s="23" t="s">
        <v>448</v>
      </c>
      <c r="B2360" t="s">
        <v>305</v>
      </c>
      <c r="C2360" s="2">
        <v>450989000</v>
      </c>
      <c r="D2360" s="2">
        <v>427989000</v>
      </c>
    </row>
    <row r="2361" spans="1:4" x14ac:dyDescent="0.25">
      <c r="A2361" s="23" t="s">
        <v>448</v>
      </c>
      <c r="B2361" t="s">
        <v>306</v>
      </c>
      <c r="C2361" s="2">
        <v>480930000</v>
      </c>
      <c r="D2361" s="2">
        <v>400930000</v>
      </c>
    </row>
    <row r="2362" spans="1:4" x14ac:dyDescent="0.25">
      <c r="A2362" s="23" t="s">
        <v>448</v>
      </c>
      <c r="B2362" t="s">
        <v>307</v>
      </c>
      <c r="C2362" s="2">
        <v>459426000</v>
      </c>
      <c r="D2362" s="2">
        <v>481426000</v>
      </c>
    </row>
    <row r="2363" spans="1:4" x14ac:dyDescent="0.25">
      <c r="A2363" s="23" t="s">
        <v>448</v>
      </c>
      <c r="B2363" t="s">
        <v>308</v>
      </c>
      <c r="C2363" s="2">
        <v>569269000</v>
      </c>
      <c r="D2363" s="2">
        <v>252769000</v>
      </c>
    </row>
    <row r="2364" spans="1:4" x14ac:dyDescent="0.25">
      <c r="A2364" s="23" t="s">
        <v>448</v>
      </c>
      <c r="B2364" t="s">
        <v>309</v>
      </c>
      <c r="C2364" s="2">
        <v>742728000</v>
      </c>
      <c r="D2364" s="2">
        <v>273890000</v>
      </c>
    </row>
    <row r="2365" spans="1:4" x14ac:dyDescent="0.25">
      <c r="A2365" s="23" t="s">
        <v>448</v>
      </c>
      <c r="B2365" t="s">
        <v>310</v>
      </c>
      <c r="C2365" s="2">
        <v>618472000</v>
      </c>
      <c r="D2365" s="2">
        <v>264500000</v>
      </c>
    </row>
    <row r="2366" spans="1:4" x14ac:dyDescent="0.25">
      <c r="A2366" s="23" t="s">
        <v>448</v>
      </c>
      <c r="B2366" t="s">
        <v>311</v>
      </c>
      <c r="C2366" s="2">
        <v>679538000</v>
      </c>
      <c r="D2366" s="2">
        <v>303972000</v>
      </c>
    </row>
    <row r="2367" spans="1:4" x14ac:dyDescent="0.25">
      <c r="A2367" s="23" t="s">
        <v>448</v>
      </c>
      <c r="B2367" t="s">
        <v>312</v>
      </c>
      <c r="C2367" s="2">
        <v>253394000</v>
      </c>
      <c r="D2367" s="2">
        <v>137635000</v>
      </c>
    </row>
    <row r="2368" spans="1:4" x14ac:dyDescent="0.25">
      <c r="A2368" s="23" t="s">
        <v>448</v>
      </c>
      <c r="B2368" t="s">
        <v>313</v>
      </c>
      <c r="C2368" s="2">
        <v>738548000</v>
      </c>
      <c r="D2368" s="2">
        <v>493797000</v>
      </c>
    </row>
    <row r="2369" spans="1:4" x14ac:dyDescent="0.25">
      <c r="A2369" s="23" t="s">
        <v>448</v>
      </c>
      <c r="B2369" t="s">
        <v>314</v>
      </c>
      <c r="C2369" s="2">
        <v>296117000</v>
      </c>
      <c r="D2369" s="2">
        <v>308922000</v>
      </c>
    </row>
    <row r="2370" spans="1:4" x14ac:dyDescent="0.25">
      <c r="A2370" s="23" t="s">
        <v>448</v>
      </c>
      <c r="B2370" t="s">
        <v>315</v>
      </c>
      <c r="C2370" s="2">
        <v>536307000</v>
      </c>
      <c r="D2370" s="2">
        <v>486403000</v>
      </c>
    </row>
    <row r="2371" spans="1:4" x14ac:dyDescent="0.25">
      <c r="A2371" s="23" t="s">
        <v>448</v>
      </c>
      <c r="B2371" t="s">
        <v>316</v>
      </c>
      <c r="C2371" s="2">
        <v>933655000</v>
      </c>
      <c r="D2371" s="2">
        <v>801234000</v>
      </c>
    </row>
    <row r="2372" spans="1:4" x14ac:dyDescent="0.25">
      <c r="A2372" s="23" t="s">
        <v>448</v>
      </c>
      <c r="B2372" t="s">
        <v>317</v>
      </c>
      <c r="C2372" s="2">
        <v>516931000</v>
      </c>
      <c r="D2372" s="2">
        <v>270531000</v>
      </c>
    </row>
    <row r="2373" spans="1:4" x14ac:dyDescent="0.25">
      <c r="A2373" s="23" t="s">
        <v>448</v>
      </c>
      <c r="B2373" t="s">
        <v>318</v>
      </c>
      <c r="C2373" s="2">
        <v>405124000</v>
      </c>
      <c r="D2373" s="2">
        <v>379124000</v>
      </c>
    </row>
    <row r="2374" spans="1:4" x14ac:dyDescent="0.25">
      <c r="A2374" s="23" t="s">
        <v>448</v>
      </c>
      <c r="B2374" t="s">
        <v>319</v>
      </c>
      <c r="C2374" s="2">
        <v>729206000</v>
      </c>
      <c r="D2374" s="2">
        <v>699505000</v>
      </c>
    </row>
    <row r="2375" spans="1:4" x14ac:dyDescent="0.25">
      <c r="A2375" s="23" t="s">
        <v>448</v>
      </c>
      <c r="B2375" t="s">
        <v>320</v>
      </c>
      <c r="C2375" s="2">
        <v>423071000</v>
      </c>
      <c r="D2375" s="2">
        <v>284110000</v>
      </c>
    </row>
    <row r="2376" spans="1:4" x14ac:dyDescent="0.25">
      <c r="A2376" s="23" t="s">
        <v>448</v>
      </c>
      <c r="B2376" t="s">
        <v>321</v>
      </c>
      <c r="C2376" s="2">
        <v>710521000</v>
      </c>
      <c r="D2376" s="2">
        <v>501411000</v>
      </c>
    </row>
    <row r="2377" spans="1:4" x14ac:dyDescent="0.25">
      <c r="A2377" s="23" t="s">
        <v>448</v>
      </c>
      <c r="B2377" t="s">
        <v>322</v>
      </c>
      <c r="C2377" s="2">
        <v>152957000</v>
      </c>
      <c r="D2377" s="2">
        <v>85457000</v>
      </c>
    </row>
    <row r="2378" spans="1:4" x14ac:dyDescent="0.25">
      <c r="A2378" s="23" t="s">
        <v>448</v>
      </c>
      <c r="B2378" t="s">
        <v>323</v>
      </c>
      <c r="C2378" s="2">
        <v>570605000</v>
      </c>
      <c r="D2378" s="2">
        <v>353631000</v>
      </c>
    </row>
    <row r="2379" spans="1:4" x14ac:dyDescent="0.25">
      <c r="A2379" s="23" t="s">
        <v>448</v>
      </c>
      <c r="B2379" t="s">
        <v>324</v>
      </c>
      <c r="C2379" s="2">
        <v>407339000</v>
      </c>
      <c r="D2379" s="2">
        <v>401339000</v>
      </c>
    </row>
    <row r="2380" spans="1:4" x14ac:dyDescent="0.25">
      <c r="A2380" s="23" t="s">
        <v>448</v>
      </c>
      <c r="B2380" t="s">
        <v>325</v>
      </c>
      <c r="C2380" s="2">
        <v>995448000</v>
      </c>
      <c r="D2380" s="2">
        <v>789991000</v>
      </c>
    </row>
    <row r="2381" spans="1:4" x14ac:dyDescent="0.25">
      <c r="A2381" s="23" t="s">
        <v>448</v>
      </c>
      <c r="B2381" t="s">
        <v>326</v>
      </c>
      <c r="C2381" s="2">
        <v>552891000</v>
      </c>
      <c r="D2381" s="2">
        <v>394706000</v>
      </c>
    </row>
    <row r="2382" spans="1:4" x14ac:dyDescent="0.25">
      <c r="A2382" s="23" t="s">
        <v>448</v>
      </c>
      <c r="B2382" t="s">
        <v>327</v>
      </c>
      <c r="C2382" s="2">
        <v>334962000</v>
      </c>
      <c r="D2382" s="2">
        <v>228348000</v>
      </c>
    </row>
    <row r="2383" spans="1:4" x14ac:dyDescent="0.25">
      <c r="A2383" s="23" t="s">
        <v>448</v>
      </c>
      <c r="B2383" t="s">
        <v>328</v>
      </c>
      <c r="C2383" s="2">
        <v>674593000</v>
      </c>
      <c r="D2383" s="2">
        <v>250815000</v>
      </c>
    </row>
    <row r="2384" spans="1:4" x14ac:dyDescent="0.25">
      <c r="A2384" s="23" t="s">
        <v>448</v>
      </c>
      <c r="B2384" t="s">
        <v>329</v>
      </c>
      <c r="C2384" s="2">
        <v>770917000</v>
      </c>
      <c r="D2384" s="2">
        <v>622417000</v>
      </c>
    </row>
    <row r="2385" spans="1:4" x14ac:dyDescent="0.25">
      <c r="A2385" s="23" t="s">
        <v>448</v>
      </c>
      <c r="B2385" t="s">
        <v>330</v>
      </c>
      <c r="C2385" s="2">
        <v>544887000</v>
      </c>
      <c r="D2385" s="2">
        <v>502887000</v>
      </c>
    </row>
    <row r="2386" spans="1:4" x14ac:dyDescent="0.25">
      <c r="A2386" s="23" t="s">
        <v>448</v>
      </c>
      <c r="B2386" t="s">
        <v>331</v>
      </c>
      <c r="C2386" s="2">
        <v>501388000</v>
      </c>
      <c r="D2386" s="2">
        <v>287120000</v>
      </c>
    </row>
    <row r="2387" spans="1:4" x14ac:dyDescent="0.25">
      <c r="A2387" s="23" t="s">
        <v>448</v>
      </c>
      <c r="B2387" t="s">
        <v>332</v>
      </c>
      <c r="C2387" s="2">
        <v>754497000</v>
      </c>
      <c r="D2387" s="2">
        <v>484233000</v>
      </c>
    </row>
    <row r="2388" spans="1:4" x14ac:dyDescent="0.25">
      <c r="A2388" s="23" t="s">
        <v>448</v>
      </c>
      <c r="B2388" t="s">
        <v>333</v>
      </c>
      <c r="C2388" s="2">
        <v>426736000</v>
      </c>
      <c r="D2388" s="2">
        <v>394436000</v>
      </c>
    </row>
    <row r="2389" spans="1:4" x14ac:dyDescent="0.25">
      <c r="A2389" s="23" t="s">
        <v>448</v>
      </c>
      <c r="B2389" t="s">
        <v>334</v>
      </c>
      <c r="C2389" s="2">
        <v>905741000</v>
      </c>
      <c r="D2389" s="2">
        <v>232741000</v>
      </c>
    </row>
    <row r="2390" spans="1:4" x14ac:dyDescent="0.25">
      <c r="A2390" s="23" t="s">
        <v>448</v>
      </c>
      <c r="B2390" t="s">
        <v>335</v>
      </c>
      <c r="C2390" s="2">
        <v>136698000</v>
      </c>
      <c r="D2390" s="2">
        <v>66698000</v>
      </c>
    </row>
    <row r="2391" spans="1:4" x14ac:dyDescent="0.25">
      <c r="A2391" s="23" t="s">
        <v>448</v>
      </c>
      <c r="B2391" t="s">
        <v>336</v>
      </c>
      <c r="C2391" s="2">
        <v>289308000</v>
      </c>
      <c r="D2391" s="2">
        <v>283976000</v>
      </c>
    </row>
    <row r="2392" spans="1:4" x14ac:dyDescent="0.25">
      <c r="A2392" s="23" t="s">
        <v>448</v>
      </c>
      <c r="B2392" t="s">
        <v>337</v>
      </c>
      <c r="C2392" s="2">
        <v>662226000</v>
      </c>
      <c r="D2392" s="2">
        <v>224898000</v>
      </c>
    </row>
    <row r="2393" spans="1:4" x14ac:dyDescent="0.25">
      <c r="A2393" s="23" t="s">
        <v>448</v>
      </c>
      <c r="B2393" t="s">
        <v>338</v>
      </c>
      <c r="C2393" s="2">
        <v>449063000</v>
      </c>
      <c r="D2393" s="2">
        <v>297063000</v>
      </c>
    </row>
    <row r="2394" spans="1:4" x14ac:dyDescent="0.25">
      <c r="A2394" s="23" t="s">
        <v>448</v>
      </c>
      <c r="B2394" t="s">
        <v>339</v>
      </c>
      <c r="C2394" s="2">
        <v>354707000</v>
      </c>
      <c r="D2394" s="2">
        <v>203521000</v>
      </c>
    </row>
    <row r="2395" spans="1:4" x14ac:dyDescent="0.25">
      <c r="A2395" s="23" t="s">
        <v>448</v>
      </c>
      <c r="B2395" t="s">
        <v>340</v>
      </c>
      <c r="C2395" s="2">
        <v>524570000</v>
      </c>
      <c r="D2395" s="2">
        <v>398570000</v>
      </c>
    </row>
    <row r="2396" spans="1:4" x14ac:dyDescent="0.25">
      <c r="A2396" s="23" t="s">
        <v>448</v>
      </c>
      <c r="B2396" t="s">
        <v>341</v>
      </c>
      <c r="C2396" s="2">
        <v>1038870000</v>
      </c>
      <c r="D2396" s="2">
        <v>890410000</v>
      </c>
    </row>
    <row r="2397" spans="1:4" x14ac:dyDescent="0.25">
      <c r="A2397" s="23" t="s">
        <v>448</v>
      </c>
      <c r="B2397" t="s">
        <v>342</v>
      </c>
      <c r="C2397" s="2">
        <v>346728000</v>
      </c>
      <c r="D2397" s="2">
        <v>207561000</v>
      </c>
    </row>
    <row r="2398" spans="1:4" x14ac:dyDescent="0.25">
      <c r="A2398" s="23" t="s">
        <v>448</v>
      </c>
      <c r="B2398" t="s">
        <v>343</v>
      </c>
      <c r="C2398" s="2">
        <v>469095000</v>
      </c>
      <c r="D2398" s="2">
        <v>437095000</v>
      </c>
    </row>
    <row r="2399" spans="1:4" x14ac:dyDescent="0.25">
      <c r="A2399" s="23" t="s">
        <v>448</v>
      </c>
      <c r="B2399" t="s">
        <v>344</v>
      </c>
      <c r="C2399" s="2">
        <v>664423000</v>
      </c>
      <c r="D2399" s="2">
        <v>545343000</v>
      </c>
    </row>
    <row r="2400" spans="1:4" x14ac:dyDescent="0.25">
      <c r="A2400" s="23" t="s">
        <v>448</v>
      </c>
      <c r="B2400" t="s">
        <v>345</v>
      </c>
      <c r="C2400" s="2">
        <v>484264000</v>
      </c>
      <c r="D2400" s="2">
        <v>482264000</v>
      </c>
    </row>
    <row r="2401" spans="1:4" x14ac:dyDescent="0.25">
      <c r="A2401" s="23" t="s">
        <v>448</v>
      </c>
      <c r="B2401" t="s">
        <v>346</v>
      </c>
      <c r="C2401" s="2">
        <v>642587000</v>
      </c>
      <c r="D2401" s="2">
        <v>327766000</v>
      </c>
    </row>
    <row r="2402" spans="1:4" x14ac:dyDescent="0.25">
      <c r="A2402" s="23" t="s">
        <v>448</v>
      </c>
      <c r="B2402" t="s">
        <v>347</v>
      </c>
      <c r="C2402" s="2">
        <v>892709000</v>
      </c>
      <c r="D2402" s="2">
        <v>655833000</v>
      </c>
    </row>
    <row r="2403" spans="1:4" x14ac:dyDescent="0.25">
      <c r="A2403" s="23" t="s">
        <v>448</v>
      </c>
      <c r="B2403" t="s">
        <v>348</v>
      </c>
      <c r="C2403" s="2">
        <v>780203000</v>
      </c>
      <c r="D2403" s="2">
        <v>650203000</v>
      </c>
    </row>
    <row r="2404" spans="1:4" x14ac:dyDescent="0.25">
      <c r="A2404" s="23" t="s">
        <v>448</v>
      </c>
      <c r="B2404" t="s">
        <v>349</v>
      </c>
      <c r="C2404" s="2">
        <v>1265765000</v>
      </c>
      <c r="D2404" s="2">
        <v>402765000</v>
      </c>
    </row>
    <row r="2405" spans="1:4" x14ac:dyDescent="0.25">
      <c r="A2405" s="23" t="s">
        <v>448</v>
      </c>
      <c r="B2405" t="s">
        <v>350</v>
      </c>
      <c r="C2405" s="2">
        <v>378127000</v>
      </c>
      <c r="D2405" s="2">
        <v>213012000</v>
      </c>
    </row>
    <row r="2406" spans="1:4" x14ac:dyDescent="0.25">
      <c r="A2406" s="23" t="s">
        <v>448</v>
      </c>
      <c r="B2406" t="s">
        <v>414</v>
      </c>
      <c r="C2406" s="2">
        <v>872140000</v>
      </c>
      <c r="D2406" s="2">
        <v>812140000</v>
      </c>
    </row>
    <row r="2407" spans="1:4" x14ac:dyDescent="0.25">
      <c r="A2407" s="23" t="s">
        <v>448</v>
      </c>
      <c r="B2407" t="s">
        <v>351</v>
      </c>
      <c r="C2407" s="2">
        <v>1520223000</v>
      </c>
      <c r="D2407" s="2">
        <v>220523000</v>
      </c>
    </row>
    <row r="2408" spans="1:4" x14ac:dyDescent="0.25">
      <c r="A2408" s="23" t="s">
        <v>448</v>
      </c>
      <c r="B2408" t="s">
        <v>405</v>
      </c>
      <c r="C2408" s="2">
        <v>534514000</v>
      </c>
      <c r="D2408" s="2">
        <v>223418000</v>
      </c>
    </row>
    <row r="2409" spans="1:4" x14ac:dyDescent="0.25">
      <c r="A2409" s="23" t="s">
        <v>448</v>
      </c>
      <c r="B2409" t="s">
        <v>352</v>
      </c>
      <c r="C2409" s="2">
        <v>437286000</v>
      </c>
      <c r="D2409" s="2">
        <v>308406000</v>
      </c>
    </row>
    <row r="2410" spans="1:4" x14ac:dyDescent="0.25">
      <c r="A2410" s="23" t="s">
        <v>448</v>
      </c>
      <c r="B2410" t="s">
        <v>353</v>
      </c>
      <c r="C2410" s="2">
        <v>533124000</v>
      </c>
      <c r="D2410" s="2">
        <v>175093000</v>
      </c>
    </row>
    <row r="2411" spans="1:4" x14ac:dyDescent="0.25">
      <c r="A2411" s="23" t="s">
        <v>448</v>
      </c>
      <c r="B2411" t="s">
        <v>354</v>
      </c>
      <c r="C2411" s="2">
        <v>561676000</v>
      </c>
      <c r="D2411" s="2">
        <v>293168000</v>
      </c>
    </row>
    <row r="2412" spans="1:4" x14ac:dyDescent="0.25">
      <c r="A2412" s="23" t="s">
        <v>448</v>
      </c>
      <c r="B2412" t="s">
        <v>355</v>
      </c>
      <c r="C2412" s="2">
        <v>362437000</v>
      </c>
      <c r="D2412" s="2">
        <v>344437000</v>
      </c>
    </row>
    <row r="2413" spans="1:4" x14ac:dyDescent="0.25">
      <c r="A2413" s="23" t="s">
        <v>448</v>
      </c>
      <c r="B2413" t="s">
        <v>356</v>
      </c>
      <c r="C2413" s="2">
        <v>209126000</v>
      </c>
      <c r="D2413" s="2">
        <v>218873000</v>
      </c>
    </row>
    <row r="2414" spans="1:4" x14ac:dyDescent="0.25">
      <c r="A2414" s="23" t="s">
        <v>448</v>
      </c>
      <c r="B2414" t="s">
        <v>357</v>
      </c>
      <c r="C2414" s="2">
        <v>269950000</v>
      </c>
      <c r="D2414" s="2">
        <v>215950000</v>
      </c>
    </row>
    <row r="2415" spans="1:4" x14ac:dyDescent="0.25">
      <c r="A2415" s="23" t="s">
        <v>448</v>
      </c>
      <c r="B2415" t="s">
        <v>358</v>
      </c>
      <c r="C2415" s="2">
        <v>203214000</v>
      </c>
      <c r="D2415" s="2">
        <v>201214000</v>
      </c>
    </row>
    <row r="2416" spans="1:4" x14ac:dyDescent="0.25">
      <c r="A2416" s="23" t="s">
        <v>448</v>
      </c>
      <c r="B2416" t="s">
        <v>359</v>
      </c>
      <c r="C2416" s="2">
        <v>277317000</v>
      </c>
      <c r="D2416" s="2">
        <v>278848000</v>
      </c>
    </row>
    <row r="2417" spans="1:4" x14ac:dyDescent="0.25">
      <c r="A2417" s="23" t="s">
        <v>448</v>
      </c>
      <c r="B2417" t="s">
        <v>360</v>
      </c>
      <c r="C2417" s="2">
        <v>366367000</v>
      </c>
      <c r="D2417" s="2">
        <v>262367000</v>
      </c>
    </row>
    <row r="2418" spans="1:4" x14ac:dyDescent="0.25">
      <c r="A2418" s="23" t="s">
        <v>448</v>
      </c>
      <c r="B2418" t="s">
        <v>361</v>
      </c>
      <c r="C2418" s="2">
        <v>312300000</v>
      </c>
      <c r="D2418" s="2">
        <v>316403000</v>
      </c>
    </row>
    <row r="2419" spans="1:4" x14ac:dyDescent="0.25">
      <c r="A2419" s="23" t="s">
        <v>448</v>
      </c>
      <c r="B2419" t="s">
        <v>362</v>
      </c>
      <c r="C2419" s="2">
        <v>229169000</v>
      </c>
      <c r="D2419" s="2">
        <v>106169000</v>
      </c>
    </row>
    <row r="2420" spans="1:4" x14ac:dyDescent="0.25">
      <c r="A2420" s="23" t="s">
        <v>448</v>
      </c>
      <c r="B2420" t="s">
        <v>363</v>
      </c>
      <c r="C2420" s="2">
        <v>265093000</v>
      </c>
      <c r="D2420" s="2">
        <v>268093000</v>
      </c>
    </row>
    <row r="2421" spans="1:4" x14ac:dyDescent="0.25">
      <c r="A2421" s="23" t="s">
        <v>448</v>
      </c>
      <c r="B2421" t="s">
        <v>364</v>
      </c>
      <c r="C2421" s="2">
        <v>391355000</v>
      </c>
      <c r="D2421" s="2">
        <v>252472000</v>
      </c>
    </row>
    <row r="2422" spans="1:4" x14ac:dyDescent="0.25">
      <c r="A2422" s="23" t="s">
        <v>448</v>
      </c>
      <c r="B2422" t="s">
        <v>365</v>
      </c>
      <c r="C2422" s="2">
        <v>515740000</v>
      </c>
      <c r="D2422" s="2">
        <v>382371000</v>
      </c>
    </row>
    <row r="2423" spans="1:4" x14ac:dyDescent="0.25">
      <c r="A2423" s="23" t="s">
        <v>448</v>
      </c>
      <c r="B2423" t="s">
        <v>366</v>
      </c>
      <c r="C2423" s="2">
        <v>405588000</v>
      </c>
      <c r="D2423" s="2">
        <v>308516000</v>
      </c>
    </row>
    <row r="2424" spans="1:4" x14ac:dyDescent="0.25">
      <c r="A2424" s="23" t="s">
        <v>448</v>
      </c>
      <c r="B2424" t="s">
        <v>367</v>
      </c>
      <c r="C2424" s="2">
        <v>366743000</v>
      </c>
      <c r="D2424" s="2">
        <v>196427000</v>
      </c>
    </row>
    <row r="2425" spans="1:4" x14ac:dyDescent="0.25">
      <c r="A2425" s="23" t="s">
        <v>448</v>
      </c>
      <c r="B2425" t="s">
        <v>368</v>
      </c>
      <c r="C2425" s="2">
        <v>454741000</v>
      </c>
      <c r="D2425" s="2">
        <v>227241000</v>
      </c>
    </row>
    <row r="2426" spans="1:4" x14ac:dyDescent="0.25">
      <c r="A2426" s="23" t="s">
        <v>448</v>
      </c>
      <c r="B2426" t="s">
        <v>369</v>
      </c>
      <c r="C2426" s="2">
        <v>345590000</v>
      </c>
      <c r="D2426" s="2">
        <v>237458000</v>
      </c>
    </row>
    <row r="2427" spans="1:4" x14ac:dyDescent="0.25">
      <c r="A2427" s="23" t="s">
        <v>448</v>
      </c>
      <c r="B2427" t="s">
        <v>370</v>
      </c>
      <c r="C2427" s="2">
        <v>460494000</v>
      </c>
      <c r="D2427" s="2">
        <v>236494000</v>
      </c>
    </row>
    <row r="2428" spans="1:4" x14ac:dyDescent="0.25">
      <c r="A2428" s="23" t="s">
        <v>448</v>
      </c>
      <c r="B2428" t="s">
        <v>371</v>
      </c>
      <c r="C2428" s="2">
        <v>916222000</v>
      </c>
      <c r="D2428" s="2">
        <v>611822000</v>
      </c>
    </row>
    <row r="2429" spans="1:4" x14ac:dyDescent="0.25">
      <c r="A2429" s="23" t="s">
        <v>448</v>
      </c>
      <c r="B2429" t="s">
        <v>372</v>
      </c>
      <c r="C2429" s="2">
        <v>1182903000</v>
      </c>
      <c r="D2429" s="2">
        <v>701903000</v>
      </c>
    </row>
    <row r="2430" spans="1:4" x14ac:dyDescent="0.25">
      <c r="A2430" s="23" t="s">
        <v>448</v>
      </c>
      <c r="B2430" t="s">
        <v>373</v>
      </c>
      <c r="C2430" s="2">
        <v>1146211000</v>
      </c>
      <c r="D2430" s="2">
        <v>746711000</v>
      </c>
    </row>
    <row r="2431" spans="1:4" x14ac:dyDescent="0.25">
      <c r="A2431" s="23" t="s">
        <v>448</v>
      </c>
      <c r="B2431" t="s">
        <v>374</v>
      </c>
      <c r="C2431" s="2">
        <v>675231000</v>
      </c>
      <c r="D2431" s="2">
        <v>600231000</v>
      </c>
    </row>
    <row r="2432" spans="1:4" x14ac:dyDescent="0.25">
      <c r="A2432" s="23" t="s">
        <v>448</v>
      </c>
      <c r="B2432" t="s">
        <v>375</v>
      </c>
      <c r="C2432" s="2">
        <v>188546000</v>
      </c>
      <c r="D2432" s="2">
        <v>156746000</v>
      </c>
    </row>
    <row r="2433" spans="1:4" x14ac:dyDescent="0.25">
      <c r="A2433" s="23" t="s">
        <v>448</v>
      </c>
      <c r="B2433" t="s">
        <v>376</v>
      </c>
      <c r="C2433" s="2">
        <v>788071000</v>
      </c>
      <c r="D2433" s="2">
        <v>514871000</v>
      </c>
    </row>
    <row r="2434" spans="1:4" x14ac:dyDescent="0.25">
      <c r="A2434" s="23" t="s">
        <v>448</v>
      </c>
      <c r="B2434" t="s">
        <v>377</v>
      </c>
      <c r="C2434" s="2">
        <v>468235000</v>
      </c>
      <c r="D2434" s="2">
        <v>428703000</v>
      </c>
    </row>
    <row r="2435" spans="1:4" x14ac:dyDescent="0.25">
      <c r="A2435" s="23" t="s">
        <v>448</v>
      </c>
      <c r="B2435" t="s">
        <v>378</v>
      </c>
      <c r="C2435" s="2">
        <v>500490000</v>
      </c>
      <c r="D2435" s="2">
        <v>336065000</v>
      </c>
    </row>
    <row r="2436" spans="1:4" x14ac:dyDescent="0.25">
      <c r="A2436" s="23" t="s">
        <v>448</v>
      </c>
      <c r="B2436" t="s">
        <v>412</v>
      </c>
      <c r="C2436" s="2">
        <v>1556600000</v>
      </c>
      <c r="D2436" s="2">
        <v>100430000</v>
      </c>
    </row>
    <row r="2437" spans="1:4" x14ac:dyDescent="0.25">
      <c r="A2437" s="23" t="s">
        <v>448</v>
      </c>
      <c r="B2437" t="s">
        <v>379</v>
      </c>
      <c r="C2437" s="2">
        <v>188963000</v>
      </c>
      <c r="D2437" s="2">
        <v>119963000</v>
      </c>
    </row>
    <row r="2438" spans="1:4" x14ac:dyDescent="0.25">
      <c r="A2438" s="23" t="s">
        <v>448</v>
      </c>
      <c r="B2438" t="s">
        <v>380</v>
      </c>
      <c r="C2438" s="2">
        <v>706488000</v>
      </c>
      <c r="D2438" s="2">
        <v>599488000</v>
      </c>
    </row>
    <row r="2439" spans="1:4" x14ac:dyDescent="0.25">
      <c r="A2439" s="23" t="s">
        <v>448</v>
      </c>
      <c r="B2439" t="s">
        <v>381</v>
      </c>
      <c r="C2439" s="2">
        <v>216042000</v>
      </c>
      <c r="D2439" s="2">
        <v>214542000</v>
      </c>
    </row>
    <row r="2440" spans="1:4" x14ac:dyDescent="0.25">
      <c r="A2440" s="23" t="s">
        <v>448</v>
      </c>
      <c r="B2440" t="s">
        <v>382</v>
      </c>
      <c r="C2440" s="2">
        <v>126441000</v>
      </c>
      <c r="D2440" s="2">
        <v>122441000</v>
      </c>
    </row>
    <row r="2441" spans="1:4" x14ac:dyDescent="0.25">
      <c r="A2441" s="23" t="s">
        <v>448</v>
      </c>
      <c r="B2441" t="s">
        <v>383</v>
      </c>
      <c r="C2441" s="2">
        <v>309659000</v>
      </c>
      <c r="D2441" s="2">
        <v>164239000</v>
      </c>
    </row>
    <row r="2442" spans="1:4" x14ac:dyDescent="0.25">
      <c r="A2442" s="23" t="s">
        <v>448</v>
      </c>
      <c r="B2442" t="s">
        <v>384</v>
      </c>
      <c r="C2442" s="2">
        <v>173752000</v>
      </c>
      <c r="D2442" s="2">
        <v>51752000</v>
      </c>
    </row>
    <row r="2443" spans="1:4" x14ac:dyDescent="0.25">
      <c r="A2443" s="23" t="s">
        <v>448</v>
      </c>
      <c r="B2443" t="s">
        <v>385</v>
      </c>
      <c r="C2443" s="2">
        <v>216816000</v>
      </c>
      <c r="D2443" s="2">
        <v>206816000</v>
      </c>
    </row>
    <row r="2444" spans="1:4" x14ac:dyDescent="0.25">
      <c r="A2444" s="23" t="s">
        <v>448</v>
      </c>
      <c r="B2444" t="s">
        <v>386</v>
      </c>
      <c r="C2444" s="2">
        <v>225670000</v>
      </c>
      <c r="D2444" s="2">
        <v>182080000</v>
      </c>
    </row>
    <row r="2445" spans="1:4" x14ac:dyDescent="0.25">
      <c r="A2445" s="23" t="s">
        <v>448</v>
      </c>
      <c r="B2445" t="s">
        <v>387</v>
      </c>
      <c r="C2445" s="2">
        <v>283520000</v>
      </c>
      <c r="D2445" s="2">
        <v>211862000</v>
      </c>
    </row>
    <row r="2446" spans="1:4" x14ac:dyDescent="0.25">
      <c r="A2446" s="23" t="s">
        <v>448</v>
      </c>
      <c r="B2446" t="s">
        <v>388</v>
      </c>
      <c r="C2446" s="2">
        <v>175608000</v>
      </c>
      <c r="D2446" s="2">
        <v>154368000</v>
      </c>
    </row>
    <row r="2447" spans="1:4" x14ac:dyDescent="0.25">
      <c r="A2447" s="23" t="s">
        <v>448</v>
      </c>
      <c r="B2447" t="s">
        <v>389</v>
      </c>
      <c r="C2447" s="2">
        <v>222516000</v>
      </c>
      <c r="D2447" s="2">
        <v>119456000</v>
      </c>
    </row>
    <row r="2448" spans="1:4" x14ac:dyDescent="0.25">
      <c r="A2448" s="23" t="s">
        <v>448</v>
      </c>
      <c r="B2448" t="s">
        <v>390</v>
      </c>
      <c r="C2448" s="2">
        <v>235982000</v>
      </c>
      <c r="D2448" s="2">
        <v>170196000</v>
      </c>
    </row>
    <row r="2449" spans="1:4" x14ac:dyDescent="0.25">
      <c r="A2449" s="23" t="s">
        <v>448</v>
      </c>
      <c r="B2449" t="s">
        <v>391</v>
      </c>
      <c r="C2449" s="2">
        <v>142580000</v>
      </c>
      <c r="D2449" s="2">
        <v>139580000</v>
      </c>
    </row>
    <row r="2450" spans="1:4" x14ac:dyDescent="0.25">
      <c r="A2450" s="23" t="s">
        <v>448</v>
      </c>
      <c r="B2450" t="s">
        <v>392</v>
      </c>
      <c r="C2450" s="2">
        <v>347009000</v>
      </c>
      <c r="D2450" s="2">
        <v>327509000</v>
      </c>
    </row>
    <row r="2451" spans="1:4" x14ac:dyDescent="0.25">
      <c r="A2451" s="23" t="s">
        <v>448</v>
      </c>
      <c r="B2451" t="s">
        <v>393</v>
      </c>
      <c r="C2451" s="2">
        <v>431301000</v>
      </c>
      <c r="D2451" s="2">
        <v>280051000</v>
      </c>
    </row>
    <row r="2452" spans="1:4" x14ac:dyDescent="0.25">
      <c r="A2452" s="23" t="s">
        <v>448</v>
      </c>
      <c r="B2452" t="s">
        <v>394</v>
      </c>
      <c r="C2452" s="2">
        <v>98864000</v>
      </c>
      <c r="D2452" s="2">
        <v>70864000</v>
      </c>
    </row>
    <row r="2453" spans="1:4" x14ac:dyDescent="0.25">
      <c r="A2453" s="23" t="s">
        <v>448</v>
      </c>
      <c r="B2453" t="s">
        <v>395</v>
      </c>
    </row>
    <row r="2454" spans="1:4" x14ac:dyDescent="0.25">
      <c r="A2454" s="23" t="s">
        <v>448</v>
      </c>
      <c r="B2454" t="s">
        <v>396</v>
      </c>
    </row>
    <row r="2455" spans="1:4" x14ac:dyDescent="0.25">
      <c r="A2455" s="23" t="s">
        <v>449</v>
      </c>
      <c r="B2455" t="s">
        <v>201</v>
      </c>
      <c r="C2455" s="2">
        <v>141543106000</v>
      </c>
      <c r="D2455" s="2">
        <v>168218986000</v>
      </c>
    </row>
    <row r="2456" spans="1:4" x14ac:dyDescent="0.25">
      <c r="A2456" s="23" t="s">
        <v>449</v>
      </c>
      <c r="B2456" t="s">
        <v>424</v>
      </c>
      <c r="C2456" s="2">
        <v>0</v>
      </c>
      <c r="D2456" s="2">
        <v>0</v>
      </c>
    </row>
    <row r="2457" spans="1:4" x14ac:dyDescent="0.25">
      <c r="A2457" s="23" t="s">
        <v>449</v>
      </c>
      <c r="B2457" t="s">
        <v>202</v>
      </c>
      <c r="C2457" s="2">
        <v>2696788000</v>
      </c>
      <c r="D2457" s="2">
        <v>2565257000</v>
      </c>
    </row>
    <row r="2458" spans="1:4" x14ac:dyDescent="0.25">
      <c r="A2458" s="23" t="s">
        <v>449</v>
      </c>
      <c r="B2458" t="s">
        <v>203</v>
      </c>
      <c r="C2458" s="2">
        <v>1885416000</v>
      </c>
      <c r="D2458" s="2">
        <v>2152780000</v>
      </c>
    </row>
    <row r="2459" spans="1:4" x14ac:dyDescent="0.25">
      <c r="A2459" s="23" t="s">
        <v>449</v>
      </c>
      <c r="B2459" t="s">
        <v>204</v>
      </c>
      <c r="C2459" s="2">
        <v>3114273000</v>
      </c>
      <c r="D2459" s="2">
        <v>3695733000</v>
      </c>
    </row>
    <row r="2460" spans="1:4" x14ac:dyDescent="0.25">
      <c r="A2460" s="23" t="s">
        <v>449</v>
      </c>
      <c r="B2460" t="s">
        <v>205</v>
      </c>
      <c r="C2460" s="2">
        <v>2257559000</v>
      </c>
      <c r="D2460" s="2">
        <v>3120847000</v>
      </c>
    </row>
    <row r="2461" spans="1:4" x14ac:dyDescent="0.25">
      <c r="A2461" s="23" t="s">
        <v>449</v>
      </c>
      <c r="B2461" t="s">
        <v>206</v>
      </c>
      <c r="C2461" s="2">
        <v>3913778000</v>
      </c>
      <c r="D2461" s="2">
        <v>2998310000</v>
      </c>
    </row>
    <row r="2462" spans="1:4" x14ac:dyDescent="0.25">
      <c r="A2462" s="23" t="s">
        <v>449</v>
      </c>
      <c r="B2462" t="s">
        <v>207</v>
      </c>
      <c r="C2462" s="2">
        <v>5564632000</v>
      </c>
      <c r="D2462" s="2">
        <v>3797785000</v>
      </c>
    </row>
    <row r="2463" spans="1:4" x14ac:dyDescent="0.25">
      <c r="A2463" s="23" t="s">
        <v>449</v>
      </c>
      <c r="B2463" t="s">
        <v>208</v>
      </c>
      <c r="C2463" s="2">
        <v>1940950000</v>
      </c>
      <c r="D2463" s="2">
        <v>1819728000</v>
      </c>
    </row>
    <row r="2464" spans="1:4" x14ac:dyDescent="0.25">
      <c r="A2464" s="23" t="s">
        <v>449</v>
      </c>
      <c r="B2464" t="s">
        <v>209</v>
      </c>
      <c r="C2464" s="2">
        <v>2837039000</v>
      </c>
      <c r="D2464" s="2">
        <v>2454434000</v>
      </c>
    </row>
    <row r="2465" spans="1:4" x14ac:dyDescent="0.25">
      <c r="A2465" s="23" t="s">
        <v>449</v>
      </c>
      <c r="B2465" t="s">
        <v>210</v>
      </c>
      <c r="C2465" s="2">
        <v>3655188000</v>
      </c>
      <c r="D2465" s="2">
        <v>2899949000</v>
      </c>
    </row>
    <row r="2466" spans="1:4" x14ac:dyDescent="0.25">
      <c r="A2466" s="23" t="s">
        <v>449</v>
      </c>
      <c r="B2466" t="s">
        <v>211</v>
      </c>
      <c r="C2466" s="2">
        <v>6964498000</v>
      </c>
      <c r="D2466" s="2">
        <v>5243354000</v>
      </c>
    </row>
    <row r="2467" spans="1:4" x14ac:dyDescent="0.25">
      <c r="A2467" s="23" t="s">
        <v>449</v>
      </c>
      <c r="B2467" t="s">
        <v>212</v>
      </c>
      <c r="C2467" s="2">
        <v>2359408000</v>
      </c>
      <c r="D2467" s="2">
        <v>1168690000</v>
      </c>
    </row>
    <row r="2468" spans="1:4" x14ac:dyDescent="0.25">
      <c r="A2468" s="23" t="s">
        <v>449</v>
      </c>
      <c r="B2468" t="s">
        <v>213</v>
      </c>
      <c r="C2468" s="2">
        <v>3801288000</v>
      </c>
      <c r="D2468" s="2">
        <v>1891245000</v>
      </c>
    </row>
    <row r="2469" spans="1:4" x14ac:dyDescent="0.25">
      <c r="A2469" s="23" t="s">
        <v>449</v>
      </c>
      <c r="B2469" t="s">
        <v>214</v>
      </c>
      <c r="C2469" s="2">
        <v>1122762000</v>
      </c>
      <c r="D2469" s="2">
        <v>1030959000</v>
      </c>
    </row>
    <row r="2470" spans="1:4" x14ac:dyDescent="0.25">
      <c r="A2470" s="23" t="s">
        <v>449</v>
      </c>
      <c r="B2470" t="s">
        <v>215</v>
      </c>
      <c r="C2470" s="2">
        <v>3067144000</v>
      </c>
      <c r="D2470" s="2">
        <v>2318223000</v>
      </c>
    </row>
    <row r="2471" spans="1:4" x14ac:dyDescent="0.25">
      <c r="A2471" s="23" t="s">
        <v>449</v>
      </c>
      <c r="B2471" t="s">
        <v>216</v>
      </c>
      <c r="C2471" s="2">
        <v>1687037000</v>
      </c>
      <c r="D2471" s="2">
        <v>719547000</v>
      </c>
    </row>
    <row r="2472" spans="1:4" x14ac:dyDescent="0.25">
      <c r="A2472" s="23" t="s">
        <v>449</v>
      </c>
      <c r="B2472" t="s">
        <v>217</v>
      </c>
      <c r="C2472" s="2">
        <v>2226626000</v>
      </c>
      <c r="D2472" s="2">
        <v>2230292000</v>
      </c>
    </row>
    <row r="2473" spans="1:4" x14ac:dyDescent="0.25">
      <c r="A2473" s="23" t="s">
        <v>449</v>
      </c>
      <c r="B2473" t="s">
        <v>218</v>
      </c>
      <c r="C2473" s="2">
        <v>1114329000</v>
      </c>
      <c r="D2473" s="2">
        <v>420029000</v>
      </c>
    </row>
    <row r="2474" spans="1:4" x14ac:dyDescent="0.25">
      <c r="A2474" s="23" t="s">
        <v>449</v>
      </c>
      <c r="B2474" t="s">
        <v>219</v>
      </c>
      <c r="C2474" s="2">
        <v>868859000</v>
      </c>
      <c r="D2474" s="2">
        <v>868859000</v>
      </c>
    </row>
    <row r="2475" spans="1:4" x14ac:dyDescent="0.25">
      <c r="A2475" s="23" t="s">
        <v>449</v>
      </c>
      <c r="B2475" t="s">
        <v>220</v>
      </c>
      <c r="C2475" s="2">
        <v>2958883000</v>
      </c>
      <c r="D2475" s="2">
        <v>2686679000</v>
      </c>
    </row>
    <row r="2476" spans="1:4" x14ac:dyDescent="0.25">
      <c r="A2476" s="23" t="s">
        <v>449</v>
      </c>
      <c r="B2476" t="s">
        <v>221</v>
      </c>
      <c r="C2476" s="2">
        <v>582097000</v>
      </c>
      <c r="D2476" s="2">
        <v>447097000</v>
      </c>
    </row>
    <row r="2477" spans="1:4" x14ac:dyDescent="0.25">
      <c r="A2477" s="23" t="s">
        <v>449</v>
      </c>
      <c r="B2477" t="s">
        <v>222</v>
      </c>
      <c r="C2477" s="2">
        <v>1356214000</v>
      </c>
      <c r="D2477" s="2">
        <v>486773000</v>
      </c>
    </row>
    <row r="2478" spans="1:4" x14ac:dyDescent="0.25">
      <c r="A2478" s="23" t="s">
        <v>449</v>
      </c>
      <c r="B2478" t="s">
        <v>223</v>
      </c>
      <c r="C2478" s="2">
        <v>1853464000</v>
      </c>
      <c r="D2478" s="2">
        <v>1543464000</v>
      </c>
    </row>
    <row r="2479" spans="1:4" x14ac:dyDescent="0.25">
      <c r="A2479" s="23" t="s">
        <v>449</v>
      </c>
      <c r="B2479" t="s">
        <v>224</v>
      </c>
      <c r="C2479" s="2">
        <v>1624313000</v>
      </c>
      <c r="D2479" s="2">
        <v>951357000</v>
      </c>
    </row>
    <row r="2480" spans="1:4" x14ac:dyDescent="0.25">
      <c r="A2480" s="23" t="s">
        <v>449</v>
      </c>
      <c r="B2480" t="s">
        <v>225</v>
      </c>
      <c r="C2480" s="2">
        <v>1329501000</v>
      </c>
      <c r="D2480" s="2">
        <v>836468000</v>
      </c>
    </row>
    <row r="2481" spans="1:4" x14ac:dyDescent="0.25">
      <c r="A2481" s="23" t="s">
        <v>449</v>
      </c>
      <c r="B2481" t="s">
        <v>226</v>
      </c>
      <c r="C2481" s="2">
        <v>704017000</v>
      </c>
      <c r="D2481" s="2">
        <v>537017000</v>
      </c>
    </row>
    <row r="2482" spans="1:4" x14ac:dyDescent="0.25">
      <c r="A2482" s="23" t="s">
        <v>449</v>
      </c>
      <c r="B2482" t="s">
        <v>227</v>
      </c>
      <c r="C2482" s="2">
        <v>504941000</v>
      </c>
      <c r="D2482" s="2">
        <v>419441000</v>
      </c>
    </row>
    <row r="2483" spans="1:4" x14ac:dyDescent="0.25">
      <c r="A2483" s="23" t="s">
        <v>449</v>
      </c>
      <c r="B2483" t="s">
        <v>228</v>
      </c>
      <c r="C2483" s="2">
        <v>509685000</v>
      </c>
      <c r="D2483" s="2">
        <v>274196000</v>
      </c>
    </row>
    <row r="2484" spans="1:4" x14ac:dyDescent="0.25">
      <c r="A2484" s="23" t="s">
        <v>449</v>
      </c>
      <c r="B2484" t="s">
        <v>229</v>
      </c>
      <c r="C2484" s="2">
        <v>417085000</v>
      </c>
      <c r="D2484" s="2">
        <v>323585000</v>
      </c>
    </row>
    <row r="2485" spans="1:4" x14ac:dyDescent="0.25">
      <c r="A2485" s="23" t="s">
        <v>449</v>
      </c>
      <c r="B2485" t="s">
        <v>230</v>
      </c>
      <c r="C2485" s="2">
        <v>426115000</v>
      </c>
      <c r="D2485" s="2">
        <v>386115000</v>
      </c>
    </row>
    <row r="2486" spans="1:4" x14ac:dyDescent="0.25">
      <c r="A2486" s="23" t="s">
        <v>449</v>
      </c>
      <c r="B2486" t="s">
        <v>231</v>
      </c>
      <c r="C2486" s="2">
        <v>597035000</v>
      </c>
      <c r="D2486" s="2">
        <v>537035000</v>
      </c>
    </row>
    <row r="2487" spans="1:4" x14ac:dyDescent="0.25">
      <c r="A2487" s="23" t="s">
        <v>449</v>
      </c>
      <c r="B2487" t="s">
        <v>232</v>
      </c>
      <c r="C2487" s="2">
        <v>341757000</v>
      </c>
      <c r="D2487" s="2">
        <v>248081000</v>
      </c>
    </row>
    <row r="2488" spans="1:4" x14ac:dyDescent="0.25">
      <c r="A2488" s="23" t="s">
        <v>449</v>
      </c>
      <c r="B2488" t="s">
        <v>233</v>
      </c>
      <c r="C2488" s="2">
        <v>719883000</v>
      </c>
      <c r="D2488" s="2">
        <v>612883000</v>
      </c>
    </row>
    <row r="2489" spans="1:4" x14ac:dyDescent="0.25">
      <c r="A2489" s="23" t="s">
        <v>449</v>
      </c>
      <c r="B2489" t="s">
        <v>234</v>
      </c>
      <c r="C2489" s="2">
        <v>470484000</v>
      </c>
      <c r="D2489" s="2">
        <v>105470000</v>
      </c>
    </row>
    <row r="2490" spans="1:4" x14ac:dyDescent="0.25">
      <c r="A2490" s="23" t="s">
        <v>449</v>
      </c>
      <c r="B2490" t="s">
        <v>235</v>
      </c>
      <c r="C2490" s="2">
        <v>1145704000</v>
      </c>
      <c r="D2490" s="2">
        <v>972329000</v>
      </c>
    </row>
    <row r="2491" spans="1:4" x14ac:dyDescent="0.25">
      <c r="A2491" s="23" t="s">
        <v>449</v>
      </c>
      <c r="B2491" t="s">
        <v>236</v>
      </c>
      <c r="C2491" s="2">
        <v>909040000</v>
      </c>
      <c r="D2491" s="2">
        <v>792883000</v>
      </c>
    </row>
    <row r="2492" spans="1:4" x14ac:dyDescent="0.25">
      <c r="A2492" s="23" t="s">
        <v>449</v>
      </c>
      <c r="B2492" t="s">
        <v>237</v>
      </c>
      <c r="C2492" s="2">
        <v>352227000</v>
      </c>
      <c r="D2492" s="2">
        <v>159155000</v>
      </c>
    </row>
    <row r="2493" spans="1:4" x14ac:dyDescent="0.25">
      <c r="A2493" s="23" t="s">
        <v>449</v>
      </c>
      <c r="B2493" t="s">
        <v>238</v>
      </c>
      <c r="C2493" s="2">
        <v>123889000</v>
      </c>
      <c r="D2493" s="2">
        <v>122889000</v>
      </c>
    </row>
    <row r="2494" spans="1:4" x14ac:dyDescent="0.25">
      <c r="A2494" s="23" t="s">
        <v>449</v>
      </c>
      <c r="B2494" t="s">
        <v>239</v>
      </c>
      <c r="C2494" s="2">
        <v>345785000</v>
      </c>
      <c r="D2494" s="2">
        <v>250845000</v>
      </c>
    </row>
    <row r="2495" spans="1:4" x14ac:dyDescent="0.25">
      <c r="A2495" s="23" t="s">
        <v>449</v>
      </c>
      <c r="B2495" t="s">
        <v>240</v>
      </c>
      <c r="C2495" s="2">
        <v>614113000</v>
      </c>
      <c r="D2495" s="2">
        <v>400513000</v>
      </c>
    </row>
    <row r="2496" spans="1:4" x14ac:dyDescent="0.25">
      <c r="A2496" s="23" t="s">
        <v>449</v>
      </c>
      <c r="B2496" t="s">
        <v>241</v>
      </c>
      <c r="C2496" s="2">
        <v>278857000</v>
      </c>
      <c r="D2496" s="2">
        <v>260757000</v>
      </c>
    </row>
    <row r="2497" spans="1:4" x14ac:dyDescent="0.25">
      <c r="A2497" s="23" t="s">
        <v>449</v>
      </c>
      <c r="B2497" t="s">
        <v>242</v>
      </c>
      <c r="C2497" s="2">
        <v>173481000</v>
      </c>
      <c r="D2497" s="2">
        <v>124581000</v>
      </c>
    </row>
    <row r="2498" spans="1:4" x14ac:dyDescent="0.25">
      <c r="A2498" s="23" t="s">
        <v>449</v>
      </c>
      <c r="B2498" t="s">
        <v>243</v>
      </c>
      <c r="C2498" s="2">
        <v>114170000</v>
      </c>
      <c r="D2498" s="2">
        <v>93170000</v>
      </c>
    </row>
    <row r="2499" spans="1:4" x14ac:dyDescent="0.25">
      <c r="A2499" s="23" t="s">
        <v>449</v>
      </c>
      <c r="B2499" t="s">
        <v>244</v>
      </c>
      <c r="C2499" s="2">
        <v>113473000</v>
      </c>
      <c r="D2499" s="2">
        <v>107473000</v>
      </c>
    </row>
    <row r="2500" spans="1:4" x14ac:dyDescent="0.25">
      <c r="A2500" s="23" t="s">
        <v>449</v>
      </c>
      <c r="B2500" t="s">
        <v>245</v>
      </c>
      <c r="C2500" s="2">
        <v>319239000</v>
      </c>
      <c r="D2500" s="2">
        <v>267539000</v>
      </c>
    </row>
    <row r="2501" spans="1:4" x14ac:dyDescent="0.25">
      <c r="A2501" s="23" t="s">
        <v>449</v>
      </c>
      <c r="B2501" t="s">
        <v>246</v>
      </c>
      <c r="C2501" s="2">
        <v>282390000</v>
      </c>
      <c r="D2501" s="2">
        <v>271390000</v>
      </c>
    </row>
    <row r="2502" spans="1:4" x14ac:dyDescent="0.25">
      <c r="A2502" s="23" t="s">
        <v>449</v>
      </c>
      <c r="B2502" t="s">
        <v>247</v>
      </c>
      <c r="C2502" s="2">
        <v>418432000</v>
      </c>
      <c r="D2502" s="2">
        <v>363157000</v>
      </c>
    </row>
    <row r="2503" spans="1:4" x14ac:dyDescent="0.25">
      <c r="A2503" s="23" t="s">
        <v>449</v>
      </c>
      <c r="B2503" t="s">
        <v>248</v>
      </c>
      <c r="C2503" s="2">
        <v>694842000</v>
      </c>
      <c r="D2503" s="2">
        <v>616842000</v>
      </c>
    </row>
    <row r="2504" spans="1:4" x14ac:dyDescent="0.25">
      <c r="A2504" s="23" t="s">
        <v>449</v>
      </c>
      <c r="B2504" t="s">
        <v>249</v>
      </c>
      <c r="C2504" s="2">
        <v>366690000</v>
      </c>
      <c r="D2504" s="2">
        <v>228268000</v>
      </c>
    </row>
    <row r="2505" spans="1:4" x14ac:dyDescent="0.25">
      <c r="A2505" s="23" t="s">
        <v>449</v>
      </c>
      <c r="B2505" t="s">
        <v>250</v>
      </c>
      <c r="C2505" s="2">
        <v>405362000</v>
      </c>
      <c r="D2505" s="2">
        <v>201399000</v>
      </c>
    </row>
    <row r="2506" spans="1:4" x14ac:dyDescent="0.25">
      <c r="A2506" s="23" t="s">
        <v>449</v>
      </c>
      <c r="B2506" t="s">
        <v>251</v>
      </c>
      <c r="C2506" s="2">
        <v>598023000</v>
      </c>
      <c r="D2506" s="2">
        <v>371023000</v>
      </c>
    </row>
    <row r="2507" spans="1:4" x14ac:dyDescent="0.25">
      <c r="A2507" s="23" t="s">
        <v>449</v>
      </c>
      <c r="B2507" t="s">
        <v>252</v>
      </c>
      <c r="C2507" s="2">
        <v>433287000</v>
      </c>
      <c r="D2507" s="2">
        <v>288287000</v>
      </c>
    </row>
    <row r="2508" spans="1:4" x14ac:dyDescent="0.25">
      <c r="A2508" s="23" t="s">
        <v>449</v>
      </c>
      <c r="B2508" t="s">
        <v>253</v>
      </c>
      <c r="C2508" s="2">
        <v>386109000</v>
      </c>
      <c r="D2508" s="2">
        <v>244605000</v>
      </c>
    </row>
    <row r="2509" spans="1:4" x14ac:dyDescent="0.25">
      <c r="A2509" s="23" t="s">
        <v>449</v>
      </c>
      <c r="B2509" t="s">
        <v>254</v>
      </c>
      <c r="C2509" s="2">
        <v>390220000</v>
      </c>
      <c r="D2509" s="2">
        <v>234370000</v>
      </c>
    </row>
    <row r="2510" spans="1:4" x14ac:dyDescent="0.25">
      <c r="A2510" s="23" t="s">
        <v>449</v>
      </c>
      <c r="B2510" t="s">
        <v>255</v>
      </c>
      <c r="C2510" s="2">
        <v>291072000</v>
      </c>
      <c r="D2510" s="2">
        <v>214021000</v>
      </c>
    </row>
    <row r="2511" spans="1:4" x14ac:dyDescent="0.25">
      <c r="A2511" s="23" t="s">
        <v>449</v>
      </c>
      <c r="B2511" t="s">
        <v>256</v>
      </c>
      <c r="C2511" s="2">
        <v>148759000</v>
      </c>
      <c r="D2511" s="2">
        <v>129194000</v>
      </c>
    </row>
    <row r="2512" spans="1:4" x14ac:dyDescent="0.25">
      <c r="A2512" s="23" t="s">
        <v>449</v>
      </c>
      <c r="B2512" t="s">
        <v>257</v>
      </c>
      <c r="C2512" s="2">
        <v>407655000</v>
      </c>
      <c r="D2512" s="2">
        <v>318711000</v>
      </c>
    </row>
    <row r="2513" spans="1:4" x14ac:dyDescent="0.25">
      <c r="A2513" s="23" t="s">
        <v>449</v>
      </c>
      <c r="B2513" t="s">
        <v>258</v>
      </c>
      <c r="C2513" s="2">
        <v>740418000</v>
      </c>
      <c r="D2513" s="2">
        <v>422682000</v>
      </c>
    </row>
    <row r="2514" spans="1:4" x14ac:dyDescent="0.25">
      <c r="A2514" s="23" t="s">
        <v>449</v>
      </c>
      <c r="B2514" t="s">
        <v>259</v>
      </c>
      <c r="C2514" s="2">
        <v>392600000</v>
      </c>
      <c r="D2514" s="2">
        <v>272700000</v>
      </c>
    </row>
    <row r="2515" spans="1:4" x14ac:dyDescent="0.25">
      <c r="A2515" s="23" t="s">
        <v>449</v>
      </c>
      <c r="B2515" t="s">
        <v>260</v>
      </c>
      <c r="C2515" s="2">
        <v>307442000</v>
      </c>
      <c r="D2515" s="2">
        <v>227442000</v>
      </c>
    </row>
    <row r="2516" spans="1:4" x14ac:dyDescent="0.25">
      <c r="A2516" s="23" t="s">
        <v>449</v>
      </c>
      <c r="B2516" t="s">
        <v>261</v>
      </c>
      <c r="C2516" s="2">
        <v>1019349000</v>
      </c>
      <c r="D2516" s="2">
        <v>925689000</v>
      </c>
    </row>
    <row r="2517" spans="1:4" x14ac:dyDescent="0.25">
      <c r="A2517" s="23" t="s">
        <v>449</v>
      </c>
      <c r="B2517" t="s">
        <v>262</v>
      </c>
      <c r="C2517" s="2">
        <v>1545609000</v>
      </c>
      <c r="D2517" s="2">
        <v>1398577000</v>
      </c>
    </row>
    <row r="2518" spans="1:4" x14ac:dyDescent="0.25">
      <c r="A2518" s="23" t="s">
        <v>449</v>
      </c>
      <c r="B2518" t="s">
        <v>263</v>
      </c>
      <c r="C2518" s="2">
        <v>666100000</v>
      </c>
      <c r="D2518" s="2">
        <v>490982000</v>
      </c>
    </row>
    <row r="2519" spans="1:4" x14ac:dyDescent="0.25">
      <c r="A2519" s="23" t="s">
        <v>449</v>
      </c>
      <c r="B2519" t="s">
        <v>264</v>
      </c>
      <c r="C2519" s="2">
        <v>697132000</v>
      </c>
      <c r="D2519" s="2">
        <v>705132000</v>
      </c>
    </row>
    <row r="2520" spans="1:4" x14ac:dyDescent="0.25">
      <c r="A2520" s="23" t="s">
        <v>449</v>
      </c>
      <c r="B2520" t="s">
        <v>265</v>
      </c>
      <c r="C2520" s="2">
        <v>457762000</v>
      </c>
      <c r="D2520" s="2">
        <v>309442000</v>
      </c>
    </row>
    <row r="2521" spans="1:4" x14ac:dyDescent="0.25">
      <c r="A2521" s="23" t="s">
        <v>449</v>
      </c>
      <c r="B2521" t="s">
        <v>266</v>
      </c>
      <c r="C2521" s="2">
        <v>688398000</v>
      </c>
      <c r="D2521" s="2">
        <v>660491000</v>
      </c>
    </row>
    <row r="2522" spans="1:4" x14ac:dyDescent="0.25">
      <c r="A2522" s="23" t="s">
        <v>449</v>
      </c>
      <c r="B2522" t="s">
        <v>267</v>
      </c>
      <c r="C2522" s="2">
        <v>487366000</v>
      </c>
      <c r="D2522" s="2">
        <v>373366000</v>
      </c>
    </row>
    <row r="2523" spans="1:4" x14ac:dyDescent="0.25">
      <c r="A2523" s="23" t="s">
        <v>449</v>
      </c>
      <c r="B2523" t="s">
        <v>268</v>
      </c>
      <c r="C2523" s="2">
        <v>442253000</v>
      </c>
      <c r="D2523" s="2">
        <v>212630000</v>
      </c>
    </row>
    <row r="2524" spans="1:4" x14ac:dyDescent="0.25">
      <c r="A2524" s="23" t="s">
        <v>449</v>
      </c>
      <c r="B2524" t="s">
        <v>269</v>
      </c>
      <c r="C2524" s="2">
        <v>1839815000</v>
      </c>
      <c r="D2524" s="2">
        <v>1669990000</v>
      </c>
    </row>
    <row r="2525" spans="1:4" x14ac:dyDescent="0.25">
      <c r="A2525" s="23" t="s">
        <v>449</v>
      </c>
      <c r="B2525" t="s">
        <v>270</v>
      </c>
      <c r="C2525" s="2">
        <v>488781000</v>
      </c>
      <c r="D2525" s="2">
        <v>449781000</v>
      </c>
    </row>
    <row r="2526" spans="1:4" x14ac:dyDescent="0.25">
      <c r="A2526" s="23" t="s">
        <v>449</v>
      </c>
      <c r="B2526" t="s">
        <v>271</v>
      </c>
      <c r="C2526" s="2">
        <v>410581000</v>
      </c>
      <c r="D2526" s="2">
        <v>341581000</v>
      </c>
    </row>
    <row r="2527" spans="1:4" x14ac:dyDescent="0.25">
      <c r="A2527" s="23" t="s">
        <v>449</v>
      </c>
      <c r="B2527" t="s">
        <v>272</v>
      </c>
      <c r="C2527" s="2">
        <v>814848000</v>
      </c>
      <c r="D2527" s="2">
        <v>699348000</v>
      </c>
    </row>
    <row r="2528" spans="1:4" x14ac:dyDescent="0.25">
      <c r="A2528" s="23" t="s">
        <v>449</v>
      </c>
      <c r="B2528" t="s">
        <v>273</v>
      </c>
      <c r="C2528" s="2">
        <v>770523000</v>
      </c>
      <c r="D2528" s="2">
        <v>692223000</v>
      </c>
    </row>
    <row r="2529" spans="1:4" x14ac:dyDescent="0.25">
      <c r="A2529" s="23" t="s">
        <v>449</v>
      </c>
      <c r="B2529" t="s">
        <v>274</v>
      </c>
      <c r="C2529" s="2">
        <v>839540000</v>
      </c>
      <c r="D2529" s="2">
        <v>673040000</v>
      </c>
    </row>
    <row r="2530" spans="1:4" x14ac:dyDescent="0.25">
      <c r="A2530" s="23" t="s">
        <v>449</v>
      </c>
      <c r="B2530" t="s">
        <v>275</v>
      </c>
      <c r="C2530" s="2">
        <v>984337000</v>
      </c>
      <c r="D2530" s="2">
        <v>769487000</v>
      </c>
    </row>
    <row r="2531" spans="1:4" x14ac:dyDescent="0.25">
      <c r="A2531" s="23" t="s">
        <v>449</v>
      </c>
      <c r="B2531" t="s">
        <v>276</v>
      </c>
      <c r="C2531" s="2">
        <v>833088000</v>
      </c>
      <c r="D2531" s="2">
        <v>519588000</v>
      </c>
    </row>
    <row r="2532" spans="1:4" x14ac:dyDescent="0.25">
      <c r="A2532" s="23" t="s">
        <v>449</v>
      </c>
      <c r="B2532" t="s">
        <v>277</v>
      </c>
      <c r="C2532" s="2">
        <v>3422713000</v>
      </c>
      <c r="D2532" s="2">
        <v>2306056000</v>
      </c>
    </row>
    <row r="2533" spans="1:4" x14ac:dyDescent="0.25">
      <c r="A2533" s="23" t="s">
        <v>449</v>
      </c>
      <c r="B2533" t="s">
        <v>278</v>
      </c>
      <c r="C2533" s="2">
        <v>349900000</v>
      </c>
      <c r="D2533" s="2">
        <v>312400000</v>
      </c>
    </row>
    <row r="2534" spans="1:4" x14ac:dyDescent="0.25">
      <c r="A2534" s="23" t="s">
        <v>449</v>
      </c>
      <c r="B2534" t="s">
        <v>279</v>
      </c>
      <c r="C2534" s="2">
        <v>424855000</v>
      </c>
      <c r="D2534" s="2">
        <v>376355000</v>
      </c>
    </row>
    <row r="2535" spans="1:4" x14ac:dyDescent="0.25">
      <c r="A2535" s="23" t="s">
        <v>449</v>
      </c>
      <c r="B2535" t="s">
        <v>280</v>
      </c>
      <c r="C2535" s="2">
        <v>1183097000</v>
      </c>
      <c r="D2535" s="2">
        <v>880097000</v>
      </c>
    </row>
    <row r="2536" spans="1:4" x14ac:dyDescent="0.25">
      <c r="A2536" s="23" t="s">
        <v>449</v>
      </c>
      <c r="B2536" t="s">
        <v>281</v>
      </c>
      <c r="C2536" s="2">
        <v>521235000</v>
      </c>
      <c r="D2536" s="2">
        <v>499235000</v>
      </c>
    </row>
    <row r="2537" spans="1:4" x14ac:dyDescent="0.25">
      <c r="A2537" s="23" t="s">
        <v>449</v>
      </c>
      <c r="B2537" t="s">
        <v>282</v>
      </c>
      <c r="C2537" s="2">
        <v>698210000</v>
      </c>
      <c r="D2537" s="2">
        <v>453710000</v>
      </c>
    </row>
    <row r="2538" spans="1:4" x14ac:dyDescent="0.25">
      <c r="A2538" s="23" t="s">
        <v>449</v>
      </c>
      <c r="B2538" t="s">
        <v>283</v>
      </c>
      <c r="C2538" s="2">
        <v>238013000</v>
      </c>
      <c r="D2538" s="2">
        <v>213013000</v>
      </c>
    </row>
    <row r="2539" spans="1:4" x14ac:dyDescent="0.25">
      <c r="A2539" s="23" t="s">
        <v>449</v>
      </c>
      <c r="B2539" t="s">
        <v>284</v>
      </c>
      <c r="C2539" s="2">
        <v>419039000</v>
      </c>
      <c r="D2539" s="2">
        <v>314039000</v>
      </c>
    </row>
    <row r="2540" spans="1:4" x14ac:dyDescent="0.25">
      <c r="A2540" s="23" t="s">
        <v>449</v>
      </c>
      <c r="B2540" t="s">
        <v>285</v>
      </c>
      <c r="C2540" s="2">
        <v>1376908000</v>
      </c>
      <c r="D2540" s="2">
        <v>1039003000</v>
      </c>
    </row>
    <row r="2541" spans="1:4" x14ac:dyDescent="0.25">
      <c r="A2541" s="23" t="s">
        <v>449</v>
      </c>
      <c r="B2541" t="s">
        <v>286</v>
      </c>
      <c r="C2541" s="2">
        <v>546725000</v>
      </c>
      <c r="D2541" s="2">
        <v>534725000</v>
      </c>
    </row>
    <row r="2542" spans="1:4" x14ac:dyDescent="0.25">
      <c r="A2542" s="23" t="s">
        <v>449</v>
      </c>
      <c r="B2542" t="s">
        <v>287</v>
      </c>
      <c r="C2542" s="2">
        <v>436825000</v>
      </c>
      <c r="D2542" s="2">
        <v>371080000</v>
      </c>
    </row>
    <row r="2543" spans="1:4" x14ac:dyDescent="0.25">
      <c r="A2543" s="23" t="s">
        <v>449</v>
      </c>
      <c r="B2543" t="s">
        <v>288</v>
      </c>
      <c r="C2543" s="2">
        <v>979794000</v>
      </c>
      <c r="D2543" s="2">
        <v>789854000</v>
      </c>
    </row>
    <row r="2544" spans="1:4" x14ac:dyDescent="0.25">
      <c r="A2544" s="23" t="s">
        <v>449</v>
      </c>
      <c r="B2544" t="s">
        <v>289</v>
      </c>
      <c r="C2544" s="2">
        <v>376182000</v>
      </c>
      <c r="D2544" s="2">
        <v>388282000</v>
      </c>
    </row>
    <row r="2545" spans="1:4" x14ac:dyDescent="0.25">
      <c r="A2545" s="23" t="s">
        <v>449</v>
      </c>
      <c r="B2545" t="s">
        <v>290</v>
      </c>
      <c r="C2545" s="2">
        <v>106844000</v>
      </c>
      <c r="D2545" s="2">
        <v>77844000</v>
      </c>
    </row>
    <row r="2546" spans="1:4" x14ac:dyDescent="0.25">
      <c r="A2546" s="23" t="s">
        <v>449</v>
      </c>
      <c r="B2546" t="s">
        <v>291</v>
      </c>
      <c r="C2546" s="2">
        <v>745617000</v>
      </c>
      <c r="D2546" s="2">
        <v>724617000</v>
      </c>
    </row>
    <row r="2547" spans="1:4" x14ac:dyDescent="0.25">
      <c r="A2547" s="23" t="s">
        <v>449</v>
      </c>
      <c r="B2547" t="s">
        <v>292</v>
      </c>
      <c r="C2547" s="2">
        <v>292175000</v>
      </c>
      <c r="D2547" s="2">
        <v>232113000</v>
      </c>
    </row>
    <row r="2548" spans="1:4" x14ac:dyDescent="0.25">
      <c r="A2548" s="23" t="s">
        <v>449</v>
      </c>
      <c r="B2548" t="s">
        <v>293</v>
      </c>
      <c r="C2548" s="2">
        <v>630914000</v>
      </c>
      <c r="D2548" s="2">
        <v>567914000</v>
      </c>
    </row>
    <row r="2549" spans="1:4" x14ac:dyDescent="0.25">
      <c r="A2549" s="23" t="s">
        <v>449</v>
      </c>
      <c r="B2549" t="s">
        <v>294</v>
      </c>
      <c r="C2549" s="2">
        <v>367763000</v>
      </c>
      <c r="D2549" s="2">
        <v>344763000</v>
      </c>
    </row>
    <row r="2550" spans="1:4" x14ac:dyDescent="0.25">
      <c r="A2550" s="23" t="s">
        <v>449</v>
      </c>
      <c r="B2550" t="s">
        <v>295</v>
      </c>
      <c r="C2550" s="2">
        <v>515003000</v>
      </c>
      <c r="D2550" s="2">
        <v>70119000</v>
      </c>
    </row>
    <row r="2551" spans="1:4" x14ac:dyDescent="0.25">
      <c r="A2551" s="23" t="s">
        <v>449</v>
      </c>
      <c r="B2551" t="s">
        <v>296</v>
      </c>
      <c r="C2551" s="2">
        <v>534476000</v>
      </c>
      <c r="D2551" s="2">
        <v>384976000</v>
      </c>
    </row>
    <row r="2552" spans="1:4" x14ac:dyDescent="0.25">
      <c r="A2552" s="23" t="s">
        <v>449</v>
      </c>
      <c r="B2552" t="s">
        <v>297</v>
      </c>
      <c r="C2552" s="2">
        <v>348946000</v>
      </c>
      <c r="D2552" s="2">
        <v>250646000</v>
      </c>
    </row>
    <row r="2553" spans="1:4" x14ac:dyDescent="0.25">
      <c r="A2553" s="23" t="s">
        <v>449</v>
      </c>
      <c r="B2553" t="s">
        <v>298</v>
      </c>
      <c r="C2553" s="2">
        <v>684981000</v>
      </c>
      <c r="D2553" s="2">
        <v>353789000</v>
      </c>
    </row>
    <row r="2554" spans="1:4" x14ac:dyDescent="0.25">
      <c r="A2554" s="23" t="s">
        <v>449</v>
      </c>
      <c r="B2554" t="s">
        <v>299</v>
      </c>
      <c r="C2554" s="2">
        <v>1018552000</v>
      </c>
      <c r="D2554" s="2">
        <v>676464000</v>
      </c>
    </row>
    <row r="2555" spans="1:4" x14ac:dyDescent="0.25">
      <c r="A2555" s="23" t="s">
        <v>449</v>
      </c>
      <c r="B2555" t="s">
        <v>300</v>
      </c>
      <c r="C2555" s="2">
        <v>343620000</v>
      </c>
      <c r="D2555" s="2">
        <v>333620000</v>
      </c>
    </row>
    <row r="2556" spans="1:4" x14ac:dyDescent="0.25">
      <c r="A2556" s="23" t="s">
        <v>449</v>
      </c>
      <c r="B2556" t="s">
        <v>301</v>
      </c>
      <c r="C2556" s="2">
        <v>382984000</v>
      </c>
      <c r="D2556" s="2">
        <v>361984000</v>
      </c>
    </row>
    <row r="2557" spans="1:4" x14ac:dyDescent="0.25">
      <c r="A2557" s="23" t="s">
        <v>449</v>
      </c>
      <c r="B2557" t="s">
        <v>302</v>
      </c>
      <c r="C2557" s="2">
        <v>230173000</v>
      </c>
      <c r="D2557" s="2">
        <v>200173000</v>
      </c>
    </row>
    <row r="2558" spans="1:4" x14ac:dyDescent="0.25">
      <c r="A2558" s="23" t="s">
        <v>449</v>
      </c>
      <c r="B2558" t="s">
        <v>303</v>
      </c>
      <c r="C2558" s="2">
        <v>144502000</v>
      </c>
      <c r="D2558" s="2">
        <v>96502000</v>
      </c>
    </row>
    <row r="2559" spans="1:4" x14ac:dyDescent="0.25">
      <c r="A2559" s="23" t="s">
        <v>449</v>
      </c>
      <c r="B2559" t="s">
        <v>304</v>
      </c>
      <c r="C2559" s="2">
        <v>428983000</v>
      </c>
      <c r="D2559" s="2">
        <v>189401000</v>
      </c>
    </row>
    <row r="2560" spans="1:4" x14ac:dyDescent="0.25">
      <c r="A2560" s="23" t="s">
        <v>449</v>
      </c>
      <c r="B2560" t="s">
        <v>305</v>
      </c>
      <c r="C2560" s="2">
        <v>478711000</v>
      </c>
      <c r="D2560" s="2">
        <v>475711000</v>
      </c>
    </row>
    <row r="2561" spans="1:4" x14ac:dyDescent="0.25">
      <c r="A2561" s="23" t="s">
        <v>449</v>
      </c>
      <c r="B2561" t="s">
        <v>306</v>
      </c>
      <c r="C2561" s="2">
        <v>180141000</v>
      </c>
      <c r="D2561" s="2">
        <v>160641000</v>
      </c>
    </row>
    <row r="2562" spans="1:4" x14ac:dyDescent="0.25">
      <c r="A2562" s="23" t="s">
        <v>449</v>
      </c>
      <c r="B2562" t="s">
        <v>307</v>
      </c>
      <c r="C2562" s="2">
        <v>463636000</v>
      </c>
      <c r="D2562" s="2">
        <v>461636000</v>
      </c>
    </row>
    <row r="2563" spans="1:4" x14ac:dyDescent="0.25">
      <c r="A2563" s="23" t="s">
        <v>449</v>
      </c>
      <c r="B2563" t="s">
        <v>308</v>
      </c>
      <c r="C2563" s="2">
        <v>1120864000</v>
      </c>
      <c r="D2563" s="2">
        <v>861364000</v>
      </c>
    </row>
    <row r="2564" spans="1:4" x14ac:dyDescent="0.25">
      <c r="A2564" s="23" t="s">
        <v>449</v>
      </c>
      <c r="B2564" t="s">
        <v>309</v>
      </c>
      <c r="C2564" s="2">
        <v>730470000</v>
      </c>
      <c r="D2564" s="2">
        <v>458352000</v>
      </c>
    </row>
    <row r="2565" spans="1:4" x14ac:dyDescent="0.25">
      <c r="A2565" s="23" t="s">
        <v>449</v>
      </c>
      <c r="B2565" t="s">
        <v>310</v>
      </c>
      <c r="C2565" s="2">
        <v>209403000</v>
      </c>
      <c r="D2565" s="2">
        <v>122403000</v>
      </c>
    </row>
    <row r="2566" spans="1:4" x14ac:dyDescent="0.25">
      <c r="A2566" s="23" t="s">
        <v>449</v>
      </c>
      <c r="B2566" t="s">
        <v>311</v>
      </c>
      <c r="C2566" s="2">
        <v>381422000</v>
      </c>
      <c r="D2566" s="2">
        <v>289427000</v>
      </c>
    </row>
    <row r="2567" spans="1:4" x14ac:dyDescent="0.25">
      <c r="A2567" s="23" t="s">
        <v>449</v>
      </c>
      <c r="B2567" t="s">
        <v>312</v>
      </c>
      <c r="C2567" s="2">
        <v>382888000</v>
      </c>
      <c r="D2567" s="2">
        <v>302113000</v>
      </c>
    </row>
    <row r="2568" spans="1:4" x14ac:dyDescent="0.25">
      <c r="A2568" s="23" t="s">
        <v>449</v>
      </c>
      <c r="B2568" t="s">
        <v>313</v>
      </c>
      <c r="C2568" s="2">
        <v>360766000</v>
      </c>
      <c r="D2568" s="2">
        <v>316746000</v>
      </c>
    </row>
    <row r="2569" spans="1:4" x14ac:dyDescent="0.25">
      <c r="A2569" s="23" t="s">
        <v>449</v>
      </c>
      <c r="B2569" t="s">
        <v>314</v>
      </c>
      <c r="C2569" s="2">
        <v>285753000</v>
      </c>
      <c r="D2569" s="2">
        <v>150958000</v>
      </c>
    </row>
    <row r="2570" spans="1:4" x14ac:dyDescent="0.25">
      <c r="A2570" s="23" t="s">
        <v>449</v>
      </c>
      <c r="B2570" t="s">
        <v>315</v>
      </c>
      <c r="C2570" s="2">
        <v>358843000</v>
      </c>
      <c r="D2570" s="2">
        <v>328843000</v>
      </c>
    </row>
    <row r="2571" spans="1:4" x14ac:dyDescent="0.25">
      <c r="A2571" s="23" t="s">
        <v>449</v>
      </c>
      <c r="B2571" t="s">
        <v>316</v>
      </c>
      <c r="C2571" s="2">
        <v>622314000</v>
      </c>
      <c r="D2571" s="2">
        <v>738414000</v>
      </c>
    </row>
    <row r="2572" spans="1:4" x14ac:dyDescent="0.25">
      <c r="A2572" s="23" t="s">
        <v>449</v>
      </c>
      <c r="B2572" t="s">
        <v>317</v>
      </c>
      <c r="C2572" s="2">
        <v>481740000</v>
      </c>
      <c r="D2572" s="2">
        <v>255740000</v>
      </c>
    </row>
    <row r="2573" spans="1:4" x14ac:dyDescent="0.25">
      <c r="A2573" s="23" t="s">
        <v>449</v>
      </c>
      <c r="B2573" t="s">
        <v>318</v>
      </c>
      <c r="C2573" s="2">
        <v>541967000</v>
      </c>
      <c r="D2573" s="2">
        <v>1226967000</v>
      </c>
    </row>
    <row r="2574" spans="1:4" x14ac:dyDescent="0.25">
      <c r="A2574" s="23" t="s">
        <v>449</v>
      </c>
      <c r="B2574" t="s">
        <v>319</v>
      </c>
      <c r="C2574" s="2">
        <v>771194000</v>
      </c>
      <c r="D2574" s="2">
        <v>521203000</v>
      </c>
    </row>
    <row r="2575" spans="1:4" x14ac:dyDescent="0.25">
      <c r="A2575" s="23" t="s">
        <v>449</v>
      </c>
      <c r="B2575" t="s">
        <v>320</v>
      </c>
      <c r="C2575" s="2">
        <v>278994000</v>
      </c>
      <c r="D2575" s="2">
        <v>273694000</v>
      </c>
    </row>
    <row r="2576" spans="1:4" x14ac:dyDescent="0.25">
      <c r="A2576" s="23" t="s">
        <v>449</v>
      </c>
      <c r="B2576" t="s">
        <v>321</v>
      </c>
      <c r="C2576" s="2">
        <v>592840000</v>
      </c>
      <c r="D2576" s="2">
        <v>488840000</v>
      </c>
    </row>
    <row r="2577" spans="1:4" x14ac:dyDescent="0.25">
      <c r="A2577" s="23" t="s">
        <v>449</v>
      </c>
      <c r="B2577" t="s">
        <v>322</v>
      </c>
      <c r="C2577" s="2">
        <v>345592000</v>
      </c>
      <c r="D2577" s="2">
        <v>315592000</v>
      </c>
    </row>
    <row r="2578" spans="1:4" x14ac:dyDescent="0.25">
      <c r="A2578" s="23" t="s">
        <v>449</v>
      </c>
      <c r="B2578" t="s">
        <v>323</v>
      </c>
      <c r="C2578" s="2">
        <v>418189000</v>
      </c>
      <c r="D2578" s="2">
        <v>356518000</v>
      </c>
    </row>
    <row r="2579" spans="1:4" x14ac:dyDescent="0.25">
      <c r="A2579" s="23" t="s">
        <v>449</v>
      </c>
      <c r="B2579" t="s">
        <v>324</v>
      </c>
      <c r="C2579" s="2">
        <v>338153000</v>
      </c>
      <c r="D2579" s="2">
        <v>234895000</v>
      </c>
    </row>
    <row r="2580" spans="1:4" x14ac:dyDescent="0.25">
      <c r="A2580" s="23" t="s">
        <v>449</v>
      </c>
      <c r="B2580" t="s">
        <v>325</v>
      </c>
      <c r="C2580" s="2">
        <v>518627000</v>
      </c>
      <c r="D2580" s="2">
        <v>470127000</v>
      </c>
    </row>
    <row r="2581" spans="1:4" x14ac:dyDescent="0.25">
      <c r="A2581" s="23" t="s">
        <v>449</v>
      </c>
      <c r="B2581" t="s">
        <v>326</v>
      </c>
      <c r="C2581" s="2">
        <v>251667000</v>
      </c>
      <c r="D2581" s="2">
        <v>227047000</v>
      </c>
    </row>
    <row r="2582" spans="1:4" x14ac:dyDescent="0.25">
      <c r="A2582" s="23" t="s">
        <v>449</v>
      </c>
      <c r="B2582" t="s">
        <v>327</v>
      </c>
      <c r="C2582" s="2">
        <v>242382000</v>
      </c>
      <c r="D2582" s="2">
        <v>218382000</v>
      </c>
    </row>
    <row r="2583" spans="1:4" x14ac:dyDescent="0.25">
      <c r="A2583" s="23" t="s">
        <v>449</v>
      </c>
      <c r="B2583" t="s">
        <v>328</v>
      </c>
      <c r="C2583" s="2">
        <v>1045986000</v>
      </c>
      <c r="D2583" s="2">
        <v>886598000</v>
      </c>
    </row>
    <row r="2584" spans="1:4" x14ac:dyDescent="0.25">
      <c r="A2584" s="23" t="s">
        <v>449</v>
      </c>
      <c r="B2584" t="s">
        <v>329</v>
      </c>
      <c r="C2584" s="2">
        <v>588651000</v>
      </c>
      <c r="D2584" s="2">
        <v>334351000</v>
      </c>
    </row>
    <row r="2585" spans="1:4" x14ac:dyDescent="0.25">
      <c r="A2585" s="23" t="s">
        <v>449</v>
      </c>
      <c r="B2585" t="s">
        <v>330</v>
      </c>
      <c r="C2585" s="2">
        <v>527670000</v>
      </c>
      <c r="D2585" s="2">
        <v>395472000</v>
      </c>
    </row>
    <row r="2586" spans="1:4" x14ac:dyDescent="0.25">
      <c r="A2586" s="23" t="s">
        <v>449</v>
      </c>
      <c r="B2586" t="s">
        <v>331</v>
      </c>
      <c r="C2586" s="2">
        <v>280989000</v>
      </c>
      <c r="D2586" s="2">
        <v>272689000</v>
      </c>
    </row>
    <row r="2587" spans="1:4" x14ac:dyDescent="0.25">
      <c r="A2587" s="23" t="s">
        <v>449</v>
      </c>
      <c r="B2587" t="s">
        <v>332</v>
      </c>
      <c r="C2587" s="2">
        <v>620986000</v>
      </c>
      <c r="D2587" s="2">
        <v>571986000</v>
      </c>
    </row>
    <row r="2588" spans="1:4" x14ac:dyDescent="0.25">
      <c r="A2588" s="23" t="s">
        <v>449</v>
      </c>
      <c r="B2588" t="s">
        <v>333</v>
      </c>
      <c r="C2588" s="2">
        <v>315746000</v>
      </c>
      <c r="D2588" s="2">
        <v>292746000</v>
      </c>
    </row>
    <row r="2589" spans="1:4" x14ac:dyDescent="0.25">
      <c r="A2589" s="23" t="s">
        <v>449</v>
      </c>
      <c r="B2589" t="s">
        <v>334</v>
      </c>
      <c r="C2589" s="2">
        <v>1338658000</v>
      </c>
      <c r="D2589" s="2">
        <v>693965000</v>
      </c>
    </row>
    <row r="2590" spans="1:4" x14ac:dyDescent="0.25">
      <c r="A2590" s="23" t="s">
        <v>449</v>
      </c>
      <c r="B2590" t="s">
        <v>335</v>
      </c>
      <c r="C2590" s="2">
        <v>145221000</v>
      </c>
      <c r="D2590" s="2">
        <v>103269000</v>
      </c>
    </row>
    <row r="2591" spans="1:4" x14ac:dyDescent="0.25">
      <c r="A2591" s="23" t="s">
        <v>449</v>
      </c>
      <c r="B2591" t="s">
        <v>336</v>
      </c>
      <c r="C2591" s="2">
        <v>290134000</v>
      </c>
      <c r="D2591" s="2">
        <v>280074000</v>
      </c>
    </row>
    <row r="2592" spans="1:4" x14ac:dyDescent="0.25">
      <c r="A2592" s="23" t="s">
        <v>449</v>
      </c>
      <c r="B2592" t="s">
        <v>337</v>
      </c>
      <c r="C2592" s="2">
        <v>358399000</v>
      </c>
      <c r="D2592" s="2">
        <v>218649000</v>
      </c>
    </row>
    <row r="2593" spans="1:4" x14ac:dyDescent="0.25">
      <c r="A2593" s="23" t="s">
        <v>449</v>
      </c>
      <c r="B2593" t="s">
        <v>338</v>
      </c>
      <c r="C2593" s="2">
        <v>297970000</v>
      </c>
      <c r="D2593" s="2">
        <v>197970000</v>
      </c>
    </row>
    <row r="2594" spans="1:4" x14ac:dyDescent="0.25">
      <c r="A2594" s="23" t="s">
        <v>449</v>
      </c>
      <c r="B2594" t="s">
        <v>339</v>
      </c>
      <c r="C2594" s="2">
        <v>223567000</v>
      </c>
      <c r="D2594" s="2">
        <v>125773000</v>
      </c>
    </row>
    <row r="2595" spans="1:4" x14ac:dyDescent="0.25">
      <c r="A2595" s="23" t="s">
        <v>449</v>
      </c>
      <c r="B2595" t="s">
        <v>340</v>
      </c>
      <c r="C2595" s="2">
        <v>335031000</v>
      </c>
      <c r="D2595" s="2">
        <v>252956000</v>
      </c>
    </row>
    <row r="2596" spans="1:4" x14ac:dyDescent="0.25">
      <c r="A2596" s="23" t="s">
        <v>449</v>
      </c>
      <c r="B2596" t="s">
        <v>341</v>
      </c>
      <c r="C2596" s="2">
        <v>681286000</v>
      </c>
      <c r="D2596" s="2">
        <v>559086000</v>
      </c>
    </row>
    <row r="2597" spans="1:4" x14ac:dyDescent="0.25">
      <c r="A2597" s="23" t="s">
        <v>449</v>
      </c>
      <c r="B2597" t="s">
        <v>342</v>
      </c>
      <c r="C2597" s="2">
        <v>427807000</v>
      </c>
      <c r="D2597" s="2">
        <v>283037000</v>
      </c>
    </row>
    <row r="2598" spans="1:4" x14ac:dyDescent="0.25">
      <c r="A2598" s="23" t="s">
        <v>449</v>
      </c>
      <c r="B2598" t="s">
        <v>343</v>
      </c>
      <c r="C2598" s="2">
        <v>531121000</v>
      </c>
      <c r="D2598" s="2">
        <v>547121000</v>
      </c>
    </row>
    <row r="2599" spans="1:4" x14ac:dyDescent="0.25">
      <c r="A2599" s="23" t="s">
        <v>449</v>
      </c>
      <c r="B2599" t="s">
        <v>344</v>
      </c>
      <c r="C2599" s="2">
        <v>144741000</v>
      </c>
      <c r="D2599" s="2">
        <v>122741000</v>
      </c>
    </row>
    <row r="2600" spans="1:4" x14ac:dyDescent="0.25">
      <c r="A2600" s="23" t="s">
        <v>449</v>
      </c>
      <c r="B2600" t="s">
        <v>345</v>
      </c>
      <c r="C2600" s="2">
        <v>420836000</v>
      </c>
      <c r="D2600" s="2">
        <v>332594000</v>
      </c>
    </row>
    <row r="2601" spans="1:4" x14ac:dyDescent="0.25">
      <c r="A2601" s="23" t="s">
        <v>449</v>
      </c>
      <c r="B2601" t="s">
        <v>346</v>
      </c>
      <c r="C2601" s="2">
        <v>338563000</v>
      </c>
      <c r="D2601" s="2">
        <v>291063000</v>
      </c>
    </row>
    <row r="2602" spans="1:4" x14ac:dyDescent="0.25">
      <c r="A2602" s="23" t="s">
        <v>449</v>
      </c>
      <c r="B2602" t="s">
        <v>347</v>
      </c>
      <c r="C2602" s="2">
        <v>589974000</v>
      </c>
      <c r="D2602" s="2">
        <v>460974000</v>
      </c>
    </row>
    <row r="2603" spans="1:4" x14ac:dyDescent="0.25">
      <c r="A2603" s="23" t="s">
        <v>449</v>
      </c>
      <c r="B2603" t="s">
        <v>348</v>
      </c>
      <c r="C2603" s="2">
        <v>577750000</v>
      </c>
      <c r="D2603" s="2">
        <v>545750000</v>
      </c>
    </row>
    <row r="2604" spans="1:4" x14ac:dyDescent="0.25">
      <c r="A2604" s="23" t="s">
        <v>449</v>
      </c>
      <c r="B2604" t="s">
        <v>349</v>
      </c>
      <c r="C2604" s="2">
        <v>1005813000</v>
      </c>
      <c r="D2604" s="2">
        <v>935313000</v>
      </c>
    </row>
    <row r="2605" spans="1:4" x14ac:dyDescent="0.25">
      <c r="A2605" s="23" t="s">
        <v>449</v>
      </c>
      <c r="B2605" t="s">
        <v>350</v>
      </c>
      <c r="C2605" s="2">
        <v>266321000</v>
      </c>
      <c r="D2605" s="2">
        <v>168821000</v>
      </c>
    </row>
    <row r="2606" spans="1:4" x14ac:dyDescent="0.25">
      <c r="A2606" s="23" t="s">
        <v>449</v>
      </c>
      <c r="B2606" t="s">
        <v>414</v>
      </c>
      <c r="C2606" s="2">
        <v>822074000</v>
      </c>
      <c r="D2606" s="2">
        <v>743074000</v>
      </c>
    </row>
    <row r="2607" spans="1:4" x14ac:dyDescent="0.25">
      <c r="A2607" s="23" t="s">
        <v>449</v>
      </c>
      <c r="B2607" t="s">
        <v>351</v>
      </c>
      <c r="C2607" s="2">
        <v>441592000</v>
      </c>
      <c r="D2607" s="2">
        <v>150787000</v>
      </c>
    </row>
    <row r="2608" spans="1:4" x14ac:dyDescent="0.25">
      <c r="A2608" s="23" t="s">
        <v>449</v>
      </c>
      <c r="B2608" t="s">
        <v>405</v>
      </c>
      <c r="C2608" s="2">
        <v>496913000</v>
      </c>
      <c r="D2608" s="2">
        <v>437913000</v>
      </c>
    </row>
    <row r="2609" spans="1:4" x14ac:dyDescent="0.25">
      <c r="A2609" s="23" t="s">
        <v>449</v>
      </c>
      <c r="B2609" t="s">
        <v>352</v>
      </c>
      <c r="C2609" s="2">
        <v>327576000</v>
      </c>
      <c r="D2609" s="2">
        <v>178976000</v>
      </c>
    </row>
    <row r="2610" spans="1:4" x14ac:dyDescent="0.25">
      <c r="A2610" s="23" t="s">
        <v>449</v>
      </c>
      <c r="B2610" t="s">
        <v>353</v>
      </c>
      <c r="C2610" s="2">
        <v>281293000</v>
      </c>
      <c r="D2610" s="2">
        <v>245308000</v>
      </c>
    </row>
    <row r="2611" spans="1:4" x14ac:dyDescent="0.25">
      <c r="A2611" s="23" t="s">
        <v>449</v>
      </c>
      <c r="B2611" t="s">
        <v>354</v>
      </c>
      <c r="C2611" s="2">
        <v>440999000</v>
      </c>
      <c r="D2611" s="2">
        <v>378643000</v>
      </c>
    </row>
    <row r="2612" spans="1:4" x14ac:dyDescent="0.25">
      <c r="A2612" s="23" t="s">
        <v>449</v>
      </c>
      <c r="B2612" t="s">
        <v>355</v>
      </c>
      <c r="C2612" s="2">
        <v>602935000</v>
      </c>
      <c r="D2612" s="2">
        <v>531685000</v>
      </c>
    </row>
    <row r="2613" spans="1:4" x14ac:dyDescent="0.25">
      <c r="A2613" s="23" t="s">
        <v>449</v>
      </c>
      <c r="B2613" t="s">
        <v>356</v>
      </c>
      <c r="C2613" s="2">
        <v>318472000</v>
      </c>
      <c r="D2613" s="2">
        <v>241472000</v>
      </c>
    </row>
    <row r="2614" spans="1:4" x14ac:dyDescent="0.25">
      <c r="A2614" s="23" t="s">
        <v>449</v>
      </c>
      <c r="B2614" t="s">
        <v>357</v>
      </c>
      <c r="C2614" s="2">
        <v>309042000</v>
      </c>
      <c r="D2614" s="2">
        <v>240042000</v>
      </c>
    </row>
    <row r="2615" spans="1:4" x14ac:dyDescent="0.25">
      <c r="A2615" s="23" t="s">
        <v>449</v>
      </c>
      <c r="B2615" t="s">
        <v>358</v>
      </c>
      <c r="C2615" s="2">
        <v>430159000</v>
      </c>
      <c r="D2615" s="2">
        <v>369771000</v>
      </c>
    </row>
    <row r="2616" spans="1:4" x14ac:dyDescent="0.25">
      <c r="A2616" s="23" t="s">
        <v>449</v>
      </c>
      <c r="B2616" t="s">
        <v>359</v>
      </c>
      <c r="C2616" s="2">
        <v>224712000</v>
      </c>
      <c r="D2616" s="2">
        <v>217767000</v>
      </c>
    </row>
    <row r="2617" spans="1:4" x14ac:dyDescent="0.25">
      <c r="A2617" s="23" t="s">
        <v>449</v>
      </c>
      <c r="B2617" t="s">
        <v>360</v>
      </c>
      <c r="C2617" s="2">
        <v>289735000</v>
      </c>
      <c r="D2617" s="2">
        <v>269735000</v>
      </c>
    </row>
    <row r="2618" spans="1:4" x14ac:dyDescent="0.25">
      <c r="A2618" s="23" t="s">
        <v>449</v>
      </c>
      <c r="B2618" t="s">
        <v>361</v>
      </c>
      <c r="C2618" s="2">
        <v>324490000</v>
      </c>
      <c r="D2618" s="2">
        <v>418828000</v>
      </c>
    </row>
    <row r="2619" spans="1:4" x14ac:dyDescent="0.25">
      <c r="A2619" s="23" t="s">
        <v>449</v>
      </c>
      <c r="B2619" t="s">
        <v>362</v>
      </c>
      <c r="C2619" s="2">
        <v>117467000</v>
      </c>
      <c r="D2619" s="2">
        <v>90367000</v>
      </c>
    </row>
    <row r="2620" spans="1:4" x14ac:dyDescent="0.25">
      <c r="A2620" s="23" t="s">
        <v>449</v>
      </c>
      <c r="B2620" t="s">
        <v>363</v>
      </c>
      <c r="C2620" s="2">
        <v>222196000</v>
      </c>
      <c r="D2620" s="2">
        <v>100446000</v>
      </c>
    </row>
    <row r="2621" spans="1:4" x14ac:dyDescent="0.25">
      <c r="A2621" s="23" t="s">
        <v>449</v>
      </c>
      <c r="B2621" t="s">
        <v>364</v>
      </c>
      <c r="C2621" s="2">
        <v>295665000</v>
      </c>
      <c r="D2621" s="2">
        <v>160665000</v>
      </c>
    </row>
    <row r="2622" spans="1:4" x14ac:dyDescent="0.25">
      <c r="A2622" s="23" t="s">
        <v>449</v>
      </c>
      <c r="B2622" t="s">
        <v>365</v>
      </c>
      <c r="C2622" s="2">
        <v>636928000</v>
      </c>
      <c r="D2622" s="2">
        <v>580928000</v>
      </c>
    </row>
    <row r="2623" spans="1:4" x14ac:dyDescent="0.25">
      <c r="A2623" s="23" t="s">
        <v>449</v>
      </c>
      <c r="B2623" t="s">
        <v>366</v>
      </c>
      <c r="C2623" s="2">
        <v>570109000</v>
      </c>
      <c r="D2623" s="2">
        <v>528109000</v>
      </c>
    </row>
    <row r="2624" spans="1:4" x14ac:dyDescent="0.25">
      <c r="A2624" s="23" t="s">
        <v>449</v>
      </c>
      <c r="B2624" t="s">
        <v>367</v>
      </c>
      <c r="C2624" s="2">
        <v>283116000</v>
      </c>
      <c r="D2624" s="2">
        <v>242416000</v>
      </c>
    </row>
    <row r="2625" spans="1:4" x14ac:dyDescent="0.25">
      <c r="A2625" s="23" t="s">
        <v>449</v>
      </c>
      <c r="B2625" t="s">
        <v>368</v>
      </c>
      <c r="C2625" s="2">
        <v>604701000</v>
      </c>
      <c r="D2625" s="2">
        <v>546701000</v>
      </c>
    </row>
    <row r="2626" spans="1:4" x14ac:dyDescent="0.25">
      <c r="A2626" s="23" t="s">
        <v>449</v>
      </c>
      <c r="B2626" t="s">
        <v>369</v>
      </c>
      <c r="C2626" s="2">
        <v>246141000</v>
      </c>
      <c r="D2626" s="2">
        <v>235591000</v>
      </c>
    </row>
    <row r="2627" spans="1:4" x14ac:dyDescent="0.25">
      <c r="A2627" s="23" t="s">
        <v>449</v>
      </c>
      <c r="B2627" t="s">
        <v>370</v>
      </c>
      <c r="C2627" s="2">
        <v>301433000</v>
      </c>
      <c r="D2627" s="2">
        <v>292083000</v>
      </c>
    </row>
    <row r="2628" spans="1:4" x14ac:dyDescent="0.25">
      <c r="A2628" s="23" t="s">
        <v>449</v>
      </c>
      <c r="B2628" t="s">
        <v>371</v>
      </c>
      <c r="C2628" s="2">
        <v>557780000</v>
      </c>
      <c r="D2628" s="2">
        <v>519554000</v>
      </c>
    </row>
    <row r="2629" spans="1:4" x14ac:dyDescent="0.25">
      <c r="A2629" s="23" t="s">
        <v>449</v>
      </c>
      <c r="B2629" t="s">
        <v>372</v>
      </c>
      <c r="C2629" s="2">
        <v>1103022000</v>
      </c>
      <c r="D2629" s="2">
        <v>774775000</v>
      </c>
    </row>
    <row r="2630" spans="1:4" x14ac:dyDescent="0.25">
      <c r="A2630" s="23" t="s">
        <v>449</v>
      </c>
      <c r="B2630" t="s">
        <v>373</v>
      </c>
      <c r="C2630" s="2">
        <v>1119310000</v>
      </c>
      <c r="D2630" s="2">
        <v>1171970000</v>
      </c>
    </row>
    <row r="2631" spans="1:4" x14ac:dyDescent="0.25">
      <c r="A2631" s="23" t="s">
        <v>449</v>
      </c>
      <c r="B2631" t="s">
        <v>374</v>
      </c>
      <c r="C2631" s="2">
        <v>531926000</v>
      </c>
      <c r="D2631" s="2">
        <v>414999000</v>
      </c>
    </row>
    <row r="2632" spans="1:4" x14ac:dyDescent="0.25">
      <c r="A2632" s="23" t="s">
        <v>449</v>
      </c>
      <c r="B2632" t="s">
        <v>375</v>
      </c>
      <c r="C2632" s="2">
        <v>522443000</v>
      </c>
      <c r="D2632" s="2">
        <v>476297000</v>
      </c>
    </row>
    <row r="2633" spans="1:4" x14ac:dyDescent="0.25">
      <c r="A2633" s="23" t="s">
        <v>449</v>
      </c>
      <c r="B2633" t="s">
        <v>376</v>
      </c>
      <c r="C2633" s="2">
        <v>786097000</v>
      </c>
      <c r="D2633" s="2">
        <v>1049817000</v>
      </c>
    </row>
    <row r="2634" spans="1:4" x14ac:dyDescent="0.25">
      <c r="A2634" s="23" t="s">
        <v>449</v>
      </c>
      <c r="B2634" t="s">
        <v>377</v>
      </c>
      <c r="C2634" s="2">
        <v>264233000</v>
      </c>
      <c r="D2634" s="2">
        <v>239233000</v>
      </c>
    </row>
    <row r="2635" spans="1:4" x14ac:dyDescent="0.25">
      <c r="A2635" s="23" t="s">
        <v>449</v>
      </c>
      <c r="B2635" t="s">
        <v>378</v>
      </c>
      <c r="C2635" s="2">
        <v>427915000</v>
      </c>
      <c r="D2635" s="2">
        <v>353415000</v>
      </c>
    </row>
    <row r="2636" spans="1:4" x14ac:dyDescent="0.25">
      <c r="A2636" s="23" t="s">
        <v>449</v>
      </c>
      <c r="B2636" t="s">
        <v>412</v>
      </c>
      <c r="C2636" s="2">
        <v>699192000</v>
      </c>
      <c r="D2636" s="2">
        <v>486552000</v>
      </c>
    </row>
    <row r="2637" spans="1:4" x14ac:dyDescent="0.25">
      <c r="A2637" s="23" t="s">
        <v>449</v>
      </c>
      <c r="B2637" t="s">
        <v>379</v>
      </c>
      <c r="C2637" s="2">
        <v>648244000</v>
      </c>
      <c r="D2637" s="2">
        <v>550797000</v>
      </c>
    </row>
    <row r="2638" spans="1:4" x14ac:dyDescent="0.25">
      <c r="A2638" s="23" t="s">
        <v>449</v>
      </c>
      <c r="B2638" t="s">
        <v>380</v>
      </c>
      <c r="C2638" s="2">
        <v>454241000</v>
      </c>
      <c r="D2638" s="2">
        <v>428241000</v>
      </c>
    </row>
    <row r="2639" spans="1:4" x14ac:dyDescent="0.25">
      <c r="A2639" s="23" t="s">
        <v>449</v>
      </c>
      <c r="B2639" t="s">
        <v>381</v>
      </c>
      <c r="C2639" s="2">
        <v>205228000</v>
      </c>
      <c r="D2639" s="2">
        <v>219728000</v>
      </c>
    </row>
    <row r="2640" spans="1:4" x14ac:dyDescent="0.25">
      <c r="A2640" s="23" t="s">
        <v>449</v>
      </c>
      <c r="B2640" t="s">
        <v>382</v>
      </c>
      <c r="C2640" s="2">
        <v>226881000</v>
      </c>
      <c r="D2640" s="2">
        <v>136381000</v>
      </c>
    </row>
    <row r="2641" spans="1:4" x14ac:dyDescent="0.25">
      <c r="A2641" s="23" t="s">
        <v>449</v>
      </c>
      <c r="B2641" t="s">
        <v>383</v>
      </c>
      <c r="C2641" s="2">
        <v>582459000</v>
      </c>
      <c r="D2641" s="2">
        <v>463616000</v>
      </c>
    </row>
    <row r="2642" spans="1:4" x14ac:dyDescent="0.25">
      <c r="A2642" s="23" t="s">
        <v>449</v>
      </c>
      <c r="B2642" t="s">
        <v>384</v>
      </c>
      <c r="C2642" s="2">
        <v>228574000</v>
      </c>
      <c r="D2642" s="2">
        <v>135274000</v>
      </c>
    </row>
    <row r="2643" spans="1:4" x14ac:dyDescent="0.25">
      <c r="A2643" s="23" t="s">
        <v>449</v>
      </c>
      <c r="B2643" t="s">
        <v>385</v>
      </c>
      <c r="C2643" s="2">
        <v>206452000</v>
      </c>
      <c r="D2643" s="2">
        <v>183452000</v>
      </c>
    </row>
    <row r="2644" spans="1:4" x14ac:dyDescent="0.25">
      <c r="A2644" s="23" t="s">
        <v>449</v>
      </c>
      <c r="B2644" t="s">
        <v>386</v>
      </c>
      <c r="C2644" s="2">
        <v>278175000</v>
      </c>
      <c r="D2644" s="2">
        <v>260175000</v>
      </c>
    </row>
    <row r="2645" spans="1:4" x14ac:dyDescent="0.25">
      <c r="A2645" s="23" t="s">
        <v>449</v>
      </c>
      <c r="B2645" t="s">
        <v>387</v>
      </c>
      <c r="C2645" s="2">
        <v>244752000</v>
      </c>
      <c r="D2645" s="2">
        <v>242236000</v>
      </c>
    </row>
    <row r="2646" spans="1:4" x14ac:dyDescent="0.25">
      <c r="A2646" s="23" t="s">
        <v>449</v>
      </c>
      <c r="B2646" t="s">
        <v>388</v>
      </c>
      <c r="C2646" s="2">
        <v>517796000</v>
      </c>
      <c r="D2646" s="2">
        <v>469312000</v>
      </c>
    </row>
    <row r="2647" spans="1:4" x14ac:dyDescent="0.25">
      <c r="A2647" s="23" t="s">
        <v>449</v>
      </c>
      <c r="B2647" t="s">
        <v>389</v>
      </c>
      <c r="C2647" s="2">
        <v>365044000</v>
      </c>
      <c r="D2647" s="2">
        <v>341544000</v>
      </c>
    </row>
    <row r="2648" spans="1:4" x14ac:dyDescent="0.25">
      <c r="A2648" s="23" t="s">
        <v>449</v>
      </c>
      <c r="B2648" t="s">
        <v>390</v>
      </c>
      <c r="C2648" s="2">
        <v>267352000</v>
      </c>
      <c r="D2648" s="2">
        <v>247352000</v>
      </c>
    </row>
    <row r="2649" spans="1:4" x14ac:dyDescent="0.25">
      <c r="A2649" s="23" t="s">
        <v>449</v>
      </c>
      <c r="B2649" t="s">
        <v>391</v>
      </c>
      <c r="C2649" s="2">
        <v>183683000</v>
      </c>
      <c r="D2649" s="2">
        <v>113683000</v>
      </c>
    </row>
    <row r="2650" spans="1:4" x14ac:dyDescent="0.25">
      <c r="A2650" s="23" t="s">
        <v>449</v>
      </c>
      <c r="B2650" t="s">
        <v>392</v>
      </c>
      <c r="C2650" s="2">
        <v>397232000</v>
      </c>
      <c r="D2650" s="2">
        <v>397232000</v>
      </c>
    </row>
    <row r="2651" spans="1:4" x14ac:dyDescent="0.25">
      <c r="A2651" s="23" t="s">
        <v>449</v>
      </c>
      <c r="B2651" t="s">
        <v>393</v>
      </c>
      <c r="C2651" s="2">
        <v>459441000</v>
      </c>
      <c r="D2651" s="2">
        <v>347441000</v>
      </c>
    </row>
    <row r="2652" spans="1:4" x14ac:dyDescent="0.25">
      <c r="A2652" s="23" t="s">
        <v>449</v>
      </c>
      <c r="B2652" t="s">
        <v>394</v>
      </c>
      <c r="C2652" s="2">
        <v>391948000</v>
      </c>
      <c r="D2652" s="2">
        <v>271948000</v>
      </c>
    </row>
    <row r="2653" spans="1:4" x14ac:dyDescent="0.25">
      <c r="A2653" s="23" t="s">
        <v>449</v>
      </c>
      <c r="B2653" t="s">
        <v>395</v>
      </c>
    </row>
    <row r="2654" spans="1:4" x14ac:dyDescent="0.25">
      <c r="A2654" s="23" t="s">
        <v>449</v>
      </c>
      <c r="B2654" t="s">
        <v>396</v>
      </c>
    </row>
    <row r="2655" spans="1:4" x14ac:dyDescent="0.25">
      <c r="A2655" s="23" t="s">
        <v>450</v>
      </c>
      <c r="B2655" t="s">
        <v>201</v>
      </c>
      <c r="C2655" s="2">
        <v>121188845000</v>
      </c>
      <c r="D2655" s="2">
        <v>124557571000</v>
      </c>
    </row>
    <row r="2656" spans="1:4" x14ac:dyDescent="0.25">
      <c r="A2656" s="23" t="s">
        <v>450</v>
      </c>
      <c r="B2656" t="s">
        <v>424</v>
      </c>
      <c r="C2656" s="2">
        <v>0</v>
      </c>
      <c r="D2656" s="2">
        <v>0</v>
      </c>
    </row>
    <row r="2657" spans="1:4" x14ac:dyDescent="0.25">
      <c r="A2657" s="23" t="s">
        <v>450</v>
      </c>
      <c r="B2657" t="s">
        <v>202</v>
      </c>
      <c r="C2657" s="2">
        <v>1152198000</v>
      </c>
      <c r="D2657" s="2">
        <v>1816707000</v>
      </c>
    </row>
    <row r="2658" spans="1:4" x14ac:dyDescent="0.25">
      <c r="A2658" s="23" t="s">
        <v>450</v>
      </c>
      <c r="B2658" t="s">
        <v>203</v>
      </c>
      <c r="C2658" s="2">
        <v>1075438000</v>
      </c>
      <c r="D2658" s="2">
        <v>1574231000</v>
      </c>
    </row>
    <row r="2659" spans="1:4" x14ac:dyDescent="0.25">
      <c r="A2659" s="23" t="s">
        <v>450</v>
      </c>
      <c r="B2659" t="s">
        <v>204</v>
      </c>
      <c r="C2659" s="2">
        <v>2220402000</v>
      </c>
      <c r="D2659" s="2">
        <v>2270382000</v>
      </c>
    </row>
    <row r="2660" spans="1:4" x14ac:dyDescent="0.25">
      <c r="A2660" s="23" t="s">
        <v>450</v>
      </c>
      <c r="B2660" t="s">
        <v>205</v>
      </c>
      <c r="C2660" s="2">
        <v>1808096000</v>
      </c>
      <c r="D2660" s="2">
        <v>2357617000</v>
      </c>
    </row>
    <row r="2661" spans="1:4" x14ac:dyDescent="0.25">
      <c r="A2661" s="23" t="s">
        <v>450</v>
      </c>
      <c r="B2661" t="s">
        <v>206</v>
      </c>
      <c r="C2661" s="2">
        <v>1325616000</v>
      </c>
      <c r="D2661" s="2">
        <v>2272105000</v>
      </c>
    </row>
    <row r="2662" spans="1:4" x14ac:dyDescent="0.25">
      <c r="A2662" s="23" t="s">
        <v>450</v>
      </c>
      <c r="B2662" t="s">
        <v>207</v>
      </c>
      <c r="C2662" s="2">
        <v>3427773000</v>
      </c>
      <c r="D2662" s="2">
        <v>3074819000</v>
      </c>
    </row>
    <row r="2663" spans="1:4" x14ac:dyDescent="0.25">
      <c r="A2663" s="23" t="s">
        <v>450</v>
      </c>
      <c r="B2663" t="s">
        <v>208</v>
      </c>
      <c r="C2663" s="2">
        <v>1272715000</v>
      </c>
      <c r="D2663" s="2">
        <v>2097370000</v>
      </c>
    </row>
    <row r="2664" spans="1:4" x14ac:dyDescent="0.25">
      <c r="A2664" s="23" t="s">
        <v>450</v>
      </c>
      <c r="B2664" t="s">
        <v>209</v>
      </c>
      <c r="C2664" s="2">
        <v>1569888000</v>
      </c>
      <c r="D2664" s="2">
        <v>2126049000</v>
      </c>
    </row>
    <row r="2665" spans="1:4" x14ac:dyDescent="0.25">
      <c r="A2665" s="23" t="s">
        <v>450</v>
      </c>
      <c r="B2665" t="s">
        <v>210</v>
      </c>
      <c r="C2665" s="2">
        <v>3139410000</v>
      </c>
      <c r="D2665" s="2">
        <v>2524527000</v>
      </c>
    </row>
    <row r="2666" spans="1:4" x14ac:dyDescent="0.25">
      <c r="A2666" s="23" t="s">
        <v>450</v>
      </c>
      <c r="B2666" t="s">
        <v>211</v>
      </c>
      <c r="C2666" s="2">
        <v>3285284000</v>
      </c>
      <c r="D2666" s="2">
        <v>3854643000</v>
      </c>
    </row>
    <row r="2667" spans="1:4" x14ac:dyDescent="0.25">
      <c r="A2667" s="23" t="s">
        <v>450</v>
      </c>
      <c r="B2667" t="s">
        <v>212</v>
      </c>
      <c r="C2667" s="2">
        <v>1115613000</v>
      </c>
      <c r="D2667" s="2">
        <v>1752517000</v>
      </c>
    </row>
    <row r="2668" spans="1:4" x14ac:dyDescent="0.25">
      <c r="A2668" s="23" t="s">
        <v>450</v>
      </c>
      <c r="B2668" t="s">
        <v>213</v>
      </c>
      <c r="C2668" s="2">
        <v>1701169000</v>
      </c>
      <c r="D2668" s="2">
        <v>2246214000</v>
      </c>
    </row>
    <row r="2669" spans="1:4" x14ac:dyDescent="0.25">
      <c r="A2669" s="23" t="s">
        <v>450</v>
      </c>
      <c r="B2669" t="s">
        <v>214</v>
      </c>
      <c r="C2669" s="2">
        <v>742550000</v>
      </c>
      <c r="D2669" s="2">
        <v>1370588000</v>
      </c>
    </row>
    <row r="2670" spans="1:4" x14ac:dyDescent="0.25">
      <c r="A2670" s="23" t="s">
        <v>450</v>
      </c>
      <c r="B2670" t="s">
        <v>215</v>
      </c>
      <c r="C2670" s="2">
        <v>1014929000</v>
      </c>
      <c r="D2670" s="2">
        <v>1450450000</v>
      </c>
    </row>
    <row r="2671" spans="1:4" x14ac:dyDescent="0.25">
      <c r="A2671" s="23" t="s">
        <v>450</v>
      </c>
      <c r="B2671" t="s">
        <v>216</v>
      </c>
      <c r="C2671" s="2">
        <v>1043775000</v>
      </c>
      <c r="D2671" s="2">
        <v>1380016000</v>
      </c>
    </row>
    <row r="2672" spans="1:4" x14ac:dyDescent="0.25">
      <c r="A2672" s="23" t="s">
        <v>450</v>
      </c>
      <c r="B2672" t="s">
        <v>217</v>
      </c>
      <c r="C2672" s="2">
        <v>2129533000</v>
      </c>
      <c r="D2672" s="2">
        <v>2177323000</v>
      </c>
    </row>
    <row r="2673" spans="1:4" x14ac:dyDescent="0.25">
      <c r="A2673" s="23" t="s">
        <v>450</v>
      </c>
      <c r="B2673" t="s">
        <v>218</v>
      </c>
      <c r="C2673" s="2">
        <v>242489000</v>
      </c>
      <c r="D2673" s="2">
        <v>154489000</v>
      </c>
    </row>
    <row r="2674" spans="1:4" x14ac:dyDescent="0.25">
      <c r="A2674" s="23" t="s">
        <v>450</v>
      </c>
      <c r="B2674" t="s">
        <v>219</v>
      </c>
      <c r="C2674" s="2">
        <v>178923000</v>
      </c>
      <c r="D2674" s="2">
        <v>141723000</v>
      </c>
    </row>
    <row r="2675" spans="1:4" x14ac:dyDescent="0.25">
      <c r="A2675" s="23" t="s">
        <v>450</v>
      </c>
      <c r="B2675" t="s">
        <v>220</v>
      </c>
      <c r="C2675" s="2">
        <v>1522818000</v>
      </c>
      <c r="D2675" s="2">
        <v>712670000</v>
      </c>
    </row>
    <row r="2676" spans="1:4" x14ac:dyDescent="0.25">
      <c r="A2676" s="23" t="s">
        <v>450</v>
      </c>
      <c r="B2676" t="s">
        <v>221</v>
      </c>
      <c r="C2676" s="2">
        <v>394459000</v>
      </c>
      <c r="D2676" s="2">
        <v>63220000</v>
      </c>
    </row>
    <row r="2677" spans="1:4" x14ac:dyDescent="0.25">
      <c r="A2677" s="23" t="s">
        <v>450</v>
      </c>
      <c r="B2677" t="s">
        <v>222</v>
      </c>
      <c r="C2677" s="2">
        <v>582574000</v>
      </c>
      <c r="D2677" s="2">
        <v>430100000</v>
      </c>
    </row>
    <row r="2678" spans="1:4" x14ac:dyDescent="0.25">
      <c r="A2678" s="23" t="s">
        <v>450</v>
      </c>
      <c r="B2678" t="s">
        <v>223</v>
      </c>
      <c r="C2678" s="2">
        <v>1238839000</v>
      </c>
      <c r="D2678" s="2">
        <v>744999000</v>
      </c>
    </row>
    <row r="2679" spans="1:4" x14ac:dyDescent="0.25">
      <c r="A2679" s="23" t="s">
        <v>450</v>
      </c>
      <c r="B2679" t="s">
        <v>224</v>
      </c>
      <c r="C2679" s="2">
        <v>504730000</v>
      </c>
      <c r="D2679" s="2">
        <v>129939000</v>
      </c>
    </row>
    <row r="2680" spans="1:4" x14ac:dyDescent="0.25">
      <c r="A2680" s="23" t="s">
        <v>450</v>
      </c>
      <c r="B2680" t="s">
        <v>225</v>
      </c>
      <c r="C2680" s="2">
        <v>357046000</v>
      </c>
      <c r="D2680" s="2">
        <v>149232000</v>
      </c>
    </row>
    <row r="2681" spans="1:4" x14ac:dyDescent="0.25">
      <c r="A2681" s="23" t="s">
        <v>450</v>
      </c>
      <c r="B2681" t="s">
        <v>226</v>
      </c>
      <c r="C2681" s="2">
        <v>437542000</v>
      </c>
      <c r="D2681" s="2">
        <v>195042000</v>
      </c>
    </row>
    <row r="2682" spans="1:4" x14ac:dyDescent="0.25">
      <c r="A2682" s="23" t="s">
        <v>450</v>
      </c>
      <c r="B2682" t="s">
        <v>227</v>
      </c>
      <c r="C2682" s="2">
        <v>228520000</v>
      </c>
      <c r="D2682" s="2">
        <v>189220000</v>
      </c>
    </row>
    <row r="2683" spans="1:4" x14ac:dyDescent="0.25">
      <c r="A2683" s="23" t="s">
        <v>450</v>
      </c>
      <c r="B2683" t="s">
        <v>228</v>
      </c>
      <c r="C2683" s="2">
        <v>206491000</v>
      </c>
      <c r="D2683" s="2">
        <v>162491000</v>
      </c>
    </row>
    <row r="2684" spans="1:4" x14ac:dyDescent="0.25">
      <c r="A2684" s="23" t="s">
        <v>450</v>
      </c>
      <c r="B2684" t="s">
        <v>229</v>
      </c>
      <c r="C2684" s="2">
        <v>297879000</v>
      </c>
      <c r="D2684" s="2">
        <v>129381000</v>
      </c>
    </row>
    <row r="2685" spans="1:4" x14ac:dyDescent="0.25">
      <c r="A2685" s="23" t="s">
        <v>450</v>
      </c>
      <c r="B2685" t="s">
        <v>230</v>
      </c>
      <c r="C2685" s="2">
        <v>202411000</v>
      </c>
      <c r="D2685" s="2">
        <v>157911000</v>
      </c>
    </row>
    <row r="2686" spans="1:4" x14ac:dyDescent="0.25">
      <c r="A2686" s="23" t="s">
        <v>450</v>
      </c>
      <c r="B2686" t="s">
        <v>231</v>
      </c>
      <c r="C2686" s="2">
        <v>152955000</v>
      </c>
      <c r="D2686" s="2">
        <v>113455000</v>
      </c>
    </row>
    <row r="2687" spans="1:4" x14ac:dyDescent="0.25">
      <c r="A2687" s="23" t="s">
        <v>450</v>
      </c>
      <c r="B2687" t="s">
        <v>232</v>
      </c>
      <c r="C2687" s="2">
        <v>214169000</v>
      </c>
      <c r="D2687" s="2">
        <v>157369000</v>
      </c>
    </row>
    <row r="2688" spans="1:4" x14ac:dyDescent="0.25">
      <c r="A2688" s="23" t="s">
        <v>450</v>
      </c>
      <c r="B2688" t="s">
        <v>233</v>
      </c>
      <c r="C2688" s="2">
        <v>510261000</v>
      </c>
      <c r="D2688" s="2">
        <v>265039000</v>
      </c>
    </row>
    <row r="2689" spans="1:4" x14ac:dyDescent="0.25">
      <c r="A2689" s="23" t="s">
        <v>450</v>
      </c>
      <c r="B2689" t="s">
        <v>234</v>
      </c>
      <c r="C2689" s="2">
        <v>170808000</v>
      </c>
      <c r="D2689" s="2">
        <v>102808000</v>
      </c>
    </row>
    <row r="2690" spans="1:4" x14ac:dyDescent="0.25">
      <c r="A2690" s="23" t="s">
        <v>450</v>
      </c>
      <c r="B2690" t="s">
        <v>235</v>
      </c>
      <c r="C2690" s="2">
        <v>459875000</v>
      </c>
      <c r="D2690" s="2">
        <v>357157000</v>
      </c>
    </row>
    <row r="2691" spans="1:4" x14ac:dyDescent="0.25">
      <c r="A2691" s="23" t="s">
        <v>450</v>
      </c>
      <c r="B2691" t="s">
        <v>236</v>
      </c>
      <c r="C2691" s="2">
        <v>331540000</v>
      </c>
      <c r="D2691" s="2">
        <v>390428000</v>
      </c>
    </row>
    <row r="2692" spans="1:4" x14ac:dyDescent="0.25">
      <c r="A2692" s="23" t="s">
        <v>450</v>
      </c>
      <c r="B2692" t="s">
        <v>237</v>
      </c>
      <c r="C2692" s="2">
        <v>209377000</v>
      </c>
      <c r="D2692" s="2">
        <v>143483000</v>
      </c>
    </row>
    <row r="2693" spans="1:4" x14ac:dyDescent="0.25">
      <c r="A2693" s="23" t="s">
        <v>450</v>
      </c>
      <c r="B2693" t="s">
        <v>238</v>
      </c>
      <c r="C2693" s="2">
        <v>33898000</v>
      </c>
      <c r="D2693" s="2">
        <v>63398000</v>
      </c>
    </row>
    <row r="2694" spans="1:4" x14ac:dyDescent="0.25">
      <c r="A2694" s="23" t="s">
        <v>450</v>
      </c>
      <c r="B2694" t="s">
        <v>239</v>
      </c>
      <c r="C2694" s="2">
        <v>61455000</v>
      </c>
      <c r="D2694" s="2">
        <v>28061000</v>
      </c>
    </row>
    <row r="2695" spans="1:4" x14ac:dyDescent="0.25">
      <c r="A2695" s="23" t="s">
        <v>450</v>
      </c>
      <c r="B2695" t="s">
        <v>240</v>
      </c>
      <c r="C2695" s="2">
        <v>396620000</v>
      </c>
      <c r="D2695" s="2">
        <v>155725000</v>
      </c>
    </row>
    <row r="2696" spans="1:4" x14ac:dyDescent="0.25">
      <c r="A2696" s="23" t="s">
        <v>450</v>
      </c>
      <c r="B2696" t="s">
        <v>241</v>
      </c>
      <c r="C2696" s="2">
        <v>244430000</v>
      </c>
      <c r="D2696" s="2">
        <v>212186000</v>
      </c>
    </row>
    <row r="2697" spans="1:4" x14ac:dyDescent="0.25">
      <c r="A2697" s="23" t="s">
        <v>450</v>
      </c>
      <c r="B2697" t="s">
        <v>242</v>
      </c>
      <c r="C2697" s="2">
        <v>62315000</v>
      </c>
      <c r="D2697" s="2">
        <v>48665000</v>
      </c>
    </row>
    <row r="2698" spans="1:4" x14ac:dyDescent="0.25">
      <c r="A2698" s="23" t="s">
        <v>450</v>
      </c>
      <c r="B2698" t="s">
        <v>243</v>
      </c>
      <c r="C2698" s="2">
        <v>107065000</v>
      </c>
      <c r="D2698" s="2">
        <v>78368000</v>
      </c>
    </row>
    <row r="2699" spans="1:4" x14ac:dyDescent="0.25">
      <c r="A2699" s="23" t="s">
        <v>450</v>
      </c>
      <c r="B2699" t="s">
        <v>244</v>
      </c>
      <c r="C2699" s="2">
        <v>96252000</v>
      </c>
      <c r="D2699" s="2">
        <v>77055000</v>
      </c>
    </row>
    <row r="2700" spans="1:4" x14ac:dyDescent="0.25">
      <c r="A2700" s="23" t="s">
        <v>450</v>
      </c>
      <c r="B2700" t="s">
        <v>245</v>
      </c>
      <c r="C2700" s="2">
        <v>265954000</v>
      </c>
      <c r="D2700" s="2">
        <v>212294000</v>
      </c>
    </row>
    <row r="2701" spans="1:4" x14ac:dyDescent="0.25">
      <c r="A2701" s="23" t="s">
        <v>450</v>
      </c>
      <c r="B2701" t="s">
        <v>246</v>
      </c>
      <c r="C2701" s="2">
        <v>204427000</v>
      </c>
      <c r="D2701" s="2">
        <v>163532000</v>
      </c>
    </row>
    <row r="2702" spans="1:4" x14ac:dyDescent="0.25">
      <c r="A2702" s="23" t="s">
        <v>450</v>
      </c>
      <c r="B2702" t="s">
        <v>247</v>
      </c>
      <c r="C2702" s="2">
        <v>99542000</v>
      </c>
      <c r="D2702" s="2">
        <v>75042000</v>
      </c>
    </row>
    <row r="2703" spans="1:4" x14ac:dyDescent="0.25">
      <c r="A2703" s="23" t="s">
        <v>450</v>
      </c>
      <c r="B2703" t="s">
        <v>248</v>
      </c>
      <c r="C2703" s="2">
        <v>487831000</v>
      </c>
      <c r="D2703" s="2">
        <v>445831000</v>
      </c>
    </row>
    <row r="2704" spans="1:4" x14ac:dyDescent="0.25">
      <c r="A2704" s="23" t="s">
        <v>450</v>
      </c>
      <c r="B2704" t="s">
        <v>249</v>
      </c>
      <c r="C2704" s="2">
        <v>236430000</v>
      </c>
      <c r="D2704" s="2">
        <v>183930000</v>
      </c>
    </row>
    <row r="2705" spans="1:4" x14ac:dyDescent="0.25">
      <c r="A2705" s="23" t="s">
        <v>450</v>
      </c>
      <c r="B2705" t="s">
        <v>250</v>
      </c>
      <c r="C2705" s="2">
        <v>220165000</v>
      </c>
      <c r="D2705" s="2">
        <v>68165000</v>
      </c>
    </row>
    <row r="2706" spans="1:4" x14ac:dyDescent="0.25">
      <c r="A2706" s="23" t="s">
        <v>450</v>
      </c>
      <c r="B2706" t="s">
        <v>251</v>
      </c>
      <c r="C2706" s="2">
        <v>182952000</v>
      </c>
      <c r="D2706" s="2">
        <v>70352000</v>
      </c>
    </row>
    <row r="2707" spans="1:4" x14ac:dyDescent="0.25">
      <c r="A2707" s="23" t="s">
        <v>450</v>
      </c>
      <c r="B2707" t="s">
        <v>252</v>
      </c>
      <c r="C2707" s="2">
        <v>194564000</v>
      </c>
      <c r="D2707" s="2">
        <v>108064000</v>
      </c>
    </row>
    <row r="2708" spans="1:4" x14ac:dyDescent="0.25">
      <c r="A2708" s="23" t="s">
        <v>450</v>
      </c>
      <c r="B2708" t="s">
        <v>253</v>
      </c>
      <c r="C2708" s="2">
        <v>128310000</v>
      </c>
      <c r="D2708" s="2">
        <v>73810000</v>
      </c>
    </row>
    <row r="2709" spans="1:4" x14ac:dyDescent="0.25">
      <c r="A2709" s="23" t="s">
        <v>450</v>
      </c>
      <c r="B2709" t="s">
        <v>254</v>
      </c>
      <c r="C2709" s="2">
        <v>443037000</v>
      </c>
      <c r="D2709" s="2">
        <v>218537000</v>
      </c>
    </row>
    <row r="2710" spans="1:4" x14ac:dyDescent="0.25">
      <c r="A2710" s="23" t="s">
        <v>450</v>
      </c>
      <c r="B2710" t="s">
        <v>255</v>
      </c>
      <c r="C2710" s="2">
        <v>231210000</v>
      </c>
      <c r="D2710" s="2">
        <v>189346000</v>
      </c>
    </row>
    <row r="2711" spans="1:4" x14ac:dyDescent="0.25">
      <c r="A2711" s="23" t="s">
        <v>450</v>
      </c>
      <c r="B2711" t="s">
        <v>256</v>
      </c>
      <c r="C2711" s="2">
        <v>258838000</v>
      </c>
      <c r="D2711" s="2">
        <v>207126000</v>
      </c>
    </row>
    <row r="2712" spans="1:4" x14ac:dyDescent="0.25">
      <c r="A2712" s="23" t="s">
        <v>450</v>
      </c>
      <c r="B2712" t="s">
        <v>257</v>
      </c>
      <c r="C2712" s="2">
        <v>178137000</v>
      </c>
      <c r="D2712" s="2">
        <v>153637000</v>
      </c>
    </row>
    <row r="2713" spans="1:4" x14ac:dyDescent="0.25">
      <c r="A2713" s="23" t="s">
        <v>450</v>
      </c>
      <c r="B2713" t="s">
        <v>258</v>
      </c>
      <c r="C2713" s="2">
        <v>84086000</v>
      </c>
      <c r="D2713" s="2">
        <v>47386000</v>
      </c>
    </row>
    <row r="2714" spans="1:4" x14ac:dyDescent="0.25">
      <c r="A2714" s="23" t="s">
        <v>450</v>
      </c>
      <c r="B2714" t="s">
        <v>259</v>
      </c>
      <c r="C2714" s="2">
        <v>198878000</v>
      </c>
      <c r="D2714" s="2">
        <v>94946000</v>
      </c>
    </row>
    <row r="2715" spans="1:4" x14ac:dyDescent="0.25">
      <c r="A2715" s="23" t="s">
        <v>450</v>
      </c>
      <c r="B2715" t="s">
        <v>260</v>
      </c>
      <c r="C2715" s="2">
        <v>225265000</v>
      </c>
      <c r="D2715" s="2">
        <v>220765000</v>
      </c>
    </row>
    <row r="2716" spans="1:4" x14ac:dyDescent="0.25">
      <c r="A2716" s="23" t="s">
        <v>450</v>
      </c>
      <c r="B2716" t="s">
        <v>261</v>
      </c>
      <c r="C2716" s="2">
        <v>345487000</v>
      </c>
      <c r="D2716" s="2">
        <v>271487000</v>
      </c>
    </row>
    <row r="2717" spans="1:4" x14ac:dyDescent="0.25">
      <c r="A2717" s="23" t="s">
        <v>450</v>
      </c>
      <c r="B2717" t="s">
        <v>262</v>
      </c>
      <c r="C2717" s="2">
        <v>794399000</v>
      </c>
      <c r="D2717" s="2">
        <v>403450000</v>
      </c>
    </row>
    <row r="2718" spans="1:4" x14ac:dyDescent="0.25">
      <c r="A2718" s="23" t="s">
        <v>450</v>
      </c>
      <c r="B2718" t="s">
        <v>263</v>
      </c>
      <c r="C2718" s="2">
        <v>276421000</v>
      </c>
      <c r="D2718" s="2">
        <v>182521000</v>
      </c>
    </row>
    <row r="2719" spans="1:4" x14ac:dyDescent="0.25">
      <c r="A2719" s="23" t="s">
        <v>450</v>
      </c>
      <c r="B2719" t="s">
        <v>264</v>
      </c>
      <c r="C2719" s="2">
        <v>516453000</v>
      </c>
      <c r="D2719" s="2">
        <v>375376000</v>
      </c>
    </row>
    <row r="2720" spans="1:4" x14ac:dyDescent="0.25">
      <c r="A2720" s="23" t="s">
        <v>450</v>
      </c>
      <c r="B2720" t="s">
        <v>265</v>
      </c>
      <c r="C2720" s="2">
        <v>147615000</v>
      </c>
      <c r="D2720" s="2">
        <v>116115000</v>
      </c>
    </row>
    <row r="2721" spans="1:4" x14ac:dyDescent="0.25">
      <c r="A2721" s="23" t="s">
        <v>450</v>
      </c>
      <c r="B2721" t="s">
        <v>266</v>
      </c>
      <c r="C2721" s="2">
        <v>492258000</v>
      </c>
      <c r="D2721" s="2">
        <v>388358000</v>
      </c>
    </row>
    <row r="2722" spans="1:4" x14ac:dyDescent="0.25">
      <c r="A2722" s="23" t="s">
        <v>450</v>
      </c>
      <c r="B2722" t="s">
        <v>267</v>
      </c>
      <c r="C2722" s="2">
        <v>225527000</v>
      </c>
      <c r="D2722" s="2">
        <v>53027000</v>
      </c>
    </row>
    <row r="2723" spans="1:4" x14ac:dyDescent="0.25">
      <c r="A2723" s="23" t="s">
        <v>450</v>
      </c>
      <c r="B2723" t="s">
        <v>268</v>
      </c>
      <c r="C2723" s="2">
        <v>114685000</v>
      </c>
      <c r="D2723" s="2">
        <v>85185000</v>
      </c>
    </row>
    <row r="2724" spans="1:4" x14ac:dyDescent="0.25">
      <c r="A2724" s="23" t="s">
        <v>450</v>
      </c>
      <c r="B2724" t="s">
        <v>269</v>
      </c>
      <c r="C2724" s="2">
        <v>428184000</v>
      </c>
      <c r="D2724" s="2">
        <v>213684000</v>
      </c>
    </row>
    <row r="2725" spans="1:4" x14ac:dyDescent="0.25">
      <c r="A2725" s="23" t="s">
        <v>450</v>
      </c>
      <c r="B2725" t="s">
        <v>270</v>
      </c>
      <c r="C2725" s="2">
        <v>352738000</v>
      </c>
      <c r="D2725" s="2">
        <v>238677000</v>
      </c>
    </row>
    <row r="2726" spans="1:4" x14ac:dyDescent="0.25">
      <c r="A2726" s="23" t="s">
        <v>450</v>
      </c>
      <c r="B2726" t="s">
        <v>271</v>
      </c>
      <c r="C2726" s="2">
        <v>298796000</v>
      </c>
      <c r="D2726" s="2">
        <v>269296000</v>
      </c>
    </row>
    <row r="2727" spans="1:4" x14ac:dyDescent="0.25">
      <c r="A2727" s="23" t="s">
        <v>450</v>
      </c>
      <c r="B2727" t="s">
        <v>272</v>
      </c>
      <c r="C2727" s="2">
        <v>291856000</v>
      </c>
      <c r="D2727" s="2">
        <v>237356000</v>
      </c>
    </row>
    <row r="2728" spans="1:4" x14ac:dyDescent="0.25">
      <c r="A2728" s="23" t="s">
        <v>450</v>
      </c>
      <c r="B2728" t="s">
        <v>273</v>
      </c>
      <c r="C2728" s="2">
        <v>179272000</v>
      </c>
      <c r="D2728" s="2">
        <v>178762000</v>
      </c>
    </row>
    <row r="2729" spans="1:4" x14ac:dyDescent="0.25">
      <c r="A2729" s="23" t="s">
        <v>450</v>
      </c>
      <c r="B2729" t="s">
        <v>274</v>
      </c>
      <c r="C2729" s="2">
        <v>559761000</v>
      </c>
      <c r="D2729" s="2">
        <v>470761000</v>
      </c>
    </row>
    <row r="2730" spans="1:4" x14ac:dyDescent="0.25">
      <c r="A2730" s="23" t="s">
        <v>450</v>
      </c>
      <c r="B2730" t="s">
        <v>275</v>
      </c>
      <c r="C2730" s="2">
        <v>457566000</v>
      </c>
      <c r="D2730" s="2">
        <v>302572000</v>
      </c>
    </row>
    <row r="2731" spans="1:4" x14ac:dyDescent="0.25">
      <c r="A2731" s="23" t="s">
        <v>450</v>
      </c>
      <c r="B2731" t="s">
        <v>276</v>
      </c>
      <c r="C2731" s="2">
        <v>480488000</v>
      </c>
      <c r="D2731" s="2">
        <v>310204000</v>
      </c>
    </row>
    <row r="2732" spans="1:4" x14ac:dyDescent="0.25">
      <c r="A2732" s="23" t="s">
        <v>450</v>
      </c>
      <c r="B2732" t="s">
        <v>277</v>
      </c>
      <c r="C2732" s="2">
        <v>1909359000</v>
      </c>
      <c r="D2732" s="2">
        <v>993743000</v>
      </c>
    </row>
    <row r="2733" spans="1:4" x14ac:dyDescent="0.25">
      <c r="A2733" s="23" t="s">
        <v>450</v>
      </c>
      <c r="B2733" t="s">
        <v>278</v>
      </c>
      <c r="C2733" s="2">
        <v>250868000</v>
      </c>
      <c r="D2733" s="2">
        <v>190368000</v>
      </c>
    </row>
    <row r="2734" spans="1:4" x14ac:dyDescent="0.25">
      <c r="A2734" s="23" t="s">
        <v>450</v>
      </c>
      <c r="B2734" t="s">
        <v>279</v>
      </c>
      <c r="C2734" s="2">
        <v>261599000</v>
      </c>
      <c r="D2734" s="2">
        <v>101400000</v>
      </c>
    </row>
    <row r="2735" spans="1:4" x14ac:dyDescent="0.25">
      <c r="A2735" s="23" t="s">
        <v>450</v>
      </c>
      <c r="B2735" t="s">
        <v>280</v>
      </c>
      <c r="C2735" s="2">
        <v>792921000</v>
      </c>
      <c r="D2735" s="2">
        <v>482421000</v>
      </c>
    </row>
    <row r="2736" spans="1:4" x14ac:dyDescent="0.25">
      <c r="A2736" s="23" t="s">
        <v>450</v>
      </c>
      <c r="B2736" t="s">
        <v>281</v>
      </c>
      <c r="C2736" s="2">
        <v>249205000</v>
      </c>
      <c r="D2736" s="2">
        <v>313205000</v>
      </c>
    </row>
    <row r="2737" spans="1:4" x14ac:dyDescent="0.25">
      <c r="A2737" s="23" t="s">
        <v>450</v>
      </c>
      <c r="B2737" t="s">
        <v>282</v>
      </c>
      <c r="C2737" s="2">
        <v>586864000</v>
      </c>
      <c r="D2737" s="2">
        <v>550864000</v>
      </c>
    </row>
    <row r="2738" spans="1:4" x14ac:dyDescent="0.25">
      <c r="A2738" s="23" t="s">
        <v>450</v>
      </c>
      <c r="B2738" t="s">
        <v>283</v>
      </c>
      <c r="C2738" s="2">
        <v>344613000</v>
      </c>
      <c r="D2738" s="2">
        <v>345052000</v>
      </c>
    </row>
    <row r="2739" spans="1:4" x14ac:dyDescent="0.25">
      <c r="A2739" s="23" t="s">
        <v>450</v>
      </c>
      <c r="B2739" t="s">
        <v>284</v>
      </c>
      <c r="C2739" s="2">
        <v>557987000</v>
      </c>
      <c r="D2739" s="2">
        <v>537987000</v>
      </c>
    </row>
    <row r="2740" spans="1:4" x14ac:dyDescent="0.25">
      <c r="A2740" s="23" t="s">
        <v>450</v>
      </c>
      <c r="B2740" t="s">
        <v>285</v>
      </c>
      <c r="C2740" s="2">
        <v>598244000</v>
      </c>
      <c r="D2740" s="2">
        <v>410715000</v>
      </c>
    </row>
    <row r="2741" spans="1:4" x14ac:dyDescent="0.25">
      <c r="A2741" s="23" t="s">
        <v>450</v>
      </c>
      <c r="B2741" t="s">
        <v>286</v>
      </c>
      <c r="C2741" s="2">
        <v>369880000</v>
      </c>
      <c r="D2741" s="2">
        <v>345380000</v>
      </c>
    </row>
    <row r="2742" spans="1:4" x14ac:dyDescent="0.25">
      <c r="A2742" s="23" t="s">
        <v>450</v>
      </c>
      <c r="B2742" t="s">
        <v>287</v>
      </c>
      <c r="C2742" s="2">
        <v>82556000</v>
      </c>
      <c r="D2742" s="2">
        <v>58056000</v>
      </c>
    </row>
    <row r="2743" spans="1:4" x14ac:dyDescent="0.25">
      <c r="A2743" s="23" t="s">
        <v>450</v>
      </c>
      <c r="B2743" t="s">
        <v>288</v>
      </c>
      <c r="C2743" s="2">
        <v>545563000</v>
      </c>
      <c r="D2743" s="2">
        <v>521063000</v>
      </c>
    </row>
    <row r="2744" spans="1:4" x14ac:dyDescent="0.25">
      <c r="A2744" s="23" t="s">
        <v>450</v>
      </c>
      <c r="B2744" t="s">
        <v>289</v>
      </c>
      <c r="C2744" s="2">
        <v>299131000</v>
      </c>
      <c r="D2744" s="2">
        <v>232631000</v>
      </c>
    </row>
    <row r="2745" spans="1:4" x14ac:dyDescent="0.25">
      <c r="A2745" s="23" t="s">
        <v>450</v>
      </c>
      <c r="B2745" t="s">
        <v>290</v>
      </c>
      <c r="C2745" s="2">
        <v>259108000</v>
      </c>
      <c r="D2745" s="2">
        <v>232608000</v>
      </c>
    </row>
    <row r="2746" spans="1:4" x14ac:dyDescent="0.25">
      <c r="A2746" s="23" t="s">
        <v>450</v>
      </c>
      <c r="B2746" t="s">
        <v>291</v>
      </c>
      <c r="C2746" s="2">
        <v>295828000</v>
      </c>
      <c r="D2746" s="2">
        <v>317660000</v>
      </c>
    </row>
    <row r="2747" spans="1:4" x14ac:dyDescent="0.25">
      <c r="A2747" s="23" t="s">
        <v>450</v>
      </c>
      <c r="B2747" t="s">
        <v>292</v>
      </c>
      <c r="C2747" s="2">
        <v>179402000</v>
      </c>
      <c r="D2747" s="2">
        <v>108750000</v>
      </c>
    </row>
    <row r="2748" spans="1:4" x14ac:dyDescent="0.25">
      <c r="A2748" s="23" t="s">
        <v>450</v>
      </c>
      <c r="B2748" t="s">
        <v>293</v>
      </c>
      <c r="C2748" s="2">
        <v>302267000</v>
      </c>
      <c r="D2748" s="2">
        <v>271734000</v>
      </c>
    </row>
    <row r="2749" spans="1:4" x14ac:dyDescent="0.25">
      <c r="A2749" s="23" t="s">
        <v>450</v>
      </c>
      <c r="B2749" t="s">
        <v>294</v>
      </c>
      <c r="C2749" s="2">
        <v>377451000</v>
      </c>
      <c r="D2749" s="2">
        <v>169638000</v>
      </c>
    </row>
    <row r="2750" spans="1:4" x14ac:dyDescent="0.25">
      <c r="A2750" s="23" t="s">
        <v>450</v>
      </c>
      <c r="B2750" t="s">
        <v>295</v>
      </c>
      <c r="C2750" s="2">
        <v>228197000</v>
      </c>
      <c r="D2750" s="2">
        <v>203697000</v>
      </c>
    </row>
    <row r="2751" spans="1:4" x14ac:dyDescent="0.25">
      <c r="A2751" s="23" t="s">
        <v>450</v>
      </c>
      <c r="B2751" t="s">
        <v>296</v>
      </c>
      <c r="C2751" s="2">
        <v>261950000</v>
      </c>
      <c r="D2751" s="2">
        <v>163450000</v>
      </c>
    </row>
    <row r="2752" spans="1:4" x14ac:dyDescent="0.25">
      <c r="A2752" s="23" t="s">
        <v>450</v>
      </c>
      <c r="B2752" t="s">
        <v>297</v>
      </c>
      <c r="C2752" s="2">
        <v>222690000</v>
      </c>
      <c r="D2752" s="2">
        <v>198190000</v>
      </c>
    </row>
    <row r="2753" spans="1:4" x14ac:dyDescent="0.25">
      <c r="A2753" s="23" t="s">
        <v>450</v>
      </c>
      <c r="B2753" t="s">
        <v>298</v>
      </c>
      <c r="C2753" s="2">
        <v>828095000</v>
      </c>
      <c r="D2753" s="2">
        <v>629095000</v>
      </c>
    </row>
    <row r="2754" spans="1:4" x14ac:dyDescent="0.25">
      <c r="A2754" s="23" t="s">
        <v>450</v>
      </c>
      <c r="B2754" t="s">
        <v>299</v>
      </c>
      <c r="C2754" s="2">
        <v>657396000</v>
      </c>
      <c r="D2754" s="2">
        <v>284463000</v>
      </c>
    </row>
    <row r="2755" spans="1:4" x14ac:dyDescent="0.25">
      <c r="A2755" s="23" t="s">
        <v>450</v>
      </c>
      <c r="B2755" t="s">
        <v>300</v>
      </c>
      <c r="C2755" s="2">
        <v>179013000</v>
      </c>
      <c r="D2755" s="2">
        <v>117688000</v>
      </c>
    </row>
    <row r="2756" spans="1:4" x14ac:dyDescent="0.25">
      <c r="A2756" s="23" t="s">
        <v>450</v>
      </c>
      <c r="B2756" t="s">
        <v>301</v>
      </c>
      <c r="C2756" s="2">
        <v>334828000</v>
      </c>
      <c r="D2756" s="2">
        <v>308328000</v>
      </c>
    </row>
    <row r="2757" spans="1:4" x14ac:dyDescent="0.25">
      <c r="A2757" s="23" t="s">
        <v>450</v>
      </c>
      <c r="B2757" t="s">
        <v>302</v>
      </c>
      <c r="C2757" s="2">
        <v>44852000</v>
      </c>
      <c r="D2757" s="2">
        <v>20352000</v>
      </c>
    </row>
    <row r="2758" spans="1:4" x14ac:dyDescent="0.25">
      <c r="A2758" s="23" t="s">
        <v>450</v>
      </c>
      <c r="B2758" t="s">
        <v>303</v>
      </c>
      <c r="C2758" s="2">
        <v>201039000</v>
      </c>
      <c r="D2758" s="2">
        <v>146539000</v>
      </c>
    </row>
    <row r="2759" spans="1:4" x14ac:dyDescent="0.25">
      <c r="A2759" s="23" t="s">
        <v>450</v>
      </c>
      <c r="B2759" t="s">
        <v>304</v>
      </c>
      <c r="C2759" s="2">
        <v>560596000</v>
      </c>
      <c r="D2759" s="2">
        <v>479296000</v>
      </c>
    </row>
    <row r="2760" spans="1:4" x14ac:dyDescent="0.25">
      <c r="A2760" s="23" t="s">
        <v>450</v>
      </c>
      <c r="B2760" t="s">
        <v>305</v>
      </c>
      <c r="C2760" s="2">
        <v>308894000</v>
      </c>
      <c r="D2760" s="2">
        <v>284394000</v>
      </c>
    </row>
    <row r="2761" spans="1:4" x14ac:dyDescent="0.25">
      <c r="A2761" s="23" t="s">
        <v>450</v>
      </c>
      <c r="B2761" t="s">
        <v>306</v>
      </c>
      <c r="C2761" s="2">
        <v>85801000</v>
      </c>
      <c r="D2761" s="2">
        <v>51801000</v>
      </c>
    </row>
    <row r="2762" spans="1:4" x14ac:dyDescent="0.25">
      <c r="A2762" s="23" t="s">
        <v>450</v>
      </c>
      <c r="B2762" t="s">
        <v>307</v>
      </c>
      <c r="C2762" s="2">
        <v>80537000</v>
      </c>
      <c r="D2762" s="2">
        <v>56037000</v>
      </c>
    </row>
    <row r="2763" spans="1:4" x14ac:dyDescent="0.25">
      <c r="A2763" s="23" t="s">
        <v>450</v>
      </c>
      <c r="B2763" t="s">
        <v>308</v>
      </c>
      <c r="C2763" s="2">
        <v>188125000</v>
      </c>
      <c r="D2763" s="2">
        <v>157625000</v>
      </c>
    </row>
    <row r="2764" spans="1:4" x14ac:dyDescent="0.25">
      <c r="A2764" s="23" t="s">
        <v>450</v>
      </c>
      <c r="B2764" t="s">
        <v>309</v>
      </c>
      <c r="C2764" s="2">
        <v>521932000</v>
      </c>
      <c r="D2764" s="2">
        <v>367932000</v>
      </c>
    </row>
    <row r="2765" spans="1:4" x14ac:dyDescent="0.25">
      <c r="A2765" s="23" t="s">
        <v>450</v>
      </c>
      <c r="B2765" t="s">
        <v>310</v>
      </c>
      <c r="C2765" s="2">
        <v>134398000</v>
      </c>
      <c r="D2765" s="2">
        <v>107898000</v>
      </c>
    </row>
    <row r="2766" spans="1:4" x14ac:dyDescent="0.25">
      <c r="A2766" s="23" t="s">
        <v>450</v>
      </c>
      <c r="B2766" t="s">
        <v>311</v>
      </c>
      <c r="C2766" s="2">
        <v>175896000</v>
      </c>
      <c r="D2766" s="2">
        <v>131396000</v>
      </c>
    </row>
    <row r="2767" spans="1:4" x14ac:dyDescent="0.25">
      <c r="A2767" s="23" t="s">
        <v>450</v>
      </c>
      <c r="B2767" t="s">
        <v>312</v>
      </c>
      <c r="C2767" s="2">
        <v>212313000</v>
      </c>
      <c r="D2767" s="2">
        <v>165813000</v>
      </c>
    </row>
    <row r="2768" spans="1:4" x14ac:dyDescent="0.25">
      <c r="A2768" s="23" t="s">
        <v>450</v>
      </c>
      <c r="B2768" t="s">
        <v>313</v>
      </c>
      <c r="C2768" s="2">
        <v>245443000</v>
      </c>
      <c r="D2768" s="2">
        <v>213043000</v>
      </c>
    </row>
    <row r="2769" spans="1:4" x14ac:dyDescent="0.25">
      <c r="A2769" s="23" t="s">
        <v>450</v>
      </c>
      <c r="B2769" t="s">
        <v>314</v>
      </c>
      <c r="C2769" s="2">
        <v>181349000</v>
      </c>
      <c r="D2769" s="2">
        <v>138849000</v>
      </c>
    </row>
    <row r="2770" spans="1:4" x14ac:dyDescent="0.25">
      <c r="A2770" s="23" t="s">
        <v>450</v>
      </c>
      <c r="B2770" t="s">
        <v>315</v>
      </c>
      <c r="C2770" s="2">
        <v>191051000</v>
      </c>
      <c r="D2770" s="2">
        <v>390061000</v>
      </c>
    </row>
    <row r="2771" spans="1:4" x14ac:dyDescent="0.25">
      <c r="A2771" s="23" t="s">
        <v>450</v>
      </c>
      <c r="B2771" t="s">
        <v>316</v>
      </c>
      <c r="C2771" s="2">
        <v>447352000</v>
      </c>
      <c r="D2771" s="2">
        <v>417852000</v>
      </c>
    </row>
    <row r="2772" spans="1:4" x14ac:dyDescent="0.25">
      <c r="A2772" s="23" t="s">
        <v>450</v>
      </c>
      <c r="B2772" t="s">
        <v>317</v>
      </c>
      <c r="C2772" s="2">
        <v>247211000</v>
      </c>
      <c r="D2772" s="2">
        <v>184844000</v>
      </c>
    </row>
    <row r="2773" spans="1:4" x14ac:dyDescent="0.25">
      <c r="A2773" s="23" t="s">
        <v>450</v>
      </c>
      <c r="B2773" t="s">
        <v>318</v>
      </c>
      <c r="C2773" s="2">
        <v>495596000</v>
      </c>
      <c r="D2773" s="2">
        <v>423696000</v>
      </c>
    </row>
    <row r="2774" spans="1:4" x14ac:dyDescent="0.25">
      <c r="A2774" s="23" t="s">
        <v>450</v>
      </c>
      <c r="B2774" t="s">
        <v>319</v>
      </c>
      <c r="C2774" s="2">
        <v>594487000</v>
      </c>
      <c r="D2774" s="2">
        <v>325812000</v>
      </c>
    </row>
    <row r="2775" spans="1:4" x14ac:dyDescent="0.25">
      <c r="A2775" s="23" t="s">
        <v>450</v>
      </c>
      <c r="B2775" t="s">
        <v>320</v>
      </c>
      <c r="C2775" s="2">
        <v>133951000</v>
      </c>
      <c r="D2775" s="2">
        <v>154461000</v>
      </c>
    </row>
    <row r="2776" spans="1:4" x14ac:dyDescent="0.25">
      <c r="A2776" s="23" t="s">
        <v>450</v>
      </c>
      <c r="B2776" t="s">
        <v>321</v>
      </c>
      <c r="C2776" s="2">
        <v>502799000</v>
      </c>
      <c r="D2776" s="2">
        <v>402299000</v>
      </c>
    </row>
    <row r="2777" spans="1:4" x14ac:dyDescent="0.25">
      <c r="A2777" s="23" t="s">
        <v>450</v>
      </c>
      <c r="B2777" t="s">
        <v>322</v>
      </c>
      <c r="C2777" s="2">
        <v>222396000</v>
      </c>
      <c r="D2777" s="2">
        <v>109696000</v>
      </c>
    </row>
    <row r="2778" spans="1:4" x14ac:dyDescent="0.25">
      <c r="A2778" s="23" t="s">
        <v>450</v>
      </c>
      <c r="B2778" t="s">
        <v>323</v>
      </c>
      <c r="C2778" s="2">
        <v>177918000</v>
      </c>
      <c r="D2778" s="2">
        <v>117418000</v>
      </c>
    </row>
    <row r="2779" spans="1:4" x14ac:dyDescent="0.25">
      <c r="A2779" s="23" t="s">
        <v>450</v>
      </c>
      <c r="B2779" t="s">
        <v>324</v>
      </c>
      <c r="C2779" s="2">
        <v>142912000</v>
      </c>
      <c r="D2779" s="2">
        <v>93774000</v>
      </c>
    </row>
    <row r="2780" spans="1:4" x14ac:dyDescent="0.25">
      <c r="A2780" s="23" t="s">
        <v>450</v>
      </c>
      <c r="B2780" t="s">
        <v>325</v>
      </c>
      <c r="C2780" s="2">
        <v>159996000</v>
      </c>
      <c r="D2780" s="2">
        <v>135496000</v>
      </c>
    </row>
    <row r="2781" spans="1:4" x14ac:dyDescent="0.25">
      <c r="A2781" s="23" t="s">
        <v>450</v>
      </c>
      <c r="B2781" t="s">
        <v>326</v>
      </c>
      <c r="C2781" s="2">
        <v>96224000</v>
      </c>
      <c r="D2781" s="2">
        <v>71724000</v>
      </c>
    </row>
    <row r="2782" spans="1:4" x14ac:dyDescent="0.25">
      <c r="A2782" s="23" t="s">
        <v>450</v>
      </c>
      <c r="B2782" t="s">
        <v>327</v>
      </c>
      <c r="C2782" s="2">
        <v>217080000</v>
      </c>
      <c r="D2782" s="2">
        <v>95525000</v>
      </c>
    </row>
    <row r="2783" spans="1:4" x14ac:dyDescent="0.25">
      <c r="A2783" s="23" t="s">
        <v>450</v>
      </c>
      <c r="B2783" t="s">
        <v>328</v>
      </c>
      <c r="C2783" s="2">
        <v>565324000</v>
      </c>
      <c r="D2783" s="2">
        <v>564750000</v>
      </c>
    </row>
    <row r="2784" spans="1:4" x14ac:dyDescent="0.25">
      <c r="A2784" s="23" t="s">
        <v>450</v>
      </c>
      <c r="B2784" t="s">
        <v>329</v>
      </c>
      <c r="C2784" s="2">
        <v>322370000</v>
      </c>
      <c r="D2784" s="2">
        <v>193286000</v>
      </c>
    </row>
    <row r="2785" spans="1:4" x14ac:dyDescent="0.25">
      <c r="A2785" s="23" t="s">
        <v>450</v>
      </c>
      <c r="B2785" t="s">
        <v>330</v>
      </c>
      <c r="C2785" s="2">
        <v>229390000</v>
      </c>
      <c r="D2785" s="2">
        <v>198890000</v>
      </c>
    </row>
    <row r="2786" spans="1:4" x14ac:dyDescent="0.25">
      <c r="A2786" s="23" t="s">
        <v>450</v>
      </c>
      <c r="B2786" t="s">
        <v>331</v>
      </c>
      <c r="C2786" s="2">
        <v>264143000</v>
      </c>
      <c r="D2786" s="2">
        <v>142783000</v>
      </c>
    </row>
    <row r="2787" spans="1:4" x14ac:dyDescent="0.25">
      <c r="A2787" s="23" t="s">
        <v>450</v>
      </c>
      <c r="B2787" t="s">
        <v>332</v>
      </c>
      <c r="C2787" s="2">
        <v>522238000</v>
      </c>
      <c r="D2787" s="2">
        <v>288173000</v>
      </c>
    </row>
    <row r="2788" spans="1:4" x14ac:dyDescent="0.25">
      <c r="A2788" s="23" t="s">
        <v>450</v>
      </c>
      <c r="B2788" t="s">
        <v>333</v>
      </c>
      <c r="C2788" s="2">
        <v>252601000</v>
      </c>
      <c r="D2788" s="2">
        <v>202601000</v>
      </c>
    </row>
    <row r="2789" spans="1:4" x14ac:dyDescent="0.25">
      <c r="A2789" s="23" t="s">
        <v>450</v>
      </c>
      <c r="B2789" t="s">
        <v>334</v>
      </c>
      <c r="C2789" s="2">
        <v>510415000</v>
      </c>
      <c r="D2789" s="2">
        <v>441415000</v>
      </c>
    </row>
    <row r="2790" spans="1:4" x14ac:dyDescent="0.25">
      <c r="A2790" s="23" t="s">
        <v>450</v>
      </c>
      <c r="B2790" t="s">
        <v>335</v>
      </c>
      <c r="C2790" s="2">
        <v>175041000</v>
      </c>
      <c r="D2790" s="2">
        <v>130533000</v>
      </c>
    </row>
    <row r="2791" spans="1:4" x14ac:dyDescent="0.25">
      <c r="A2791" s="23" t="s">
        <v>450</v>
      </c>
      <c r="B2791" t="s">
        <v>336</v>
      </c>
      <c r="C2791" s="2">
        <v>200155000</v>
      </c>
      <c r="D2791" s="2">
        <v>175655000</v>
      </c>
    </row>
    <row r="2792" spans="1:4" x14ac:dyDescent="0.25">
      <c r="A2792" s="23" t="s">
        <v>450</v>
      </c>
      <c r="B2792" t="s">
        <v>337</v>
      </c>
      <c r="C2792" s="2">
        <v>227231000</v>
      </c>
      <c r="D2792" s="2">
        <v>184431000</v>
      </c>
    </row>
    <row r="2793" spans="1:4" x14ac:dyDescent="0.25">
      <c r="A2793" s="23" t="s">
        <v>450</v>
      </c>
      <c r="B2793" t="s">
        <v>338</v>
      </c>
      <c r="C2793" s="2">
        <v>378492000</v>
      </c>
      <c r="D2793" s="2">
        <v>161044000</v>
      </c>
    </row>
    <row r="2794" spans="1:4" x14ac:dyDescent="0.25">
      <c r="A2794" s="23" t="s">
        <v>450</v>
      </c>
      <c r="B2794" t="s">
        <v>339</v>
      </c>
      <c r="C2794" s="2">
        <v>416989000</v>
      </c>
      <c r="D2794" s="2">
        <v>393089000</v>
      </c>
    </row>
    <row r="2795" spans="1:4" x14ac:dyDescent="0.25">
      <c r="A2795" s="23" t="s">
        <v>450</v>
      </c>
      <c r="B2795" t="s">
        <v>340</v>
      </c>
      <c r="C2795" s="2">
        <v>364366000</v>
      </c>
      <c r="D2795" s="2">
        <v>319616000</v>
      </c>
    </row>
    <row r="2796" spans="1:4" x14ac:dyDescent="0.25">
      <c r="A2796" s="23" t="s">
        <v>450</v>
      </c>
      <c r="B2796" t="s">
        <v>341</v>
      </c>
      <c r="C2796" s="2">
        <v>151821000</v>
      </c>
      <c r="D2796" s="2">
        <v>54475000</v>
      </c>
    </row>
    <row r="2797" spans="1:4" x14ac:dyDescent="0.25">
      <c r="A2797" s="23" t="s">
        <v>450</v>
      </c>
      <c r="B2797" t="s">
        <v>342</v>
      </c>
      <c r="C2797" s="2">
        <v>333452000</v>
      </c>
      <c r="D2797" s="2">
        <v>283702000</v>
      </c>
    </row>
    <row r="2798" spans="1:4" x14ac:dyDescent="0.25">
      <c r="A2798" s="23" t="s">
        <v>450</v>
      </c>
      <c r="B2798" t="s">
        <v>343</v>
      </c>
      <c r="C2798" s="2">
        <v>457676000</v>
      </c>
      <c r="D2798" s="2">
        <v>433176000</v>
      </c>
    </row>
    <row r="2799" spans="1:4" x14ac:dyDescent="0.25">
      <c r="A2799" s="23" t="s">
        <v>450</v>
      </c>
      <c r="B2799" t="s">
        <v>344</v>
      </c>
      <c r="C2799" s="2">
        <v>242299000</v>
      </c>
      <c r="D2799" s="2">
        <v>203549000</v>
      </c>
    </row>
    <row r="2800" spans="1:4" x14ac:dyDescent="0.25">
      <c r="A2800" s="23" t="s">
        <v>450</v>
      </c>
      <c r="B2800" t="s">
        <v>345</v>
      </c>
      <c r="C2800" s="2">
        <v>104514000</v>
      </c>
      <c r="D2800" s="2">
        <v>60914000</v>
      </c>
    </row>
    <row r="2801" spans="1:4" x14ac:dyDescent="0.25">
      <c r="A2801" s="23" t="s">
        <v>450</v>
      </c>
      <c r="B2801" t="s">
        <v>346</v>
      </c>
      <c r="C2801" s="2">
        <v>407255000</v>
      </c>
      <c r="D2801" s="2">
        <v>377755000</v>
      </c>
    </row>
    <row r="2802" spans="1:4" x14ac:dyDescent="0.25">
      <c r="A2802" s="23" t="s">
        <v>450</v>
      </c>
      <c r="B2802" t="s">
        <v>347</v>
      </c>
      <c r="C2802" s="2">
        <v>371837000</v>
      </c>
      <c r="D2802" s="2">
        <v>210676000</v>
      </c>
    </row>
    <row r="2803" spans="1:4" x14ac:dyDescent="0.25">
      <c r="A2803" s="23" t="s">
        <v>450</v>
      </c>
      <c r="B2803" t="s">
        <v>348</v>
      </c>
      <c r="C2803" s="2">
        <v>167470000</v>
      </c>
      <c r="D2803" s="2">
        <v>128720000</v>
      </c>
    </row>
    <row r="2804" spans="1:4" x14ac:dyDescent="0.25">
      <c r="A2804" s="23" t="s">
        <v>450</v>
      </c>
      <c r="B2804" t="s">
        <v>349</v>
      </c>
      <c r="C2804" s="2">
        <v>800891000</v>
      </c>
      <c r="D2804" s="2">
        <v>621391000</v>
      </c>
    </row>
    <row r="2805" spans="1:4" x14ac:dyDescent="0.25">
      <c r="A2805" s="23" t="s">
        <v>450</v>
      </c>
      <c r="B2805" t="s">
        <v>350</v>
      </c>
      <c r="C2805" s="2">
        <v>222504000</v>
      </c>
      <c r="D2805" s="2">
        <v>188090000</v>
      </c>
    </row>
    <row r="2806" spans="1:4" x14ac:dyDescent="0.25">
      <c r="A2806" s="23" t="s">
        <v>450</v>
      </c>
      <c r="B2806" t="s">
        <v>414</v>
      </c>
      <c r="C2806" s="2">
        <v>336161000</v>
      </c>
      <c r="D2806" s="2">
        <v>292411000</v>
      </c>
    </row>
    <row r="2807" spans="1:4" x14ac:dyDescent="0.25">
      <c r="A2807" s="23" t="s">
        <v>450</v>
      </c>
      <c r="B2807" t="s">
        <v>351</v>
      </c>
      <c r="C2807" s="2">
        <v>69534000</v>
      </c>
      <c r="D2807" s="2">
        <v>31534000</v>
      </c>
    </row>
    <row r="2808" spans="1:4" x14ac:dyDescent="0.25">
      <c r="A2808" s="23" t="s">
        <v>450</v>
      </c>
      <c r="B2808" t="s">
        <v>405</v>
      </c>
      <c r="C2808" s="2">
        <v>274940000</v>
      </c>
      <c r="D2808" s="2">
        <v>225940000</v>
      </c>
    </row>
    <row r="2809" spans="1:4" x14ac:dyDescent="0.25">
      <c r="A2809" s="23" t="s">
        <v>450</v>
      </c>
      <c r="B2809" t="s">
        <v>352</v>
      </c>
      <c r="C2809" s="2">
        <v>148067000</v>
      </c>
      <c r="D2809" s="2">
        <v>123567000</v>
      </c>
    </row>
    <row r="2810" spans="1:4" x14ac:dyDescent="0.25">
      <c r="A2810" s="23" t="s">
        <v>450</v>
      </c>
      <c r="B2810" t="s">
        <v>353</v>
      </c>
      <c r="C2810" s="2">
        <v>108009000</v>
      </c>
      <c r="D2810" s="2">
        <v>83509000</v>
      </c>
    </row>
    <row r="2811" spans="1:4" x14ac:dyDescent="0.25">
      <c r="A2811" s="23" t="s">
        <v>450</v>
      </c>
      <c r="B2811" t="s">
        <v>354</v>
      </c>
      <c r="C2811" s="2">
        <v>229510000</v>
      </c>
      <c r="D2811" s="2">
        <v>190710000</v>
      </c>
    </row>
    <row r="2812" spans="1:4" x14ac:dyDescent="0.25">
      <c r="A2812" s="23" t="s">
        <v>450</v>
      </c>
      <c r="B2812" t="s">
        <v>355</v>
      </c>
      <c r="C2812" s="2">
        <v>452946000</v>
      </c>
      <c r="D2812" s="2">
        <v>428446000</v>
      </c>
    </row>
    <row r="2813" spans="1:4" x14ac:dyDescent="0.25">
      <c r="A2813" s="23" t="s">
        <v>450</v>
      </c>
      <c r="B2813" t="s">
        <v>356</v>
      </c>
      <c r="C2813" s="2">
        <v>304951000</v>
      </c>
      <c r="D2813" s="2">
        <v>177451000</v>
      </c>
    </row>
    <row r="2814" spans="1:4" x14ac:dyDescent="0.25">
      <c r="A2814" s="23" t="s">
        <v>450</v>
      </c>
      <c r="B2814" t="s">
        <v>357</v>
      </c>
      <c r="C2814" s="2">
        <v>77256000</v>
      </c>
      <c r="D2814" s="2">
        <v>52756000</v>
      </c>
    </row>
    <row r="2815" spans="1:4" x14ac:dyDescent="0.25">
      <c r="A2815" s="23" t="s">
        <v>450</v>
      </c>
      <c r="B2815" t="s">
        <v>358</v>
      </c>
      <c r="C2815" s="2">
        <v>139926000</v>
      </c>
      <c r="D2815" s="2">
        <v>115426000</v>
      </c>
    </row>
    <row r="2816" spans="1:4" x14ac:dyDescent="0.25">
      <c r="A2816" s="23" t="s">
        <v>450</v>
      </c>
      <c r="B2816" t="s">
        <v>359</v>
      </c>
      <c r="C2816" s="2">
        <v>263437000</v>
      </c>
      <c r="D2816" s="2">
        <v>143361000</v>
      </c>
    </row>
    <row r="2817" spans="1:4" x14ac:dyDescent="0.25">
      <c r="A2817" s="23" t="s">
        <v>450</v>
      </c>
      <c r="B2817" t="s">
        <v>360</v>
      </c>
      <c r="C2817" s="2">
        <v>332424000</v>
      </c>
      <c r="D2817" s="2">
        <v>285024000</v>
      </c>
    </row>
    <row r="2818" spans="1:4" x14ac:dyDescent="0.25">
      <c r="A2818" s="23" t="s">
        <v>450</v>
      </c>
      <c r="B2818" t="s">
        <v>361</v>
      </c>
      <c r="C2818" s="2">
        <v>193979000</v>
      </c>
      <c r="D2818" s="2">
        <v>191979000</v>
      </c>
    </row>
    <row r="2819" spans="1:4" x14ac:dyDescent="0.25">
      <c r="A2819" s="23" t="s">
        <v>450</v>
      </c>
      <c r="B2819" t="s">
        <v>362</v>
      </c>
      <c r="C2819" s="2">
        <v>153019000</v>
      </c>
      <c r="D2819" s="2">
        <v>90519000</v>
      </c>
    </row>
    <row r="2820" spans="1:4" x14ac:dyDescent="0.25">
      <c r="A2820" s="23" t="s">
        <v>450</v>
      </c>
      <c r="B2820" t="s">
        <v>363</v>
      </c>
      <c r="C2820" s="2">
        <v>119543000</v>
      </c>
      <c r="D2820" s="2">
        <v>85043000</v>
      </c>
    </row>
    <row r="2821" spans="1:4" x14ac:dyDescent="0.25">
      <c r="A2821" s="23" t="s">
        <v>450</v>
      </c>
      <c r="B2821" t="s">
        <v>364</v>
      </c>
      <c r="C2821" s="2">
        <v>155441000</v>
      </c>
      <c r="D2821" s="2">
        <v>88041000</v>
      </c>
    </row>
    <row r="2822" spans="1:4" x14ac:dyDescent="0.25">
      <c r="A2822" s="23" t="s">
        <v>450</v>
      </c>
      <c r="B2822" t="s">
        <v>365</v>
      </c>
      <c r="C2822" s="2">
        <v>520070000</v>
      </c>
      <c r="D2822" s="2">
        <v>449618000</v>
      </c>
    </row>
    <row r="2823" spans="1:4" x14ac:dyDescent="0.25">
      <c r="A2823" s="23" t="s">
        <v>450</v>
      </c>
      <c r="B2823" t="s">
        <v>366</v>
      </c>
      <c r="C2823" s="2">
        <v>512411000</v>
      </c>
      <c r="D2823" s="2">
        <v>429411000</v>
      </c>
    </row>
    <row r="2824" spans="1:4" x14ac:dyDescent="0.25">
      <c r="A2824" s="23" t="s">
        <v>450</v>
      </c>
      <c r="B2824" t="s">
        <v>367</v>
      </c>
      <c r="C2824" s="2">
        <v>175256000</v>
      </c>
      <c r="D2824" s="2">
        <v>142256000</v>
      </c>
    </row>
    <row r="2825" spans="1:4" x14ac:dyDescent="0.25">
      <c r="A2825" s="23" t="s">
        <v>450</v>
      </c>
      <c r="B2825" t="s">
        <v>368</v>
      </c>
      <c r="C2825" s="2">
        <v>122980000</v>
      </c>
      <c r="D2825" s="2">
        <v>78480000</v>
      </c>
    </row>
    <row r="2826" spans="1:4" x14ac:dyDescent="0.25">
      <c r="A2826" s="23" t="s">
        <v>450</v>
      </c>
      <c r="B2826" t="s">
        <v>369</v>
      </c>
      <c r="C2826" s="2">
        <v>235235000</v>
      </c>
      <c r="D2826" s="2">
        <v>268592000</v>
      </c>
    </row>
    <row r="2827" spans="1:4" x14ac:dyDescent="0.25">
      <c r="A2827" s="23" t="s">
        <v>450</v>
      </c>
      <c r="B2827" t="s">
        <v>370</v>
      </c>
      <c r="C2827" s="2">
        <v>134092000</v>
      </c>
      <c r="D2827" s="2">
        <v>89592000</v>
      </c>
    </row>
    <row r="2828" spans="1:4" x14ac:dyDescent="0.25">
      <c r="A2828" s="23" t="s">
        <v>450</v>
      </c>
      <c r="B2828" t="s">
        <v>371</v>
      </c>
      <c r="C2828" s="2">
        <v>470541000</v>
      </c>
      <c r="D2828" s="2">
        <v>405041000</v>
      </c>
    </row>
    <row r="2829" spans="1:4" x14ac:dyDescent="0.25">
      <c r="A2829" s="23" t="s">
        <v>450</v>
      </c>
      <c r="B2829" t="s">
        <v>372</v>
      </c>
      <c r="C2829" s="2">
        <v>627706000</v>
      </c>
      <c r="D2829" s="2">
        <v>530861000</v>
      </c>
    </row>
    <row r="2830" spans="1:4" x14ac:dyDescent="0.25">
      <c r="A2830" s="23" t="s">
        <v>450</v>
      </c>
      <c r="B2830" t="s">
        <v>373</v>
      </c>
      <c r="C2830" s="2">
        <v>685661000</v>
      </c>
      <c r="D2830" s="2">
        <v>419633000</v>
      </c>
    </row>
    <row r="2831" spans="1:4" x14ac:dyDescent="0.25">
      <c r="A2831" s="23" t="s">
        <v>450</v>
      </c>
      <c r="B2831" t="s">
        <v>374</v>
      </c>
      <c r="C2831" s="2">
        <v>444026000</v>
      </c>
      <c r="D2831" s="2">
        <v>259644000</v>
      </c>
    </row>
    <row r="2832" spans="1:4" x14ac:dyDescent="0.25">
      <c r="A2832" s="23" t="s">
        <v>450</v>
      </c>
      <c r="B2832" t="s">
        <v>375</v>
      </c>
      <c r="C2832" s="2">
        <v>212132000</v>
      </c>
      <c r="D2832" s="2">
        <v>174218000</v>
      </c>
    </row>
    <row r="2833" spans="1:4" x14ac:dyDescent="0.25">
      <c r="A2833" s="23" t="s">
        <v>450</v>
      </c>
      <c r="B2833" t="s">
        <v>376</v>
      </c>
      <c r="C2833" s="2">
        <v>579371000</v>
      </c>
      <c r="D2833" s="2">
        <v>531605000</v>
      </c>
    </row>
    <row r="2834" spans="1:4" x14ac:dyDescent="0.25">
      <c r="A2834" s="23" t="s">
        <v>450</v>
      </c>
      <c r="B2834" t="s">
        <v>377</v>
      </c>
      <c r="C2834" s="2">
        <v>220324000</v>
      </c>
      <c r="D2834" s="2">
        <v>186324000</v>
      </c>
    </row>
    <row r="2835" spans="1:4" x14ac:dyDescent="0.25">
      <c r="A2835" s="23" t="s">
        <v>450</v>
      </c>
      <c r="B2835" t="s">
        <v>378</v>
      </c>
      <c r="C2835" s="2">
        <v>132781000</v>
      </c>
      <c r="D2835" s="2">
        <v>24566000</v>
      </c>
    </row>
    <row r="2836" spans="1:4" x14ac:dyDescent="0.25">
      <c r="A2836" s="23" t="s">
        <v>450</v>
      </c>
      <c r="B2836" t="s">
        <v>412</v>
      </c>
      <c r="C2836" s="2">
        <v>226217000</v>
      </c>
      <c r="D2836" s="2">
        <v>13717000</v>
      </c>
    </row>
    <row r="2837" spans="1:4" x14ac:dyDescent="0.25">
      <c r="A2837" s="23" t="s">
        <v>450</v>
      </c>
      <c r="B2837" t="s">
        <v>379</v>
      </c>
      <c r="C2837" s="2">
        <v>218002000</v>
      </c>
      <c r="D2837" s="2">
        <v>132245000</v>
      </c>
    </row>
    <row r="2838" spans="1:4" x14ac:dyDescent="0.25">
      <c r="A2838" s="23" t="s">
        <v>450</v>
      </c>
      <c r="B2838" t="s">
        <v>380</v>
      </c>
      <c r="C2838" s="2">
        <v>285450000</v>
      </c>
      <c r="D2838" s="2">
        <v>119350000</v>
      </c>
    </row>
    <row r="2839" spans="1:4" x14ac:dyDescent="0.25">
      <c r="A2839" s="23" t="s">
        <v>450</v>
      </c>
      <c r="B2839" t="s">
        <v>381</v>
      </c>
      <c r="C2839" s="2">
        <v>230748000</v>
      </c>
      <c r="D2839" s="2">
        <v>196248000</v>
      </c>
    </row>
    <row r="2840" spans="1:4" x14ac:dyDescent="0.25">
      <c r="A2840" s="23" t="s">
        <v>450</v>
      </c>
      <c r="B2840" t="s">
        <v>382</v>
      </c>
      <c r="C2840" s="2">
        <v>181703000</v>
      </c>
      <c r="D2840" s="2">
        <v>147203000</v>
      </c>
    </row>
    <row r="2841" spans="1:4" x14ac:dyDescent="0.25">
      <c r="A2841" s="23" t="s">
        <v>450</v>
      </c>
      <c r="B2841" t="s">
        <v>383</v>
      </c>
      <c r="C2841" s="2">
        <v>426765000</v>
      </c>
      <c r="D2841" s="2">
        <v>240931000</v>
      </c>
    </row>
    <row r="2842" spans="1:4" x14ac:dyDescent="0.25">
      <c r="A2842" s="23" t="s">
        <v>450</v>
      </c>
      <c r="B2842" t="s">
        <v>384</v>
      </c>
      <c r="C2842" s="2">
        <v>174931000</v>
      </c>
      <c r="D2842" s="2">
        <v>140431000</v>
      </c>
    </row>
    <row r="2843" spans="1:4" x14ac:dyDescent="0.25">
      <c r="A2843" s="23" t="s">
        <v>450</v>
      </c>
      <c r="B2843" t="s">
        <v>385</v>
      </c>
      <c r="C2843" s="2">
        <v>446677000</v>
      </c>
      <c r="D2843" s="2">
        <v>118324000</v>
      </c>
    </row>
    <row r="2844" spans="1:4" x14ac:dyDescent="0.25">
      <c r="A2844" s="23" t="s">
        <v>450</v>
      </c>
      <c r="B2844" t="s">
        <v>386</v>
      </c>
      <c r="C2844" s="2">
        <v>251942000</v>
      </c>
      <c r="D2844" s="2">
        <v>218942000</v>
      </c>
    </row>
    <row r="2845" spans="1:4" x14ac:dyDescent="0.25">
      <c r="A2845" s="23" t="s">
        <v>450</v>
      </c>
      <c r="B2845" t="s">
        <v>387</v>
      </c>
      <c r="C2845" s="2">
        <v>360350000</v>
      </c>
      <c r="D2845" s="2">
        <v>244350000</v>
      </c>
    </row>
    <row r="2846" spans="1:4" x14ac:dyDescent="0.25">
      <c r="A2846" s="23" t="s">
        <v>450</v>
      </c>
      <c r="B2846" t="s">
        <v>388</v>
      </c>
      <c r="C2846" s="2">
        <v>503438000</v>
      </c>
      <c r="D2846" s="2">
        <v>458163000</v>
      </c>
    </row>
    <row r="2847" spans="1:4" x14ac:dyDescent="0.25">
      <c r="A2847" s="23" t="s">
        <v>450</v>
      </c>
      <c r="B2847" t="s">
        <v>389</v>
      </c>
      <c r="C2847" s="2">
        <v>216038000</v>
      </c>
      <c r="D2847" s="2">
        <v>191538000</v>
      </c>
    </row>
    <row r="2848" spans="1:4" x14ac:dyDescent="0.25">
      <c r="A2848" s="23" t="s">
        <v>450</v>
      </c>
      <c r="B2848" t="s">
        <v>390</v>
      </c>
      <c r="C2848" s="2">
        <v>222067000</v>
      </c>
      <c r="D2848" s="2">
        <v>197567000</v>
      </c>
    </row>
    <row r="2849" spans="1:4" x14ac:dyDescent="0.25">
      <c r="A2849" s="23" t="s">
        <v>450</v>
      </c>
      <c r="B2849" t="s">
        <v>391</v>
      </c>
      <c r="C2849" s="2">
        <v>147431000</v>
      </c>
      <c r="D2849" s="2">
        <v>122931000</v>
      </c>
    </row>
    <row r="2850" spans="1:4" x14ac:dyDescent="0.25">
      <c r="A2850" s="23" t="s">
        <v>450</v>
      </c>
      <c r="B2850" t="s">
        <v>392</v>
      </c>
      <c r="C2850" s="2">
        <v>341682000</v>
      </c>
      <c r="D2850" s="2">
        <v>314932000</v>
      </c>
    </row>
    <row r="2851" spans="1:4" x14ac:dyDescent="0.25">
      <c r="A2851" s="23" t="s">
        <v>450</v>
      </c>
      <c r="B2851" t="s">
        <v>393</v>
      </c>
      <c r="C2851" s="2">
        <v>293972000</v>
      </c>
      <c r="D2851" s="2">
        <v>289592000</v>
      </c>
    </row>
    <row r="2852" spans="1:4" x14ac:dyDescent="0.25">
      <c r="A2852" s="23" t="s">
        <v>450</v>
      </c>
      <c r="B2852" t="s">
        <v>394</v>
      </c>
      <c r="C2852" s="2">
        <v>181161000</v>
      </c>
      <c r="D2852" s="2">
        <v>146661000</v>
      </c>
    </row>
    <row r="2853" spans="1:4" x14ac:dyDescent="0.25">
      <c r="A2853" s="23" t="s">
        <v>450</v>
      </c>
      <c r="B2853" t="s">
        <v>395</v>
      </c>
    </row>
    <row r="2854" spans="1:4" x14ac:dyDescent="0.25">
      <c r="A2854" s="23" t="s">
        <v>450</v>
      </c>
      <c r="B2854" t="s">
        <v>396</v>
      </c>
    </row>
  </sheetData>
  <autoFilter ref="A1:D1854" xr:uid="{365B31E4-9462-4DF9-AC31-3ECA719CA4C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246D-3409-4E08-841F-82E6D9F34E8B}">
  <dimension ref="A1:D155"/>
  <sheetViews>
    <sheetView workbookViewId="0"/>
  </sheetViews>
  <sheetFormatPr defaultRowHeight="15" x14ac:dyDescent="0.25"/>
  <cols>
    <col min="1" max="3" width="40.7109375" customWidth="1"/>
    <col min="4" max="4" width="18.7109375" customWidth="1"/>
  </cols>
  <sheetData>
    <row r="1" spans="1:4" x14ac:dyDescent="0.25">
      <c r="A1" s="18" t="s">
        <v>8</v>
      </c>
      <c r="B1" s="18" t="s">
        <v>438</v>
      </c>
      <c r="C1" s="18" t="s">
        <v>200</v>
      </c>
      <c r="D1" s="18" t="s">
        <v>427</v>
      </c>
    </row>
    <row r="2" spans="1:4" x14ac:dyDescent="0.25">
      <c r="A2" t="s">
        <v>12</v>
      </c>
      <c r="B2" t="s">
        <v>12</v>
      </c>
      <c r="C2" t="s">
        <v>201</v>
      </c>
      <c r="D2" s="2">
        <v>350000000</v>
      </c>
    </row>
    <row r="3" spans="1:4" x14ac:dyDescent="0.25">
      <c r="A3" s="17" t="s">
        <v>17</v>
      </c>
      <c r="B3" s="17" t="s">
        <v>17</v>
      </c>
      <c r="C3" t="s">
        <v>201</v>
      </c>
      <c r="D3" s="2">
        <v>460000000</v>
      </c>
    </row>
    <row r="4" spans="1:4" x14ac:dyDescent="0.25">
      <c r="A4" t="s">
        <v>198</v>
      </c>
      <c r="B4" t="s">
        <v>434</v>
      </c>
      <c r="C4" t="s">
        <v>260</v>
      </c>
      <c r="D4" s="2">
        <v>40000000</v>
      </c>
    </row>
    <row r="5" spans="1:4" x14ac:dyDescent="0.25">
      <c r="A5" t="s">
        <v>198</v>
      </c>
      <c r="B5" t="s">
        <v>434</v>
      </c>
      <c r="C5" t="s">
        <v>267</v>
      </c>
      <c r="D5" s="2">
        <v>10000000</v>
      </c>
    </row>
    <row r="6" spans="1:4" x14ac:dyDescent="0.25">
      <c r="A6" t="s">
        <v>198</v>
      </c>
      <c r="B6" t="s">
        <v>434</v>
      </c>
      <c r="C6" t="s">
        <v>374</v>
      </c>
      <c r="D6" s="2">
        <v>25700000</v>
      </c>
    </row>
    <row r="7" spans="1:4" x14ac:dyDescent="0.25">
      <c r="A7" t="s">
        <v>198</v>
      </c>
      <c r="B7" t="s">
        <v>433</v>
      </c>
      <c r="C7" t="s">
        <v>201</v>
      </c>
      <c r="D7" s="2">
        <v>7230000000</v>
      </c>
    </row>
    <row r="8" spans="1:4" x14ac:dyDescent="0.25">
      <c r="A8" t="s">
        <v>198</v>
      </c>
      <c r="B8" t="s">
        <v>433</v>
      </c>
      <c r="C8" t="s">
        <v>220</v>
      </c>
      <c r="D8" s="2">
        <v>177800000</v>
      </c>
    </row>
    <row r="9" spans="1:4" x14ac:dyDescent="0.25">
      <c r="A9" t="s">
        <v>198</v>
      </c>
      <c r="B9" t="s">
        <v>433</v>
      </c>
      <c r="C9" t="s">
        <v>224</v>
      </c>
      <c r="D9" s="2">
        <v>275000000</v>
      </c>
    </row>
    <row r="10" spans="1:4" x14ac:dyDescent="0.25">
      <c r="A10" t="s">
        <v>198</v>
      </c>
      <c r="B10" t="s">
        <v>433</v>
      </c>
      <c r="C10" t="s">
        <v>225</v>
      </c>
      <c r="D10" s="2">
        <v>320000000</v>
      </c>
    </row>
    <row r="11" spans="1:4" x14ac:dyDescent="0.25">
      <c r="A11" t="s">
        <v>198</v>
      </c>
      <c r="B11" t="s">
        <v>433</v>
      </c>
      <c r="C11" t="s">
        <v>233</v>
      </c>
      <c r="D11" s="2">
        <v>153000000</v>
      </c>
    </row>
    <row r="12" spans="1:4" x14ac:dyDescent="0.25">
      <c r="A12" t="s">
        <v>198</v>
      </c>
      <c r="B12" t="s">
        <v>433</v>
      </c>
      <c r="C12" t="s">
        <v>237</v>
      </c>
      <c r="D12" s="2">
        <v>99500000</v>
      </c>
    </row>
    <row r="13" spans="1:4" x14ac:dyDescent="0.25">
      <c r="A13" t="s">
        <v>198</v>
      </c>
      <c r="B13" t="s">
        <v>433</v>
      </c>
      <c r="C13" t="s">
        <v>260</v>
      </c>
      <c r="D13" s="2">
        <v>50000000</v>
      </c>
    </row>
    <row r="14" spans="1:4" x14ac:dyDescent="0.25">
      <c r="A14" t="s">
        <v>198</v>
      </c>
      <c r="B14" t="s">
        <v>433</v>
      </c>
      <c r="C14" t="s">
        <v>262</v>
      </c>
      <c r="D14" s="2">
        <v>376000000</v>
      </c>
    </row>
    <row r="15" spans="1:4" x14ac:dyDescent="0.25">
      <c r="A15" t="s">
        <v>198</v>
      </c>
      <c r="B15" t="s">
        <v>433</v>
      </c>
      <c r="C15" t="s">
        <v>267</v>
      </c>
      <c r="D15" s="2">
        <v>152500000</v>
      </c>
    </row>
    <row r="16" spans="1:4" x14ac:dyDescent="0.25">
      <c r="A16" t="s">
        <v>198</v>
      </c>
      <c r="B16" t="s">
        <v>433</v>
      </c>
      <c r="C16" t="s">
        <v>274</v>
      </c>
      <c r="D16" s="2">
        <v>88000000</v>
      </c>
    </row>
    <row r="17" spans="1:4" x14ac:dyDescent="0.25">
      <c r="A17" t="s">
        <v>198</v>
      </c>
      <c r="B17" t="s">
        <v>433</v>
      </c>
      <c r="C17" t="s">
        <v>275</v>
      </c>
      <c r="D17" s="2">
        <v>190500000</v>
      </c>
    </row>
    <row r="18" spans="1:4" x14ac:dyDescent="0.25">
      <c r="A18" t="s">
        <v>198</v>
      </c>
      <c r="B18" t="s">
        <v>433</v>
      </c>
      <c r="C18" t="s">
        <v>289</v>
      </c>
      <c r="D18" s="2">
        <v>85500000</v>
      </c>
    </row>
    <row r="19" spans="1:4" x14ac:dyDescent="0.25">
      <c r="A19" t="s">
        <v>198</v>
      </c>
      <c r="B19" t="s">
        <v>433</v>
      </c>
      <c r="C19" t="s">
        <v>295</v>
      </c>
      <c r="D19" s="2">
        <v>58000000</v>
      </c>
    </row>
    <row r="20" spans="1:4" x14ac:dyDescent="0.25">
      <c r="A20" t="s">
        <v>198</v>
      </c>
      <c r="B20" t="s">
        <v>433</v>
      </c>
      <c r="C20" t="s">
        <v>297</v>
      </c>
      <c r="D20" s="2">
        <v>25000000</v>
      </c>
    </row>
    <row r="21" spans="1:4" x14ac:dyDescent="0.25">
      <c r="A21" t="s">
        <v>198</v>
      </c>
      <c r="B21" t="s">
        <v>433</v>
      </c>
      <c r="C21" t="s">
        <v>301</v>
      </c>
      <c r="D21" s="2">
        <v>41000000</v>
      </c>
    </row>
    <row r="22" spans="1:4" x14ac:dyDescent="0.25">
      <c r="A22" t="s">
        <v>198</v>
      </c>
      <c r="B22" t="s">
        <v>433</v>
      </c>
      <c r="C22" t="s">
        <v>304</v>
      </c>
      <c r="D22" s="2">
        <v>50000000</v>
      </c>
    </row>
    <row r="23" spans="1:4" x14ac:dyDescent="0.25">
      <c r="A23" t="s">
        <v>198</v>
      </c>
      <c r="B23" t="s">
        <v>433</v>
      </c>
      <c r="C23" t="s">
        <v>325</v>
      </c>
      <c r="D23" s="2">
        <v>28000000</v>
      </c>
    </row>
    <row r="24" spans="1:4" x14ac:dyDescent="0.25">
      <c r="A24" t="s">
        <v>198</v>
      </c>
      <c r="B24" t="s">
        <v>433</v>
      </c>
      <c r="C24" t="s">
        <v>326</v>
      </c>
      <c r="D24" s="2">
        <v>14000000</v>
      </c>
    </row>
    <row r="25" spans="1:4" x14ac:dyDescent="0.25">
      <c r="A25" t="s">
        <v>198</v>
      </c>
      <c r="B25" t="s">
        <v>433</v>
      </c>
      <c r="C25" t="s">
        <v>327</v>
      </c>
      <c r="D25" s="2">
        <v>276000000</v>
      </c>
    </row>
    <row r="26" spans="1:4" x14ac:dyDescent="0.25">
      <c r="A26" t="s">
        <v>198</v>
      </c>
      <c r="B26" t="s">
        <v>433</v>
      </c>
      <c r="C26" t="s">
        <v>353</v>
      </c>
      <c r="D26" s="2">
        <v>10000000</v>
      </c>
    </row>
    <row r="27" spans="1:4" x14ac:dyDescent="0.25">
      <c r="A27" t="s">
        <v>198</v>
      </c>
      <c r="B27" t="s">
        <v>433</v>
      </c>
      <c r="C27" t="s">
        <v>364</v>
      </c>
      <c r="D27" s="2">
        <v>15000000</v>
      </c>
    </row>
    <row r="28" spans="1:4" x14ac:dyDescent="0.25">
      <c r="A28" t="s">
        <v>198</v>
      </c>
      <c r="B28" t="s">
        <v>433</v>
      </c>
      <c r="C28" t="s">
        <v>371</v>
      </c>
      <c r="D28" s="2">
        <v>10000000</v>
      </c>
    </row>
    <row r="29" spans="1:4" x14ac:dyDescent="0.25">
      <c r="A29" t="s">
        <v>198</v>
      </c>
      <c r="B29" t="s">
        <v>433</v>
      </c>
      <c r="C29" t="s">
        <v>373</v>
      </c>
      <c r="D29" s="2">
        <v>25000000</v>
      </c>
    </row>
    <row r="30" spans="1:4" x14ac:dyDescent="0.25">
      <c r="A30" t="s">
        <v>198</v>
      </c>
      <c r="B30" t="s">
        <v>433</v>
      </c>
      <c r="C30" t="s">
        <v>372</v>
      </c>
      <c r="D30" s="2">
        <v>5000000</v>
      </c>
    </row>
    <row r="31" spans="1:4" x14ac:dyDescent="0.25">
      <c r="A31" t="s">
        <v>198</v>
      </c>
      <c r="B31" t="s">
        <v>433</v>
      </c>
      <c r="C31" t="s">
        <v>374</v>
      </c>
      <c r="D31" s="2">
        <v>559990000</v>
      </c>
    </row>
    <row r="32" spans="1:4" x14ac:dyDescent="0.25">
      <c r="A32" t="s">
        <v>198</v>
      </c>
      <c r="B32" t="s">
        <v>433</v>
      </c>
      <c r="C32" t="s">
        <v>377</v>
      </c>
      <c r="D32" s="2">
        <v>2800000</v>
      </c>
    </row>
    <row r="33" spans="1:4" x14ac:dyDescent="0.25">
      <c r="A33" t="s">
        <v>198</v>
      </c>
      <c r="B33" t="s">
        <v>433</v>
      </c>
      <c r="C33" t="s">
        <v>378</v>
      </c>
      <c r="D33" s="2">
        <v>60000000</v>
      </c>
    </row>
    <row r="34" spans="1:4" x14ac:dyDescent="0.25">
      <c r="A34" t="s">
        <v>198</v>
      </c>
      <c r="B34" t="s">
        <v>433</v>
      </c>
      <c r="C34" t="s">
        <v>393</v>
      </c>
      <c r="D34" s="2">
        <v>50000000</v>
      </c>
    </row>
    <row r="35" spans="1:4" x14ac:dyDescent="0.25">
      <c r="A35" t="s">
        <v>198</v>
      </c>
      <c r="B35" t="s">
        <v>432</v>
      </c>
      <c r="C35" t="s">
        <v>201</v>
      </c>
      <c r="D35" s="2">
        <v>1180050000</v>
      </c>
    </row>
    <row r="36" spans="1:4" x14ac:dyDescent="0.25">
      <c r="A36" t="s">
        <v>198</v>
      </c>
      <c r="B36" t="s">
        <v>432</v>
      </c>
      <c r="C36" t="s">
        <v>219</v>
      </c>
      <c r="D36" s="2">
        <v>30000000</v>
      </c>
    </row>
    <row r="37" spans="1:4" x14ac:dyDescent="0.25">
      <c r="A37" t="s">
        <v>198</v>
      </c>
      <c r="B37" t="s">
        <v>432</v>
      </c>
      <c r="C37" t="s">
        <v>220</v>
      </c>
      <c r="D37" s="2">
        <v>33000000</v>
      </c>
    </row>
    <row r="38" spans="1:4" x14ac:dyDescent="0.25">
      <c r="A38" t="s">
        <v>198</v>
      </c>
      <c r="B38" t="s">
        <v>432</v>
      </c>
      <c r="C38" t="s">
        <v>233</v>
      </c>
      <c r="D38" s="2">
        <v>47600000</v>
      </c>
    </row>
    <row r="39" spans="1:4" x14ac:dyDescent="0.25">
      <c r="A39" t="s">
        <v>198</v>
      </c>
      <c r="B39" t="s">
        <v>432</v>
      </c>
      <c r="C39" t="s">
        <v>262</v>
      </c>
      <c r="D39" s="2">
        <v>53500000</v>
      </c>
    </row>
    <row r="40" spans="1:4" x14ac:dyDescent="0.25">
      <c r="A40" t="s">
        <v>198</v>
      </c>
      <c r="B40" t="s">
        <v>432</v>
      </c>
      <c r="C40" t="s">
        <v>267</v>
      </c>
      <c r="D40" s="2">
        <v>259250000</v>
      </c>
    </row>
    <row r="41" spans="1:4" x14ac:dyDescent="0.25">
      <c r="A41" t="s">
        <v>198</v>
      </c>
      <c r="B41" t="s">
        <v>432</v>
      </c>
      <c r="C41" t="s">
        <v>205</v>
      </c>
      <c r="D41" s="2">
        <v>20000000</v>
      </c>
    </row>
    <row r="42" spans="1:4" x14ac:dyDescent="0.25">
      <c r="A42" t="s">
        <v>198</v>
      </c>
      <c r="B42" t="s">
        <v>432</v>
      </c>
      <c r="C42" t="s">
        <v>275</v>
      </c>
      <c r="D42" s="2">
        <v>36000000</v>
      </c>
    </row>
    <row r="43" spans="1:4" x14ac:dyDescent="0.25">
      <c r="A43" t="s">
        <v>198</v>
      </c>
      <c r="B43" t="s">
        <v>432</v>
      </c>
      <c r="C43" t="s">
        <v>280</v>
      </c>
      <c r="D43" s="2">
        <v>50000000</v>
      </c>
    </row>
    <row r="44" spans="1:4" x14ac:dyDescent="0.25">
      <c r="A44" t="s">
        <v>198</v>
      </c>
      <c r="B44" t="s">
        <v>432</v>
      </c>
      <c r="C44" t="s">
        <v>327</v>
      </c>
      <c r="D44" s="2">
        <v>6000000</v>
      </c>
    </row>
    <row r="45" spans="1:4" x14ac:dyDescent="0.25">
      <c r="A45" t="s">
        <v>198</v>
      </c>
      <c r="B45" t="s">
        <v>432</v>
      </c>
      <c r="C45" t="s">
        <v>374</v>
      </c>
      <c r="D45" s="2">
        <v>274650000</v>
      </c>
    </row>
    <row r="46" spans="1:4" x14ac:dyDescent="0.25">
      <c r="A46" t="s">
        <v>198</v>
      </c>
      <c r="B46" t="s">
        <v>431</v>
      </c>
      <c r="C46" t="s">
        <v>201</v>
      </c>
      <c r="D46" s="2">
        <v>15016000000</v>
      </c>
    </row>
    <row r="47" spans="1:4" x14ac:dyDescent="0.25">
      <c r="A47" t="s">
        <v>198</v>
      </c>
      <c r="B47" t="s">
        <v>431</v>
      </c>
      <c r="C47" t="s">
        <v>219</v>
      </c>
      <c r="D47" s="2">
        <v>745000000</v>
      </c>
    </row>
    <row r="48" spans="1:4" x14ac:dyDescent="0.25">
      <c r="A48" t="s">
        <v>198</v>
      </c>
      <c r="B48" t="s">
        <v>431</v>
      </c>
      <c r="C48" t="s">
        <v>220</v>
      </c>
      <c r="D48" s="2">
        <v>260000000</v>
      </c>
    </row>
    <row r="49" spans="1:4" x14ac:dyDescent="0.25">
      <c r="A49" t="s">
        <v>198</v>
      </c>
      <c r="B49" t="s">
        <v>431</v>
      </c>
      <c r="C49" t="s">
        <v>229</v>
      </c>
      <c r="D49" s="2">
        <v>100000000</v>
      </c>
    </row>
    <row r="50" spans="1:4" x14ac:dyDescent="0.25">
      <c r="A50" t="s">
        <v>198</v>
      </c>
      <c r="B50" t="s">
        <v>431</v>
      </c>
      <c r="C50" t="s">
        <v>236</v>
      </c>
      <c r="D50" s="2">
        <v>250000000</v>
      </c>
    </row>
    <row r="51" spans="1:4" x14ac:dyDescent="0.25">
      <c r="A51" t="s">
        <v>198</v>
      </c>
      <c r="B51" t="s">
        <v>431</v>
      </c>
      <c r="C51" t="s">
        <v>233</v>
      </c>
      <c r="D51" s="2">
        <v>105000000</v>
      </c>
    </row>
    <row r="52" spans="1:4" x14ac:dyDescent="0.25">
      <c r="A52" t="s">
        <v>198</v>
      </c>
      <c r="B52" t="s">
        <v>431</v>
      </c>
      <c r="C52" t="s">
        <v>259</v>
      </c>
      <c r="D52" s="2">
        <v>150000000</v>
      </c>
    </row>
    <row r="53" spans="1:4" x14ac:dyDescent="0.25">
      <c r="A53" t="s">
        <v>198</v>
      </c>
      <c r="B53" t="s">
        <v>431</v>
      </c>
      <c r="C53" t="s">
        <v>261</v>
      </c>
      <c r="D53" s="2">
        <v>500000000</v>
      </c>
    </row>
    <row r="54" spans="1:4" x14ac:dyDescent="0.25">
      <c r="A54" t="s">
        <v>198</v>
      </c>
      <c r="B54" t="s">
        <v>431</v>
      </c>
      <c r="C54" t="s">
        <v>262</v>
      </c>
      <c r="D54" s="2">
        <v>50000000</v>
      </c>
    </row>
    <row r="55" spans="1:4" x14ac:dyDescent="0.25">
      <c r="A55" t="s">
        <v>198</v>
      </c>
      <c r="B55" t="s">
        <v>431</v>
      </c>
      <c r="C55" t="s">
        <v>267</v>
      </c>
      <c r="D55" s="2">
        <v>90000000</v>
      </c>
    </row>
    <row r="56" spans="1:4" x14ac:dyDescent="0.25">
      <c r="A56" t="s">
        <v>198</v>
      </c>
      <c r="B56" t="s">
        <v>431</v>
      </c>
      <c r="C56" t="s">
        <v>268</v>
      </c>
      <c r="D56" s="2">
        <v>50000000</v>
      </c>
    </row>
    <row r="57" spans="1:4" x14ac:dyDescent="0.25">
      <c r="A57" t="s">
        <v>198</v>
      </c>
      <c r="B57" t="s">
        <v>431</v>
      </c>
      <c r="C57" t="s">
        <v>205</v>
      </c>
      <c r="D57" s="2">
        <v>40000000</v>
      </c>
    </row>
    <row r="58" spans="1:4" x14ac:dyDescent="0.25">
      <c r="A58" t="s">
        <v>198</v>
      </c>
      <c r="B58" t="s">
        <v>431</v>
      </c>
      <c r="C58" t="s">
        <v>272</v>
      </c>
      <c r="D58" s="2">
        <v>150000000</v>
      </c>
    </row>
    <row r="59" spans="1:4" x14ac:dyDescent="0.25">
      <c r="A59" t="s">
        <v>198</v>
      </c>
      <c r="B59" t="s">
        <v>431</v>
      </c>
      <c r="C59" t="s">
        <v>273</v>
      </c>
      <c r="D59" s="2">
        <v>25000000</v>
      </c>
    </row>
    <row r="60" spans="1:4" x14ac:dyDescent="0.25">
      <c r="A60" t="s">
        <v>198</v>
      </c>
      <c r="B60" t="s">
        <v>431</v>
      </c>
      <c r="C60" t="s">
        <v>275</v>
      </c>
      <c r="D60" s="2">
        <v>19500000</v>
      </c>
    </row>
    <row r="61" spans="1:4" x14ac:dyDescent="0.25">
      <c r="A61" t="s">
        <v>198</v>
      </c>
      <c r="B61" t="s">
        <v>431</v>
      </c>
      <c r="C61" t="s">
        <v>280</v>
      </c>
      <c r="D61" s="2">
        <v>450000000</v>
      </c>
    </row>
    <row r="62" spans="1:4" x14ac:dyDescent="0.25">
      <c r="A62" t="s">
        <v>198</v>
      </c>
      <c r="B62" t="s">
        <v>431</v>
      </c>
      <c r="C62" t="s">
        <v>288</v>
      </c>
      <c r="D62" s="2">
        <v>20000000</v>
      </c>
    </row>
    <row r="63" spans="1:4" x14ac:dyDescent="0.25">
      <c r="A63" t="s">
        <v>198</v>
      </c>
      <c r="B63" t="s">
        <v>431</v>
      </c>
      <c r="C63" t="s">
        <v>295</v>
      </c>
      <c r="D63" s="2">
        <v>40000000</v>
      </c>
    </row>
    <row r="64" spans="1:4" x14ac:dyDescent="0.25">
      <c r="A64" t="s">
        <v>198</v>
      </c>
      <c r="B64" t="s">
        <v>431</v>
      </c>
      <c r="C64" t="s">
        <v>296</v>
      </c>
      <c r="D64" s="2">
        <v>300000000</v>
      </c>
    </row>
    <row r="65" spans="1:4" x14ac:dyDescent="0.25">
      <c r="A65" t="s">
        <v>198</v>
      </c>
      <c r="B65" t="s">
        <v>431</v>
      </c>
      <c r="C65" t="s">
        <v>301</v>
      </c>
      <c r="D65" s="2">
        <v>2000000</v>
      </c>
    </row>
    <row r="66" spans="1:4" x14ac:dyDescent="0.25">
      <c r="A66" t="s">
        <v>198</v>
      </c>
      <c r="B66" t="s">
        <v>431</v>
      </c>
      <c r="C66" t="s">
        <v>302</v>
      </c>
      <c r="D66" s="2">
        <v>5000000</v>
      </c>
    </row>
    <row r="67" spans="1:4" x14ac:dyDescent="0.25">
      <c r="A67" t="s">
        <v>198</v>
      </c>
      <c r="B67" t="s">
        <v>431</v>
      </c>
      <c r="C67" t="s">
        <v>304</v>
      </c>
      <c r="D67" s="2">
        <v>100000000</v>
      </c>
    </row>
    <row r="68" spans="1:4" x14ac:dyDescent="0.25">
      <c r="A68" t="s">
        <v>198</v>
      </c>
      <c r="B68" t="s">
        <v>431</v>
      </c>
      <c r="C68" t="s">
        <v>305</v>
      </c>
      <c r="D68" s="2">
        <v>270000000</v>
      </c>
    </row>
    <row r="69" spans="1:4" x14ac:dyDescent="0.25">
      <c r="A69" t="s">
        <v>198</v>
      </c>
      <c r="B69" t="s">
        <v>431</v>
      </c>
      <c r="C69" t="s">
        <v>309</v>
      </c>
      <c r="D69" s="2">
        <v>555800000</v>
      </c>
    </row>
    <row r="70" spans="1:4" x14ac:dyDescent="0.25">
      <c r="A70" t="s">
        <v>198</v>
      </c>
      <c r="B70" t="s">
        <v>431</v>
      </c>
      <c r="C70" t="s">
        <v>327</v>
      </c>
      <c r="D70" s="2">
        <v>17000000</v>
      </c>
    </row>
    <row r="71" spans="1:4" x14ac:dyDescent="0.25">
      <c r="A71" t="s">
        <v>198</v>
      </c>
      <c r="B71" t="s">
        <v>431</v>
      </c>
      <c r="C71" t="s">
        <v>346</v>
      </c>
      <c r="D71" s="2">
        <v>50000000</v>
      </c>
    </row>
    <row r="72" spans="1:4" x14ac:dyDescent="0.25">
      <c r="A72" t="s">
        <v>198</v>
      </c>
      <c r="B72" t="s">
        <v>431</v>
      </c>
      <c r="C72" t="s">
        <v>364</v>
      </c>
      <c r="D72" s="2">
        <v>50000000</v>
      </c>
    </row>
    <row r="73" spans="1:4" x14ac:dyDescent="0.25">
      <c r="A73" t="s">
        <v>198</v>
      </c>
      <c r="B73" t="s">
        <v>431</v>
      </c>
      <c r="C73" t="s">
        <v>366</v>
      </c>
      <c r="D73" s="2">
        <v>100000000</v>
      </c>
    </row>
    <row r="74" spans="1:4" x14ac:dyDescent="0.25">
      <c r="A74" t="s">
        <v>198</v>
      </c>
      <c r="B74" t="s">
        <v>431</v>
      </c>
      <c r="C74" t="s">
        <v>373</v>
      </c>
      <c r="D74" s="2">
        <v>550000000</v>
      </c>
    </row>
    <row r="75" spans="1:4" x14ac:dyDescent="0.25">
      <c r="A75" t="s">
        <v>198</v>
      </c>
      <c r="B75" t="s">
        <v>431</v>
      </c>
      <c r="C75" t="s">
        <v>371</v>
      </c>
      <c r="D75" s="2">
        <v>1400000000</v>
      </c>
    </row>
    <row r="76" spans="1:4" x14ac:dyDescent="0.25">
      <c r="A76" t="s">
        <v>198</v>
      </c>
      <c r="B76" t="s">
        <v>431</v>
      </c>
      <c r="C76" t="s">
        <v>374</v>
      </c>
      <c r="D76" s="2">
        <v>106500000</v>
      </c>
    </row>
    <row r="77" spans="1:4" x14ac:dyDescent="0.25">
      <c r="A77" t="s">
        <v>198</v>
      </c>
      <c r="B77" t="s">
        <v>431</v>
      </c>
      <c r="C77" t="s">
        <v>393</v>
      </c>
      <c r="D77" s="2">
        <v>480000000</v>
      </c>
    </row>
    <row r="78" spans="1:4" x14ac:dyDescent="0.25">
      <c r="A78" t="s">
        <v>198</v>
      </c>
      <c r="B78" t="s">
        <v>430</v>
      </c>
      <c r="C78" t="s">
        <v>201</v>
      </c>
      <c r="D78" s="2">
        <v>14200276000</v>
      </c>
    </row>
    <row r="79" spans="1:4" x14ac:dyDescent="0.25">
      <c r="A79" t="s">
        <v>198</v>
      </c>
      <c r="B79" t="s">
        <v>430</v>
      </c>
      <c r="C79" t="s">
        <v>223</v>
      </c>
      <c r="D79" s="2">
        <v>25360000</v>
      </c>
    </row>
    <row r="80" spans="1:4" x14ac:dyDescent="0.25">
      <c r="A80" t="s">
        <v>198</v>
      </c>
      <c r="B80" t="s">
        <v>430</v>
      </c>
      <c r="C80" t="s">
        <v>237</v>
      </c>
      <c r="D80" s="2">
        <v>440426000</v>
      </c>
    </row>
    <row r="81" spans="1:4" x14ac:dyDescent="0.25">
      <c r="A81" t="s">
        <v>198</v>
      </c>
      <c r="B81" t="s">
        <v>430</v>
      </c>
      <c r="C81" t="s">
        <v>395</v>
      </c>
      <c r="D81" s="2">
        <v>100000000</v>
      </c>
    </row>
    <row r="82" spans="1:4" x14ac:dyDescent="0.25">
      <c r="A82" t="s">
        <v>198</v>
      </c>
      <c r="B82" t="s">
        <v>430</v>
      </c>
      <c r="C82" t="s">
        <v>266</v>
      </c>
      <c r="D82" s="2">
        <v>100000000</v>
      </c>
    </row>
    <row r="83" spans="1:4" x14ac:dyDescent="0.25">
      <c r="A83" t="s">
        <v>198</v>
      </c>
      <c r="B83" t="s">
        <v>430</v>
      </c>
      <c r="C83" t="s">
        <v>273</v>
      </c>
      <c r="D83" s="2">
        <v>160000000</v>
      </c>
    </row>
    <row r="84" spans="1:4" x14ac:dyDescent="0.25">
      <c r="A84" t="s">
        <v>198</v>
      </c>
      <c r="B84" t="s">
        <v>430</v>
      </c>
      <c r="C84" t="s">
        <v>274</v>
      </c>
      <c r="D84" s="2">
        <v>140000000</v>
      </c>
    </row>
    <row r="85" spans="1:4" x14ac:dyDescent="0.25">
      <c r="A85" t="s">
        <v>198</v>
      </c>
      <c r="B85" t="s">
        <v>430</v>
      </c>
      <c r="C85" t="s">
        <v>280</v>
      </c>
      <c r="D85" s="2">
        <v>30000000</v>
      </c>
    </row>
    <row r="86" spans="1:4" x14ac:dyDescent="0.25">
      <c r="A86" t="s">
        <v>198</v>
      </c>
      <c r="B86" t="s">
        <v>430</v>
      </c>
      <c r="C86" t="s">
        <v>283</v>
      </c>
      <c r="D86" s="2">
        <v>105000000</v>
      </c>
    </row>
    <row r="87" spans="1:4" x14ac:dyDescent="0.25">
      <c r="A87" t="s">
        <v>198</v>
      </c>
      <c r="B87" t="s">
        <v>430</v>
      </c>
      <c r="C87" t="s">
        <v>295</v>
      </c>
      <c r="D87" s="2">
        <v>50000000</v>
      </c>
    </row>
    <row r="88" spans="1:4" x14ac:dyDescent="0.25">
      <c r="A88" t="s">
        <v>198</v>
      </c>
      <c r="B88" t="s">
        <v>430</v>
      </c>
      <c r="C88" t="s">
        <v>305</v>
      </c>
      <c r="D88" s="2">
        <v>70000000</v>
      </c>
    </row>
    <row r="89" spans="1:4" x14ac:dyDescent="0.25">
      <c r="A89" t="s">
        <v>198</v>
      </c>
      <c r="B89" t="s">
        <v>430</v>
      </c>
      <c r="C89" t="s">
        <v>314</v>
      </c>
      <c r="D89" s="2">
        <v>120328000</v>
      </c>
    </row>
    <row r="90" spans="1:4" x14ac:dyDescent="0.25">
      <c r="A90" t="s">
        <v>198</v>
      </c>
      <c r="B90" t="s">
        <v>430</v>
      </c>
      <c r="C90" t="s">
        <v>336</v>
      </c>
      <c r="D90" s="2">
        <v>45000000</v>
      </c>
    </row>
    <row r="91" spans="1:4" x14ac:dyDescent="0.25">
      <c r="A91" t="s">
        <v>198</v>
      </c>
      <c r="B91" t="s">
        <v>430</v>
      </c>
      <c r="C91" t="s">
        <v>340</v>
      </c>
      <c r="D91" s="2">
        <v>180000000</v>
      </c>
    </row>
    <row r="92" spans="1:4" x14ac:dyDescent="0.25">
      <c r="A92" t="s">
        <v>198</v>
      </c>
      <c r="B92" t="s">
        <v>430</v>
      </c>
      <c r="C92" t="s">
        <v>414</v>
      </c>
      <c r="D92" s="2">
        <v>45000000</v>
      </c>
    </row>
    <row r="93" spans="1:4" x14ac:dyDescent="0.25">
      <c r="A93" t="s">
        <v>198</v>
      </c>
      <c r="B93" t="s">
        <v>430</v>
      </c>
      <c r="C93" t="s">
        <v>353</v>
      </c>
      <c r="D93" s="2">
        <v>80000000</v>
      </c>
    </row>
    <row r="94" spans="1:4" x14ac:dyDescent="0.25">
      <c r="A94" t="s">
        <v>198</v>
      </c>
      <c r="B94" t="s">
        <v>429</v>
      </c>
      <c r="C94" t="s">
        <v>201</v>
      </c>
      <c r="D94" s="2">
        <v>1195000000</v>
      </c>
    </row>
    <row r="95" spans="1:4" x14ac:dyDescent="0.25">
      <c r="A95" t="s">
        <v>198</v>
      </c>
      <c r="B95" t="s">
        <v>429</v>
      </c>
      <c r="C95" t="s">
        <v>305</v>
      </c>
      <c r="D95" s="2">
        <v>75000000</v>
      </c>
    </row>
    <row r="96" spans="1:4" x14ac:dyDescent="0.25">
      <c r="A96" t="s">
        <v>198</v>
      </c>
      <c r="B96" t="s">
        <v>435</v>
      </c>
      <c r="C96" t="s">
        <v>201</v>
      </c>
      <c r="D96" s="2">
        <v>32971061000</v>
      </c>
    </row>
    <row r="97" spans="1:4" x14ac:dyDescent="0.25">
      <c r="A97" t="s">
        <v>198</v>
      </c>
      <c r="B97" t="s">
        <v>435</v>
      </c>
      <c r="C97" t="s">
        <v>220</v>
      </c>
      <c r="D97" s="2">
        <v>201200000</v>
      </c>
    </row>
    <row r="98" spans="1:4" x14ac:dyDescent="0.25">
      <c r="A98" t="s">
        <v>198</v>
      </c>
      <c r="B98" t="s">
        <v>435</v>
      </c>
      <c r="C98" t="s">
        <v>234</v>
      </c>
      <c r="D98" s="2">
        <v>25000000</v>
      </c>
    </row>
    <row r="99" spans="1:4" x14ac:dyDescent="0.25">
      <c r="A99" t="s">
        <v>198</v>
      </c>
      <c r="B99" t="s">
        <v>435</v>
      </c>
      <c r="C99" t="s">
        <v>236</v>
      </c>
      <c r="D99" s="2">
        <v>50000000</v>
      </c>
    </row>
    <row r="100" spans="1:4" x14ac:dyDescent="0.25">
      <c r="A100" t="s">
        <v>198</v>
      </c>
      <c r="B100" t="s">
        <v>435</v>
      </c>
      <c r="C100" t="s">
        <v>233</v>
      </c>
      <c r="D100" s="2">
        <v>158000000</v>
      </c>
    </row>
    <row r="101" spans="1:4" x14ac:dyDescent="0.25">
      <c r="A101" t="s">
        <v>198</v>
      </c>
      <c r="B101" t="s">
        <v>435</v>
      </c>
      <c r="C101" t="s">
        <v>237</v>
      </c>
      <c r="D101" s="2">
        <v>532700000</v>
      </c>
    </row>
    <row r="102" spans="1:4" x14ac:dyDescent="0.25">
      <c r="A102" t="s">
        <v>198</v>
      </c>
      <c r="B102" t="s">
        <v>435</v>
      </c>
      <c r="C102" t="s">
        <v>245</v>
      </c>
      <c r="D102" s="2">
        <v>25000000</v>
      </c>
    </row>
    <row r="103" spans="1:4" x14ac:dyDescent="0.25">
      <c r="A103" t="s">
        <v>198</v>
      </c>
      <c r="B103" t="s">
        <v>435</v>
      </c>
      <c r="C103" t="s">
        <v>251</v>
      </c>
      <c r="D103" s="2">
        <v>50000000</v>
      </c>
    </row>
    <row r="104" spans="1:4" x14ac:dyDescent="0.25">
      <c r="A104" t="s">
        <v>198</v>
      </c>
      <c r="B104" t="s">
        <v>435</v>
      </c>
      <c r="C104" t="s">
        <v>261</v>
      </c>
      <c r="D104" s="2">
        <v>20000000</v>
      </c>
    </row>
    <row r="105" spans="1:4" x14ac:dyDescent="0.25">
      <c r="A105" t="s">
        <v>198</v>
      </c>
      <c r="B105" t="s">
        <v>435</v>
      </c>
      <c r="C105" t="s">
        <v>262</v>
      </c>
      <c r="D105" s="2">
        <v>691000000</v>
      </c>
    </row>
    <row r="106" spans="1:4" x14ac:dyDescent="0.25">
      <c r="A106" t="s">
        <v>198</v>
      </c>
      <c r="B106" t="s">
        <v>435</v>
      </c>
      <c r="C106" t="s">
        <v>267</v>
      </c>
      <c r="D106" s="2">
        <v>1259800000</v>
      </c>
    </row>
    <row r="107" spans="1:4" x14ac:dyDescent="0.25">
      <c r="A107" t="s">
        <v>198</v>
      </c>
      <c r="B107" t="s">
        <v>435</v>
      </c>
      <c r="C107" t="s">
        <v>205</v>
      </c>
      <c r="D107" s="2">
        <v>100000000</v>
      </c>
    </row>
    <row r="108" spans="1:4" x14ac:dyDescent="0.25">
      <c r="A108" t="s">
        <v>198</v>
      </c>
      <c r="B108" t="s">
        <v>435</v>
      </c>
      <c r="C108" t="s">
        <v>272</v>
      </c>
      <c r="D108" s="2">
        <v>145000000</v>
      </c>
    </row>
    <row r="109" spans="1:4" x14ac:dyDescent="0.25">
      <c r="A109" t="s">
        <v>198</v>
      </c>
      <c r="B109" t="s">
        <v>435</v>
      </c>
      <c r="C109" t="s">
        <v>273</v>
      </c>
      <c r="D109" s="2">
        <v>58500000</v>
      </c>
    </row>
    <row r="110" spans="1:4" x14ac:dyDescent="0.25">
      <c r="A110" t="s">
        <v>198</v>
      </c>
      <c r="B110" t="s">
        <v>435</v>
      </c>
      <c r="C110" t="s">
        <v>274</v>
      </c>
      <c r="D110" s="2">
        <v>100000000</v>
      </c>
    </row>
    <row r="111" spans="1:4" x14ac:dyDescent="0.25">
      <c r="A111" t="s">
        <v>198</v>
      </c>
      <c r="B111" t="s">
        <v>435</v>
      </c>
      <c r="C111" t="s">
        <v>275</v>
      </c>
      <c r="D111" s="2">
        <v>162000000</v>
      </c>
    </row>
    <row r="112" spans="1:4" x14ac:dyDescent="0.25">
      <c r="A112" t="s">
        <v>198</v>
      </c>
      <c r="B112" t="s">
        <v>435</v>
      </c>
      <c r="C112" t="s">
        <v>283</v>
      </c>
      <c r="D112" s="2">
        <v>25000000</v>
      </c>
    </row>
    <row r="113" spans="1:4" x14ac:dyDescent="0.25">
      <c r="A113" t="s">
        <v>198</v>
      </c>
      <c r="B113" t="s">
        <v>435</v>
      </c>
      <c r="C113" t="s">
        <v>284</v>
      </c>
      <c r="D113" s="2">
        <v>400000000</v>
      </c>
    </row>
    <row r="114" spans="1:4" x14ac:dyDescent="0.25">
      <c r="A114" t="s">
        <v>198</v>
      </c>
      <c r="B114" t="s">
        <v>435</v>
      </c>
      <c r="C114" t="s">
        <v>289</v>
      </c>
      <c r="D114" s="2">
        <v>14500000</v>
      </c>
    </row>
    <row r="115" spans="1:4" x14ac:dyDescent="0.25">
      <c r="A115" t="s">
        <v>198</v>
      </c>
      <c r="B115" t="s">
        <v>435</v>
      </c>
      <c r="C115" t="s">
        <v>296</v>
      </c>
      <c r="D115" s="2">
        <v>200000000</v>
      </c>
    </row>
    <row r="116" spans="1:4" x14ac:dyDescent="0.25">
      <c r="A116" t="s">
        <v>198</v>
      </c>
      <c r="B116" t="s">
        <v>435</v>
      </c>
      <c r="C116" t="s">
        <v>300</v>
      </c>
      <c r="D116" s="2">
        <v>50000000</v>
      </c>
    </row>
    <row r="117" spans="1:4" x14ac:dyDescent="0.25">
      <c r="A117" t="s">
        <v>198</v>
      </c>
      <c r="B117" t="s">
        <v>435</v>
      </c>
      <c r="C117" t="s">
        <v>301</v>
      </c>
      <c r="D117" s="2">
        <v>57500000</v>
      </c>
    </row>
    <row r="118" spans="1:4" x14ac:dyDescent="0.25">
      <c r="A118" t="s">
        <v>198</v>
      </c>
      <c r="B118" t="s">
        <v>435</v>
      </c>
      <c r="C118" t="s">
        <v>304</v>
      </c>
      <c r="D118" s="2">
        <v>55000000</v>
      </c>
    </row>
    <row r="119" spans="1:4" x14ac:dyDescent="0.25">
      <c r="A119" t="s">
        <v>198</v>
      </c>
      <c r="B119" t="s">
        <v>435</v>
      </c>
      <c r="C119" t="s">
        <v>305</v>
      </c>
      <c r="D119" s="2">
        <v>50000000</v>
      </c>
    </row>
    <row r="120" spans="1:4" x14ac:dyDescent="0.25">
      <c r="A120" t="s">
        <v>198</v>
      </c>
      <c r="B120" t="s">
        <v>435</v>
      </c>
      <c r="C120" t="s">
        <v>308</v>
      </c>
      <c r="D120" s="2">
        <v>100000000</v>
      </c>
    </row>
    <row r="121" spans="1:4" x14ac:dyDescent="0.25">
      <c r="A121" t="s">
        <v>198</v>
      </c>
      <c r="B121" t="s">
        <v>435</v>
      </c>
      <c r="C121" t="s">
        <v>314</v>
      </c>
      <c r="D121" s="2">
        <v>50000000</v>
      </c>
    </row>
    <row r="122" spans="1:4" x14ac:dyDescent="0.25">
      <c r="A122" t="s">
        <v>198</v>
      </c>
      <c r="B122" t="s">
        <v>435</v>
      </c>
      <c r="C122" t="s">
        <v>319</v>
      </c>
      <c r="D122" s="2">
        <v>65000000</v>
      </c>
    </row>
    <row r="123" spans="1:4" x14ac:dyDescent="0.25">
      <c r="A123" t="s">
        <v>198</v>
      </c>
      <c r="B123" t="s">
        <v>435</v>
      </c>
      <c r="C123" t="s">
        <v>325</v>
      </c>
      <c r="D123" s="2">
        <v>13000000</v>
      </c>
    </row>
    <row r="124" spans="1:4" x14ac:dyDescent="0.25">
      <c r="A124" t="s">
        <v>198</v>
      </c>
      <c r="B124" t="s">
        <v>435</v>
      </c>
      <c r="C124" t="s">
        <v>326</v>
      </c>
      <c r="D124" s="2">
        <v>120000000</v>
      </c>
    </row>
    <row r="125" spans="1:4" x14ac:dyDescent="0.25">
      <c r="A125" t="s">
        <v>198</v>
      </c>
      <c r="B125" t="s">
        <v>435</v>
      </c>
      <c r="C125" t="s">
        <v>327</v>
      </c>
      <c r="D125" s="2">
        <v>203000000</v>
      </c>
    </row>
    <row r="126" spans="1:4" x14ac:dyDescent="0.25">
      <c r="A126" t="s">
        <v>198</v>
      </c>
      <c r="B126" t="s">
        <v>435</v>
      </c>
      <c r="C126" t="s">
        <v>328</v>
      </c>
      <c r="D126" s="2">
        <v>25000000</v>
      </c>
    </row>
    <row r="127" spans="1:4" x14ac:dyDescent="0.25">
      <c r="A127" t="s">
        <v>198</v>
      </c>
      <c r="B127" t="s">
        <v>435</v>
      </c>
      <c r="C127" t="s">
        <v>340</v>
      </c>
      <c r="D127" s="2">
        <v>205000000</v>
      </c>
    </row>
    <row r="128" spans="1:4" x14ac:dyDescent="0.25">
      <c r="A128" t="s">
        <v>198</v>
      </c>
      <c r="B128" t="s">
        <v>435</v>
      </c>
      <c r="C128" t="s">
        <v>344</v>
      </c>
      <c r="D128" s="2">
        <v>50000000</v>
      </c>
    </row>
    <row r="129" spans="1:4" x14ac:dyDescent="0.25">
      <c r="A129" t="s">
        <v>198</v>
      </c>
      <c r="B129" t="s">
        <v>435</v>
      </c>
      <c r="C129" t="s">
        <v>347</v>
      </c>
      <c r="D129" s="2">
        <v>10000000</v>
      </c>
    </row>
    <row r="130" spans="1:4" x14ac:dyDescent="0.25">
      <c r="A130" t="s">
        <v>198</v>
      </c>
      <c r="B130" t="s">
        <v>435</v>
      </c>
      <c r="C130" t="s">
        <v>355</v>
      </c>
      <c r="D130" s="2">
        <v>330000000</v>
      </c>
    </row>
    <row r="131" spans="1:4" x14ac:dyDescent="0.25">
      <c r="A131" t="s">
        <v>198</v>
      </c>
      <c r="B131" t="s">
        <v>435</v>
      </c>
      <c r="C131" t="s">
        <v>364</v>
      </c>
      <c r="D131" s="2">
        <v>285000000</v>
      </c>
    </row>
    <row r="132" spans="1:4" x14ac:dyDescent="0.25">
      <c r="A132" t="s">
        <v>198</v>
      </c>
      <c r="B132" t="s">
        <v>435</v>
      </c>
      <c r="C132" t="s">
        <v>372</v>
      </c>
      <c r="D132" s="2">
        <v>5000000</v>
      </c>
    </row>
    <row r="133" spans="1:4" x14ac:dyDescent="0.25">
      <c r="A133" t="s">
        <v>198</v>
      </c>
      <c r="B133" t="s">
        <v>435</v>
      </c>
      <c r="C133" t="s">
        <v>374</v>
      </c>
      <c r="D133" s="2">
        <v>1195950000</v>
      </c>
    </row>
    <row r="134" spans="1:4" x14ac:dyDescent="0.25">
      <c r="A134" t="s">
        <v>198</v>
      </c>
      <c r="B134" t="s">
        <v>435</v>
      </c>
      <c r="C134" t="s">
        <v>376</v>
      </c>
      <c r="D134" s="2">
        <v>100000000</v>
      </c>
    </row>
    <row r="135" spans="1:4" x14ac:dyDescent="0.25">
      <c r="A135" t="s">
        <v>198</v>
      </c>
      <c r="B135" t="s">
        <v>435</v>
      </c>
      <c r="C135" t="s">
        <v>388</v>
      </c>
      <c r="D135" s="2">
        <v>100000000</v>
      </c>
    </row>
    <row r="136" spans="1:4" x14ac:dyDescent="0.25">
      <c r="A136" t="s">
        <v>198</v>
      </c>
      <c r="B136" t="s">
        <v>435</v>
      </c>
      <c r="C136" t="s">
        <v>392</v>
      </c>
      <c r="D136" s="2">
        <v>12000000</v>
      </c>
    </row>
    <row r="137" spans="1:4" x14ac:dyDescent="0.25">
      <c r="A137" t="s">
        <v>198</v>
      </c>
      <c r="B137" t="s">
        <v>436</v>
      </c>
      <c r="C137" t="s">
        <v>201</v>
      </c>
      <c r="D137" s="2">
        <v>1389000000</v>
      </c>
    </row>
    <row r="138" spans="1:4" x14ac:dyDescent="0.25">
      <c r="A138" t="s">
        <v>198</v>
      </c>
      <c r="B138" t="s">
        <v>436</v>
      </c>
      <c r="C138" t="s">
        <v>235</v>
      </c>
      <c r="D138" s="2">
        <v>50000000</v>
      </c>
    </row>
    <row r="139" spans="1:4" x14ac:dyDescent="0.25">
      <c r="A139" t="s">
        <v>198</v>
      </c>
      <c r="B139" t="s">
        <v>436</v>
      </c>
      <c r="C139" t="s">
        <v>237</v>
      </c>
      <c r="D139" s="2">
        <v>45000000</v>
      </c>
    </row>
    <row r="140" spans="1:4" x14ac:dyDescent="0.25">
      <c r="A140" t="s">
        <v>198</v>
      </c>
      <c r="B140" t="s">
        <v>436</v>
      </c>
      <c r="C140" t="s">
        <v>262</v>
      </c>
      <c r="D140" s="2">
        <v>54000000</v>
      </c>
    </row>
    <row r="141" spans="1:4" x14ac:dyDescent="0.25">
      <c r="A141" t="s">
        <v>198</v>
      </c>
      <c r="B141" t="s">
        <v>436</v>
      </c>
      <c r="C141" t="s">
        <v>267</v>
      </c>
      <c r="D141" s="2">
        <v>329500000</v>
      </c>
    </row>
    <row r="142" spans="1:4" x14ac:dyDescent="0.25">
      <c r="A142" t="s">
        <v>198</v>
      </c>
      <c r="B142" t="s">
        <v>436</v>
      </c>
      <c r="C142" t="s">
        <v>205</v>
      </c>
      <c r="D142" s="2">
        <v>45000000</v>
      </c>
    </row>
    <row r="143" spans="1:4" x14ac:dyDescent="0.25">
      <c r="A143" t="s">
        <v>198</v>
      </c>
      <c r="B143" t="s">
        <v>436</v>
      </c>
      <c r="C143" t="s">
        <v>272</v>
      </c>
      <c r="D143" s="2">
        <v>20000000</v>
      </c>
    </row>
    <row r="144" spans="1:4" x14ac:dyDescent="0.25">
      <c r="A144" t="s">
        <v>198</v>
      </c>
      <c r="B144" t="s">
        <v>436</v>
      </c>
      <c r="C144" t="s">
        <v>275</v>
      </c>
      <c r="D144" s="2">
        <v>102000000</v>
      </c>
    </row>
    <row r="145" spans="1:4" x14ac:dyDescent="0.25">
      <c r="A145" t="s">
        <v>198</v>
      </c>
      <c r="B145" t="s">
        <v>436</v>
      </c>
      <c r="C145" t="s">
        <v>295</v>
      </c>
      <c r="D145" s="2">
        <v>17000000</v>
      </c>
    </row>
    <row r="146" spans="1:4" x14ac:dyDescent="0.25">
      <c r="A146" t="s">
        <v>198</v>
      </c>
      <c r="B146" t="s">
        <v>436</v>
      </c>
      <c r="C146" t="s">
        <v>301</v>
      </c>
      <c r="D146" s="2">
        <v>110000000</v>
      </c>
    </row>
    <row r="147" spans="1:4" x14ac:dyDescent="0.25">
      <c r="A147" t="s">
        <v>198</v>
      </c>
      <c r="B147" t="s">
        <v>436</v>
      </c>
      <c r="C147" t="s">
        <v>327</v>
      </c>
      <c r="D147" s="2">
        <v>18000000</v>
      </c>
    </row>
    <row r="148" spans="1:4" x14ac:dyDescent="0.25">
      <c r="A148" t="s">
        <v>198</v>
      </c>
      <c r="B148" t="s">
        <v>436</v>
      </c>
      <c r="C148" t="s">
        <v>374</v>
      </c>
      <c r="D148" s="2">
        <v>161750000</v>
      </c>
    </row>
    <row r="149" spans="1:4" x14ac:dyDescent="0.25">
      <c r="A149" t="s">
        <v>198</v>
      </c>
      <c r="B149" t="s">
        <v>437</v>
      </c>
      <c r="C149" t="s">
        <v>201</v>
      </c>
      <c r="D149" s="2">
        <v>75000000</v>
      </c>
    </row>
    <row r="150" spans="1:4" x14ac:dyDescent="0.25">
      <c r="A150" t="s">
        <v>198</v>
      </c>
      <c r="B150" t="s">
        <v>437</v>
      </c>
      <c r="C150" t="s">
        <v>262</v>
      </c>
      <c r="D150" s="2">
        <v>7500000</v>
      </c>
    </row>
    <row r="151" spans="1:4" x14ac:dyDescent="0.25">
      <c r="A151" t="s">
        <v>198</v>
      </c>
      <c r="B151" t="s">
        <v>437</v>
      </c>
      <c r="C151" t="s">
        <v>275</v>
      </c>
      <c r="D151" s="2">
        <v>75000000</v>
      </c>
    </row>
    <row r="152" spans="1:4" x14ac:dyDescent="0.25">
      <c r="A152" t="s">
        <v>198</v>
      </c>
      <c r="B152" t="s">
        <v>437</v>
      </c>
      <c r="C152" t="s">
        <v>301</v>
      </c>
      <c r="D152" s="2">
        <v>1500000</v>
      </c>
    </row>
    <row r="153" spans="1:4" x14ac:dyDescent="0.25">
      <c r="A153" t="s">
        <v>198</v>
      </c>
      <c r="B153" t="s">
        <v>437</v>
      </c>
      <c r="C153" t="s">
        <v>326</v>
      </c>
      <c r="D153" s="2">
        <v>5000000</v>
      </c>
    </row>
    <row r="154" spans="1:4" x14ac:dyDescent="0.25">
      <c r="A154" t="s">
        <v>198</v>
      </c>
      <c r="B154" t="s">
        <v>437</v>
      </c>
      <c r="C154" t="s">
        <v>327</v>
      </c>
      <c r="D154" s="2">
        <v>30000000</v>
      </c>
    </row>
    <row r="155" spans="1:4" x14ac:dyDescent="0.25">
      <c r="A155" t="s">
        <v>198</v>
      </c>
      <c r="B155" t="s">
        <v>437</v>
      </c>
      <c r="C155" t="s">
        <v>374</v>
      </c>
      <c r="D155" s="2">
        <v>57250000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A206CB-77EA-4E6D-A6B8-A8CEB3A714AC}">
          <x14:formula1>
            <xm:f>Sheet7!$A$1:$A$217</xm:f>
          </x14:formula1>
          <xm:sqref>C2:C200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1EE1-6DE1-4954-8446-4BC5DFACFFB8}">
  <dimension ref="A1:D167"/>
  <sheetViews>
    <sheetView topLeftCell="B1" workbookViewId="0">
      <selection activeCell="D3" sqref="D3"/>
    </sheetView>
  </sheetViews>
  <sheetFormatPr defaultRowHeight="15" x14ac:dyDescent="0.25"/>
  <cols>
    <col min="1" max="3" width="40.7109375" customWidth="1"/>
    <col min="4" max="4" width="18.7109375" customWidth="1"/>
  </cols>
  <sheetData>
    <row r="1" spans="1:4" x14ac:dyDescent="0.25">
      <c r="A1" s="18" t="s">
        <v>8</v>
      </c>
      <c r="B1" s="18" t="s">
        <v>438</v>
      </c>
      <c r="C1" s="18" t="s">
        <v>200</v>
      </c>
      <c r="D1" s="18" t="s">
        <v>427</v>
      </c>
    </row>
    <row r="2" spans="1:4" x14ac:dyDescent="0.25">
      <c r="A2" s="17" t="s">
        <v>197</v>
      </c>
      <c r="B2" s="17" t="s">
        <v>671</v>
      </c>
      <c r="C2" t="s">
        <v>201</v>
      </c>
      <c r="D2" s="2">
        <v>4385000000</v>
      </c>
    </row>
    <row r="3" spans="1:4" x14ac:dyDescent="0.25">
      <c r="A3" s="17" t="s">
        <v>197</v>
      </c>
      <c r="B3" s="17" t="s">
        <v>671</v>
      </c>
      <c r="C3" t="s">
        <v>232</v>
      </c>
      <c r="D3" s="2">
        <v>200000000</v>
      </c>
    </row>
    <row r="4" spans="1:4" x14ac:dyDescent="0.25">
      <c r="A4" s="17" t="s">
        <v>197</v>
      </c>
      <c r="B4" s="17" t="s">
        <v>672</v>
      </c>
      <c r="C4" t="s">
        <v>201</v>
      </c>
      <c r="D4" s="2">
        <v>2738500000</v>
      </c>
    </row>
    <row r="5" spans="1:4" x14ac:dyDescent="0.25">
      <c r="A5" s="17" t="s">
        <v>197</v>
      </c>
      <c r="B5" s="17" t="s">
        <v>672</v>
      </c>
      <c r="C5" t="s">
        <v>248</v>
      </c>
      <c r="D5" s="2">
        <v>150000000</v>
      </c>
    </row>
    <row r="6" spans="1:4" x14ac:dyDescent="0.25">
      <c r="A6" s="17" t="s">
        <v>199</v>
      </c>
      <c r="B6" s="17" t="s">
        <v>670</v>
      </c>
      <c r="C6" t="s">
        <v>201</v>
      </c>
      <c r="D6" s="2">
        <v>182700000</v>
      </c>
    </row>
    <row r="7" spans="1:4" x14ac:dyDescent="0.25">
      <c r="A7" s="17" t="s">
        <v>199</v>
      </c>
      <c r="B7" s="17" t="s">
        <v>673</v>
      </c>
      <c r="C7" t="s">
        <v>201</v>
      </c>
      <c r="D7" s="2">
        <v>8646500000</v>
      </c>
    </row>
    <row r="8" spans="1:4" x14ac:dyDescent="0.25">
      <c r="A8" s="17" t="s">
        <v>199</v>
      </c>
      <c r="B8" s="17" t="s">
        <v>673</v>
      </c>
      <c r="C8" t="s">
        <v>228</v>
      </c>
      <c r="D8" s="2">
        <v>100000000</v>
      </c>
    </row>
    <row r="9" spans="1:4" x14ac:dyDescent="0.25">
      <c r="A9" s="17" t="s">
        <v>199</v>
      </c>
      <c r="B9" s="17" t="s">
        <v>673</v>
      </c>
      <c r="C9" t="s">
        <v>254</v>
      </c>
      <c r="D9" s="2">
        <v>150000000</v>
      </c>
    </row>
    <row r="10" spans="1:4" x14ac:dyDescent="0.25">
      <c r="A10" s="17" t="s">
        <v>199</v>
      </c>
      <c r="B10" s="17" t="s">
        <v>673</v>
      </c>
      <c r="C10" t="s">
        <v>279</v>
      </c>
      <c r="D10" s="2">
        <v>50000000</v>
      </c>
    </row>
    <row r="11" spans="1:4" x14ac:dyDescent="0.25">
      <c r="A11" s="17" t="s">
        <v>199</v>
      </c>
      <c r="B11" s="17" t="s">
        <v>673</v>
      </c>
      <c r="C11" t="s">
        <v>296</v>
      </c>
      <c r="D11" s="2">
        <v>150000000</v>
      </c>
    </row>
    <row r="12" spans="1:4" x14ac:dyDescent="0.25">
      <c r="A12" s="17" t="s">
        <v>199</v>
      </c>
      <c r="B12" s="17" t="s">
        <v>674</v>
      </c>
      <c r="C12" t="s">
        <v>201</v>
      </c>
      <c r="D12" s="2">
        <v>700000000</v>
      </c>
    </row>
    <row r="13" spans="1:4" x14ac:dyDescent="0.25">
      <c r="A13" s="17" t="s">
        <v>199</v>
      </c>
      <c r="B13" s="17" t="s">
        <v>675</v>
      </c>
      <c r="C13" t="s">
        <v>201</v>
      </c>
      <c r="D13" s="2">
        <v>150000000</v>
      </c>
    </row>
    <row r="14" spans="1:4" x14ac:dyDescent="0.25">
      <c r="A14" s="17" t="s">
        <v>199</v>
      </c>
      <c r="B14" s="17" t="s">
        <v>676</v>
      </c>
      <c r="C14" t="s">
        <v>201</v>
      </c>
      <c r="D14" s="2">
        <v>6973000000</v>
      </c>
    </row>
    <row r="15" spans="1:4" x14ac:dyDescent="0.25">
      <c r="A15" s="17" t="s">
        <v>199</v>
      </c>
      <c r="B15" s="17" t="s">
        <v>676</v>
      </c>
      <c r="C15" t="s">
        <v>222</v>
      </c>
      <c r="D15" s="2">
        <v>60000000</v>
      </c>
    </row>
    <row r="16" spans="1:4" x14ac:dyDescent="0.25">
      <c r="A16" s="17" t="s">
        <v>199</v>
      </c>
      <c r="B16" s="17" t="s">
        <v>677</v>
      </c>
      <c r="C16" t="s">
        <v>201</v>
      </c>
      <c r="D16" s="2">
        <v>800000000</v>
      </c>
    </row>
    <row r="17" spans="1:4" x14ac:dyDescent="0.25">
      <c r="A17" s="17" t="s">
        <v>199</v>
      </c>
      <c r="B17" s="17" t="s">
        <v>678</v>
      </c>
      <c r="C17" t="s">
        <v>298</v>
      </c>
      <c r="D17" s="2">
        <v>50000000</v>
      </c>
    </row>
    <row r="18" spans="1:4" x14ac:dyDescent="0.25">
      <c r="A18" s="17" t="s">
        <v>199</v>
      </c>
      <c r="B18" s="17" t="s">
        <v>679</v>
      </c>
      <c r="C18" t="s">
        <v>386</v>
      </c>
      <c r="D18" s="2">
        <v>30000000</v>
      </c>
    </row>
    <row r="19" spans="1:4" x14ac:dyDescent="0.25">
      <c r="A19" t="s">
        <v>198</v>
      </c>
      <c r="B19" t="s">
        <v>433</v>
      </c>
      <c r="C19" t="s">
        <v>201</v>
      </c>
      <c r="D19" s="2">
        <v>550000000</v>
      </c>
    </row>
    <row r="20" spans="1:4" x14ac:dyDescent="0.25">
      <c r="D20" s="2"/>
    </row>
    <row r="21" spans="1:4" x14ac:dyDescent="0.25">
      <c r="D21" s="2"/>
    </row>
    <row r="22" spans="1:4" x14ac:dyDescent="0.25">
      <c r="D22" s="2"/>
    </row>
    <row r="23" spans="1:4" x14ac:dyDescent="0.25">
      <c r="D23" s="2"/>
    </row>
    <row r="24" spans="1:4" x14ac:dyDescent="0.25">
      <c r="D24" s="2"/>
    </row>
    <row r="25" spans="1:4" x14ac:dyDescent="0.25">
      <c r="D25" s="2"/>
    </row>
    <row r="26" spans="1:4" x14ac:dyDescent="0.25">
      <c r="D26" s="2"/>
    </row>
    <row r="27" spans="1:4" x14ac:dyDescent="0.25">
      <c r="D27" s="2"/>
    </row>
    <row r="28" spans="1:4" x14ac:dyDescent="0.25">
      <c r="D28" s="2"/>
    </row>
    <row r="29" spans="1:4" x14ac:dyDescent="0.25">
      <c r="D29" s="2"/>
    </row>
    <row r="30" spans="1:4" x14ac:dyDescent="0.25">
      <c r="D30" s="2"/>
    </row>
    <row r="31" spans="1:4" x14ac:dyDescent="0.25">
      <c r="D31" s="2"/>
    </row>
    <row r="32" spans="1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0CF6DE-BF02-4DF2-8A6F-C041AE3E771C}">
          <x14:formula1>
            <xm:f>Sheet7!$A$1:$A$217</xm:f>
          </x14:formula1>
          <xm:sqref>C2:C212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D294-15F9-4232-94E5-46D5D9C61C07}">
  <dimension ref="A1:T156"/>
  <sheetViews>
    <sheetView topLeftCell="A24" workbookViewId="0">
      <selection activeCell="G54" sqref="G54"/>
    </sheetView>
  </sheetViews>
  <sheetFormatPr defaultRowHeight="15" x14ac:dyDescent="0.25"/>
  <cols>
    <col min="5" max="20" width="15.7109375" style="2" customWidth="1"/>
  </cols>
  <sheetData>
    <row r="1" spans="1:20" s="18" customFormat="1" x14ac:dyDescent="0.25">
      <c r="E1" s="19" t="s">
        <v>680</v>
      </c>
      <c r="F1" s="19" t="s">
        <v>681</v>
      </c>
      <c r="G1" s="19" t="s">
        <v>682</v>
      </c>
      <c r="H1" s="19" t="s">
        <v>683</v>
      </c>
      <c r="I1" s="19" t="s">
        <v>684</v>
      </c>
      <c r="J1" s="19" t="s">
        <v>685</v>
      </c>
      <c r="K1" s="19" t="s">
        <v>686</v>
      </c>
      <c r="L1" s="19" t="s">
        <v>687</v>
      </c>
      <c r="M1" s="19" t="s">
        <v>688</v>
      </c>
      <c r="N1" s="19" t="s">
        <v>689</v>
      </c>
      <c r="O1" s="19" t="s">
        <v>690</v>
      </c>
      <c r="P1" s="19" t="s">
        <v>691</v>
      </c>
      <c r="Q1" s="19" t="s">
        <v>692</v>
      </c>
      <c r="R1" s="19" t="s">
        <v>693</v>
      </c>
      <c r="S1" s="19" t="s">
        <v>694</v>
      </c>
      <c r="T1" s="19" t="s">
        <v>695</v>
      </c>
    </row>
    <row r="2" spans="1:20" x14ac:dyDescent="0.25">
      <c r="A2" s="25" t="s">
        <v>696</v>
      </c>
      <c r="B2" s="25"/>
      <c r="C2" s="25"/>
      <c r="D2" s="25"/>
      <c r="E2" s="26"/>
      <c r="F2" s="26"/>
      <c r="G2" s="26">
        <v>5384664000</v>
      </c>
      <c r="H2" s="26">
        <v>5684664000</v>
      </c>
      <c r="I2" s="26"/>
      <c r="J2" s="26"/>
      <c r="K2" s="26">
        <v>5983101000</v>
      </c>
      <c r="L2" s="26">
        <v>5988101000</v>
      </c>
      <c r="M2" s="27"/>
      <c r="N2" s="27"/>
      <c r="O2" s="27">
        <v>7209833000</v>
      </c>
      <c r="P2" s="27">
        <v>7525533000</v>
      </c>
      <c r="Q2" s="27"/>
      <c r="R2" s="27"/>
      <c r="S2" s="27">
        <v>10367766000</v>
      </c>
      <c r="T2" s="27">
        <v>10367766000</v>
      </c>
    </row>
    <row r="3" spans="1:20" x14ac:dyDescent="0.25">
      <c r="A3" s="25" t="s">
        <v>697</v>
      </c>
      <c r="B3" s="25"/>
      <c r="C3" s="25"/>
      <c r="D3" s="25"/>
      <c r="E3" s="26"/>
      <c r="F3" s="26"/>
      <c r="G3" s="26">
        <v>15844219000</v>
      </c>
      <c r="H3" s="26">
        <v>15844219000</v>
      </c>
      <c r="I3" s="26"/>
      <c r="J3" s="26"/>
      <c r="K3" s="26">
        <v>20558148000</v>
      </c>
      <c r="L3" s="26">
        <v>18582410000</v>
      </c>
      <c r="M3" s="27"/>
      <c r="N3" s="27"/>
      <c r="O3" s="27">
        <v>30449411000</v>
      </c>
      <c r="P3" s="27">
        <v>27075454000</v>
      </c>
      <c r="Q3" s="27"/>
      <c r="R3" s="27"/>
      <c r="S3" s="27">
        <v>54421963000</v>
      </c>
      <c r="T3" s="27">
        <v>41194729000</v>
      </c>
    </row>
    <row r="4" spans="1:20" x14ac:dyDescent="0.25">
      <c r="A4" s="25" t="s">
        <v>698</v>
      </c>
      <c r="B4" s="25"/>
      <c r="C4" s="25"/>
      <c r="D4" s="25"/>
      <c r="E4" s="26"/>
      <c r="F4" s="26"/>
      <c r="G4" s="26">
        <v>136305476000</v>
      </c>
      <c r="H4" s="26">
        <v>141077265000</v>
      </c>
      <c r="I4" s="26"/>
      <c r="J4" s="26"/>
      <c r="K4" s="26">
        <v>192518929000</v>
      </c>
      <c r="L4" s="26">
        <v>192674896000</v>
      </c>
      <c r="M4" s="27"/>
      <c r="N4" s="27"/>
      <c r="O4" s="27">
        <v>246064542000</v>
      </c>
      <c r="P4" s="27">
        <v>251202437000</v>
      </c>
      <c r="Q4" s="27"/>
      <c r="R4" s="27"/>
      <c r="S4" s="27">
        <v>308131688000</v>
      </c>
      <c r="T4" s="27">
        <v>309549483000</v>
      </c>
    </row>
    <row r="5" spans="1:20" x14ac:dyDescent="0.25">
      <c r="B5" s="25" t="s">
        <v>699</v>
      </c>
      <c r="C5" s="25"/>
      <c r="D5" s="25"/>
      <c r="E5" s="26"/>
      <c r="F5" s="26"/>
      <c r="G5" s="26">
        <v>91126208000</v>
      </c>
      <c r="H5" s="26">
        <v>94286423000</v>
      </c>
      <c r="I5" s="26"/>
      <c r="J5" s="26"/>
      <c r="K5" s="26">
        <v>130733736000</v>
      </c>
      <c r="L5" s="26">
        <v>129765347000</v>
      </c>
      <c r="M5" s="27"/>
      <c r="N5" s="27"/>
      <c r="O5" s="27">
        <v>160992631000</v>
      </c>
      <c r="P5" s="27">
        <v>162564819000</v>
      </c>
      <c r="Q5" s="27"/>
      <c r="R5" s="27"/>
      <c r="S5" s="27">
        <v>218581329000</v>
      </c>
      <c r="T5" s="27">
        <v>216892041000</v>
      </c>
    </row>
    <row r="6" spans="1:20" x14ac:dyDescent="0.25">
      <c r="C6" t="s">
        <v>700</v>
      </c>
      <c r="G6" s="13">
        <f>SUM(G7:G19)</f>
        <v>22170549000</v>
      </c>
      <c r="H6" s="13">
        <f>SUM(H7:H19)</f>
        <v>22671673000</v>
      </c>
      <c r="K6" s="13">
        <f>SUM(K7:K19)</f>
        <v>22325128000</v>
      </c>
      <c r="L6" s="13">
        <f>SUM(L7:L19)</f>
        <v>24039025000</v>
      </c>
      <c r="M6" s="3"/>
      <c r="N6" s="3"/>
      <c r="O6" s="13">
        <f>SUM(O7:O19)</f>
        <v>32889879000</v>
      </c>
      <c r="P6" s="13">
        <f>SUM(P7:P19)</f>
        <v>33848740000</v>
      </c>
      <c r="Q6" s="3"/>
      <c r="R6" s="3"/>
      <c r="S6" s="13">
        <f>SUM(S7:S19)</f>
        <v>39524477000</v>
      </c>
      <c r="T6" s="13">
        <f>SUM(T7:T19)</f>
        <v>41414434000</v>
      </c>
    </row>
    <row r="7" spans="1:20" x14ac:dyDescent="0.25">
      <c r="D7" t="s">
        <v>701</v>
      </c>
      <c r="E7" s="2">
        <v>82</v>
      </c>
      <c r="F7" s="2">
        <v>28</v>
      </c>
      <c r="G7" s="2">
        <v>4685506000</v>
      </c>
      <c r="H7" s="2">
        <v>3818677000</v>
      </c>
      <c r="I7" s="2">
        <v>125</v>
      </c>
      <c r="J7" s="2">
        <v>41</v>
      </c>
      <c r="K7" s="2">
        <v>270249000</v>
      </c>
      <c r="L7" s="2">
        <v>151286000</v>
      </c>
      <c r="M7" s="3">
        <v>5</v>
      </c>
      <c r="N7" s="3">
        <v>3</v>
      </c>
      <c r="O7" s="3">
        <v>1790370000</v>
      </c>
      <c r="P7" s="3">
        <v>1647613000</v>
      </c>
      <c r="Q7" s="3">
        <v>7</v>
      </c>
      <c r="R7" s="3">
        <v>7</v>
      </c>
      <c r="S7" s="3">
        <v>1323183000</v>
      </c>
      <c r="T7" s="3">
        <v>1309665000</v>
      </c>
    </row>
    <row r="8" spans="1:20" x14ac:dyDescent="0.25">
      <c r="D8" t="s">
        <v>702</v>
      </c>
      <c r="E8" s="2">
        <v>100</v>
      </c>
      <c r="F8" s="2">
        <v>41</v>
      </c>
      <c r="G8" s="2">
        <v>4200772000</v>
      </c>
      <c r="H8" s="2">
        <v>3641379000</v>
      </c>
      <c r="I8" s="2">
        <v>126</v>
      </c>
      <c r="J8" s="2">
        <v>42</v>
      </c>
      <c r="K8" s="2">
        <v>350699000</v>
      </c>
      <c r="L8" s="2">
        <v>312615000</v>
      </c>
      <c r="M8" s="3">
        <v>12</v>
      </c>
      <c r="N8" s="3">
        <v>5</v>
      </c>
      <c r="O8" s="3">
        <v>1941027000</v>
      </c>
      <c r="P8" s="3">
        <v>2002878000</v>
      </c>
      <c r="Q8" s="3">
        <v>9</v>
      </c>
      <c r="R8" s="3">
        <v>9</v>
      </c>
      <c r="S8" s="3">
        <v>2129504000</v>
      </c>
      <c r="T8" s="3">
        <v>2443034000</v>
      </c>
    </row>
    <row r="9" spans="1:20" x14ac:dyDescent="0.25">
      <c r="D9" t="s">
        <v>703</v>
      </c>
      <c r="M9" s="3">
        <v>19</v>
      </c>
      <c r="N9" s="3">
        <v>9</v>
      </c>
      <c r="O9" s="3">
        <v>1351655000</v>
      </c>
      <c r="P9" s="3">
        <v>1425356000</v>
      </c>
      <c r="Q9" s="3">
        <v>13</v>
      </c>
      <c r="R9" s="3">
        <v>14</v>
      </c>
      <c r="S9" s="3">
        <v>1210185000</v>
      </c>
      <c r="T9" s="3">
        <v>1627724000</v>
      </c>
    </row>
    <row r="10" spans="1:20" x14ac:dyDescent="0.25">
      <c r="D10" t="s">
        <v>704</v>
      </c>
      <c r="E10" s="2">
        <v>128</v>
      </c>
      <c r="F10" s="2">
        <v>58</v>
      </c>
      <c r="G10" s="2">
        <v>4704096000</v>
      </c>
      <c r="H10" s="2">
        <v>5706082000</v>
      </c>
      <c r="I10" s="2">
        <v>43</v>
      </c>
      <c r="J10" s="2">
        <v>44</v>
      </c>
      <c r="K10" s="2">
        <v>10688735000</v>
      </c>
      <c r="L10" s="2">
        <v>10993544000</v>
      </c>
      <c r="M10" s="3">
        <v>28</v>
      </c>
      <c r="N10" s="3">
        <v>12</v>
      </c>
      <c r="O10" s="3">
        <v>4843333000</v>
      </c>
      <c r="P10" s="3">
        <v>5566396000</v>
      </c>
      <c r="Q10" s="3">
        <v>17</v>
      </c>
      <c r="R10" s="3">
        <v>18</v>
      </c>
      <c r="S10" s="3">
        <v>4128637000</v>
      </c>
      <c r="T10" s="3">
        <v>4934827000</v>
      </c>
    </row>
    <row r="11" spans="1:20" x14ac:dyDescent="0.25">
      <c r="D11" t="s">
        <v>705</v>
      </c>
      <c r="E11" s="2">
        <v>145</v>
      </c>
      <c r="F11" s="2">
        <v>75</v>
      </c>
      <c r="G11" s="2">
        <v>3385821000</v>
      </c>
      <c r="H11" s="2">
        <v>4237369000</v>
      </c>
      <c r="I11" s="2">
        <v>56</v>
      </c>
      <c r="J11" s="2">
        <v>61</v>
      </c>
      <c r="K11" s="2">
        <v>4370347000</v>
      </c>
      <c r="L11" s="2">
        <v>5332354000</v>
      </c>
      <c r="M11" s="3">
        <v>35</v>
      </c>
      <c r="N11" s="3">
        <v>15</v>
      </c>
      <c r="O11" s="3">
        <v>4990493000</v>
      </c>
      <c r="P11" s="3">
        <v>5261753000</v>
      </c>
      <c r="Q11" s="3">
        <v>21</v>
      </c>
      <c r="R11" s="3">
        <v>23</v>
      </c>
      <c r="S11" s="3">
        <v>5647718000</v>
      </c>
      <c r="T11" s="3">
        <v>6272038000</v>
      </c>
    </row>
    <row r="12" spans="1:20" x14ac:dyDescent="0.25">
      <c r="D12" t="s">
        <v>706</v>
      </c>
      <c r="M12" s="3">
        <v>43</v>
      </c>
      <c r="N12" s="3">
        <v>20</v>
      </c>
      <c r="O12" s="3">
        <v>4324660000</v>
      </c>
      <c r="P12" s="3">
        <v>4953560000</v>
      </c>
      <c r="Q12" s="3">
        <v>30</v>
      </c>
      <c r="R12" s="3">
        <v>32</v>
      </c>
      <c r="S12" s="3">
        <v>5211132000</v>
      </c>
      <c r="T12" s="3">
        <v>5848259000</v>
      </c>
    </row>
    <row r="13" spans="1:20" x14ac:dyDescent="0.25">
      <c r="D13" t="s">
        <v>707</v>
      </c>
      <c r="E13" s="2">
        <v>165</v>
      </c>
      <c r="F13" s="2">
        <v>92</v>
      </c>
      <c r="G13" s="2">
        <v>431410000</v>
      </c>
      <c r="H13" s="2">
        <v>431410000</v>
      </c>
      <c r="I13" s="2">
        <v>127</v>
      </c>
      <c r="J13" s="2">
        <v>77</v>
      </c>
      <c r="K13" s="2">
        <v>2092820000</v>
      </c>
      <c r="L13" s="2">
        <v>2128459000</v>
      </c>
      <c r="M13" s="3">
        <v>53</v>
      </c>
      <c r="N13" s="3">
        <v>26</v>
      </c>
      <c r="O13" s="3">
        <v>1483172000</v>
      </c>
      <c r="P13" s="3">
        <v>1434550000</v>
      </c>
      <c r="Q13" s="3">
        <v>39</v>
      </c>
      <c r="R13" s="3">
        <v>41</v>
      </c>
      <c r="S13" s="3">
        <v>2247999000</v>
      </c>
      <c r="T13" s="3">
        <v>2313950000</v>
      </c>
    </row>
    <row r="14" spans="1:20" x14ac:dyDescent="0.25">
      <c r="D14" t="s">
        <v>708</v>
      </c>
      <c r="E14" s="2">
        <v>170</v>
      </c>
      <c r="F14" s="2">
        <v>94</v>
      </c>
      <c r="G14" s="2">
        <v>385715000</v>
      </c>
      <c r="H14" s="2">
        <v>447715000</v>
      </c>
      <c r="I14" s="2">
        <v>132</v>
      </c>
      <c r="J14" s="2">
        <v>83</v>
      </c>
      <c r="K14" s="2">
        <v>1530726000</v>
      </c>
      <c r="L14" s="2">
        <v>1657879000</v>
      </c>
      <c r="M14" s="3">
        <v>56</v>
      </c>
      <c r="N14" s="3">
        <v>28</v>
      </c>
      <c r="O14" s="3">
        <v>4072845000</v>
      </c>
      <c r="P14" s="3">
        <v>3832578000</v>
      </c>
      <c r="Q14" s="3">
        <v>43</v>
      </c>
      <c r="R14" s="3">
        <v>45</v>
      </c>
      <c r="S14" s="3">
        <v>5762112000</v>
      </c>
      <c r="T14" s="3">
        <v>5788325000</v>
      </c>
    </row>
    <row r="15" spans="1:20" x14ac:dyDescent="0.25">
      <c r="D15" t="s">
        <v>709</v>
      </c>
      <c r="M15" s="3">
        <v>65</v>
      </c>
      <c r="N15" s="3">
        <v>33</v>
      </c>
      <c r="O15" s="3">
        <v>2709757000</v>
      </c>
      <c r="P15" s="3">
        <v>2879321000</v>
      </c>
      <c r="Q15" s="3">
        <v>52</v>
      </c>
      <c r="R15" s="3">
        <v>53</v>
      </c>
      <c r="S15" s="3">
        <v>3630695000</v>
      </c>
      <c r="T15" s="3">
        <v>3547782000</v>
      </c>
    </row>
    <row r="16" spans="1:20" x14ac:dyDescent="0.25">
      <c r="D16" t="s">
        <v>710</v>
      </c>
      <c r="E16" s="2">
        <v>174</v>
      </c>
      <c r="F16" s="2">
        <v>97</v>
      </c>
      <c r="G16" s="2">
        <v>4377229000</v>
      </c>
      <c r="H16" s="2">
        <v>4389041000</v>
      </c>
      <c r="I16" s="2">
        <v>136</v>
      </c>
      <c r="J16" s="2">
        <v>89</v>
      </c>
      <c r="K16" s="2">
        <v>3021552000</v>
      </c>
      <c r="L16" s="2">
        <v>3462888000</v>
      </c>
      <c r="M16" s="3">
        <v>74</v>
      </c>
      <c r="N16" s="3">
        <v>38</v>
      </c>
      <c r="O16" s="3">
        <v>5382567000</v>
      </c>
      <c r="P16" s="3">
        <v>4844735000</v>
      </c>
      <c r="Q16" s="3"/>
      <c r="R16" s="3"/>
      <c r="S16" s="3"/>
      <c r="T16" s="3"/>
    </row>
    <row r="17" spans="3:20" x14ac:dyDescent="0.25">
      <c r="D17" t="s">
        <v>711</v>
      </c>
      <c r="M17" s="3"/>
      <c r="N17" s="3"/>
      <c r="O17" s="3"/>
      <c r="P17" s="3"/>
      <c r="Q17" s="3">
        <v>61</v>
      </c>
      <c r="R17" s="3">
        <v>61</v>
      </c>
      <c r="S17" s="3">
        <v>2150767000</v>
      </c>
      <c r="T17" s="3">
        <v>2211658000</v>
      </c>
    </row>
    <row r="18" spans="3:20" x14ac:dyDescent="0.25">
      <c r="D18" t="s">
        <v>712</v>
      </c>
      <c r="M18" s="3"/>
      <c r="N18" s="3"/>
      <c r="O18" s="3"/>
      <c r="P18" s="3"/>
      <c r="Q18" s="3">
        <v>65</v>
      </c>
      <c r="R18" s="3">
        <v>65</v>
      </c>
      <c r="S18" s="3">
        <v>3512510000</v>
      </c>
      <c r="T18" s="3">
        <v>2946736000</v>
      </c>
    </row>
    <row r="19" spans="3:20" x14ac:dyDescent="0.25">
      <c r="D19" t="s">
        <v>713</v>
      </c>
      <c r="M19" s="3"/>
      <c r="N19" s="3"/>
      <c r="O19" s="3"/>
      <c r="P19" s="3"/>
      <c r="Q19" s="3">
        <v>71</v>
      </c>
      <c r="R19" s="3">
        <v>70</v>
      </c>
      <c r="S19" s="3">
        <v>2570035000</v>
      </c>
      <c r="T19" s="3">
        <v>2170436000</v>
      </c>
    </row>
    <row r="20" spans="3:20" x14ac:dyDescent="0.25">
      <c r="C20" t="s">
        <v>714</v>
      </c>
      <c r="G20" s="13">
        <f>SUM(G21:G30)</f>
        <v>29502440000</v>
      </c>
      <c r="H20" s="13">
        <f>SUM(H21:H30)</f>
        <v>32058101000</v>
      </c>
      <c r="K20" s="13">
        <f>SUM(K21:K30)</f>
        <v>48755007000</v>
      </c>
      <c r="L20" s="13">
        <f>SUM(L21:L30)</f>
        <v>47367610000</v>
      </c>
      <c r="M20" s="3"/>
      <c r="N20" s="3"/>
      <c r="O20" s="13">
        <f>SUM(O21:O30)</f>
        <v>64208390000</v>
      </c>
      <c r="P20" s="13">
        <f>SUM(P21:P30)</f>
        <v>64847510000</v>
      </c>
      <c r="Q20" s="3"/>
      <c r="R20" s="3"/>
      <c r="S20" s="13">
        <f>SUM(S21:S30)</f>
        <v>123474128000</v>
      </c>
      <c r="T20" s="13">
        <f>SUM(T21:T30)</f>
        <v>120270144000</v>
      </c>
    </row>
    <row r="21" spans="3:20" x14ac:dyDescent="0.25">
      <c r="D21" t="s">
        <v>715</v>
      </c>
      <c r="E21" s="2">
        <v>183</v>
      </c>
      <c r="F21" s="2">
        <v>119</v>
      </c>
      <c r="G21" s="2">
        <v>12988847000</v>
      </c>
      <c r="H21" s="2">
        <v>14076981000</v>
      </c>
      <c r="I21" s="2">
        <v>68</v>
      </c>
      <c r="J21" s="2">
        <v>100</v>
      </c>
      <c r="K21" s="2">
        <v>22993970000</v>
      </c>
      <c r="L21" s="2">
        <v>20245228000</v>
      </c>
      <c r="M21" s="3">
        <v>86</v>
      </c>
      <c r="N21" s="3">
        <v>46</v>
      </c>
      <c r="O21" s="3">
        <v>17708941000</v>
      </c>
      <c r="P21" s="3">
        <v>17875794000</v>
      </c>
      <c r="Q21" s="3">
        <v>76</v>
      </c>
      <c r="R21" s="3">
        <v>75</v>
      </c>
      <c r="S21" s="3">
        <f>19690707000+16430330000</f>
        <v>36121037000</v>
      </c>
      <c r="T21" s="3">
        <f>17522458000+15798035000</f>
        <v>33320493000</v>
      </c>
    </row>
    <row r="22" spans="3:20" x14ac:dyDescent="0.25">
      <c r="D22" t="s">
        <v>716</v>
      </c>
      <c r="E22" s="2">
        <v>194</v>
      </c>
      <c r="F22" s="2">
        <v>132</v>
      </c>
      <c r="G22" s="2">
        <v>2293519000</v>
      </c>
      <c r="H22" s="2">
        <v>2734579000</v>
      </c>
      <c r="I22" s="2">
        <v>82</v>
      </c>
      <c r="J22" s="2">
        <v>116</v>
      </c>
      <c r="K22" s="2">
        <v>8767959000</v>
      </c>
      <c r="L22" s="2">
        <v>7197130000</v>
      </c>
      <c r="M22" s="3">
        <v>97</v>
      </c>
      <c r="N22" s="3">
        <v>50</v>
      </c>
      <c r="O22" s="3">
        <v>6018919000</v>
      </c>
      <c r="P22" s="3">
        <v>6898004000</v>
      </c>
      <c r="Q22" s="3">
        <v>89</v>
      </c>
      <c r="R22" s="3">
        <v>88</v>
      </c>
      <c r="S22" s="3">
        <v>14299794000</v>
      </c>
      <c r="T22" s="3">
        <v>14347813000</v>
      </c>
    </row>
    <row r="23" spans="3:20" x14ac:dyDescent="0.25">
      <c r="D23" t="s">
        <v>717</v>
      </c>
      <c r="M23" s="3">
        <v>105</v>
      </c>
      <c r="N23" s="3">
        <v>55</v>
      </c>
      <c r="O23" s="3">
        <v>3937857000</v>
      </c>
      <c r="P23" s="3">
        <v>3979936000</v>
      </c>
      <c r="Q23" s="3">
        <v>97</v>
      </c>
      <c r="R23" s="3">
        <v>96</v>
      </c>
      <c r="S23" s="3">
        <v>6101392000</v>
      </c>
      <c r="T23" s="3">
        <v>6205092000</v>
      </c>
    </row>
    <row r="24" spans="3:20" x14ac:dyDescent="0.25">
      <c r="D24" t="s">
        <v>718</v>
      </c>
      <c r="E24" s="2">
        <v>199</v>
      </c>
      <c r="F24" s="2">
        <v>138</v>
      </c>
      <c r="G24" s="2">
        <v>4958059000</v>
      </c>
      <c r="H24" s="2">
        <v>5163511000</v>
      </c>
      <c r="I24" s="2">
        <v>145</v>
      </c>
      <c r="J24" s="2">
        <v>129</v>
      </c>
      <c r="K24" s="2">
        <v>7320532000</v>
      </c>
      <c r="L24" s="2">
        <v>7745432000</v>
      </c>
      <c r="M24" s="3">
        <v>111</v>
      </c>
      <c r="N24" s="3">
        <v>58</v>
      </c>
      <c r="O24" s="3">
        <v>12116335000</v>
      </c>
      <c r="P24" s="3">
        <v>11470007000</v>
      </c>
      <c r="Q24" s="3">
        <v>102</v>
      </c>
      <c r="R24" s="3">
        <v>101</v>
      </c>
      <c r="S24" s="3">
        <v>28675198000</v>
      </c>
      <c r="T24" s="3">
        <v>29920925000</v>
      </c>
    </row>
    <row r="25" spans="3:20" x14ac:dyDescent="0.25">
      <c r="D25" t="s">
        <v>719</v>
      </c>
      <c r="E25" s="2">
        <v>203</v>
      </c>
      <c r="F25" s="2">
        <v>142</v>
      </c>
      <c r="G25" s="2">
        <v>1761080000</v>
      </c>
      <c r="H25" s="2">
        <v>2229528000</v>
      </c>
      <c r="I25" s="2">
        <v>148</v>
      </c>
      <c r="J25" s="2">
        <v>134</v>
      </c>
      <c r="K25" s="2">
        <v>3698662000</v>
      </c>
      <c r="L25" s="2">
        <v>4192399000</v>
      </c>
      <c r="M25" s="3">
        <v>114</v>
      </c>
      <c r="N25" s="3">
        <v>60</v>
      </c>
      <c r="O25" s="3">
        <v>13326065000</v>
      </c>
      <c r="P25" s="3">
        <v>13541526000</v>
      </c>
      <c r="Q25" s="3">
        <v>109</v>
      </c>
      <c r="R25" s="3">
        <v>110</v>
      </c>
      <c r="S25" s="3">
        <v>19967324000</v>
      </c>
      <c r="T25" s="3">
        <v>19447824000</v>
      </c>
    </row>
    <row r="26" spans="3:20" x14ac:dyDescent="0.25">
      <c r="D26" t="s">
        <v>720</v>
      </c>
      <c r="E26" s="2">
        <v>204</v>
      </c>
      <c r="F26" s="2">
        <v>144</v>
      </c>
      <c r="G26" s="2">
        <v>6361135000</v>
      </c>
      <c r="H26" s="2">
        <v>6361135000</v>
      </c>
      <c r="I26" s="2">
        <v>97</v>
      </c>
      <c r="J26" s="2">
        <v>138</v>
      </c>
      <c r="K26" s="2">
        <v>1973500000</v>
      </c>
      <c r="L26" s="2">
        <v>2173500000</v>
      </c>
      <c r="M26" s="3">
        <v>117</v>
      </c>
      <c r="N26" s="3">
        <v>63</v>
      </c>
      <c r="O26" s="3">
        <v>2365000000</v>
      </c>
      <c r="P26" s="3">
        <v>2027589000</v>
      </c>
      <c r="Q26" s="3">
        <v>115</v>
      </c>
      <c r="R26" s="3">
        <v>116</v>
      </c>
      <c r="S26" s="3">
        <v>3124300000</v>
      </c>
      <c r="T26" s="3">
        <v>3399300000</v>
      </c>
    </row>
    <row r="27" spans="3:20" x14ac:dyDescent="0.25">
      <c r="D27" t="s">
        <v>721</v>
      </c>
      <c r="E27" s="2">
        <v>205</v>
      </c>
      <c r="F27" s="2">
        <v>144</v>
      </c>
      <c r="G27" s="2">
        <v>1139800000</v>
      </c>
      <c r="H27" s="2">
        <v>1492367000</v>
      </c>
      <c r="I27" s="2">
        <v>150</v>
      </c>
      <c r="J27" s="2">
        <v>221</v>
      </c>
      <c r="K27" s="2">
        <v>4000384000</v>
      </c>
      <c r="L27" s="2">
        <v>5813921000</v>
      </c>
      <c r="M27" s="3">
        <v>118</v>
      </c>
      <c r="N27" s="3">
        <v>64</v>
      </c>
      <c r="O27" s="3">
        <v>8735273000</v>
      </c>
      <c r="P27" s="3">
        <v>9054654000</v>
      </c>
      <c r="Q27" s="3"/>
      <c r="R27" s="3"/>
      <c r="S27" s="3"/>
      <c r="T27" s="3"/>
    </row>
    <row r="28" spans="3:20" x14ac:dyDescent="0.25">
      <c r="D28" t="s">
        <v>722</v>
      </c>
      <c r="M28" s="3"/>
      <c r="N28" s="3"/>
      <c r="O28" s="3"/>
      <c r="P28" s="3"/>
      <c r="Q28" s="3">
        <v>116</v>
      </c>
      <c r="R28" s="3">
        <v>117</v>
      </c>
      <c r="S28" s="3">
        <v>2302175000</v>
      </c>
      <c r="T28" s="3">
        <v>1633253000</v>
      </c>
    </row>
    <row r="29" spans="3:20" x14ac:dyDescent="0.25">
      <c r="D29" t="s">
        <v>723</v>
      </c>
      <c r="M29" s="3"/>
      <c r="N29" s="3"/>
      <c r="O29" s="3"/>
      <c r="P29" s="3"/>
      <c r="Q29" s="3">
        <v>119</v>
      </c>
      <c r="R29" s="3">
        <v>120</v>
      </c>
      <c r="S29" s="3">
        <v>7761743000</v>
      </c>
      <c r="T29" s="3">
        <v>7296955000</v>
      </c>
    </row>
    <row r="30" spans="3:20" x14ac:dyDescent="0.25">
      <c r="D30" t="s">
        <v>724</v>
      </c>
      <c r="M30" s="3"/>
      <c r="N30" s="3"/>
      <c r="O30" s="3"/>
      <c r="P30" s="3"/>
      <c r="Q30" s="3">
        <v>128</v>
      </c>
      <c r="R30" s="3">
        <v>127</v>
      </c>
      <c r="S30" s="3">
        <v>5121165000</v>
      </c>
      <c r="T30" s="3">
        <v>4698489000</v>
      </c>
    </row>
    <row r="31" spans="3:20" x14ac:dyDescent="0.25">
      <c r="C31" t="s">
        <v>725</v>
      </c>
      <c r="G31" s="13">
        <f>SUM(G32:G34)</f>
        <v>27120717000</v>
      </c>
      <c r="H31" s="13">
        <f>SUM(H32:H34)</f>
        <v>27021876000</v>
      </c>
      <c r="K31" s="13">
        <f>SUM(K32:K34)</f>
        <v>38961805000</v>
      </c>
      <c r="L31" s="13">
        <f>SUM(L32:L34)</f>
        <v>37447150000</v>
      </c>
      <c r="M31" s="3"/>
      <c r="N31" s="3"/>
      <c r="O31" s="13">
        <f>SUM(O32:O34)</f>
        <v>39840908000</v>
      </c>
      <c r="P31" s="13">
        <f>SUM(P32:P34)</f>
        <v>38399703000</v>
      </c>
      <c r="Q31" s="3"/>
      <c r="R31" s="3"/>
      <c r="S31" s="13">
        <f>SUM(S32:S34)</f>
        <v>21189271000</v>
      </c>
      <c r="T31" s="13">
        <f>SUM(T32:T34)</f>
        <v>20664582000</v>
      </c>
    </row>
    <row r="32" spans="3:20" x14ac:dyDescent="0.25">
      <c r="D32" t="s">
        <v>726</v>
      </c>
      <c r="E32" s="2">
        <v>208</v>
      </c>
      <c r="F32" s="2">
        <v>148</v>
      </c>
      <c r="G32" s="2">
        <v>9817481000</v>
      </c>
      <c r="H32" s="2">
        <v>8798471000</v>
      </c>
      <c r="I32" s="2">
        <v>97</v>
      </c>
      <c r="J32" s="2">
        <v>138</v>
      </c>
      <c r="K32" s="2">
        <v>7523778000</v>
      </c>
      <c r="L32" s="2">
        <v>7539954000</v>
      </c>
      <c r="M32" s="3"/>
      <c r="N32" s="3"/>
      <c r="O32" s="3"/>
      <c r="P32" s="3"/>
      <c r="Q32" s="3"/>
      <c r="R32" s="3"/>
      <c r="S32" s="3"/>
      <c r="T32" s="3"/>
    </row>
    <row r="33" spans="2:20" x14ac:dyDescent="0.25">
      <c r="D33" t="s">
        <v>727</v>
      </c>
      <c r="E33" s="2">
        <v>218</v>
      </c>
      <c r="F33" s="2">
        <v>158</v>
      </c>
      <c r="G33" s="2">
        <v>17303236000</v>
      </c>
      <c r="H33" s="2">
        <v>18223405000</v>
      </c>
      <c r="I33" s="2">
        <v>102</v>
      </c>
      <c r="J33" s="2">
        <v>144</v>
      </c>
      <c r="K33" s="2">
        <v>31438027000</v>
      </c>
      <c r="L33" s="2">
        <v>29907196000</v>
      </c>
      <c r="M33" s="3">
        <v>133</v>
      </c>
      <c r="N33" s="3">
        <v>72</v>
      </c>
      <c r="O33" s="3">
        <v>15279641000</v>
      </c>
      <c r="P33" s="3">
        <v>14152176000</v>
      </c>
      <c r="Q33" s="3">
        <v>136</v>
      </c>
      <c r="R33" s="3">
        <v>134</v>
      </c>
      <c r="S33" s="3">
        <v>7251738000</v>
      </c>
      <c r="T33" s="3">
        <v>7190385000</v>
      </c>
    </row>
    <row r="34" spans="2:20" x14ac:dyDescent="0.25">
      <c r="D34" t="s">
        <v>728</v>
      </c>
      <c r="M34" s="3">
        <v>141</v>
      </c>
      <c r="N34" s="3">
        <v>76</v>
      </c>
      <c r="O34" s="3">
        <v>24561267000</v>
      </c>
      <c r="P34" s="3">
        <v>24247527000</v>
      </c>
      <c r="Q34" s="3">
        <v>140</v>
      </c>
      <c r="R34" s="3">
        <v>138</v>
      </c>
      <c r="S34" s="3">
        <v>13937533000</v>
      </c>
      <c r="T34" s="3">
        <v>13474197000</v>
      </c>
    </row>
    <row r="35" spans="2:20" x14ac:dyDescent="0.25">
      <c r="C35" t="s">
        <v>729</v>
      </c>
      <c r="G35" s="13">
        <f>SUM(G36:G46)</f>
        <v>12332502000</v>
      </c>
      <c r="H35" s="13">
        <f>SUM(H36:H46)</f>
        <v>12534773000</v>
      </c>
      <c r="K35" s="13">
        <f>SUM(K36:K46)</f>
        <v>20691796000</v>
      </c>
      <c r="L35" s="13">
        <f>SUM(L36:L46)</f>
        <v>20911562000</v>
      </c>
      <c r="M35" s="3"/>
      <c r="N35" s="3"/>
      <c r="O35" s="13">
        <f>SUM(O36:O46)</f>
        <v>24053454000</v>
      </c>
      <c r="P35" s="13">
        <f>SUM(P36:P46)</f>
        <v>25468866000</v>
      </c>
      <c r="Q35" s="3"/>
      <c r="R35" s="3"/>
      <c r="S35" s="13">
        <f>SUM(S36:S46)</f>
        <v>34393453000</v>
      </c>
      <c r="T35" s="13">
        <f>SUM(T36:T46)</f>
        <v>34542881000</v>
      </c>
    </row>
    <row r="36" spans="2:20" x14ac:dyDescent="0.25">
      <c r="D36" t="s">
        <v>89</v>
      </c>
      <c r="E36" s="2">
        <v>248</v>
      </c>
      <c r="F36" s="2">
        <v>188</v>
      </c>
      <c r="G36" s="2">
        <v>990480000</v>
      </c>
      <c r="H36" s="2">
        <v>960210000</v>
      </c>
      <c r="I36" s="2">
        <v>122</v>
      </c>
      <c r="J36" s="2">
        <v>165</v>
      </c>
      <c r="K36" s="2">
        <v>1053178000</v>
      </c>
      <c r="L36" s="2">
        <v>904660000</v>
      </c>
      <c r="M36" s="3">
        <v>157</v>
      </c>
      <c r="N36" s="3">
        <v>84</v>
      </c>
      <c r="O36" s="3">
        <v>1036710000</v>
      </c>
      <c r="P36" s="3">
        <v>1091350000</v>
      </c>
      <c r="Q36" s="3">
        <v>147</v>
      </c>
      <c r="R36" s="3">
        <v>145</v>
      </c>
      <c r="S36" s="3">
        <v>149850000</v>
      </c>
      <c r="T36" s="3">
        <v>193850000</v>
      </c>
    </row>
    <row r="37" spans="2:20" x14ac:dyDescent="0.25">
      <c r="D37" t="s">
        <v>730</v>
      </c>
      <c r="I37" s="2">
        <v>169</v>
      </c>
      <c r="J37" s="2">
        <v>168</v>
      </c>
      <c r="K37" s="2">
        <v>3777377000</v>
      </c>
      <c r="L37" s="2">
        <v>3941704000</v>
      </c>
      <c r="M37" s="3">
        <v>173</v>
      </c>
      <c r="N37" s="3">
        <v>93</v>
      </c>
      <c r="O37" s="3">
        <v>4914874000</v>
      </c>
      <c r="P37" s="3">
        <v>4312090000</v>
      </c>
      <c r="Q37" s="3">
        <v>160</v>
      </c>
      <c r="R37" s="3">
        <v>159</v>
      </c>
      <c r="S37" s="3">
        <v>6493958000</v>
      </c>
      <c r="T37" s="3">
        <v>5181882000</v>
      </c>
    </row>
    <row r="38" spans="2:20" x14ac:dyDescent="0.25">
      <c r="D38" t="s">
        <v>731</v>
      </c>
      <c r="I38" s="2">
        <v>166</v>
      </c>
      <c r="J38" s="2">
        <v>199</v>
      </c>
      <c r="K38" s="2">
        <v>977563000</v>
      </c>
      <c r="L38" s="2">
        <v>1089744000</v>
      </c>
      <c r="M38" s="3">
        <v>165</v>
      </c>
      <c r="N38" s="3">
        <v>88</v>
      </c>
      <c r="O38" s="3">
        <v>1758994000</v>
      </c>
      <c r="P38" s="3">
        <v>2009395000</v>
      </c>
      <c r="Q38" s="3">
        <v>151</v>
      </c>
      <c r="R38" s="3">
        <v>149</v>
      </c>
      <c r="S38" s="3">
        <v>1924754000</v>
      </c>
      <c r="T38" s="3">
        <v>2438456000</v>
      </c>
    </row>
    <row r="39" spans="2:20" x14ac:dyDescent="0.25">
      <c r="D39" t="s">
        <v>732</v>
      </c>
      <c r="E39" s="2">
        <v>251</v>
      </c>
      <c r="F39" s="2">
        <v>191</v>
      </c>
      <c r="G39" s="2">
        <v>4682830000</v>
      </c>
      <c r="H39" s="2">
        <v>4977460000</v>
      </c>
      <c r="M39" s="3"/>
      <c r="N39" s="3"/>
      <c r="O39" s="3"/>
      <c r="P39" s="3"/>
      <c r="Q39" s="3"/>
      <c r="R39" s="3"/>
      <c r="S39" s="3"/>
      <c r="T39" s="3"/>
    </row>
    <row r="40" spans="2:20" x14ac:dyDescent="0.25">
      <c r="D40" t="s">
        <v>733</v>
      </c>
      <c r="E40" s="2">
        <v>261</v>
      </c>
      <c r="F40" s="2">
        <v>201</v>
      </c>
      <c r="G40" s="2">
        <v>479850000</v>
      </c>
      <c r="H40" s="2">
        <v>516861000</v>
      </c>
      <c r="M40" s="3"/>
      <c r="N40" s="3"/>
      <c r="O40" s="3"/>
      <c r="P40" s="3"/>
      <c r="Q40" s="3"/>
      <c r="R40" s="3"/>
      <c r="S40" s="3"/>
      <c r="T40" s="3"/>
    </row>
    <row r="41" spans="2:20" x14ac:dyDescent="0.25">
      <c r="D41" t="s">
        <v>97</v>
      </c>
      <c r="E41" s="2">
        <v>272</v>
      </c>
      <c r="F41" s="2">
        <v>209</v>
      </c>
      <c r="G41" s="2">
        <v>1228567000</v>
      </c>
      <c r="H41" s="2">
        <v>1223920000</v>
      </c>
      <c r="M41" s="3"/>
      <c r="N41" s="3"/>
      <c r="O41" s="3"/>
      <c r="P41" s="3"/>
      <c r="Q41" s="3"/>
      <c r="R41" s="3"/>
      <c r="S41" s="3"/>
      <c r="T41" s="3"/>
    </row>
    <row r="42" spans="2:20" x14ac:dyDescent="0.25">
      <c r="D42" t="s">
        <v>734</v>
      </c>
      <c r="I42" s="2">
        <v>190</v>
      </c>
      <c r="J42" s="2">
        <v>190</v>
      </c>
      <c r="K42" s="2">
        <v>1048937000</v>
      </c>
      <c r="L42" s="2">
        <v>1088254000</v>
      </c>
      <c r="M42" s="3">
        <v>193</v>
      </c>
      <c r="N42" s="3">
        <v>103</v>
      </c>
      <c r="O42" s="3">
        <v>713000000</v>
      </c>
      <c r="P42" s="3">
        <v>563200000</v>
      </c>
      <c r="Q42" s="3">
        <v>188</v>
      </c>
      <c r="R42" s="3">
        <v>183</v>
      </c>
      <c r="S42" s="3">
        <v>352956000</v>
      </c>
      <c r="T42" s="3">
        <v>297956000</v>
      </c>
    </row>
    <row r="43" spans="2:20" x14ac:dyDescent="0.25">
      <c r="D43" t="s">
        <v>735</v>
      </c>
      <c r="I43" s="2">
        <v>192</v>
      </c>
      <c r="J43" s="2">
        <v>204</v>
      </c>
      <c r="K43" s="2">
        <v>7364645000</v>
      </c>
      <c r="L43" s="2">
        <v>6450799000</v>
      </c>
      <c r="M43" s="3">
        <v>195</v>
      </c>
      <c r="N43" s="3">
        <v>104</v>
      </c>
      <c r="O43" s="3">
        <v>9120016000</v>
      </c>
      <c r="P43" s="3">
        <v>8834828000</v>
      </c>
      <c r="Q43" s="3">
        <v>189</v>
      </c>
      <c r="R43" s="3">
        <v>184</v>
      </c>
      <c r="S43" s="3">
        <v>19942257000</v>
      </c>
      <c r="T43" s="3">
        <v>19626232000</v>
      </c>
    </row>
    <row r="44" spans="2:20" x14ac:dyDescent="0.25">
      <c r="D44" t="s">
        <v>91</v>
      </c>
      <c r="I44" s="2">
        <v>160</v>
      </c>
      <c r="J44" s="2">
        <v>193</v>
      </c>
      <c r="K44" s="2">
        <v>3560390000</v>
      </c>
      <c r="L44" s="2">
        <v>3717604000</v>
      </c>
      <c r="M44" s="3">
        <v>159</v>
      </c>
      <c r="N44" s="3">
        <v>85</v>
      </c>
      <c r="O44" s="3">
        <v>4396635000</v>
      </c>
      <c r="P44" s="3">
        <v>5110562000</v>
      </c>
      <c r="Q44" s="3">
        <v>148</v>
      </c>
      <c r="R44" s="3">
        <v>146</v>
      </c>
      <c r="S44" s="3">
        <v>2565628000</v>
      </c>
      <c r="T44" s="3">
        <v>3100576000</v>
      </c>
    </row>
    <row r="45" spans="2:20" x14ac:dyDescent="0.25">
      <c r="D45" t="s">
        <v>736</v>
      </c>
      <c r="E45" s="2">
        <v>276</v>
      </c>
      <c r="F45" s="2">
        <v>212</v>
      </c>
      <c r="G45" s="2">
        <v>2529259000</v>
      </c>
      <c r="H45" s="2">
        <v>2201739000</v>
      </c>
      <c r="I45" s="2">
        <v>201</v>
      </c>
      <c r="J45" s="2">
        <v>214</v>
      </c>
      <c r="K45" s="2">
        <v>2909706000</v>
      </c>
      <c r="L45" s="2">
        <v>3718797000</v>
      </c>
      <c r="M45" s="3">
        <v>204</v>
      </c>
      <c r="N45" s="3">
        <v>108</v>
      </c>
      <c r="O45" s="3">
        <v>2113225000</v>
      </c>
      <c r="P45" s="3">
        <v>3547441000</v>
      </c>
      <c r="Q45" s="3">
        <v>209</v>
      </c>
      <c r="R45" s="3">
        <v>202</v>
      </c>
      <c r="S45" s="3">
        <v>2964050000</v>
      </c>
      <c r="T45" s="3">
        <v>3703929000</v>
      </c>
    </row>
    <row r="46" spans="2:20" x14ac:dyDescent="0.25">
      <c r="D46" t="s">
        <v>737</v>
      </c>
      <c r="E46" s="2">
        <v>284</v>
      </c>
      <c r="F46" s="2">
        <v>216</v>
      </c>
      <c r="G46" s="2">
        <v>2421516000</v>
      </c>
      <c r="H46" s="2">
        <v>2654583000</v>
      </c>
      <c r="M46" s="3"/>
      <c r="N46" s="3"/>
      <c r="O46" s="3"/>
      <c r="P46" s="3"/>
      <c r="Q46" s="3"/>
      <c r="R46" s="3"/>
      <c r="S46" s="3"/>
      <c r="T46" s="3"/>
    </row>
    <row r="47" spans="2:20" x14ac:dyDescent="0.25">
      <c r="B47" s="25" t="s">
        <v>738</v>
      </c>
      <c r="C47" s="25"/>
      <c r="D47" s="25"/>
      <c r="E47" s="26"/>
      <c r="F47" s="26"/>
      <c r="G47" s="26">
        <v>28870595000</v>
      </c>
      <c r="H47" s="26">
        <v>30001169000</v>
      </c>
      <c r="I47" s="26"/>
      <c r="J47" s="26"/>
      <c r="K47" s="26">
        <v>41230193000</v>
      </c>
      <c r="L47" s="26">
        <v>42283158000</v>
      </c>
      <c r="M47" s="27"/>
      <c r="N47" s="27"/>
      <c r="O47" s="27">
        <v>54608165000</v>
      </c>
      <c r="P47" s="27">
        <v>58959652000</v>
      </c>
      <c r="Q47" s="27"/>
      <c r="R47" s="27"/>
      <c r="S47" s="27">
        <v>69842521000</v>
      </c>
      <c r="T47" s="27">
        <v>72926249000</v>
      </c>
    </row>
    <row r="48" spans="2:20" x14ac:dyDescent="0.25">
      <c r="C48" t="s">
        <v>739</v>
      </c>
      <c r="G48" s="13">
        <f>SUM(G49:G52)</f>
        <v>28870595000</v>
      </c>
      <c r="H48" s="13">
        <f>SUM(H49:H52)</f>
        <v>30001169000</v>
      </c>
      <c r="K48" s="13">
        <f>SUM(K49:K52)</f>
        <v>41230193000</v>
      </c>
      <c r="L48" s="13">
        <f>SUM(L49:L52)</f>
        <v>42283158000</v>
      </c>
      <c r="M48" s="3"/>
      <c r="N48" s="3"/>
      <c r="O48" s="13">
        <f>SUM(O49:O52)</f>
        <v>54608165000</v>
      </c>
      <c r="P48" s="13">
        <f>SUM(P49:P52)</f>
        <v>58959652000</v>
      </c>
      <c r="Q48" s="3"/>
      <c r="R48" s="3"/>
      <c r="S48" s="13">
        <f>SUM(S49:S52)</f>
        <v>69842521000</v>
      </c>
      <c r="T48" s="13">
        <f>SUM(T49:T52)</f>
        <v>72926249000</v>
      </c>
    </row>
    <row r="49" spans="2:20" x14ac:dyDescent="0.25">
      <c r="D49" t="s">
        <v>671</v>
      </c>
      <c r="E49" s="2">
        <v>290</v>
      </c>
      <c r="F49" s="2">
        <v>220</v>
      </c>
      <c r="G49" s="2">
        <v>25570595000</v>
      </c>
      <c r="H49" s="2">
        <v>26701169000</v>
      </c>
      <c r="I49" s="2">
        <v>207</v>
      </c>
      <c r="J49" s="2">
        <v>235</v>
      </c>
      <c r="K49" s="2">
        <v>37580193000</v>
      </c>
      <c r="L49" s="2">
        <v>38633158000</v>
      </c>
      <c r="M49" s="3">
        <v>206</v>
      </c>
      <c r="N49" s="3">
        <v>110</v>
      </c>
      <c r="O49" s="3">
        <v>50558165000</v>
      </c>
      <c r="P49" s="3">
        <v>54859652000</v>
      </c>
      <c r="Q49" s="3">
        <v>212</v>
      </c>
      <c r="R49" s="3">
        <v>204</v>
      </c>
      <c r="S49" s="3">
        <v>65742521000</v>
      </c>
      <c r="T49" s="3">
        <v>68900249000</v>
      </c>
    </row>
    <row r="50" spans="2:20" x14ac:dyDescent="0.25">
      <c r="D50" t="s">
        <v>740</v>
      </c>
      <c r="M50" s="3">
        <v>237</v>
      </c>
      <c r="N50" s="3">
        <v>147</v>
      </c>
      <c r="O50" s="3">
        <v>4050000000</v>
      </c>
      <c r="P50" s="3">
        <v>4100000000</v>
      </c>
      <c r="Q50" s="3">
        <v>295</v>
      </c>
      <c r="R50" s="3">
        <v>288</v>
      </c>
      <c r="S50" s="3">
        <v>4100000000</v>
      </c>
      <c r="T50" s="3">
        <v>4026000000</v>
      </c>
    </row>
    <row r="51" spans="2:20" x14ac:dyDescent="0.25">
      <c r="D51" t="s">
        <v>741</v>
      </c>
      <c r="E51" s="2">
        <v>314</v>
      </c>
      <c r="F51" s="2">
        <v>254</v>
      </c>
      <c r="G51" s="2">
        <v>2800000000</v>
      </c>
      <c r="H51" s="2">
        <v>2800000000</v>
      </c>
      <c r="I51" s="2">
        <v>257</v>
      </c>
      <c r="J51" s="2">
        <v>303</v>
      </c>
      <c r="K51" s="2">
        <v>3000000000</v>
      </c>
      <c r="L51" s="2">
        <v>3000000000</v>
      </c>
      <c r="M51" s="3"/>
      <c r="N51" s="3"/>
      <c r="O51" s="3"/>
      <c r="P51" s="3"/>
      <c r="Q51" s="3"/>
      <c r="R51" s="3"/>
      <c r="S51" s="3"/>
      <c r="T51" s="3"/>
    </row>
    <row r="52" spans="2:20" x14ac:dyDescent="0.25">
      <c r="D52" t="s">
        <v>742</v>
      </c>
      <c r="E52" s="2">
        <v>315</v>
      </c>
      <c r="F52" s="2">
        <v>256</v>
      </c>
      <c r="G52" s="2">
        <v>500000000</v>
      </c>
      <c r="H52" s="2">
        <v>500000000</v>
      </c>
      <c r="I52" s="2">
        <v>258</v>
      </c>
      <c r="J52" s="2">
        <v>305</v>
      </c>
      <c r="K52" s="2">
        <v>650000000</v>
      </c>
      <c r="L52" s="2">
        <v>650000000</v>
      </c>
      <c r="M52" s="3"/>
      <c r="N52" s="3"/>
      <c r="O52" s="3"/>
      <c r="P52" s="3"/>
      <c r="Q52" s="3"/>
      <c r="R52" s="3"/>
      <c r="S52" s="3"/>
      <c r="T52" s="3"/>
    </row>
    <row r="53" spans="2:20" x14ac:dyDescent="0.25">
      <c r="B53" s="25" t="s">
        <v>743</v>
      </c>
      <c r="C53" s="25"/>
      <c r="D53" s="25"/>
      <c r="E53" s="26"/>
      <c r="F53" s="26"/>
      <c r="G53" s="26">
        <v>16308673000</v>
      </c>
      <c r="H53" s="26">
        <v>16789673000</v>
      </c>
      <c r="I53" s="26"/>
      <c r="J53" s="26"/>
      <c r="K53" s="26">
        <v>20555000000</v>
      </c>
      <c r="L53" s="26">
        <v>20626391000</v>
      </c>
      <c r="M53" s="27"/>
      <c r="N53" s="27"/>
      <c r="O53" s="27">
        <v>30463746000</v>
      </c>
      <c r="P53" s="27">
        <v>29677966000</v>
      </c>
      <c r="Q53" s="27"/>
      <c r="R53" s="27"/>
      <c r="S53" s="27">
        <v>19707838000</v>
      </c>
      <c r="T53" s="27">
        <v>19731193000</v>
      </c>
    </row>
    <row r="54" spans="2:20" x14ac:dyDescent="0.25">
      <c r="C54" t="s">
        <v>744</v>
      </c>
      <c r="M54" s="3"/>
      <c r="N54" s="3"/>
      <c r="O54" s="3"/>
      <c r="P54" s="3"/>
      <c r="Q54" s="3"/>
      <c r="R54" s="3"/>
      <c r="S54" s="3"/>
      <c r="T54" s="3"/>
    </row>
    <row r="55" spans="2:20" x14ac:dyDescent="0.25">
      <c r="D55" t="s">
        <v>745</v>
      </c>
      <c r="E55" s="2">
        <v>317</v>
      </c>
      <c r="F55" s="2">
        <v>258</v>
      </c>
      <c r="G55" s="2">
        <v>630800000</v>
      </c>
      <c r="H55" s="2">
        <v>630800000</v>
      </c>
      <c r="I55" s="2">
        <v>260</v>
      </c>
      <c r="J55" s="2">
        <v>306</v>
      </c>
      <c r="K55" s="2">
        <v>1857513000</v>
      </c>
      <c r="L55" s="2">
        <v>1685513000</v>
      </c>
      <c r="M55" s="3">
        <v>240</v>
      </c>
      <c r="N55" s="3">
        <v>148</v>
      </c>
      <c r="O55" s="3">
        <v>1747720000</v>
      </c>
      <c r="P55" s="3">
        <v>1693220000</v>
      </c>
      <c r="Q55" s="3">
        <v>300</v>
      </c>
      <c r="R55" s="3">
        <v>291</v>
      </c>
      <c r="S55" s="3">
        <v>1559077000</v>
      </c>
      <c r="T55" s="3">
        <v>1471877000</v>
      </c>
    </row>
    <row r="56" spans="2:20" x14ac:dyDescent="0.25">
      <c r="D56" t="s">
        <v>746</v>
      </c>
      <c r="E56" s="2">
        <v>318</v>
      </c>
      <c r="F56" s="2">
        <v>258</v>
      </c>
      <c r="G56" s="2">
        <v>863728000</v>
      </c>
      <c r="H56" s="2">
        <v>863728000</v>
      </c>
      <c r="I56" s="2">
        <v>262</v>
      </c>
      <c r="J56" s="2">
        <v>308</v>
      </c>
      <c r="K56" s="2">
        <v>1888960000</v>
      </c>
      <c r="L56" s="2">
        <v>2116360000</v>
      </c>
      <c r="M56" s="3">
        <v>241</v>
      </c>
      <c r="N56" s="3">
        <v>149</v>
      </c>
      <c r="O56" s="3">
        <v>3451026000</v>
      </c>
      <c r="P56" s="3">
        <v>3998514000</v>
      </c>
      <c r="Q56" s="3">
        <v>301</v>
      </c>
      <c r="R56" s="3">
        <v>292</v>
      </c>
      <c r="S56" s="3">
        <v>4662811000</v>
      </c>
      <c r="T56" s="3">
        <v>4337274000</v>
      </c>
    </row>
    <row r="57" spans="2:20" x14ac:dyDescent="0.25">
      <c r="D57" t="s">
        <v>747</v>
      </c>
      <c r="E57" s="2">
        <v>321</v>
      </c>
      <c r="F57" s="2">
        <v>260</v>
      </c>
      <c r="G57" s="2">
        <v>14251145000</v>
      </c>
      <c r="H57" s="2">
        <v>14732145000</v>
      </c>
      <c r="I57" s="2">
        <v>263</v>
      </c>
      <c r="J57" s="2">
        <v>310</v>
      </c>
      <c r="K57" s="2">
        <v>16253527000</v>
      </c>
      <c r="L57" s="2">
        <v>16489518000</v>
      </c>
      <c r="M57" s="3">
        <v>245</v>
      </c>
      <c r="N57" s="3">
        <v>151</v>
      </c>
      <c r="O57" s="3">
        <v>24000000000</v>
      </c>
      <c r="P57" s="3">
        <v>22582210000</v>
      </c>
      <c r="Q57" s="3">
        <v>304</v>
      </c>
      <c r="R57" s="3">
        <v>296</v>
      </c>
      <c r="S57" s="3">
        <v>11763950000</v>
      </c>
      <c r="T57" s="3">
        <v>12280042000</v>
      </c>
    </row>
    <row r="58" spans="2:20" x14ac:dyDescent="0.25">
      <c r="C58" t="s">
        <v>748</v>
      </c>
      <c r="E58" s="2">
        <v>335</v>
      </c>
      <c r="F58" s="2">
        <v>270</v>
      </c>
      <c r="G58" s="2">
        <v>553000000</v>
      </c>
      <c r="H58" s="2">
        <v>553000000</v>
      </c>
      <c r="I58" s="2">
        <v>277</v>
      </c>
      <c r="J58" s="2">
        <v>304</v>
      </c>
      <c r="K58" s="2">
        <v>540000000</v>
      </c>
      <c r="L58" s="2">
        <v>320000000</v>
      </c>
      <c r="M58" s="3">
        <v>253</v>
      </c>
      <c r="N58" s="3">
        <v>156</v>
      </c>
      <c r="O58" s="3">
        <v>1250000000</v>
      </c>
      <c r="P58" s="3">
        <v>1389022000</v>
      </c>
      <c r="Q58" s="3">
        <v>310</v>
      </c>
      <c r="R58" s="3">
        <v>302</v>
      </c>
      <c r="S58" s="3">
        <v>1362000000</v>
      </c>
      <c r="T58" s="3">
        <v>1322000000</v>
      </c>
    </row>
    <row r="59" spans="2:20" x14ac:dyDescent="0.25">
      <c r="C59" t="s">
        <v>749</v>
      </c>
      <c r="E59" s="2">
        <v>335</v>
      </c>
      <c r="F59" s="2">
        <v>271</v>
      </c>
      <c r="G59" s="2">
        <v>10000000</v>
      </c>
      <c r="H59" s="2">
        <v>10000000</v>
      </c>
      <c r="I59" s="2">
        <v>278</v>
      </c>
      <c r="J59" s="2">
        <v>324</v>
      </c>
      <c r="K59" s="2">
        <v>15000000</v>
      </c>
      <c r="L59" s="2">
        <v>15000000</v>
      </c>
      <c r="M59" s="3">
        <v>253</v>
      </c>
      <c r="N59" s="3">
        <v>157</v>
      </c>
      <c r="O59" s="3">
        <v>15000000</v>
      </c>
      <c r="P59" s="3">
        <v>15000000</v>
      </c>
      <c r="Q59" s="3">
        <v>311</v>
      </c>
      <c r="R59" s="3">
        <v>303</v>
      </c>
      <c r="S59" s="3">
        <v>360000000</v>
      </c>
      <c r="T59" s="3">
        <v>320000000</v>
      </c>
    </row>
    <row r="60" spans="2:20" x14ac:dyDescent="0.25">
      <c r="M60" s="3"/>
      <c r="N60" s="3"/>
      <c r="O60" s="3"/>
      <c r="P60" s="3"/>
      <c r="Q60" s="3"/>
      <c r="R60" s="3"/>
      <c r="S60" s="3"/>
      <c r="T60" s="3"/>
    </row>
    <row r="61" spans="2:20" x14ac:dyDescent="0.25">
      <c r="B61" s="25" t="s">
        <v>750</v>
      </c>
      <c r="C61" s="25"/>
      <c r="D61" s="25"/>
      <c r="E61" s="26"/>
      <c r="F61" s="26"/>
      <c r="G61" s="26">
        <v>21895864000</v>
      </c>
      <c r="H61" s="26">
        <v>24517569000</v>
      </c>
      <c r="I61" s="26"/>
      <c r="J61" s="26"/>
      <c r="K61" s="26">
        <v>43519513000</v>
      </c>
      <c r="L61" s="26">
        <v>50279216000</v>
      </c>
      <c r="M61" s="27"/>
      <c r="N61" s="27"/>
      <c r="O61" s="27">
        <v>78128675000</v>
      </c>
      <c r="P61" s="27">
        <v>82745033000</v>
      </c>
      <c r="Q61" s="27"/>
      <c r="R61" s="27"/>
      <c r="S61" s="27">
        <v>61642109000</v>
      </c>
      <c r="T61" s="27">
        <v>83634822000</v>
      </c>
    </row>
    <row r="62" spans="2:20" x14ac:dyDescent="0.25">
      <c r="C62" t="s">
        <v>751</v>
      </c>
      <c r="K62" s="28">
        <v>11930966000</v>
      </c>
      <c r="M62" s="3"/>
      <c r="N62" s="3"/>
      <c r="O62" s="29"/>
      <c r="P62" s="3"/>
      <c r="Q62" s="3"/>
      <c r="R62" s="3"/>
      <c r="S62" s="29"/>
      <c r="T62" s="3"/>
    </row>
    <row r="63" spans="2:20" x14ac:dyDescent="0.25">
      <c r="D63" t="s">
        <v>434</v>
      </c>
      <c r="F63" s="2">
        <v>271</v>
      </c>
      <c r="H63" s="2">
        <v>572050000</v>
      </c>
      <c r="I63" s="2">
        <v>278</v>
      </c>
      <c r="J63" s="2">
        <v>325</v>
      </c>
      <c r="K63" s="4">
        <v>1653433000</v>
      </c>
      <c r="L63" s="2">
        <v>2267613000</v>
      </c>
      <c r="M63" s="3">
        <v>253</v>
      </c>
      <c r="N63" s="3">
        <v>157</v>
      </c>
      <c r="O63" s="3">
        <v>1260950000</v>
      </c>
      <c r="P63" s="3">
        <v>2183054000</v>
      </c>
      <c r="Q63" s="3">
        <v>312</v>
      </c>
      <c r="R63" s="3">
        <v>304</v>
      </c>
      <c r="S63" s="3">
        <v>489355000</v>
      </c>
      <c r="T63" s="3">
        <v>1238940000</v>
      </c>
    </row>
    <row r="64" spans="2:20" x14ac:dyDescent="0.25">
      <c r="D64" t="s">
        <v>752</v>
      </c>
      <c r="I64" s="2">
        <v>315</v>
      </c>
      <c r="J64" s="2">
        <v>381</v>
      </c>
      <c r="K64" s="30">
        <v>29700000</v>
      </c>
      <c r="L64" s="2">
        <v>56800000</v>
      </c>
      <c r="M64" s="3"/>
      <c r="N64" s="3"/>
      <c r="O64" s="3"/>
      <c r="P64" s="3"/>
      <c r="Q64" s="3"/>
      <c r="R64" s="3"/>
      <c r="S64" s="3"/>
      <c r="T64" s="3"/>
    </row>
    <row r="65" spans="2:20" x14ac:dyDescent="0.25">
      <c r="D65" t="s">
        <v>753</v>
      </c>
      <c r="F65" s="2">
        <v>283</v>
      </c>
      <c r="H65" s="2">
        <v>4769658000</v>
      </c>
      <c r="I65" s="2">
        <v>316</v>
      </c>
      <c r="J65" s="2">
        <v>383</v>
      </c>
      <c r="K65" s="4">
        <v>9877832000</v>
      </c>
      <c r="L65" s="2">
        <v>12771007000</v>
      </c>
      <c r="M65" s="3">
        <v>260</v>
      </c>
      <c r="N65" s="3">
        <v>167</v>
      </c>
      <c r="O65" s="3">
        <v>12080898000</v>
      </c>
      <c r="P65" s="3">
        <v>14987794000</v>
      </c>
      <c r="Q65" s="3">
        <v>318</v>
      </c>
      <c r="R65" s="3">
        <v>315</v>
      </c>
      <c r="S65" s="3">
        <v>10818753000</v>
      </c>
      <c r="T65" s="3">
        <v>18076441000</v>
      </c>
    </row>
    <row r="66" spans="2:20" x14ac:dyDescent="0.25">
      <c r="D66" t="s">
        <v>754</v>
      </c>
      <c r="I66" s="2">
        <v>470</v>
      </c>
      <c r="J66" s="2">
        <v>647</v>
      </c>
      <c r="K66" s="4">
        <v>363000000</v>
      </c>
      <c r="L66" s="2">
        <v>331000000</v>
      </c>
      <c r="M66" s="3"/>
      <c r="N66" s="3"/>
      <c r="O66" s="3"/>
      <c r="P66" s="3"/>
      <c r="Q66" s="3"/>
      <c r="R66" s="3"/>
      <c r="S66" s="3"/>
      <c r="T66" s="3"/>
    </row>
    <row r="67" spans="2:20" x14ac:dyDescent="0.25">
      <c r="C67" t="s">
        <v>755</v>
      </c>
      <c r="K67" s="31">
        <v>1351780000</v>
      </c>
      <c r="M67" s="3"/>
      <c r="N67" s="3"/>
      <c r="O67" s="29"/>
      <c r="P67" s="3"/>
      <c r="Q67" s="3"/>
      <c r="R67" s="3"/>
      <c r="S67" s="29"/>
      <c r="T67" s="3"/>
    </row>
    <row r="68" spans="2:20" x14ac:dyDescent="0.25">
      <c r="D68" t="s">
        <v>756</v>
      </c>
      <c r="I68" s="2">
        <v>471</v>
      </c>
      <c r="J68" s="2">
        <v>650</v>
      </c>
      <c r="K68" s="30">
        <v>647380000</v>
      </c>
      <c r="L68" s="2">
        <v>827748000</v>
      </c>
      <c r="M68" s="3">
        <v>320</v>
      </c>
      <c r="N68" s="3">
        <v>257</v>
      </c>
      <c r="O68" s="3">
        <v>638105000</v>
      </c>
      <c r="P68" s="3">
        <v>1817603000</v>
      </c>
      <c r="Q68" s="3">
        <v>411</v>
      </c>
      <c r="R68" s="3">
        <v>466</v>
      </c>
      <c r="S68" s="3">
        <v>1305810000</v>
      </c>
      <c r="T68" s="3">
        <v>4857028000</v>
      </c>
    </row>
    <row r="69" spans="2:20" x14ac:dyDescent="0.25">
      <c r="D69" t="s">
        <v>757</v>
      </c>
      <c r="F69" s="2">
        <v>336</v>
      </c>
      <c r="H69" s="2">
        <v>479547000</v>
      </c>
      <c r="I69" s="2">
        <v>477</v>
      </c>
      <c r="J69" s="2">
        <v>661</v>
      </c>
      <c r="K69" s="30">
        <v>704400000</v>
      </c>
      <c r="L69" s="2">
        <v>1127700000</v>
      </c>
      <c r="M69" s="3">
        <v>320</v>
      </c>
      <c r="N69" s="3">
        <v>263</v>
      </c>
      <c r="O69" s="3">
        <v>237880000</v>
      </c>
      <c r="P69" s="3">
        <v>1727790000</v>
      </c>
      <c r="Q69" s="3">
        <v>417</v>
      </c>
      <c r="R69" s="3">
        <v>480</v>
      </c>
      <c r="S69" s="3">
        <v>540876000</v>
      </c>
      <c r="T69" s="3">
        <v>1212926000</v>
      </c>
    </row>
    <row r="70" spans="2:20" x14ac:dyDescent="0.25">
      <c r="C70" t="s">
        <v>758</v>
      </c>
      <c r="K70" s="28">
        <v>27603699000</v>
      </c>
      <c r="M70" s="3"/>
      <c r="N70" s="3"/>
      <c r="O70" s="29"/>
      <c r="P70" s="3"/>
      <c r="Q70" s="3"/>
      <c r="R70" s="3"/>
      <c r="S70" s="29"/>
      <c r="T70" s="3"/>
    </row>
    <row r="71" spans="2:20" x14ac:dyDescent="0.25">
      <c r="D71" t="s">
        <v>430</v>
      </c>
      <c r="F71" s="2">
        <v>339</v>
      </c>
      <c r="G71" s="2">
        <v>16895864000</v>
      </c>
      <c r="H71" s="2">
        <v>8317767000</v>
      </c>
      <c r="I71" s="2">
        <v>486</v>
      </c>
      <c r="J71" s="2">
        <v>679</v>
      </c>
      <c r="K71" s="4">
        <v>15010281000</v>
      </c>
      <c r="L71" s="2">
        <v>13335094000</v>
      </c>
      <c r="M71" s="3">
        <v>321</v>
      </c>
      <c r="N71" s="3">
        <v>269</v>
      </c>
      <c r="O71" s="3">
        <v>24100726000</v>
      </c>
      <c r="P71" s="3">
        <v>12784000000</v>
      </c>
      <c r="Q71" s="3">
        <v>421</v>
      </c>
      <c r="R71" s="3">
        <v>487</v>
      </c>
      <c r="S71" s="3">
        <v>25525870000</v>
      </c>
      <c r="T71" s="3">
        <v>22169967000</v>
      </c>
    </row>
    <row r="72" spans="2:20" x14ac:dyDescent="0.25">
      <c r="D72" t="s">
        <v>429</v>
      </c>
      <c r="F72" s="2">
        <v>347</v>
      </c>
      <c r="G72" s="2">
        <v>5000000000</v>
      </c>
      <c r="H72" s="2">
        <v>3167800000</v>
      </c>
      <c r="I72" s="2">
        <v>491</v>
      </c>
      <c r="J72" s="2">
        <v>688</v>
      </c>
      <c r="K72" s="4">
        <v>1979803000</v>
      </c>
      <c r="L72" s="2">
        <v>1805965000</v>
      </c>
      <c r="M72" s="3">
        <v>322</v>
      </c>
      <c r="N72" s="3">
        <v>271</v>
      </c>
      <c r="O72" s="3">
        <v>1289106000</v>
      </c>
      <c r="P72" s="3">
        <v>2826192000</v>
      </c>
      <c r="Q72" s="3">
        <v>424</v>
      </c>
      <c r="R72" s="3">
        <v>493</v>
      </c>
      <c r="S72" s="3">
        <v>5734720000</v>
      </c>
      <c r="T72" s="3">
        <v>5510222000</v>
      </c>
    </row>
    <row r="73" spans="2:20" x14ac:dyDescent="0.25">
      <c r="D73" t="s">
        <v>435</v>
      </c>
      <c r="F73" s="2">
        <v>354</v>
      </c>
      <c r="H73" s="2">
        <v>4578053000</v>
      </c>
      <c r="I73" s="2">
        <v>498</v>
      </c>
      <c r="J73" s="2">
        <v>703</v>
      </c>
      <c r="K73" s="4">
        <v>8959885000</v>
      </c>
      <c r="L73" s="2">
        <v>12624195000</v>
      </c>
      <c r="M73" s="3">
        <v>322</v>
      </c>
      <c r="N73" s="3">
        <v>273</v>
      </c>
      <c r="O73" s="3">
        <v>33024850000</v>
      </c>
      <c r="P73" s="3">
        <v>39346783000</v>
      </c>
      <c r="Q73" s="3">
        <v>429</v>
      </c>
      <c r="R73" s="3">
        <v>498</v>
      </c>
      <c r="S73" s="3">
        <v>13064266000</v>
      </c>
      <c r="T73" s="3">
        <v>24684440000</v>
      </c>
    </row>
    <row r="74" spans="2:20" x14ac:dyDescent="0.25">
      <c r="D74" t="s">
        <v>436</v>
      </c>
      <c r="F74" s="2">
        <v>396</v>
      </c>
      <c r="H74" s="2">
        <v>334844000</v>
      </c>
      <c r="I74" s="2">
        <v>583</v>
      </c>
      <c r="J74" s="2">
        <v>838</v>
      </c>
      <c r="K74" s="4">
        <v>908495000</v>
      </c>
      <c r="L74" s="2">
        <v>1511492000</v>
      </c>
      <c r="M74" s="3">
        <v>359</v>
      </c>
      <c r="N74" s="3">
        <v>331</v>
      </c>
      <c r="O74" s="3">
        <v>1831210000</v>
      </c>
      <c r="P74" s="3">
        <v>4301867000</v>
      </c>
      <c r="Q74" s="3">
        <v>482</v>
      </c>
      <c r="R74" s="3">
        <v>581</v>
      </c>
      <c r="S74" s="3">
        <v>1294429000</v>
      </c>
      <c r="T74" s="3">
        <v>2277659000</v>
      </c>
    </row>
    <row r="75" spans="2:20" x14ac:dyDescent="0.25">
      <c r="D75" t="s">
        <v>759</v>
      </c>
      <c r="F75" s="2">
        <v>399</v>
      </c>
      <c r="H75" s="2">
        <v>49000000</v>
      </c>
      <c r="I75" s="2">
        <v>592</v>
      </c>
      <c r="J75" s="2">
        <v>853</v>
      </c>
      <c r="K75" s="30">
        <v>80000000</v>
      </c>
      <c r="L75" s="2">
        <v>83000000</v>
      </c>
      <c r="M75" s="3"/>
      <c r="N75" s="3"/>
      <c r="O75" s="3"/>
      <c r="P75" s="3"/>
      <c r="Q75" s="3"/>
      <c r="R75" s="3"/>
      <c r="S75" s="3"/>
      <c r="T75" s="3"/>
    </row>
    <row r="76" spans="2:20" x14ac:dyDescent="0.25">
      <c r="D76" t="s">
        <v>760</v>
      </c>
      <c r="I76" s="2">
        <v>592</v>
      </c>
      <c r="J76" s="2">
        <v>854</v>
      </c>
      <c r="K76" s="4">
        <v>665234000</v>
      </c>
      <c r="L76" s="2">
        <v>1384434000</v>
      </c>
      <c r="M76" s="3"/>
      <c r="N76" s="3"/>
      <c r="O76" s="3"/>
      <c r="P76" s="3"/>
      <c r="Q76" s="3"/>
      <c r="R76" s="3"/>
      <c r="S76" s="3"/>
      <c r="T76" s="3"/>
    </row>
    <row r="77" spans="2:20" x14ac:dyDescent="0.25">
      <c r="C77" t="s">
        <v>761</v>
      </c>
      <c r="M77" s="3"/>
      <c r="N77" s="3"/>
      <c r="O77" s="3"/>
      <c r="P77" s="3"/>
      <c r="Q77" s="3"/>
      <c r="R77" s="3"/>
      <c r="S77" s="3"/>
      <c r="T77" s="3"/>
    </row>
    <row r="78" spans="2:20" x14ac:dyDescent="0.25">
      <c r="D78" t="s">
        <v>437</v>
      </c>
      <c r="F78" s="2">
        <v>401</v>
      </c>
      <c r="H78" s="2">
        <v>2248850000</v>
      </c>
      <c r="I78" s="2">
        <v>606</v>
      </c>
      <c r="J78" s="2">
        <v>880</v>
      </c>
      <c r="K78" s="2">
        <v>2640067000</v>
      </c>
      <c r="L78" s="2">
        <v>2153168000</v>
      </c>
      <c r="M78" s="3">
        <v>363</v>
      </c>
      <c r="N78" s="3">
        <v>338</v>
      </c>
      <c r="O78" s="3">
        <v>3664950000</v>
      </c>
      <c r="P78" s="3">
        <v>2769950000</v>
      </c>
      <c r="Q78" s="3">
        <v>487</v>
      </c>
      <c r="R78" s="3">
        <v>588</v>
      </c>
      <c r="S78" s="3">
        <v>2868030000</v>
      </c>
      <c r="T78" s="3">
        <v>3607199000</v>
      </c>
    </row>
    <row r="79" spans="2:20" x14ac:dyDescent="0.25">
      <c r="M79" s="3"/>
      <c r="N79" s="3"/>
      <c r="O79" s="3"/>
      <c r="P79" s="3"/>
      <c r="Q79" s="3"/>
      <c r="R79" s="3"/>
      <c r="S79" s="3"/>
      <c r="T79" s="3"/>
    </row>
    <row r="80" spans="2:20" x14ac:dyDescent="0.25">
      <c r="B80" s="25" t="s">
        <v>762</v>
      </c>
      <c r="C80" s="25"/>
      <c r="D80" s="25"/>
      <c r="E80" s="26"/>
      <c r="F80" s="26"/>
      <c r="G80" s="26">
        <v>20835330000</v>
      </c>
      <c r="H80" s="26">
        <v>19510330000</v>
      </c>
      <c r="I80" s="26"/>
      <c r="J80" s="26"/>
      <c r="K80" s="26">
        <v>25246265000</v>
      </c>
      <c r="L80" s="26">
        <v>22946265000</v>
      </c>
      <c r="M80" s="27"/>
      <c r="N80" s="27"/>
      <c r="O80" s="27">
        <v>16492956000</v>
      </c>
      <c r="P80" s="27">
        <v>15738707000</v>
      </c>
      <c r="Q80" s="27"/>
      <c r="R80" s="27"/>
      <c r="S80" s="27">
        <v>11103074000</v>
      </c>
      <c r="T80" s="27">
        <v>9974213000</v>
      </c>
    </row>
    <row r="81" spans="3:20" x14ac:dyDescent="0.25">
      <c r="C81" t="s">
        <v>755</v>
      </c>
      <c r="M81" s="3"/>
      <c r="N81" s="3"/>
      <c r="O81" s="3"/>
      <c r="P81" s="3"/>
      <c r="Q81" s="3"/>
      <c r="R81" s="3"/>
      <c r="S81" s="3"/>
      <c r="T81" s="3"/>
    </row>
    <row r="82" spans="3:20" x14ac:dyDescent="0.25">
      <c r="D82" t="s">
        <v>763</v>
      </c>
      <c r="F82" s="2">
        <v>407</v>
      </c>
      <c r="G82" s="2">
        <v>4491917000</v>
      </c>
      <c r="H82" s="2">
        <v>3618917000</v>
      </c>
      <c r="I82" s="2">
        <v>624</v>
      </c>
      <c r="J82" s="2">
        <v>913</v>
      </c>
      <c r="K82" s="2">
        <v>3610672000</v>
      </c>
      <c r="L82" s="2">
        <v>3610672000</v>
      </c>
      <c r="M82" s="3"/>
      <c r="N82" s="3">
        <v>345</v>
      </c>
      <c r="O82" s="3">
        <v>5235526000</v>
      </c>
      <c r="P82" s="3">
        <v>5235526000</v>
      </c>
      <c r="Q82" s="3"/>
      <c r="R82" s="3"/>
      <c r="S82" s="3">
        <v>2226733000</v>
      </c>
      <c r="T82" s="3">
        <v>2226733000</v>
      </c>
    </row>
    <row r="83" spans="3:20" x14ac:dyDescent="0.25">
      <c r="C83" t="s">
        <v>758</v>
      </c>
      <c r="M83" s="3"/>
      <c r="N83" s="3"/>
      <c r="O83" s="3"/>
      <c r="P83" s="3"/>
      <c r="Q83" s="3"/>
      <c r="R83" s="3"/>
      <c r="S83" s="3"/>
      <c r="T83" s="3"/>
    </row>
    <row r="84" spans="3:20" x14ac:dyDescent="0.25">
      <c r="D84" t="s">
        <v>430</v>
      </c>
      <c r="F84" s="2">
        <v>408</v>
      </c>
      <c r="G84" s="2">
        <v>13295388000</v>
      </c>
      <c r="H84" s="2">
        <v>12770388000</v>
      </c>
      <c r="I84" s="2">
        <v>624</v>
      </c>
      <c r="J84" s="2">
        <v>914</v>
      </c>
      <c r="K84" s="2">
        <v>14123410000</v>
      </c>
      <c r="L84" s="2">
        <v>11823410000</v>
      </c>
      <c r="M84" s="3"/>
      <c r="N84" s="3">
        <v>344</v>
      </c>
      <c r="O84" s="3">
        <v>10744399000</v>
      </c>
      <c r="P84" s="3">
        <v>10119130000</v>
      </c>
      <c r="Q84" s="3"/>
      <c r="R84" s="3"/>
      <c r="S84" s="3">
        <v>6036337000</v>
      </c>
      <c r="T84" s="3">
        <v>6619660000</v>
      </c>
    </row>
    <row r="85" spans="3:20" x14ac:dyDescent="0.25">
      <c r="D85" t="s">
        <v>429</v>
      </c>
      <c r="F85" s="2">
        <v>408</v>
      </c>
      <c r="G85" s="2">
        <v>3048025000</v>
      </c>
      <c r="H85" s="2">
        <v>3121025000</v>
      </c>
      <c r="I85" s="2">
        <v>625</v>
      </c>
      <c r="J85" s="2">
        <v>915</v>
      </c>
      <c r="K85" s="2">
        <v>7512183000</v>
      </c>
      <c r="L85" s="2">
        <v>7512183000</v>
      </c>
      <c r="M85" s="3"/>
      <c r="N85" s="3">
        <v>345</v>
      </c>
      <c r="O85" s="3">
        <v>513031000</v>
      </c>
      <c r="P85" s="3">
        <v>384051000</v>
      </c>
      <c r="Q85" s="3"/>
      <c r="R85" s="3"/>
      <c r="S85" s="3">
        <v>2840004000</v>
      </c>
      <c r="T85" s="3">
        <v>1127820000</v>
      </c>
    </row>
    <row r="86" spans="3:20" x14ac:dyDescent="0.25">
      <c r="M86" s="3"/>
      <c r="N86" s="3"/>
      <c r="O86" s="3"/>
      <c r="P86" s="3"/>
      <c r="Q86" s="3"/>
      <c r="R86" s="3"/>
      <c r="S86" s="3"/>
      <c r="T86" s="3"/>
    </row>
    <row r="87" spans="3:20" x14ac:dyDescent="0.25">
      <c r="M87" s="3"/>
      <c r="N87" s="3"/>
      <c r="O87" s="3"/>
      <c r="P87" s="3"/>
      <c r="Q87" s="3"/>
      <c r="R87" s="3"/>
      <c r="S87" s="3"/>
      <c r="T87" s="3"/>
    </row>
    <row r="88" spans="3:20" x14ac:dyDescent="0.25">
      <c r="M88" s="3"/>
      <c r="N88" s="3"/>
      <c r="O88" s="3"/>
      <c r="P88" s="3"/>
      <c r="Q88" s="3"/>
      <c r="R88" s="3"/>
      <c r="S88" s="3"/>
      <c r="T88" s="3"/>
    </row>
    <row r="89" spans="3:20" x14ac:dyDescent="0.25">
      <c r="M89" s="3"/>
      <c r="N89" s="3"/>
      <c r="O89" s="3"/>
      <c r="P89" s="3"/>
      <c r="Q89" s="3"/>
      <c r="R89" s="3"/>
      <c r="S89" s="3"/>
      <c r="T89" s="3"/>
    </row>
    <row r="90" spans="3:20" x14ac:dyDescent="0.25">
      <c r="M90" s="3"/>
      <c r="N90" s="3"/>
      <c r="O90" s="3"/>
      <c r="P90" s="3"/>
      <c r="Q90" s="3"/>
      <c r="R90" s="3"/>
      <c r="S90" s="3"/>
      <c r="T90" s="3"/>
    </row>
    <row r="91" spans="3:20" x14ac:dyDescent="0.25">
      <c r="M91" s="3"/>
      <c r="N91" s="3"/>
      <c r="O91" s="3"/>
      <c r="P91" s="3"/>
      <c r="Q91" s="3"/>
      <c r="R91" s="3"/>
      <c r="S91" s="3"/>
      <c r="T91" s="3"/>
    </row>
    <row r="92" spans="3:20" x14ac:dyDescent="0.25">
      <c r="M92" s="3"/>
      <c r="N92" s="3"/>
      <c r="O92" s="3"/>
      <c r="P92" s="3"/>
      <c r="Q92" s="3"/>
      <c r="R92" s="3"/>
      <c r="S92" s="3"/>
      <c r="T92" s="3"/>
    </row>
    <row r="93" spans="3:20" x14ac:dyDescent="0.25">
      <c r="M93" s="3"/>
      <c r="N93" s="3"/>
      <c r="O93" s="3"/>
      <c r="P93" s="3"/>
      <c r="Q93" s="3"/>
      <c r="R93" s="3"/>
      <c r="S93" s="3"/>
      <c r="T93" s="3"/>
    </row>
    <row r="94" spans="3:20" x14ac:dyDescent="0.25">
      <c r="M94" s="3"/>
      <c r="N94" s="3"/>
      <c r="O94" s="3"/>
      <c r="P94" s="3"/>
      <c r="Q94" s="3"/>
      <c r="R94" s="3"/>
      <c r="S94" s="3"/>
      <c r="T94" s="3"/>
    </row>
    <row r="95" spans="3:20" x14ac:dyDescent="0.25">
      <c r="M95" s="3"/>
      <c r="N95" s="3"/>
      <c r="O95" s="3"/>
      <c r="P95" s="3"/>
      <c r="Q95" s="3"/>
      <c r="R95" s="3"/>
      <c r="S95" s="3"/>
      <c r="T95" s="3"/>
    </row>
    <row r="96" spans="3:20" x14ac:dyDescent="0.25">
      <c r="M96" s="3"/>
      <c r="N96" s="3"/>
      <c r="O96" s="3"/>
      <c r="P96" s="3"/>
      <c r="Q96" s="3"/>
      <c r="R96" s="3"/>
      <c r="S96" s="3"/>
      <c r="T96" s="3"/>
    </row>
    <row r="97" spans="13:20" x14ac:dyDescent="0.25">
      <c r="M97" s="3"/>
      <c r="N97" s="3"/>
      <c r="O97" s="3"/>
      <c r="P97" s="3"/>
      <c r="Q97" s="3"/>
      <c r="R97" s="3"/>
      <c r="S97" s="3"/>
      <c r="T97" s="3"/>
    </row>
    <row r="98" spans="13:20" x14ac:dyDescent="0.25">
      <c r="M98" s="3"/>
      <c r="N98" s="3"/>
      <c r="O98" s="3"/>
      <c r="P98" s="3"/>
      <c r="Q98" s="3"/>
      <c r="R98" s="3"/>
      <c r="S98" s="3"/>
      <c r="T98" s="3"/>
    </row>
    <row r="99" spans="13:20" x14ac:dyDescent="0.25">
      <c r="M99" s="3"/>
      <c r="N99" s="3"/>
      <c r="O99" s="3"/>
      <c r="P99" s="3"/>
      <c r="Q99" s="3"/>
      <c r="R99" s="3"/>
      <c r="S99" s="3"/>
      <c r="T99" s="3"/>
    </row>
    <row r="100" spans="13:20" x14ac:dyDescent="0.25">
      <c r="M100" s="3"/>
      <c r="N100" s="3"/>
      <c r="O100" s="3"/>
      <c r="P100" s="3"/>
      <c r="Q100" s="3"/>
      <c r="R100" s="3"/>
      <c r="S100" s="3"/>
      <c r="T100" s="3"/>
    </row>
    <row r="101" spans="13:20" x14ac:dyDescent="0.25">
      <c r="M101" s="3"/>
      <c r="N101" s="3"/>
      <c r="O101" s="3"/>
      <c r="P101" s="3"/>
      <c r="Q101" s="3"/>
      <c r="R101" s="3"/>
      <c r="S101" s="3"/>
      <c r="T101" s="3"/>
    </row>
    <row r="102" spans="13:20" x14ac:dyDescent="0.25">
      <c r="M102" s="3"/>
      <c r="N102" s="3"/>
      <c r="O102" s="3"/>
      <c r="P102" s="3"/>
      <c r="Q102" s="3"/>
      <c r="R102" s="3"/>
      <c r="S102" s="3"/>
      <c r="T102" s="3"/>
    </row>
    <row r="103" spans="13:20" x14ac:dyDescent="0.25">
      <c r="M103" s="3"/>
      <c r="N103" s="3"/>
      <c r="O103" s="3"/>
      <c r="P103" s="3"/>
      <c r="Q103" s="3"/>
      <c r="R103" s="3"/>
      <c r="S103" s="3"/>
      <c r="T103" s="3"/>
    </row>
    <row r="104" spans="13:20" x14ac:dyDescent="0.25">
      <c r="M104" s="3"/>
      <c r="N104" s="3"/>
      <c r="O104" s="3"/>
      <c r="P104" s="3"/>
      <c r="Q104" s="3"/>
      <c r="R104" s="3"/>
      <c r="S104" s="3"/>
      <c r="T104" s="3"/>
    </row>
    <row r="105" spans="13:20" x14ac:dyDescent="0.25">
      <c r="M105" s="3"/>
      <c r="N105" s="3"/>
      <c r="O105" s="3"/>
      <c r="P105" s="3"/>
      <c r="Q105" s="3"/>
      <c r="R105" s="3"/>
      <c r="S105" s="3"/>
      <c r="T105" s="3"/>
    </row>
    <row r="106" spans="13:20" x14ac:dyDescent="0.25">
      <c r="M106" s="3"/>
      <c r="N106" s="3"/>
      <c r="O106" s="3"/>
      <c r="P106" s="3"/>
      <c r="Q106" s="3"/>
      <c r="R106" s="3"/>
      <c r="S106" s="3"/>
      <c r="T106" s="3"/>
    </row>
    <row r="107" spans="13:20" x14ac:dyDescent="0.25">
      <c r="M107" s="3"/>
      <c r="N107" s="3"/>
      <c r="O107" s="3"/>
      <c r="P107" s="3"/>
      <c r="Q107" s="3"/>
      <c r="R107" s="3"/>
      <c r="S107" s="3"/>
      <c r="T107" s="3"/>
    </row>
    <row r="108" spans="13:20" x14ac:dyDescent="0.25">
      <c r="M108" s="3"/>
      <c r="N108" s="3"/>
      <c r="O108" s="3"/>
      <c r="P108" s="3"/>
      <c r="Q108" s="3"/>
      <c r="R108" s="3"/>
      <c r="S108" s="3"/>
      <c r="T108" s="3"/>
    </row>
    <row r="109" spans="13:20" x14ac:dyDescent="0.25">
      <c r="M109" s="3"/>
      <c r="N109" s="3"/>
      <c r="O109" s="3"/>
      <c r="P109" s="3"/>
      <c r="Q109" s="3"/>
      <c r="R109" s="3"/>
      <c r="S109" s="3"/>
      <c r="T109" s="3"/>
    </row>
    <row r="110" spans="13:20" x14ac:dyDescent="0.25">
      <c r="M110" s="3"/>
      <c r="N110" s="3"/>
      <c r="O110" s="3"/>
      <c r="P110" s="3"/>
      <c r="Q110" s="3"/>
      <c r="R110" s="3"/>
      <c r="S110" s="3"/>
      <c r="T110" s="3"/>
    </row>
    <row r="111" spans="13:20" x14ac:dyDescent="0.25">
      <c r="M111" s="3"/>
      <c r="N111" s="3"/>
      <c r="O111" s="3"/>
      <c r="P111" s="3"/>
      <c r="Q111" s="3"/>
      <c r="R111" s="3"/>
      <c r="S111" s="3"/>
      <c r="T111" s="3"/>
    </row>
    <row r="112" spans="13:20" x14ac:dyDescent="0.25">
      <c r="M112" s="3"/>
      <c r="N112" s="3"/>
      <c r="O112" s="3"/>
      <c r="P112" s="3"/>
      <c r="Q112" s="3"/>
      <c r="R112" s="3"/>
      <c r="S112" s="3"/>
      <c r="T112" s="3"/>
    </row>
    <row r="113" spans="13:20" x14ac:dyDescent="0.25">
      <c r="M113" s="3"/>
      <c r="N113" s="3"/>
      <c r="O113" s="3"/>
      <c r="P113" s="3"/>
      <c r="Q113" s="3"/>
      <c r="R113" s="3"/>
      <c r="S113" s="3"/>
      <c r="T113" s="3"/>
    </row>
    <row r="114" spans="13:20" x14ac:dyDescent="0.25">
      <c r="M114" s="3"/>
      <c r="N114" s="3"/>
      <c r="O114" s="3"/>
      <c r="P114" s="3"/>
      <c r="Q114" s="3"/>
      <c r="R114" s="3"/>
      <c r="S114" s="3"/>
      <c r="T114" s="3"/>
    </row>
    <row r="115" spans="13:20" x14ac:dyDescent="0.25">
      <c r="M115" s="3"/>
      <c r="N115" s="3"/>
      <c r="O115" s="3"/>
      <c r="P115" s="3"/>
      <c r="Q115" s="3"/>
      <c r="R115" s="3"/>
      <c r="S115" s="3"/>
      <c r="T115" s="3"/>
    </row>
    <row r="116" spans="13:20" x14ac:dyDescent="0.25">
      <c r="M116" s="3"/>
      <c r="N116" s="3"/>
      <c r="O116" s="3"/>
      <c r="P116" s="3"/>
      <c r="Q116" s="3"/>
      <c r="R116" s="3"/>
      <c r="S116" s="3"/>
      <c r="T116" s="3"/>
    </row>
    <row r="117" spans="13:20" x14ac:dyDescent="0.25">
      <c r="M117" s="3"/>
      <c r="N117" s="3"/>
      <c r="O117" s="3"/>
      <c r="P117" s="3"/>
      <c r="Q117" s="3"/>
      <c r="R117" s="3"/>
      <c r="S117" s="3"/>
      <c r="T117" s="3"/>
    </row>
    <row r="118" spans="13:20" x14ac:dyDescent="0.25">
      <c r="M118" s="3"/>
      <c r="N118" s="3"/>
      <c r="O118" s="3"/>
      <c r="P118" s="3"/>
      <c r="Q118" s="3"/>
      <c r="R118" s="3"/>
      <c r="S118" s="3"/>
      <c r="T118" s="3"/>
    </row>
    <row r="119" spans="13:20" x14ac:dyDescent="0.25">
      <c r="M119" s="3"/>
      <c r="N119" s="3"/>
      <c r="O119" s="3"/>
      <c r="P119" s="3"/>
      <c r="Q119" s="3"/>
      <c r="R119" s="3"/>
      <c r="S119" s="3"/>
      <c r="T119" s="3"/>
    </row>
    <row r="120" spans="13:20" x14ac:dyDescent="0.25">
      <c r="M120" s="3"/>
      <c r="N120" s="3"/>
      <c r="O120" s="3"/>
      <c r="P120" s="3"/>
      <c r="Q120" s="3"/>
      <c r="R120" s="3"/>
      <c r="S120" s="3"/>
      <c r="T120" s="3"/>
    </row>
    <row r="121" spans="13:20" x14ac:dyDescent="0.25">
      <c r="M121" s="3"/>
      <c r="N121" s="3"/>
      <c r="O121" s="3"/>
      <c r="P121" s="3"/>
      <c r="Q121" s="3"/>
      <c r="R121" s="3"/>
      <c r="S121" s="3"/>
      <c r="T121" s="3"/>
    </row>
    <row r="122" spans="13:20" x14ac:dyDescent="0.25">
      <c r="M122" s="3"/>
      <c r="N122" s="3"/>
      <c r="O122" s="3"/>
      <c r="P122" s="3"/>
      <c r="Q122" s="3"/>
      <c r="R122" s="3"/>
      <c r="S122" s="3"/>
      <c r="T122" s="3"/>
    </row>
    <row r="123" spans="13:20" x14ac:dyDescent="0.25">
      <c r="M123" s="3"/>
      <c r="N123" s="3"/>
      <c r="O123" s="3"/>
      <c r="P123" s="3"/>
      <c r="Q123" s="3"/>
      <c r="R123" s="3"/>
      <c r="S123" s="3"/>
      <c r="T123" s="3"/>
    </row>
    <row r="124" spans="13:20" x14ac:dyDescent="0.25">
      <c r="M124" s="3"/>
      <c r="N124" s="3"/>
      <c r="O124" s="3"/>
      <c r="P124" s="3"/>
      <c r="Q124" s="3"/>
      <c r="R124" s="3"/>
      <c r="S124" s="3"/>
      <c r="T124" s="3"/>
    </row>
    <row r="125" spans="13:20" x14ac:dyDescent="0.25">
      <c r="M125" s="3"/>
      <c r="N125" s="3"/>
      <c r="O125" s="3"/>
      <c r="P125" s="3"/>
      <c r="Q125" s="3"/>
      <c r="R125" s="3"/>
      <c r="S125" s="3"/>
      <c r="T125" s="3"/>
    </row>
    <row r="126" spans="13:20" x14ac:dyDescent="0.25">
      <c r="M126" s="3"/>
      <c r="N126" s="3"/>
      <c r="O126" s="3"/>
      <c r="P126" s="3"/>
      <c r="Q126" s="3"/>
      <c r="R126" s="3"/>
      <c r="S126" s="3"/>
      <c r="T126" s="3"/>
    </row>
    <row r="127" spans="13:20" x14ac:dyDescent="0.25">
      <c r="M127" s="3"/>
      <c r="N127" s="3"/>
      <c r="O127" s="3"/>
      <c r="P127" s="3"/>
      <c r="Q127" s="3"/>
      <c r="R127" s="3"/>
      <c r="S127" s="3"/>
      <c r="T127" s="3"/>
    </row>
    <row r="128" spans="13:20" x14ac:dyDescent="0.25">
      <c r="M128" s="3"/>
      <c r="N128" s="3"/>
      <c r="O128" s="3"/>
      <c r="P128" s="3"/>
      <c r="Q128" s="3"/>
      <c r="R128" s="3"/>
      <c r="S128" s="3"/>
      <c r="T128" s="3"/>
    </row>
    <row r="129" spans="13:20" x14ac:dyDescent="0.25">
      <c r="M129" s="3"/>
      <c r="N129" s="3"/>
      <c r="O129" s="3"/>
      <c r="P129" s="3"/>
      <c r="Q129" s="3"/>
      <c r="R129" s="3"/>
      <c r="S129" s="3"/>
      <c r="T129" s="3"/>
    </row>
    <row r="130" spans="13:20" x14ac:dyDescent="0.25">
      <c r="M130" s="3"/>
      <c r="N130" s="3"/>
      <c r="O130" s="3"/>
      <c r="P130" s="3"/>
      <c r="Q130" s="3"/>
      <c r="R130" s="3"/>
      <c r="S130" s="3"/>
      <c r="T130" s="3"/>
    </row>
    <row r="131" spans="13:20" x14ac:dyDescent="0.25">
      <c r="M131" s="3"/>
      <c r="N131" s="3"/>
      <c r="O131" s="3"/>
      <c r="P131" s="3"/>
      <c r="Q131" s="3"/>
      <c r="R131" s="3"/>
      <c r="S131" s="3"/>
      <c r="T131" s="3"/>
    </row>
    <row r="132" spans="13:20" x14ac:dyDescent="0.25">
      <c r="M132" s="3"/>
      <c r="N132" s="3"/>
      <c r="O132" s="3"/>
      <c r="P132" s="3"/>
      <c r="Q132" s="3"/>
      <c r="R132" s="3"/>
      <c r="S132" s="3"/>
      <c r="T132" s="3"/>
    </row>
    <row r="133" spans="13:20" x14ac:dyDescent="0.25">
      <c r="M133" s="3"/>
      <c r="N133" s="3"/>
      <c r="O133" s="3"/>
      <c r="P133" s="3"/>
      <c r="Q133" s="3"/>
      <c r="R133" s="3"/>
      <c r="S133" s="3"/>
      <c r="T133" s="3"/>
    </row>
    <row r="134" spans="13:20" x14ac:dyDescent="0.25">
      <c r="M134" s="3"/>
      <c r="N134" s="3"/>
      <c r="O134" s="3"/>
      <c r="P134" s="3"/>
      <c r="Q134" s="3"/>
      <c r="R134" s="3"/>
      <c r="S134" s="3"/>
      <c r="T134" s="3"/>
    </row>
    <row r="135" spans="13:20" x14ac:dyDescent="0.25">
      <c r="M135" s="3"/>
      <c r="N135" s="3"/>
      <c r="O135" s="3"/>
      <c r="P135" s="3"/>
      <c r="Q135" s="3"/>
      <c r="R135" s="3"/>
      <c r="S135" s="3"/>
      <c r="T135" s="3"/>
    </row>
    <row r="136" spans="13:20" x14ac:dyDescent="0.25">
      <c r="M136" s="3"/>
      <c r="N136" s="3"/>
      <c r="O136" s="3"/>
      <c r="P136" s="3"/>
      <c r="Q136" s="3"/>
      <c r="R136" s="3"/>
      <c r="S136" s="3"/>
      <c r="T136" s="3"/>
    </row>
    <row r="137" spans="13:20" x14ac:dyDescent="0.25">
      <c r="M137" s="3"/>
      <c r="N137" s="3"/>
      <c r="O137" s="3"/>
      <c r="P137" s="3"/>
      <c r="Q137" s="3"/>
      <c r="R137" s="3"/>
      <c r="S137" s="3"/>
      <c r="T137" s="3"/>
    </row>
    <row r="138" spans="13:20" x14ac:dyDescent="0.25">
      <c r="M138" s="3"/>
      <c r="N138" s="3"/>
      <c r="O138" s="3"/>
      <c r="P138" s="3"/>
      <c r="Q138" s="3"/>
      <c r="R138" s="3"/>
      <c r="S138" s="3"/>
      <c r="T138" s="3"/>
    </row>
    <row r="139" spans="13:20" x14ac:dyDescent="0.25">
      <c r="M139" s="3"/>
      <c r="N139" s="3"/>
      <c r="O139" s="3"/>
      <c r="P139" s="3"/>
      <c r="Q139" s="3"/>
      <c r="R139" s="3"/>
      <c r="S139" s="3"/>
      <c r="T139" s="3"/>
    </row>
    <row r="140" spans="13:20" x14ac:dyDescent="0.25">
      <c r="M140" s="3"/>
      <c r="N140" s="3"/>
      <c r="O140" s="3"/>
      <c r="P140" s="3"/>
      <c r="Q140" s="3"/>
      <c r="R140" s="3"/>
      <c r="S140" s="3"/>
      <c r="T140" s="3"/>
    </row>
    <row r="141" spans="13:20" x14ac:dyDescent="0.25">
      <c r="M141" s="3"/>
      <c r="N141" s="3"/>
      <c r="O141" s="3"/>
      <c r="P141" s="3"/>
      <c r="Q141" s="3"/>
      <c r="R141" s="3"/>
      <c r="S141" s="3"/>
      <c r="T141" s="3"/>
    </row>
    <row r="142" spans="13:20" x14ac:dyDescent="0.25">
      <c r="M142" s="3"/>
      <c r="N142" s="3"/>
      <c r="O142" s="3"/>
      <c r="P142" s="3"/>
      <c r="Q142" s="3"/>
      <c r="R142" s="3"/>
      <c r="S142" s="3"/>
      <c r="T142" s="3"/>
    </row>
    <row r="143" spans="13:20" x14ac:dyDescent="0.25">
      <c r="M143" s="3"/>
      <c r="N143" s="3"/>
      <c r="O143" s="3"/>
      <c r="P143" s="3"/>
      <c r="Q143" s="3"/>
      <c r="R143" s="3"/>
      <c r="S143" s="3"/>
      <c r="T143" s="3"/>
    </row>
    <row r="144" spans="13:20" x14ac:dyDescent="0.25">
      <c r="M144" s="3"/>
      <c r="N144" s="3"/>
      <c r="O144" s="3"/>
      <c r="P144" s="3"/>
      <c r="Q144" s="3"/>
      <c r="R144" s="3"/>
      <c r="S144" s="3"/>
      <c r="T144" s="3"/>
    </row>
    <row r="145" spans="13:20" x14ac:dyDescent="0.25">
      <c r="M145" s="3"/>
      <c r="N145" s="3"/>
      <c r="O145" s="3"/>
      <c r="P145" s="3"/>
      <c r="Q145" s="3"/>
      <c r="R145" s="3"/>
      <c r="S145" s="3"/>
      <c r="T145" s="3"/>
    </row>
    <row r="146" spans="13:20" x14ac:dyDescent="0.25">
      <c r="M146" s="3"/>
      <c r="N146" s="3"/>
      <c r="O146" s="3"/>
      <c r="P146" s="3"/>
      <c r="Q146" s="3"/>
      <c r="R146" s="3"/>
      <c r="S146" s="3"/>
      <c r="T146" s="3"/>
    </row>
    <row r="147" spans="13:20" x14ac:dyDescent="0.25">
      <c r="M147" s="3"/>
      <c r="N147" s="3"/>
      <c r="O147" s="3"/>
      <c r="P147" s="3"/>
      <c r="Q147" s="3"/>
      <c r="R147" s="3"/>
      <c r="S147" s="3"/>
      <c r="T147" s="3"/>
    </row>
    <row r="148" spans="13:20" x14ac:dyDescent="0.25">
      <c r="M148" s="3"/>
      <c r="N148" s="3"/>
      <c r="O148" s="3"/>
      <c r="P148" s="3"/>
      <c r="Q148" s="3"/>
      <c r="R148" s="3"/>
      <c r="S148" s="3"/>
      <c r="T148" s="3"/>
    </row>
    <row r="149" spans="13:20" x14ac:dyDescent="0.25">
      <c r="M149" s="3"/>
      <c r="N149" s="3"/>
      <c r="O149" s="3"/>
      <c r="P149" s="3"/>
      <c r="Q149" s="3"/>
      <c r="R149" s="3"/>
      <c r="S149" s="3"/>
      <c r="T149" s="3"/>
    </row>
    <row r="150" spans="13:20" x14ac:dyDescent="0.25">
      <c r="M150" s="3"/>
      <c r="N150" s="3"/>
      <c r="O150" s="3"/>
      <c r="P150" s="3"/>
      <c r="Q150" s="3"/>
      <c r="R150" s="3"/>
      <c r="S150" s="3"/>
      <c r="T150" s="3"/>
    </row>
    <row r="151" spans="13:20" x14ac:dyDescent="0.25">
      <c r="M151" s="3"/>
      <c r="N151" s="3"/>
      <c r="O151" s="3"/>
      <c r="P151" s="3"/>
      <c r="Q151" s="3"/>
      <c r="R151" s="3"/>
      <c r="S151" s="3"/>
      <c r="T151" s="3"/>
    </row>
    <row r="152" spans="13:20" x14ac:dyDescent="0.25">
      <c r="M152" s="3"/>
      <c r="N152" s="3"/>
      <c r="O152" s="3"/>
      <c r="P152" s="3"/>
      <c r="Q152" s="3"/>
      <c r="R152" s="3"/>
      <c r="S152" s="3"/>
      <c r="T152" s="3"/>
    </row>
    <row r="153" spans="13:20" x14ac:dyDescent="0.25">
      <c r="M153" s="3"/>
      <c r="N153" s="3"/>
      <c r="O153" s="3"/>
      <c r="P153" s="3"/>
      <c r="Q153" s="3"/>
      <c r="R153" s="3"/>
      <c r="S153" s="3"/>
      <c r="T153" s="3"/>
    </row>
    <row r="154" spans="13:20" x14ac:dyDescent="0.25">
      <c r="M154" s="3"/>
      <c r="N154" s="3"/>
      <c r="O154" s="3"/>
      <c r="P154" s="3"/>
      <c r="Q154" s="3"/>
      <c r="R154" s="3"/>
      <c r="S154" s="3"/>
      <c r="T154" s="3"/>
    </row>
    <row r="155" spans="13:20" x14ac:dyDescent="0.25">
      <c r="M155" s="3"/>
      <c r="N155" s="3"/>
      <c r="O155" s="3"/>
      <c r="P155" s="3"/>
      <c r="Q155" s="3"/>
      <c r="R155" s="3"/>
      <c r="S155" s="3"/>
      <c r="T155" s="3"/>
    </row>
    <row r="156" spans="13:20" x14ac:dyDescent="0.25">
      <c r="M156" s="3"/>
      <c r="N156" s="3"/>
      <c r="O156" s="3"/>
      <c r="P156" s="3"/>
      <c r="Q156" s="3"/>
      <c r="R156" s="3"/>
      <c r="S156" s="3"/>
      <c r="T15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A821-84B4-4E62-9E09-5248760F552F}">
  <dimension ref="A1:AV170"/>
  <sheetViews>
    <sheetView tabSelected="1" zoomScaleNormal="100"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AJ4" sqref="AJ4"/>
    </sheetView>
  </sheetViews>
  <sheetFormatPr defaultRowHeight="15" x14ac:dyDescent="0.25"/>
  <cols>
    <col min="5" max="48" width="16.7109375" style="2" customWidth="1"/>
  </cols>
  <sheetData>
    <row r="1" spans="1:48" s="18" customFormat="1" x14ac:dyDescent="0.25">
      <c r="E1" s="19" t="s">
        <v>764</v>
      </c>
      <c r="F1" s="19" t="s">
        <v>765</v>
      </c>
      <c r="G1" s="19" t="s">
        <v>766</v>
      </c>
      <c r="H1" s="19" t="s">
        <v>767</v>
      </c>
      <c r="I1" s="19" t="s">
        <v>768</v>
      </c>
      <c r="J1" s="19" t="s">
        <v>769</v>
      </c>
      <c r="K1" s="19" t="s">
        <v>770</v>
      </c>
      <c r="L1" s="19" t="s">
        <v>771</v>
      </c>
      <c r="M1" s="32" t="s">
        <v>772</v>
      </c>
      <c r="N1" s="19" t="s">
        <v>773</v>
      </c>
      <c r="O1" s="19" t="s">
        <v>774</v>
      </c>
      <c r="P1" s="19" t="s">
        <v>775</v>
      </c>
      <c r="Q1" s="19" t="s">
        <v>776</v>
      </c>
      <c r="R1" s="19" t="s">
        <v>777</v>
      </c>
      <c r="S1" s="19" t="s">
        <v>778</v>
      </c>
      <c r="T1" s="19" t="s">
        <v>779</v>
      </c>
      <c r="U1" s="19" t="s">
        <v>780</v>
      </c>
      <c r="V1" s="19" t="s">
        <v>781</v>
      </c>
      <c r="W1" s="19" t="s">
        <v>782</v>
      </c>
      <c r="X1" s="19" t="s">
        <v>783</v>
      </c>
      <c r="Y1" s="19" t="s">
        <v>784</v>
      </c>
      <c r="Z1" s="19" t="s">
        <v>785</v>
      </c>
      <c r="AA1" s="19" t="s">
        <v>786</v>
      </c>
      <c r="AB1" s="32" t="s">
        <v>787</v>
      </c>
      <c r="AC1" s="16" t="s">
        <v>787</v>
      </c>
      <c r="AD1" s="19" t="s">
        <v>788</v>
      </c>
      <c r="AE1" s="19" t="s">
        <v>789</v>
      </c>
      <c r="AF1" s="19" t="s">
        <v>790</v>
      </c>
      <c r="AG1" s="19" t="s">
        <v>791</v>
      </c>
      <c r="AH1" s="19" t="s">
        <v>792</v>
      </c>
      <c r="AI1" s="19" t="s">
        <v>793</v>
      </c>
      <c r="AJ1" s="19" t="s">
        <v>794</v>
      </c>
      <c r="AK1" s="19" t="s">
        <v>795</v>
      </c>
      <c r="AL1" s="19" t="s">
        <v>796</v>
      </c>
      <c r="AM1" s="32" t="s">
        <v>797</v>
      </c>
      <c r="AN1" s="19" t="s">
        <v>798</v>
      </c>
      <c r="AO1" s="19" t="s">
        <v>799</v>
      </c>
      <c r="AP1" s="19" t="s">
        <v>800</v>
      </c>
      <c r="AQ1" s="32" t="s">
        <v>801</v>
      </c>
      <c r="AR1" s="19" t="s">
        <v>802</v>
      </c>
      <c r="AS1" s="19" t="s">
        <v>803</v>
      </c>
      <c r="AT1" s="19" t="s">
        <v>804</v>
      </c>
      <c r="AU1" s="19" t="s">
        <v>805</v>
      </c>
      <c r="AV1" s="19" t="s">
        <v>806</v>
      </c>
    </row>
    <row r="2" spans="1:48" x14ac:dyDescent="0.25">
      <c r="A2" s="25" t="s">
        <v>696</v>
      </c>
      <c r="B2" s="25"/>
      <c r="C2" s="25"/>
      <c r="D2" s="25"/>
      <c r="E2" s="27"/>
      <c r="F2" s="27"/>
      <c r="G2" s="27">
        <v>9386410000</v>
      </c>
      <c r="H2" s="27">
        <v>9456410000</v>
      </c>
      <c r="I2" s="27"/>
      <c r="J2" s="27"/>
      <c r="K2" s="27">
        <v>10464001000</v>
      </c>
      <c r="L2" s="27">
        <v>12929419000</v>
      </c>
      <c r="M2" s="27">
        <v>-350000000</v>
      </c>
      <c r="N2" s="27"/>
      <c r="O2" s="27"/>
      <c r="P2" s="27">
        <v>14996063000</v>
      </c>
      <c r="Q2" s="27">
        <v>14996063000</v>
      </c>
      <c r="R2" s="27"/>
      <c r="S2" s="27"/>
      <c r="T2" s="27">
        <v>15238226000</v>
      </c>
      <c r="U2" s="27">
        <v>12821668000</v>
      </c>
      <c r="V2" s="27"/>
      <c r="W2" s="27"/>
      <c r="X2" s="27">
        <v>16402397000</v>
      </c>
      <c r="Y2" s="27">
        <v>10404843000</v>
      </c>
      <c r="Z2" s="27"/>
      <c r="AA2" s="27"/>
      <c r="AB2" s="27">
        <v>16133073000</v>
      </c>
      <c r="AC2" s="27">
        <v>16133073000</v>
      </c>
      <c r="AD2" s="27">
        <v>12587834000</v>
      </c>
      <c r="AE2" s="27"/>
      <c r="AF2" s="27"/>
      <c r="AG2" s="27">
        <v>17409200000</v>
      </c>
      <c r="AH2" s="27">
        <v>12764081000</v>
      </c>
      <c r="AI2" s="27"/>
      <c r="AJ2" s="27"/>
      <c r="AK2" s="27">
        <v>17614782000</v>
      </c>
      <c r="AL2" s="27">
        <v>13314782000</v>
      </c>
      <c r="AM2" s="27"/>
      <c r="AN2" s="27"/>
      <c r="AO2" s="27"/>
      <c r="AP2" s="27">
        <v>20468476000</v>
      </c>
      <c r="AQ2" s="27">
        <f>13173506000+2042917000+2018558000</f>
        <v>17234981000</v>
      </c>
      <c r="AR2" s="27">
        <v>16616854000</v>
      </c>
      <c r="AS2" s="27"/>
      <c r="AT2" s="27"/>
      <c r="AU2" s="27">
        <v>18078293000</v>
      </c>
      <c r="AV2" s="27"/>
    </row>
    <row r="3" spans="1:48" x14ac:dyDescent="0.25">
      <c r="A3" s="25" t="s">
        <v>697</v>
      </c>
      <c r="B3" s="25"/>
      <c r="C3" s="25"/>
      <c r="D3" s="25"/>
      <c r="E3" s="27"/>
      <c r="F3" s="27"/>
      <c r="G3" s="27">
        <v>80390254000</v>
      </c>
      <c r="H3" s="27">
        <v>44526076000</v>
      </c>
      <c r="I3" s="27"/>
      <c r="J3" s="27"/>
      <c r="K3" s="27">
        <v>50010599000</v>
      </c>
      <c r="L3" s="27">
        <v>31929324000</v>
      </c>
      <c r="M3" s="27">
        <v>-460000000</v>
      </c>
      <c r="N3" s="27"/>
      <c r="O3" s="27"/>
      <c r="P3" s="27">
        <v>76535080000</v>
      </c>
      <c r="Q3" s="27">
        <v>34801080000</v>
      </c>
      <c r="R3" s="27"/>
      <c r="S3" s="27"/>
      <c r="T3" s="27">
        <v>38133610000</v>
      </c>
      <c r="U3" s="27">
        <v>21578651000</v>
      </c>
      <c r="V3" s="27"/>
      <c r="W3" s="27"/>
      <c r="X3" s="27">
        <v>52458156000</v>
      </c>
      <c r="Y3" s="27">
        <v>8308417000</v>
      </c>
      <c r="Z3" s="27"/>
      <c r="AA3" s="27"/>
      <c r="AB3" s="27">
        <v>60675732000</v>
      </c>
      <c r="AC3" s="27">
        <v>60675732000</v>
      </c>
      <c r="AD3" s="27">
        <v>9823955000</v>
      </c>
      <c r="AE3" s="27"/>
      <c r="AF3" s="27"/>
      <c r="AG3" s="27">
        <v>79227187000</v>
      </c>
      <c r="AH3" s="27">
        <v>11730987000</v>
      </c>
      <c r="AI3" s="27"/>
      <c r="AJ3" s="27"/>
      <c r="AK3" s="27">
        <v>88751746000</v>
      </c>
      <c r="AL3" s="27">
        <v>10345107000</v>
      </c>
      <c r="AM3" s="27"/>
      <c r="AN3" s="27"/>
      <c r="AO3" s="27"/>
      <c r="AP3" s="27">
        <v>82426508000</v>
      </c>
      <c r="AQ3" s="27">
        <f>1122813000+13877721000+25268954000</f>
        <v>40269488000</v>
      </c>
      <c r="AR3" s="27">
        <v>29601046000</v>
      </c>
      <c r="AS3" s="27"/>
      <c r="AT3" s="27"/>
      <c r="AU3" s="27">
        <v>51609648000</v>
      </c>
      <c r="AV3" s="27"/>
    </row>
    <row r="4" spans="1:48" x14ac:dyDescent="0.25">
      <c r="A4" s="25" t="s">
        <v>698</v>
      </c>
      <c r="B4" s="25"/>
      <c r="C4" s="25"/>
      <c r="D4" s="25"/>
      <c r="E4" s="27"/>
      <c r="F4" s="27"/>
      <c r="G4" s="27">
        <v>540466647000</v>
      </c>
      <c r="H4" s="27">
        <v>583881997000</v>
      </c>
      <c r="I4" s="27"/>
      <c r="J4" s="27"/>
      <c r="K4" s="27">
        <v>484046683000</v>
      </c>
      <c r="L4" s="27">
        <v>504531771000</v>
      </c>
      <c r="M4" s="27">
        <v>-94564241000</v>
      </c>
      <c r="N4" s="27"/>
      <c r="O4" s="27"/>
      <c r="P4" s="27">
        <v>441965481000</v>
      </c>
      <c r="Q4" s="27">
        <v>531088868000</v>
      </c>
      <c r="R4" s="27"/>
      <c r="S4" s="27"/>
      <c r="T4" s="27">
        <v>613102453000</v>
      </c>
      <c r="U4" s="27">
        <v>660422399000</v>
      </c>
      <c r="V4" s="27"/>
      <c r="W4" s="27"/>
      <c r="X4" s="27">
        <v>616376533000</v>
      </c>
      <c r="Y4" s="27">
        <v>767012262000</v>
      </c>
      <c r="Z4" s="27"/>
      <c r="AA4" s="27"/>
      <c r="AB4" s="27">
        <v>619826684000</v>
      </c>
      <c r="AC4" s="27">
        <v>717310577000</v>
      </c>
      <c r="AD4" s="27">
        <v>870709251000</v>
      </c>
      <c r="AE4" s="27"/>
      <c r="AF4" s="27"/>
      <c r="AG4" s="27">
        <v>724470359000</v>
      </c>
      <c r="AH4" s="27">
        <v>972296616000</v>
      </c>
      <c r="AI4" s="27"/>
      <c r="AJ4" s="27"/>
      <c r="AK4" s="27">
        <v>792531911000</v>
      </c>
      <c r="AL4" s="27">
        <v>1090104558000</v>
      </c>
      <c r="AM4" s="27">
        <v>-26065700000</v>
      </c>
      <c r="AN4" s="27"/>
      <c r="AO4" s="27"/>
      <c r="AP4" s="27">
        <v>777113909000</v>
      </c>
      <c r="AQ4" s="27">
        <v>566976373000</v>
      </c>
      <c r="AR4" s="27">
        <v>483377295000</v>
      </c>
      <c r="AS4" s="27"/>
      <c r="AT4" s="27"/>
      <c r="AU4" s="27">
        <v>572924074000</v>
      </c>
      <c r="AV4" s="27"/>
    </row>
    <row r="5" spans="1:48" x14ac:dyDescent="0.25">
      <c r="B5" s="25" t="s">
        <v>807</v>
      </c>
      <c r="C5" s="25"/>
      <c r="D5" s="25"/>
      <c r="E5" s="27"/>
      <c r="F5" s="27"/>
      <c r="G5" s="27">
        <v>294416880000</v>
      </c>
      <c r="H5" s="27">
        <v>286223564000</v>
      </c>
      <c r="I5" s="27"/>
      <c r="J5" s="27"/>
      <c r="K5" s="27">
        <f>199597844000+16006195000</f>
        <v>215604039000</v>
      </c>
      <c r="L5" s="27">
        <f>153667329000+11386585000</f>
        <v>165053914000</v>
      </c>
      <c r="M5" s="27"/>
      <c r="N5" s="27"/>
      <c r="O5" s="27"/>
      <c r="P5" s="27">
        <v>203800798000</v>
      </c>
      <c r="Q5" s="27">
        <v>196428367000</v>
      </c>
      <c r="R5" s="27"/>
      <c r="S5" s="27"/>
      <c r="T5" s="27">
        <f>217295243000+43561525000</f>
        <v>260856768000</v>
      </c>
      <c r="U5" s="27">
        <f>205985881000+9850778000</f>
        <v>215836659000</v>
      </c>
      <c r="V5" s="27"/>
      <c r="W5" s="27"/>
      <c r="X5" s="27">
        <f>216064110000+31448053000</f>
        <v>247512163000</v>
      </c>
      <c r="Y5" s="27">
        <f>263862758000+5952364000</f>
        <v>269815122000</v>
      </c>
      <c r="Z5" s="27"/>
      <c r="AA5" s="27"/>
      <c r="AB5" s="27">
        <f>215923824000+46601579000</f>
        <v>262525403000</v>
      </c>
      <c r="AC5" s="27">
        <v>266965543000</v>
      </c>
      <c r="AD5" s="27">
        <f>269921615000+5056673000</f>
        <v>274978288000</v>
      </c>
      <c r="AE5" s="27"/>
      <c r="AF5" s="27"/>
      <c r="AG5" s="27">
        <f>262135720000+47403175000</f>
        <v>309538895000</v>
      </c>
      <c r="AH5" s="27">
        <v>296116807000</v>
      </c>
      <c r="AI5" s="27"/>
      <c r="AJ5" s="27"/>
      <c r="AK5" s="27">
        <f>258414332000+40331851000</f>
        <v>298746183000</v>
      </c>
      <c r="AL5" s="27">
        <f>296496815000+12802478000</f>
        <v>309299293000</v>
      </c>
      <c r="AM5" s="27"/>
      <c r="AN5" s="27"/>
      <c r="AO5" s="27"/>
      <c r="AP5" s="27">
        <f>260048029000+83036066000</f>
        <v>343084095000</v>
      </c>
      <c r="AQ5" s="27">
        <f>265440112000+53036066000</f>
        <v>318476178000</v>
      </c>
      <c r="AR5" s="27">
        <f>217575364000+12741618000</f>
        <v>230316982000</v>
      </c>
      <c r="AS5" s="27"/>
      <c r="AT5" s="27"/>
      <c r="AU5" s="27">
        <f>199585796000+97962554000</f>
        <v>297548350000</v>
      </c>
      <c r="AV5" s="27"/>
    </row>
    <row r="6" spans="1:48" x14ac:dyDescent="0.25">
      <c r="C6" t="s">
        <v>194</v>
      </c>
      <c r="E6" s="3"/>
      <c r="F6" s="3"/>
      <c r="G6" s="29">
        <f>SUM(G7:G18)</f>
        <v>65235283000</v>
      </c>
      <c r="H6" s="29">
        <f>SUM(H7:H18)</f>
        <v>64982093000</v>
      </c>
      <c r="I6" s="3"/>
      <c r="J6" s="3"/>
      <c r="K6" s="29">
        <f>SUM(K7:K18)</f>
        <v>58989345000</v>
      </c>
      <c r="L6" s="29">
        <f>SUM(L7:L18)</f>
        <v>45474681000</v>
      </c>
      <c r="M6" s="3"/>
      <c r="N6" s="3"/>
      <c r="O6" s="3"/>
      <c r="P6" s="29">
        <f>SUM(P7:P18)</f>
        <v>51786212000</v>
      </c>
      <c r="Q6" s="29">
        <f>SUM(Q7:Q18)</f>
        <v>52871311000</v>
      </c>
      <c r="R6" s="3"/>
      <c r="S6" s="3"/>
      <c r="T6" s="29">
        <f>SUM(T7:T18)</f>
        <v>58966220000</v>
      </c>
      <c r="U6" s="29">
        <f>SUM(U7:U18)</f>
        <v>66017227000</v>
      </c>
      <c r="V6" s="3"/>
      <c r="W6" s="3"/>
      <c r="X6" s="29">
        <f>SUM(X7:X18)</f>
        <v>63287367000</v>
      </c>
      <c r="Y6" s="29">
        <f>SUM(Y7:Y18)</f>
        <v>117481826000</v>
      </c>
      <c r="Z6" s="3"/>
      <c r="AA6" s="3"/>
      <c r="AB6" s="29">
        <f>SUM(AB7:AB18)</f>
        <v>84223169000</v>
      </c>
      <c r="AC6" s="29">
        <f>SUM(AC7:AC18)</f>
        <v>88537603000</v>
      </c>
      <c r="AD6" s="29">
        <f>SUM(AD7:AD18)</f>
        <v>124589416000</v>
      </c>
      <c r="AE6" s="3"/>
      <c r="AF6" s="3"/>
      <c r="AG6" s="29">
        <f>SUM(AG7:AG18)</f>
        <v>115588386000</v>
      </c>
      <c r="AH6" s="29">
        <f>SUM(AH7:AH18)</f>
        <v>139033180000</v>
      </c>
      <c r="AI6" s="3"/>
      <c r="AJ6" s="3"/>
      <c r="AK6" s="29">
        <f>SUM(AK7:AK18)</f>
        <v>98392600000</v>
      </c>
      <c r="AL6" s="29">
        <f>SUM(AL7:AL18)</f>
        <v>154063738000</v>
      </c>
      <c r="AM6" s="3"/>
      <c r="AN6" s="3"/>
      <c r="AO6" s="3"/>
      <c r="AP6" s="29">
        <f>SUM(AP7:AP18)</f>
        <v>108277054000</v>
      </c>
      <c r="AQ6" s="29">
        <f>SUM(AQ7:AQ18)</f>
        <v>126356728000</v>
      </c>
      <c r="AR6" s="29">
        <f>SUM(AR7:AR18)</f>
        <v>99436874000</v>
      </c>
      <c r="AS6" s="3"/>
      <c r="AT6" s="3"/>
      <c r="AU6" s="29">
        <f>SUM(AU7:AU18)</f>
        <v>76500584000</v>
      </c>
      <c r="AV6" s="3"/>
    </row>
    <row r="7" spans="1:48" x14ac:dyDescent="0.25">
      <c r="D7" t="s">
        <v>25</v>
      </c>
      <c r="E7" s="3">
        <v>18</v>
      </c>
      <c r="F7" s="3">
        <v>17</v>
      </c>
      <c r="G7" s="33">
        <f>4789433000+3210010000</f>
        <v>7999443000</v>
      </c>
      <c r="H7" s="33">
        <f>6113277000+1157000000</f>
        <v>7270277000</v>
      </c>
      <c r="I7" s="3">
        <v>20</v>
      </c>
      <c r="J7" s="3">
        <v>19</v>
      </c>
      <c r="K7" s="33">
        <f>8818261000+2342445000</f>
        <v>11160706000</v>
      </c>
      <c r="L7" s="33">
        <f>6167235000+1504359000</f>
        <v>7671594000</v>
      </c>
      <c r="M7" s="33"/>
      <c r="N7" s="3">
        <v>17</v>
      </c>
      <c r="O7" s="3">
        <v>19</v>
      </c>
      <c r="P7" s="33">
        <f>6003796000+768303000</f>
        <v>6772099000</v>
      </c>
      <c r="Q7" s="33">
        <f>6213575000+1738109000</f>
        <v>7951684000</v>
      </c>
      <c r="R7" s="3">
        <v>2</v>
      </c>
      <c r="S7" s="3">
        <v>12</v>
      </c>
      <c r="T7" s="33">
        <f>6604176000+1082902000</f>
        <v>7687078000</v>
      </c>
      <c r="U7" s="33">
        <f>4635809000+524500000</f>
        <v>5160309000</v>
      </c>
      <c r="V7" s="3">
        <v>15</v>
      </c>
      <c r="W7" s="3">
        <v>11</v>
      </c>
      <c r="X7" s="33">
        <f>5290781000+575130000</f>
        <v>5865911000</v>
      </c>
      <c r="Y7" s="33">
        <f>8712222000+110000000</f>
        <v>8822222000</v>
      </c>
      <c r="Z7" s="3">
        <v>31</v>
      </c>
      <c r="AA7" s="3">
        <v>48</v>
      </c>
      <c r="AB7" s="33">
        <f>12815191000+1191710000</f>
        <v>14006901000</v>
      </c>
      <c r="AC7" s="33">
        <f>9193043000+1191710000</f>
        <v>10384753000</v>
      </c>
      <c r="AD7" s="33">
        <f>17740311000+91710000</f>
        <v>17832021000</v>
      </c>
      <c r="AE7" s="3">
        <v>41</v>
      </c>
      <c r="AF7" s="3">
        <v>51</v>
      </c>
      <c r="AG7" s="33">
        <f>18397484000+1064129000</f>
        <v>19461613000</v>
      </c>
      <c r="AH7" s="3">
        <v>28541141000</v>
      </c>
      <c r="AI7" s="3">
        <v>128</v>
      </c>
      <c r="AJ7" s="3">
        <v>54</v>
      </c>
      <c r="AK7" s="33">
        <f>25299337000+10000000</f>
        <v>25309337000</v>
      </c>
      <c r="AL7" s="33">
        <f>32527103000+334586000</f>
        <v>32861689000</v>
      </c>
      <c r="AM7" s="33"/>
      <c r="AN7" s="3">
        <v>79</v>
      </c>
      <c r="AO7" s="3">
        <v>60</v>
      </c>
      <c r="AP7" s="33">
        <f>14177717000+1755962000</f>
        <v>15933679000</v>
      </c>
      <c r="AQ7" s="33">
        <f>14867888000+1755962000</f>
        <v>16623850000</v>
      </c>
      <c r="AR7" s="33">
        <f>12062679000+210163000</f>
        <v>12272842000</v>
      </c>
      <c r="AS7" s="3">
        <v>81</v>
      </c>
      <c r="AT7" s="3"/>
      <c r="AU7" s="33">
        <f>13343175000+5211754000</f>
        <v>18554929000</v>
      </c>
      <c r="AV7" s="33"/>
    </row>
    <row r="8" spans="1:48" x14ac:dyDescent="0.25">
      <c r="D8" t="s">
        <v>29</v>
      </c>
      <c r="E8" s="3">
        <v>25</v>
      </c>
      <c r="F8" s="3">
        <v>24</v>
      </c>
      <c r="G8" s="3">
        <v>6801941000</v>
      </c>
      <c r="H8" s="3">
        <v>7557862000</v>
      </c>
      <c r="I8" s="3">
        <v>28</v>
      </c>
      <c r="J8" s="3">
        <v>25</v>
      </c>
      <c r="K8" s="3">
        <v>7831838000</v>
      </c>
      <c r="L8" s="3">
        <v>5919489000</v>
      </c>
      <c r="M8" s="3"/>
      <c r="N8" s="3">
        <v>25</v>
      </c>
      <c r="O8" s="3">
        <v>28</v>
      </c>
      <c r="P8" s="3">
        <v>6853971000</v>
      </c>
      <c r="Q8" s="3">
        <v>6597622000</v>
      </c>
      <c r="R8" s="3">
        <v>9</v>
      </c>
      <c r="S8" s="3">
        <v>26</v>
      </c>
      <c r="T8" s="3">
        <v>7539368000</v>
      </c>
      <c r="U8" s="3">
        <v>6200007000</v>
      </c>
      <c r="V8" s="3">
        <v>22</v>
      </c>
      <c r="W8" s="3">
        <v>20</v>
      </c>
      <c r="X8" s="3">
        <v>6372014000</v>
      </c>
      <c r="Y8" s="3">
        <v>11789350000</v>
      </c>
      <c r="Z8" s="3">
        <v>42</v>
      </c>
      <c r="AA8" s="3">
        <v>64</v>
      </c>
      <c r="AB8" s="3">
        <v>9842113000</v>
      </c>
      <c r="AC8" s="3">
        <v>12439995000</v>
      </c>
      <c r="AD8" s="3">
        <v>18379410000</v>
      </c>
      <c r="AE8" s="3">
        <v>57</v>
      </c>
      <c r="AF8" s="3">
        <v>70</v>
      </c>
      <c r="AG8" s="3">
        <v>19864467000</v>
      </c>
      <c r="AH8" s="3">
        <v>31974955000</v>
      </c>
      <c r="AI8" s="3">
        <v>138</v>
      </c>
      <c r="AJ8" s="3">
        <v>70</v>
      </c>
      <c r="AK8" s="3">
        <v>19106300000</v>
      </c>
      <c r="AL8" s="3">
        <v>46603448000</v>
      </c>
      <c r="AM8" s="3"/>
      <c r="AN8" s="3">
        <v>89</v>
      </c>
      <c r="AO8" s="3">
        <v>69</v>
      </c>
      <c r="AP8" s="3">
        <v>20341692000</v>
      </c>
      <c r="AQ8" s="3">
        <v>24627853000</v>
      </c>
      <c r="AR8" s="3">
        <v>15880415000</v>
      </c>
      <c r="AS8" s="3">
        <v>91</v>
      </c>
      <c r="AT8" s="3"/>
      <c r="AU8" s="3">
        <v>11678686000</v>
      </c>
      <c r="AV8" s="3"/>
    </row>
    <row r="9" spans="1:48" x14ac:dyDescent="0.25">
      <c r="D9" t="s">
        <v>31</v>
      </c>
      <c r="E9" s="3">
        <v>39</v>
      </c>
      <c r="F9" s="3">
        <v>35</v>
      </c>
      <c r="G9" s="3">
        <v>5345562000</v>
      </c>
      <c r="H9" s="3">
        <v>5767558000</v>
      </c>
      <c r="I9" s="3">
        <v>42</v>
      </c>
      <c r="J9" s="3">
        <v>35</v>
      </c>
      <c r="K9" s="3">
        <v>5286689000</v>
      </c>
      <c r="L9" s="3">
        <v>4087143000</v>
      </c>
      <c r="M9" s="3"/>
      <c r="N9" s="3">
        <v>36</v>
      </c>
      <c r="O9" s="3">
        <v>39</v>
      </c>
      <c r="P9" s="3">
        <v>4049331000</v>
      </c>
      <c r="Q9" s="3">
        <v>3961451000</v>
      </c>
      <c r="R9" s="3">
        <v>17</v>
      </c>
      <c r="S9" s="3">
        <v>42</v>
      </c>
      <c r="T9" s="3">
        <v>4454264000</v>
      </c>
      <c r="U9" s="3">
        <v>3415177000</v>
      </c>
      <c r="V9" s="3">
        <v>31</v>
      </c>
      <c r="W9" s="3">
        <v>31</v>
      </c>
      <c r="X9" s="3">
        <v>4752892000</v>
      </c>
      <c r="Y9" s="3">
        <v>9010793000</v>
      </c>
      <c r="Z9" s="3">
        <v>53</v>
      </c>
      <c r="AA9" s="3">
        <v>81</v>
      </c>
      <c r="AB9" s="3">
        <v>5814905000</v>
      </c>
      <c r="AC9" s="3">
        <v>9508092000</v>
      </c>
      <c r="AD9" s="3">
        <v>9609705000</v>
      </c>
      <c r="AE9" s="3">
        <v>73</v>
      </c>
      <c r="AF9" s="3">
        <v>93</v>
      </c>
      <c r="AG9" s="3">
        <v>8610267000</v>
      </c>
      <c r="AH9" s="3">
        <v>15027383000</v>
      </c>
      <c r="AI9" s="3">
        <v>152</v>
      </c>
      <c r="AJ9" s="3">
        <v>94</v>
      </c>
      <c r="AK9" s="3">
        <v>12037957000</v>
      </c>
      <c r="AL9" s="3">
        <v>24771097000</v>
      </c>
      <c r="AM9" s="3"/>
      <c r="AN9" s="3">
        <v>105</v>
      </c>
      <c r="AO9" s="3">
        <v>86</v>
      </c>
      <c r="AP9" s="3">
        <v>13334737000</v>
      </c>
      <c r="AQ9" s="3">
        <v>16427655000</v>
      </c>
      <c r="AR9" s="3">
        <v>10640781000</v>
      </c>
      <c r="AS9" s="3">
        <v>103</v>
      </c>
      <c r="AT9" s="3"/>
      <c r="AU9" s="3">
        <v>5720057000</v>
      </c>
      <c r="AV9" s="3"/>
    </row>
    <row r="10" spans="1:48" x14ac:dyDescent="0.25">
      <c r="D10" t="s">
        <v>808</v>
      </c>
      <c r="E10" s="3">
        <v>53</v>
      </c>
      <c r="F10" s="3">
        <v>45</v>
      </c>
      <c r="G10" s="3">
        <v>6599048000</v>
      </c>
      <c r="H10" s="3">
        <v>5853623000</v>
      </c>
      <c r="I10" s="3">
        <v>56</v>
      </c>
      <c r="J10" s="3">
        <v>45</v>
      </c>
      <c r="K10" s="3">
        <v>6444917000</v>
      </c>
      <c r="L10" s="3">
        <v>5366357000</v>
      </c>
      <c r="M10" s="3"/>
      <c r="N10" s="3">
        <v>46</v>
      </c>
      <c r="O10" s="3">
        <v>49</v>
      </c>
      <c r="P10" s="3">
        <v>3803135000</v>
      </c>
      <c r="Q10" s="3">
        <v>3705440000</v>
      </c>
      <c r="R10" s="3">
        <v>22</v>
      </c>
      <c r="S10" s="3">
        <v>55</v>
      </c>
      <c r="T10" s="3">
        <v>4183449000</v>
      </c>
      <c r="U10" s="3">
        <v>2871504000</v>
      </c>
      <c r="V10" s="3">
        <v>39</v>
      </c>
      <c r="W10" s="3">
        <v>42</v>
      </c>
      <c r="X10" s="3">
        <v>3477368000</v>
      </c>
      <c r="Y10" s="3">
        <v>3931888000</v>
      </c>
      <c r="Z10" s="3">
        <v>62</v>
      </c>
      <c r="AA10" s="3">
        <v>94</v>
      </c>
      <c r="AB10" s="3">
        <v>6644933000</v>
      </c>
      <c r="AC10" s="3">
        <v>4332329000</v>
      </c>
      <c r="AD10" s="3">
        <v>7824467000</v>
      </c>
      <c r="AE10" s="3">
        <v>85</v>
      </c>
      <c r="AF10" s="3">
        <v>109</v>
      </c>
      <c r="AG10" s="33">
        <f>12939370000+20000000</f>
        <v>12959370000</v>
      </c>
      <c r="AH10" s="3">
        <v>11368371000</v>
      </c>
      <c r="AI10" s="3">
        <v>163</v>
      </c>
      <c r="AJ10" s="3">
        <v>112</v>
      </c>
      <c r="AK10" s="3">
        <v>4856067000</v>
      </c>
      <c r="AL10" s="3">
        <v>6361206000</v>
      </c>
      <c r="AM10" s="3"/>
      <c r="AN10" s="3">
        <v>118</v>
      </c>
      <c r="AO10" s="3">
        <v>99</v>
      </c>
      <c r="AP10" s="3">
        <v>9603039000</v>
      </c>
      <c r="AQ10" s="3">
        <v>4678878000</v>
      </c>
      <c r="AR10" s="3">
        <v>5412940000</v>
      </c>
      <c r="AS10" s="3">
        <v>110</v>
      </c>
      <c r="AT10" s="3"/>
      <c r="AU10" s="3">
        <v>18330366000</v>
      </c>
      <c r="AV10" s="3"/>
    </row>
    <row r="11" spans="1:48" x14ac:dyDescent="0.25">
      <c r="D11" t="s">
        <v>809</v>
      </c>
      <c r="E11" s="3">
        <v>59</v>
      </c>
      <c r="F11" s="3">
        <v>50</v>
      </c>
      <c r="G11" s="3">
        <v>7761292000</v>
      </c>
      <c r="H11" s="3">
        <v>8034710000</v>
      </c>
      <c r="I11" s="3">
        <v>62</v>
      </c>
      <c r="J11" s="3">
        <v>51</v>
      </c>
      <c r="K11" s="3">
        <v>5583740000</v>
      </c>
      <c r="L11" s="3">
        <v>4878148000</v>
      </c>
      <c r="M11" s="3"/>
      <c r="N11" s="3">
        <v>51</v>
      </c>
      <c r="O11" s="3">
        <v>54</v>
      </c>
      <c r="P11" s="3">
        <v>3762260000</v>
      </c>
      <c r="Q11" s="3">
        <v>4480340000</v>
      </c>
      <c r="R11" s="3">
        <v>27</v>
      </c>
      <c r="S11" s="3">
        <v>63</v>
      </c>
      <c r="T11" s="3">
        <v>4138486000</v>
      </c>
      <c r="U11" s="3">
        <v>4166014000</v>
      </c>
      <c r="V11" s="3">
        <v>42</v>
      </c>
      <c r="W11" s="3">
        <v>46</v>
      </c>
      <c r="X11" s="3">
        <v>3847716000</v>
      </c>
      <c r="Y11" s="3">
        <v>6032766000</v>
      </c>
      <c r="Z11" s="3">
        <v>67</v>
      </c>
      <c r="AA11" s="3">
        <v>103</v>
      </c>
      <c r="AB11" s="3">
        <v>5395402000</v>
      </c>
      <c r="AC11" s="3">
        <v>6365710000</v>
      </c>
      <c r="AD11" s="3">
        <v>6566212000</v>
      </c>
      <c r="AE11" s="3">
        <v>92</v>
      </c>
      <c r="AF11" s="3">
        <v>118</v>
      </c>
      <c r="AG11" s="3">
        <v>17688185000</v>
      </c>
      <c r="AH11" s="3">
        <v>10008665000</v>
      </c>
      <c r="AI11" s="3">
        <v>167</v>
      </c>
      <c r="AJ11" s="3">
        <v>118</v>
      </c>
      <c r="AK11" s="3">
        <v>5842043000</v>
      </c>
      <c r="AL11" s="3">
        <v>8682622000</v>
      </c>
      <c r="AM11" s="3"/>
      <c r="AN11" s="3">
        <v>127</v>
      </c>
      <c r="AO11" s="3">
        <v>107</v>
      </c>
      <c r="AP11" s="3">
        <v>6635304000</v>
      </c>
      <c r="AQ11" s="3">
        <v>8514289000</v>
      </c>
      <c r="AR11" s="3">
        <v>8653641000</v>
      </c>
      <c r="AS11" s="3">
        <v>116</v>
      </c>
      <c r="AT11" s="3"/>
      <c r="AU11" s="3">
        <v>4733762000</v>
      </c>
      <c r="AV11" s="3"/>
    </row>
    <row r="12" spans="1:48" x14ac:dyDescent="0.25">
      <c r="D12" t="s">
        <v>810</v>
      </c>
      <c r="E12" s="3">
        <v>69</v>
      </c>
      <c r="F12" s="3">
        <v>59</v>
      </c>
      <c r="G12" s="3">
        <v>6323002000</v>
      </c>
      <c r="H12" s="3">
        <v>6643070000</v>
      </c>
      <c r="I12" s="3">
        <v>71</v>
      </c>
      <c r="J12" s="3">
        <v>60</v>
      </c>
      <c r="K12" s="3">
        <v>3044585000</v>
      </c>
      <c r="L12" s="3">
        <v>3376179000</v>
      </c>
      <c r="M12" s="3"/>
      <c r="N12" s="3">
        <v>57</v>
      </c>
      <c r="O12" s="3">
        <v>63</v>
      </c>
      <c r="P12" s="33">
        <f>3105224000+10000000</f>
        <v>3115224000</v>
      </c>
      <c r="Q12" s="33">
        <f>3462298000+266315000</f>
        <v>3728613000</v>
      </c>
      <c r="R12" s="3">
        <v>33</v>
      </c>
      <c r="S12" s="3">
        <v>74</v>
      </c>
      <c r="T12" s="33">
        <f>3415746000+1774618000</f>
        <v>5190364000</v>
      </c>
      <c r="U12" s="33">
        <f>2838752000+594673000</f>
        <v>3433425000</v>
      </c>
      <c r="V12" s="3">
        <v>48</v>
      </c>
      <c r="W12" s="3">
        <v>53</v>
      </c>
      <c r="X12" s="33">
        <f>2580140000+2023085000</f>
        <v>4603225000</v>
      </c>
      <c r="Y12" s="33">
        <f>5759654000+200000000</f>
        <v>5959654000</v>
      </c>
      <c r="Z12" s="3">
        <v>74</v>
      </c>
      <c r="AA12" s="3">
        <v>113</v>
      </c>
      <c r="AB12" s="33">
        <f>4065277000+1162411000</f>
        <v>5227688000</v>
      </c>
      <c r="AC12" s="33">
        <f>6077525000+1162411000</f>
        <v>7239936000</v>
      </c>
      <c r="AD12" s="33">
        <f>4910110000+162411000</f>
        <v>5072521000</v>
      </c>
      <c r="AE12" s="3">
        <v>104</v>
      </c>
      <c r="AF12" s="3">
        <v>130</v>
      </c>
      <c r="AG12" s="33">
        <f>5839648000+845210000</f>
        <v>6684858000</v>
      </c>
      <c r="AH12" s="3">
        <v>6676367000</v>
      </c>
      <c r="AI12" s="3">
        <v>177</v>
      </c>
      <c r="AJ12" s="3">
        <v>131</v>
      </c>
      <c r="AK12" s="33">
        <f>5001310000+1459284000</f>
        <v>6460594000</v>
      </c>
      <c r="AL12" s="33">
        <f>5649976000+377018000</f>
        <v>6026994000</v>
      </c>
      <c r="AM12" s="3"/>
      <c r="AN12" s="3">
        <v>139</v>
      </c>
      <c r="AO12" s="3">
        <v>120</v>
      </c>
      <c r="AP12" s="33">
        <f>3787490000+1117499000</f>
        <v>4904989000</v>
      </c>
      <c r="AQ12" s="33">
        <f>5135045000+1117499000</f>
        <v>6252544000</v>
      </c>
      <c r="AR12" s="33">
        <f>5346302000+333791000</f>
        <v>5680093000</v>
      </c>
      <c r="AS12" s="3">
        <v>124</v>
      </c>
      <c r="AT12" s="3"/>
      <c r="AU12" s="33">
        <f>1953964000+2870547000</f>
        <v>4824511000</v>
      </c>
      <c r="AV12" s="33"/>
    </row>
    <row r="13" spans="1:48" x14ac:dyDescent="0.25">
      <c r="D13" t="s">
        <v>811</v>
      </c>
      <c r="E13" s="3">
        <v>80</v>
      </c>
      <c r="F13" s="3">
        <v>69</v>
      </c>
      <c r="G13" s="3">
        <v>3413819000</v>
      </c>
      <c r="H13" s="3">
        <v>3598640000</v>
      </c>
      <c r="I13" s="3">
        <v>79</v>
      </c>
      <c r="J13" s="3">
        <v>69</v>
      </c>
      <c r="K13" s="3">
        <v>3125375000</v>
      </c>
      <c r="L13" s="3">
        <v>2071082000</v>
      </c>
      <c r="M13" s="3"/>
      <c r="N13" s="3">
        <v>64</v>
      </c>
      <c r="O13" s="3">
        <v>72</v>
      </c>
      <c r="P13" s="3">
        <v>4176800000</v>
      </c>
      <c r="Q13" s="3">
        <v>4245816000</v>
      </c>
      <c r="R13" s="3">
        <v>39</v>
      </c>
      <c r="S13" s="3">
        <v>84</v>
      </c>
      <c r="T13" s="3">
        <v>4594480000</v>
      </c>
      <c r="U13" s="3">
        <v>7733428000</v>
      </c>
      <c r="V13" s="3">
        <v>53</v>
      </c>
      <c r="W13" s="3">
        <v>61</v>
      </c>
      <c r="X13" s="3">
        <v>4366896000</v>
      </c>
      <c r="Y13" s="3">
        <v>6906996000</v>
      </c>
      <c r="Z13" s="3">
        <v>81</v>
      </c>
      <c r="AA13" s="3">
        <v>122</v>
      </c>
      <c r="AB13" s="3">
        <v>5588353000</v>
      </c>
      <c r="AC13" s="3">
        <v>7288188000</v>
      </c>
      <c r="AD13" s="3">
        <v>9848573000</v>
      </c>
      <c r="AE13" s="3">
        <v>112</v>
      </c>
      <c r="AF13" s="3">
        <v>140</v>
      </c>
      <c r="AG13" s="3">
        <v>3558548000</v>
      </c>
      <c r="AH13" s="3">
        <v>3976700000</v>
      </c>
      <c r="AI13" s="3">
        <v>185</v>
      </c>
      <c r="AJ13" s="3">
        <v>140</v>
      </c>
      <c r="AK13" s="3">
        <v>4881448000</v>
      </c>
      <c r="AL13" s="3">
        <v>5145831000</v>
      </c>
      <c r="AM13" s="3"/>
      <c r="AN13" s="3">
        <v>147</v>
      </c>
      <c r="AO13" s="3">
        <v>129</v>
      </c>
      <c r="AP13" s="3">
        <v>5047175000</v>
      </c>
      <c r="AQ13" s="3">
        <v>4378890000</v>
      </c>
      <c r="AR13" s="3">
        <v>4200428000</v>
      </c>
      <c r="AS13" s="3">
        <v>129</v>
      </c>
      <c r="AT13" s="3"/>
      <c r="AU13" s="3">
        <v>1693051000</v>
      </c>
      <c r="AV13" s="3"/>
    </row>
    <row r="14" spans="1:48" x14ac:dyDescent="0.25">
      <c r="D14" t="s">
        <v>812</v>
      </c>
      <c r="E14" s="3">
        <v>84</v>
      </c>
      <c r="F14" s="3">
        <v>73</v>
      </c>
      <c r="G14" s="3">
        <v>9079488000</v>
      </c>
      <c r="H14" s="3">
        <v>8678833000</v>
      </c>
      <c r="I14" s="3">
        <v>83</v>
      </c>
      <c r="J14" s="3">
        <v>72</v>
      </c>
      <c r="K14" s="3">
        <v>6473980000</v>
      </c>
      <c r="L14" s="3">
        <v>4469000000</v>
      </c>
      <c r="M14" s="3"/>
      <c r="N14" s="3">
        <v>68</v>
      </c>
      <c r="O14" s="3">
        <v>76</v>
      </c>
      <c r="P14" s="3">
        <v>7713797000</v>
      </c>
      <c r="Q14" s="3">
        <v>7292933000</v>
      </c>
      <c r="R14" s="3">
        <v>42</v>
      </c>
      <c r="S14" s="3">
        <v>92</v>
      </c>
      <c r="T14" s="3">
        <v>8485177000</v>
      </c>
      <c r="U14" s="3">
        <v>16825388000</v>
      </c>
      <c r="V14" s="3">
        <v>57</v>
      </c>
      <c r="W14" s="3">
        <v>65</v>
      </c>
      <c r="X14" s="3">
        <v>12508084000</v>
      </c>
      <c r="Y14" s="3">
        <v>32812970000</v>
      </c>
      <c r="Z14" s="3">
        <v>86</v>
      </c>
      <c r="AA14" s="3">
        <v>129</v>
      </c>
      <c r="AB14" s="3">
        <v>15663617000</v>
      </c>
      <c r="AC14" s="3">
        <v>12508084000</v>
      </c>
      <c r="AD14" s="3">
        <v>24233228000</v>
      </c>
      <c r="AE14" s="3">
        <v>116</v>
      </c>
      <c r="AF14" s="3">
        <v>145</v>
      </c>
      <c r="AG14" s="3">
        <v>11637708000</v>
      </c>
      <c r="AH14" s="3">
        <v>14934467000</v>
      </c>
      <c r="AI14" s="3">
        <v>189</v>
      </c>
      <c r="AJ14" s="3">
        <v>144</v>
      </c>
      <c r="AK14" s="3">
        <v>8545106000</v>
      </c>
      <c r="AL14" s="3">
        <v>10931159000</v>
      </c>
      <c r="AM14" s="3"/>
      <c r="AN14" s="3">
        <v>152</v>
      </c>
      <c r="AO14" s="3">
        <v>133</v>
      </c>
      <c r="AP14" s="3">
        <v>12456191000</v>
      </c>
      <c r="AQ14" s="3">
        <v>13120605000</v>
      </c>
      <c r="AR14" s="3">
        <v>10526099000</v>
      </c>
      <c r="AS14" s="3">
        <v>131</v>
      </c>
      <c r="AT14" s="3"/>
      <c r="AU14" s="3">
        <v>4817064000</v>
      </c>
      <c r="AV14" s="3"/>
    </row>
    <row r="15" spans="1:48" x14ac:dyDescent="0.25">
      <c r="D15" t="s">
        <v>813</v>
      </c>
      <c r="E15" s="3">
        <v>98</v>
      </c>
      <c r="F15" s="3">
        <v>82</v>
      </c>
      <c r="G15" s="3">
        <v>6025335000</v>
      </c>
      <c r="H15" s="3">
        <v>5899383000</v>
      </c>
      <c r="I15" s="3">
        <v>93</v>
      </c>
      <c r="J15" s="3">
        <v>80</v>
      </c>
      <c r="K15" s="3">
        <v>4919363000</v>
      </c>
      <c r="L15" s="3">
        <v>3905630000</v>
      </c>
      <c r="M15" s="3"/>
      <c r="N15" s="3">
        <v>77</v>
      </c>
      <c r="O15" s="3">
        <v>87</v>
      </c>
      <c r="P15" s="3">
        <v>5876865000</v>
      </c>
      <c r="Q15" s="3">
        <v>5339892000</v>
      </c>
      <c r="R15" s="3">
        <v>48</v>
      </c>
      <c r="S15" s="3">
        <v>111</v>
      </c>
      <c r="T15" s="3">
        <v>6464551000</v>
      </c>
      <c r="U15" s="3">
        <v>12029122000</v>
      </c>
      <c r="V15" s="3">
        <v>66</v>
      </c>
      <c r="W15" s="3">
        <v>82</v>
      </c>
      <c r="X15" s="3">
        <v>10404695000</v>
      </c>
      <c r="Y15" s="3">
        <v>24388017000</v>
      </c>
      <c r="Z15" s="3">
        <v>97</v>
      </c>
      <c r="AA15" s="3">
        <v>147</v>
      </c>
      <c r="AB15" s="3">
        <v>10125382000</v>
      </c>
      <c r="AC15" s="3">
        <v>10211371000</v>
      </c>
      <c r="AD15" s="3">
        <v>18640379000</v>
      </c>
      <c r="AE15" s="3">
        <v>127</v>
      </c>
      <c r="AF15" s="3">
        <v>158</v>
      </c>
      <c r="AG15" s="3">
        <v>7592816000</v>
      </c>
      <c r="AH15" s="3">
        <v>8467539000</v>
      </c>
      <c r="AI15" s="3">
        <v>198</v>
      </c>
      <c r="AJ15" s="3">
        <v>156</v>
      </c>
      <c r="AK15" s="3">
        <v>4084436000</v>
      </c>
      <c r="AL15" s="3">
        <v>5703383000</v>
      </c>
      <c r="AM15" s="3"/>
      <c r="AN15" s="3">
        <v>164</v>
      </c>
      <c r="AO15" s="3">
        <v>146</v>
      </c>
      <c r="AP15" s="3">
        <v>8275208000</v>
      </c>
      <c r="AQ15" s="3">
        <v>11374067000</v>
      </c>
      <c r="AR15" s="3">
        <v>9277656000</v>
      </c>
      <c r="AS15" s="3">
        <v>137</v>
      </c>
      <c r="AT15" s="3"/>
      <c r="AU15" s="3">
        <v>2932241000</v>
      </c>
      <c r="AV15" s="3"/>
    </row>
    <row r="16" spans="1:48" x14ac:dyDescent="0.25">
      <c r="D16" t="s">
        <v>711</v>
      </c>
      <c r="E16" s="3">
        <v>109</v>
      </c>
      <c r="F16" s="3">
        <v>91</v>
      </c>
      <c r="G16" s="3">
        <v>1960833000</v>
      </c>
      <c r="H16" s="3">
        <v>1858225000</v>
      </c>
      <c r="I16" s="3">
        <v>102</v>
      </c>
      <c r="J16" s="3">
        <v>86</v>
      </c>
      <c r="K16" s="3">
        <v>1759630000</v>
      </c>
      <c r="L16" s="3">
        <v>1353461000</v>
      </c>
      <c r="M16" s="3"/>
      <c r="N16" s="3">
        <v>87</v>
      </c>
      <c r="O16" s="3">
        <v>97</v>
      </c>
      <c r="P16" s="3">
        <v>1816236000</v>
      </c>
      <c r="Q16" s="3">
        <v>2172457000</v>
      </c>
      <c r="R16" s="3">
        <v>54</v>
      </c>
      <c r="S16" s="3">
        <v>126</v>
      </c>
      <c r="T16" s="3">
        <v>1997860000</v>
      </c>
      <c r="U16" s="3">
        <v>1695155000</v>
      </c>
      <c r="V16" s="3">
        <v>75</v>
      </c>
      <c r="W16" s="3">
        <v>95</v>
      </c>
      <c r="X16" s="3">
        <v>2476410000</v>
      </c>
      <c r="Y16" s="3">
        <v>2667283000</v>
      </c>
      <c r="Z16" s="3">
        <v>106</v>
      </c>
      <c r="AA16" s="3">
        <v>162</v>
      </c>
      <c r="AB16" s="3">
        <v>1959590000</v>
      </c>
      <c r="AC16" s="3">
        <v>2814488000</v>
      </c>
      <c r="AD16" s="3">
        <v>2155960000</v>
      </c>
      <c r="AE16" s="3">
        <v>137</v>
      </c>
      <c r="AF16" s="3">
        <v>168</v>
      </c>
      <c r="AG16" s="3">
        <v>2505528000</v>
      </c>
      <c r="AH16" s="3">
        <v>2673838000</v>
      </c>
      <c r="AI16" s="3">
        <v>203</v>
      </c>
      <c r="AJ16" s="3">
        <v>163</v>
      </c>
      <c r="AK16" s="3">
        <v>3537057000</v>
      </c>
      <c r="AL16" s="3">
        <v>3176110000</v>
      </c>
      <c r="AM16" s="3"/>
      <c r="AN16" s="3">
        <v>174</v>
      </c>
      <c r="AO16" s="3">
        <v>159</v>
      </c>
      <c r="AP16" s="3">
        <v>4696421000</v>
      </c>
      <c r="AQ16" s="3">
        <v>8317149000</v>
      </c>
      <c r="AR16" s="3">
        <v>6674197000</v>
      </c>
      <c r="AS16" s="3">
        <v>141</v>
      </c>
      <c r="AT16" s="3"/>
      <c r="AU16" s="3">
        <v>1651164000</v>
      </c>
      <c r="AV16" s="3"/>
    </row>
    <row r="17" spans="3:48" x14ac:dyDescent="0.25">
      <c r="D17" t="s">
        <v>712</v>
      </c>
      <c r="E17" s="3">
        <v>113</v>
      </c>
      <c r="F17" s="3">
        <v>94</v>
      </c>
      <c r="G17" s="3">
        <v>2396194000</v>
      </c>
      <c r="H17" s="3">
        <v>2430667000</v>
      </c>
      <c r="I17" s="3">
        <v>107</v>
      </c>
      <c r="J17" s="3">
        <v>89</v>
      </c>
      <c r="K17" s="3">
        <v>2130497000</v>
      </c>
      <c r="L17" s="3">
        <v>1422282000</v>
      </c>
      <c r="M17" s="3"/>
      <c r="N17" s="3">
        <v>90</v>
      </c>
      <c r="O17" s="3">
        <v>101</v>
      </c>
      <c r="P17" s="3">
        <v>2388477000</v>
      </c>
      <c r="Q17" s="3">
        <v>2172513000</v>
      </c>
      <c r="R17" s="3">
        <v>57</v>
      </c>
      <c r="S17" s="3">
        <v>132</v>
      </c>
      <c r="T17" s="3">
        <v>2627325000</v>
      </c>
      <c r="U17" s="3">
        <v>1727573000</v>
      </c>
      <c r="V17" s="3">
        <v>78</v>
      </c>
      <c r="W17" s="3">
        <v>99</v>
      </c>
      <c r="X17" s="3">
        <v>2896722000</v>
      </c>
      <c r="Y17" s="3">
        <v>3446241000</v>
      </c>
      <c r="Z17" s="3">
        <v>110</v>
      </c>
      <c r="AA17" s="3">
        <v>166</v>
      </c>
      <c r="AB17" s="3">
        <v>2538607000</v>
      </c>
      <c r="AC17" s="3">
        <v>3636436000</v>
      </c>
      <c r="AD17" s="3">
        <v>2773504000</v>
      </c>
      <c r="AE17" s="3">
        <v>141</v>
      </c>
      <c r="AF17" s="3">
        <v>173</v>
      </c>
      <c r="AG17" s="3">
        <v>2827744000</v>
      </c>
      <c r="AH17" s="3">
        <v>3607191000</v>
      </c>
      <c r="AI17" s="3">
        <v>207</v>
      </c>
      <c r="AJ17" s="3">
        <v>168</v>
      </c>
      <c r="AK17" s="3">
        <v>2409211000</v>
      </c>
      <c r="AL17" s="3">
        <v>2680693000</v>
      </c>
      <c r="AM17" s="3"/>
      <c r="AN17" s="3">
        <v>181</v>
      </c>
      <c r="AO17" s="3">
        <v>166</v>
      </c>
      <c r="AP17" s="3">
        <v>4379443000</v>
      </c>
      <c r="AQ17" s="3">
        <v>6357649000</v>
      </c>
      <c r="AR17" s="3">
        <v>5785905000</v>
      </c>
      <c r="AS17" s="3">
        <v>144</v>
      </c>
      <c r="AT17" s="3"/>
      <c r="AU17" s="3">
        <v>1379850000</v>
      </c>
      <c r="AV17" s="3"/>
    </row>
    <row r="18" spans="3:48" x14ac:dyDescent="0.25">
      <c r="D18" t="s">
        <v>713</v>
      </c>
      <c r="E18" s="3">
        <v>117</v>
      </c>
      <c r="F18" s="3">
        <v>98</v>
      </c>
      <c r="G18" s="3">
        <v>1529326000</v>
      </c>
      <c r="H18" s="3">
        <v>1389245000</v>
      </c>
      <c r="I18" s="3">
        <v>112</v>
      </c>
      <c r="J18" s="3">
        <v>93</v>
      </c>
      <c r="K18" s="3">
        <v>1228025000</v>
      </c>
      <c r="L18" s="3">
        <v>954316000</v>
      </c>
      <c r="M18" s="3"/>
      <c r="N18" s="3">
        <v>95</v>
      </c>
      <c r="O18" s="3">
        <v>107</v>
      </c>
      <c r="P18" s="3">
        <v>1458017000</v>
      </c>
      <c r="Q18" s="3">
        <v>1222550000</v>
      </c>
      <c r="R18" s="3">
        <v>60</v>
      </c>
      <c r="S18" s="3">
        <v>139</v>
      </c>
      <c r="T18" s="3">
        <v>1603818000</v>
      </c>
      <c r="U18" s="3">
        <v>760125000</v>
      </c>
      <c r="V18" s="3">
        <v>83</v>
      </c>
      <c r="W18" s="3">
        <v>104</v>
      </c>
      <c r="X18" s="3">
        <v>1715434000</v>
      </c>
      <c r="Y18" s="3">
        <v>1713646000</v>
      </c>
      <c r="Z18" s="3">
        <v>115</v>
      </c>
      <c r="AA18" s="3">
        <v>173</v>
      </c>
      <c r="AB18" s="3">
        <v>1415678000</v>
      </c>
      <c r="AC18" s="3">
        <v>1808221000</v>
      </c>
      <c r="AD18" s="3">
        <v>1653436000</v>
      </c>
      <c r="AE18" s="3">
        <v>147</v>
      </c>
      <c r="AF18" s="3">
        <v>181</v>
      </c>
      <c r="AG18" s="3">
        <v>2197282000</v>
      </c>
      <c r="AH18" s="3">
        <v>1776563000</v>
      </c>
      <c r="AI18" s="3">
        <v>211</v>
      </c>
      <c r="AJ18" s="3">
        <v>173</v>
      </c>
      <c r="AK18" s="3">
        <v>1323044000</v>
      </c>
      <c r="AL18" s="3">
        <v>1119506000</v>
      </c>
      <c r="AM18" s="3"/>
      <c r="AN18" s="3">
        <v>188</v>
      </c>
      <c r="AO18" s="3">
        <v>176</v>
      </c>
      <c r="AP18" s="3">
        <v>2669176000</v>
      </c>
      <c r="AQ18" s="3">
        <v>5683299000</v>
      </c>
      <c r="AR18" s="3">
        <v>4431877000</v>
      </c>
      <c r="AS18" s="3">
        <v>147</v>
      </c>
      <c r="AT18" s="3"/>
      <c r="AU18" s="3">
        <v>184903000</v>
      </c>
      <c r="AV18" s="3"/>
    </row>
    <row r="19" spans="3:48" x14ac:dyDescent="0.25">
      <c r="C19" t="s">
        <v>195</v>
      </c>
      <c r="E19" s="3"/>
      <c r="F19" s="3"/>
      <c r="G19" s="29">
        <f>SUM(G20:G31)</f>
        <v>190352107000</v>
      </c>
      <c r="H19" s="29">
        <f>SUM(H20:H31)</f>
        <v>185507020000</v>
      </c>
      <c r="I19" s="3"/>
      <c r="J19" s="3"/>
      <c r="K19" s="29">
        <f>SUM(K20:K31)</f>
        <v>122915623000</v>
      </c>
      <c r="L19" s="29">
        <f>SUM(L20:L31)</f>
        <v>95291979000</v>
      </c>
      <c r="M19" s="3"/>
      <c r="N19" s="3"/>
      <c r="O19" s="3"/>
      <c r="P19" s="29">
        <f t="shared" ref="P19:Q19" si="0">SUM(P20:P31)</f>
        <v>119137979000</v>
      </c>
      <c r="Q19" s="29">
        <f t="shared" si="0"/>
        <v>113387360000</v>
      </c>
      <c r="R19" s="3"/>
      <c r="S19" s="3"/>
      <c r="T19" s="29">
        <f t="shared" ref="T19:U19" si="1">SUM(T20:T31)</f>
        <v>157463478000</v>
      </c>
      <c r="U19" s="29">
        <f t="shared" si="1"/>
        <v>124464283000</v>
      </c>
      <c r="V19" s="3"/>
      <c r="W19" s="3"/>
      <c r="X19" s="29">
        <f t="shared" ref="X19:Y19" si="2">SUM(X20:X31)</f>
        <v>148861538000</v>
      </c>
      <c r="Y19" s="29">
        <f t="shared" si="2"/>
        <v>126950442000</v>
      </c>
      <c r="Z19" s="3"/>
      <c r="AA19" s="3"/>
      <c r="AB19" s="29">
        <f t="shared" ref="AB19:AD19" si="3">SUM(AB20:AB31)</f>
        <v>132636297000</v>
      </c>
      <c r="AC19" s="29">
        <f t="shared" si="3"/>
        <v>140438002000</v>
      </c>
      <c r="AD19" s="29">
        <f t="shared" si="3"/>
        <v>119175417000</v>
      </c>
      <c r="AE19" s="3"/>
      <c r="AF19" s="3"/>
      <c r="AG19" s="29">
        <f t="shared" ref="AG19:AH19" si="4">SUM(AG20:AG31)</f>
        <v>148111529000</v>
      </c>
      <c r="AH19" s="29">
        <f t="shared" si="4"/>
        <v>132328352000</v>
      </c>
      <c r="AI19" s="3"/>
      <c r="AJ19" s="3"/>
      <c r="AK19" s="29">
        <f t="shared" ref="AK19:AL19" si="5">SUM(AK20:AK31)</f>
        <v>140855999000</v>
      </c>
      <c r="AL19" s="29">
        <f t="shared" si="5"/>
        <v>112671305000</v>
      </c>
      <c r="AM19" s="3"/>
      <c r="AN19" s="3"/>
      <c r="AO19" s="3"/>
      <c r="AP19" s="29">
        <f t="shared" ref="AP19:AR19" si="6">SUM(AP20:AP31)</f>
        <v>182541418000</v>
      </c>
      <c r="AQ19" s="29">
        <f t="shared" si="6"/>
        <v>148824691000</v>
      </c>
      <c r="AR19" s="29">
        <f t="shared" si="6"/>
        <v>96827514000</v>
      </c>
      <c r="AS19" s="3"/>
      <c r="AT19" s="3"/>
      <c r="AU19" s="29">
        <f>SUM(AU20:AU31)</f>
        <v>176637644000</v>
      </c>
      <c r="AV19" s="3"/>
    </row>
    <row r="20" spans="3:48" x14ac:dyDescent="0.25">
      <c r="D20" t="s">
        <v>61</v>
      </c>
      <c r="E20" s="3">
        <v>122</v>
      </c>
      <c r="F20" s="3">
        <v>102</v>
      </c>
      <c r="G20" s="3">
        <v>32631204000</v>
      </c>
      <c r="H20" s="3">
        <v>30270589000</v>
      </c>
      <c r="I20" s="3">
        <v>117</v>
      </c>
      <c r="J20" s="3">
        <v>96</v>
      </c>
      <c r="K20" s="3">
        <v>13306876000</v>
      </c>
      <c r="L20" s="3">
        <v>10454563000</v>
      </c>
      <c r="M20" s="3"/>
      <c r="N20" s="3">
        <v>99</v>
      </c>
      <c r="O20" s="3">
        <v>111</v>
      </c>
      <c r="P20" s="3">
        <v>13903343000</v>
      </c>
      <c r="Q20" s="3">
        <v>12935205000</v>
      </c>
      <c r="R20" s="3">
        <v>63</v>
      </c>
      <c r="S20" s="3">
        <v>143</v>
      </c>
      <c r="T20" s="3">
        <v>16684012000</v>
      </c>
      <c r="U20" s="3">
        <v>12893090000</v>
      </c>
      <c r="V20" s="3">
        <v>87</v>
      </c>
      <c r="W20" s="3">
        <v>108</v>
      </c>
      <c r="X20" s="3">
        <v>10901837000</v>
      </c>
      <c r="Y20" s="3">
        <v>10320632000</v>
      </c>
      <c r="Z20" s="3">
        <v>119</v>
      </c>
      <c r="AA20" s="3">
        <v>178</v>
      </c>
      <c r="AB20" s="3">
        <v>8439259000</v>
      </c>
      <c r="AC20" s="3">
        <v>10890220000</v>
      </c>
      <c r="AD20" s="3">
        <v>9470060000</v>
      </c>
      <c r="AE20" s="3">
        <v>151</v>
      </c>
      <c r="AF20" s="3">
        <v>186</v>
      </c>
      <c r="AG20" s="3">
        <v>13310166000</v>
      </c>
      <c r="AH20" s="3">
        <v>13291771000</v>
      </c>
      <c r="AI20" s="3">
        <v>214</v>
      </c>
      <c r="AJ20" s="3">
        <v>176</v>
      </c>
      <c r="AK20" s="3">
        <v>15441520000</v>
      </c>
      <c r="AL20" s="3">
        <v>15435573000</v>
      </c>
      <c r="AM20" s="3"/>
      <c r="AN20" s="3">
        <v>193</v>
      </c>
      <c r="AO20" s="3">
        <v>183</v>
      </c>
      <c r="AP20" s="3">
        <v>17911668000</v>
      </c>
      <c r="AQ20" s="3">
        <v>15699742000</v>
      </c>
      <c r="AR20" s="3">
        <v>10456790000</v>
      </c>
      <c r="AS20" s="3">
        <v>148</v>
      </c>
      <c r="AT20" s="3"/>
      <c r="AU20" s="3">
        <v>4475859000</v>
      </c>
      <c r="AV20" s="3"/>
    </row>
    <row r="21" spans="3:48" x14ac:dyDescent="0.25">
      <c r="D21" t="s">
        <v>63</v>
      </c>
      <c r="E21" s="3">
        <v>138</v>
      </c>
      <c r="F21" s="3">
        <v>115</v>
      </c>
      <c r="G21" s="3">
        <v>24629150000</v>
      </c>
      <c r="H21" s="3">
        <v>24241689000</v>
      </c>
      <c r="I21" s="3">
        <v>128</v>
      </c>
      <c r="J21" s="3">
        <v>104</v>
      </c>
      <c r="K21" s="3">
        <v>14853832000</v>
      </c>
      <c r="L21" s="3">
        <v>11802527000</v>
      </c>
      <c r="M21" s="3"/>
      <c r="N21" s="3">
        <v>109</v>
      </c>
      <c r="O21" s="3">
        <v>122</v>
      </c>
      <c r="P21" s="3">
        <v>13684639000</v>
      </c>
      <c r="Q21" s="3">
        <v>14114744000</v>
      </c>
      <c r="R21" s="3">
        <v>70</v>
      </c>
      <c r="S21" s="3">
        <v>159</v>
      </c>
      <c r="T21" s="3">
        <v>15053103000</v>
      </c>
      <c r="U21" s="3">
        <v>13798590000</v>
      </c>
      <c r="V21" s="3">
        <v>94</v>
      </c>
      <c r="W21" s="3">
        <v>116</v>
      </c>
      <c r="X21" s="3">
        <v>15390112000</v>
      </c>
      <c r="Y21" s="3">
        <v>15470271000</v>
      </c>
      <c r="Z21" s="3">
        <v>125</v>
      </c>
      <c r="AA21" s="3">
        <v>186</v>
      </c>
      <c r="AB21" s="3">
        <v>10348274000</v>
      </c>
      <c r="AC21" s="3">
        <v>11458653000</v>
      </c>
      <c r="AD21" s="3">
        <v>12095401000</v>
      </c>
      <c r="AE21" s="3">
        <v>162</v>
      </c>
      <c r="AF21" s="3">
        <v>197</v>
      </c>
      <c r="AG21" s="3">
        <v>12577144000</v>
      </c>
      <c r="AH21" s="3">
        <v>13617539000</v>
      </c>
      <c r="AI21" s="3">
        <v>227</v>
      </c>
      <c r="AJ21" s="3">
        <v>189</v>
      </c>
      <c r="AK21" s="3">
        <v>11252450000</v>
      </c>
      <c r="AL21" s="3">
        <v>12958232000</v>
      </c>
      <c r="AM21" s="3"/>
      <c r="AN21" s="3">
        <v>207</v>
      </c>
      <c r="AO21" s="3">
        <v>192</v>
      </c>
      <c r="AP21" s="3">
        <v>13064554000</v>
      </c>
      <c r="AQ21" s="3">
        <v>21662841000</v>
      </c>
      <c r="AR21" s="3">
        <v>18920217000</v>
      </c>
      <c r="AS21" s="3">
        <v>152</v>
      </c>
      <c r="AT21" s="3"/>
      <c r="AU21" s="3">
        <v>10362723000</v>
      </c>
      <c r="AV21" s="3"/>
    </row>
    <row r="22" spans="3:48" x14ac:dyDescent="0.25">
      <c r="D22" t="s">
        <v>65</v>
      </c>
      <c r="E22" s="3">
        <v>152</v>
      </c>
      <c r="F22" s="3">
        <v>126</v>
      </c>
      <c r="G22" s="3">
        <v>10656904000</v>
      </c>
      <c r="H22" s="3">
        <v>9264429000</v>
      </c>
      <c r="I22" s="3">
        <v>141</v>
      </c>
      <c r="J22" s="3">
        <v>113</v>
      </c>
      <c r="K22" s="3">
        <v>7769677000</v>
      </c>
      <c r="L22" s="3">
        <v>5615264000</v>
      </c>
      <c r="M22" s="3"/>
      <c r="N22" s="3">
        <v>120</v>
      </c>
      <c r="O22" s="3">
        <v>135</v>
      </c>
      <c r="P22" s="3">
        <v>5900900000</v>
      </c>
      <c r="Q22" s="3">
        <v>7121430000</v>
      </c>
      <c r="R22" s="3">
        <v>79</v>
      </c>
      <c r="S22" s="3">
        <v>179</v>
      </c>
      <c r="T22" s="3">
        <v>6490990000</v>
      </c>
      <c r="U22" s="3">
        <v>5164836000</v>
      </c>
      <c r="V22" s="3">
        <v>103</v>
      </c>
      <c r="W22" s="3">
        <v>126</v>
      </c>
      <c r="X22" s="3">
        <v>5710973000</v>
      </c>
      <c r="Y22" s="3">
        <v>6182660000</v>
      </c>
      <c r="Z22" s="3">
        <v>134</v>
      </c>
      <c r="AA22" s="3">
        <v>198</v>
      </c>
      <c r="AB22" s="3">
        <v>4616448000</v>
      </c>
      <c r="AC22" s="3">
        <v>6523876000</v>
      </c>
      <c r="AD22" s="3">
        <v>4721960000</v>
      </c>
      <c r="AE22" s="3">
        <v>172</v>
      </c>
      <c r="AF22" s="3">
        <v>209</v>
      </c>
      <c r="AG22" s="3">
        <v>6277982000</v>
      </c>
      <c r="AH22" s="3">
        <v>5991800000</v>
      </c>
      <c r="AI22" s="3">
        <v>237</v>
      </c>
      <c r="AJ22" s="3">
        <v>201</v>
      </c>
      <c r="AK22" s="3">
        <v>3965064000</v>
      </c>
      <c r="AL22" s="3">
        <v>3281625000</v>
      </c>
      <c r="AM22" s="3"/>
      <c r="AN22" s="3">
        <v>219</v>
      </c>
      <c r="AO22" s="3">
        <v>207</v>
      </c>
      <c r="AP22" s="3">
        <v>5451191000</v>
      </c>
      <c r="AQ22" s="3">
        <v>7175184000</v>
      </c>
      <c r="AR22" s="3">
        <v>4714971000</v>
      </c>
      <c r="AS22" s="3">
        <v>161</v>
      </c>
      <c r="AT22" s="3"/>
      <c r="AU22" s="3">
        <v>1630698000</v>
      </c>
      <c r="AV22" s="3"/>
    </row>
    <row r="23" spans="3:48" x14ac:dyDescent="0.25">
      <c r="D23" t="s">
        <v>814</v>
      </c>
      <c r="E23" s="3">
        <v>160</v>
      </c>
      <c r="F23" s="3">
        <v>132</v>
      </c>
      <c r="G23" s="33">
        <f>55016475000+5493858000</f>
        <v>60510333000</v>
      </c>
      <c r="H23" s="33">
        <f>54798302000+2499472000</f>
        <v>57297774000</v>
      </c>
      <c r="I23" s="3">
        <v>150</v>
      </c>
      <c r="J23" s="3">
        <v>118</v>
      </c>
      <c r="K23" s="33">
        <f>41646227000+4786624000</f>
        <v>46432851000</v>
      </c>
      <c r="L23" s="33">
        <f>32131800000+4105100000</f>
        <v>36236900000</v>
      </c>
      <c r="M23" s="33"/>
      <c r="N23" s="3">
        <v>126</v>
      </c>
      <c r="O23" s="3">
        <v>142</v>
      </c>
      <c r="P23" s="33">
        <f>40529005000+4538750000</f>
        <v>45067755000</v>
      </c>
      <c r="Q23" s="33">
        <f>40277519000+3196915000</f>
        <v>43474434000</v>
      </c>
      <c r="R23" s="3">
        <v>85</v>
      </c>
      <c r="S23" s="3">
        <v>188</v>
      </c>
      <c r="T23" s="33">
        <f>47996415000+16241783000</f>
        <v>64238198000</v>
      </c>
      <c r="U23" s="33">
        <f>50321490000+3810313000</f>
        <v>54131803000</v>
      </c>
      <c r="V23" s="3">
        <v>108</v>
      </c>
      <c r="W23" s="3">
        <v>131</v>
      </c>
      <c r="X23" s="33">
        <f>60458421000+11198863000</f>
        <v>71657284000</v>
      </c>
      <c r="Y23" s="33">
        <f>52637716000+3870182000</f>
        <v>56507898000</v>
      </c>
      <c r="Z23" s="3">
        <v>138</v>
      </c>
      <c r="AA23" s="3">
        <v>204</v>
      </c>
      <c r="AB23" s="33">
        <f>53940439000+20048854000</f>
        <v>73989293000</v>
      </c>
      <c r="AC23" s="33">
        <f>52586716000+20048854000</f>
        <v>72635570000</v>
      </c>
      <c r="AD23" s="33">
        <f>59104749000+2030482000</f>
        <v>61135231000</v>
      </c>
      <c r="AE23" s="3">
        <v>178</v>
      </c>
      <c r="AF23" s="3">
        <v>216</v>
      </c>
      <c r="AG23" s="33">
        <f>58412474000+23422556000</f>
        <v>81835030000</v>
      </c>
      <c r="AH23" s="3">
        <v>64460537000</v>
      </c>
      <c r="AI23" s="3">
        <v>241</v>
      </c>
      <c r="AJ23" s="3">
        <v>205</v>
      </c>
      <c r="AK23" s="33">
        <f>53651179000+26145091000</f>
        <v>79796270000</v>
      </c>
      <c r="AL23" s="33">
        <f>50232193000+6546447000</f>
        <v>56778640000</v>
      </c>
      <c r="AM23" s="33"/>
      <c r="AN23" s="3">
        <v>224</v>
      </c>
      <c r="AO23" s="3">
        <v>211</v>
      </c>
      <c r="AP23" s="33">
        <f>53091937000+64650626000</f>
        <v>117742563000</v>
      </c>
      <c r="AQ23" s="33">
        <f>43488233000+36650626000</f>
        <v>80138859000</v>
      </c>
      <c r="AR23" s="33">
        <f>36299089000+6490879000</f>
        <v>42789968000</v>
      </c>
      <c r="AS23" s="3">
        <v>163</v>
      </c>
      <c r="AT23" s="3"/>
      <c r="AU23" s="33">
        <f>46458080000+80884818000</f>
        <v>127342898000</v>
      </c>
      <c r="AV23" s="33"/>
    </row>
    <row r="24" spans="3:48" x14ac:dyDescent="0.25">
      <c r="D24" t="s">
        <v>815</v>
      </c>
      <c r="E24" s="3">
        <v>176</v>
      </c>
      <c r="F24" s="3">
        <v>146</v>
      </c>
      <c r="G24" s="3">
        <v>31112027000</v>
      </c>
      <c r="H24" s="33">
        <f>35812996000+150000000</f>
        <v>35962996000</v>
      </c>
      <c r="I24" s="3">
        <v>167</v>
      </c>
      <c r="J24" s="3">
        <v>131</v>
      </c>
      <c r="K24" s="33">
        <f>22121836000+4299872000</f>
        <v>26421708000</v>
      </c>
      <c r="L24" s="33">
        <f>16311947000+2899872000</f>
        <v>19211819000</v>
      </c>
      <c r="M24" s="33"/>
      <c r="N24" s="3">
        <v>140</v>
      </c>
      <c r="O24" s="3">
        <v>159</v>
      </c>
      <c r="P24" s="33">
        <f>21948246000+3552321000</f>
        <v>25500567000</v>
      </c>
      <c r="Q24" s="33">
        <f>19536227000+1796006000</f>
        <v>21332233000</v>
      </c>
      <c r="R24" s="3">
        <v>91</v>
      </c>
      <c r="S24" s="3">
        <v>214</v>
      </c>
      <c r="T24" s="33">
        <f>26811979000+8089978000</f>
        <v>34901957000</v>
      </c>
      <c r="U24" s="33">
        <f>24430319000+1865739000</f>
        <v>26296058000</v>
      </c>
      <c r="V24" s="3">
        <v>125</v>
      </c>
      <c r="W24" s="3">
        <v>150</v>
      </c>
      <c r="X24" s="33">
        <f>28396718000+5677441000</f>
        <v>34074159000</v>
      </c>
      <c r="Y24" s="33">
        <f>27108701000+300000000</f>
        <v>27408701000</v>
      </c>
      <c r="Z24" s="3">
        <v>155</v>
      </c>
      <c r="AA24" s="3">
        <v>228</v>
      </c>
      <c r="AB24" s="33">
        <f>19766399000+6134123000</f>
        <v>25900522000</v>
      </c>
      <c r="AC24" s="33">
        <f>22688925000+6134123000</f>
        <v>28823048000</v>
      </c>
      <c r="AD24" s="33">
        <f>20954411000+664577000</f>
        <v>21618988000</v>
      </c>
      <c r="AE24" s="3">
        <v>194</v>
      </c>
      <c r="AF24" s="3">
        <v>238</v>
      </c>
      <c r="AG24" s="33">
        <f>21868390000+3274087000</f>
        <v>25142477000</v>
      </c>
      <c r="AH24" s="3">
        <v>22589849000</v>
      </c>
      <c r="AI24" s="3">
        <v>256</v>
      </c>
      <c r="AJ24" s="3">
        <v>225</v>
      </c>
      <c r="AK24" s="33">
        <f>18739883000+3586123000</f>
        <v>22326006000</v>
      </c>
      <c r="AL24" s="33">
        <f>17262172000+1023391000</f>
        <v>18285563000</v>
      </c>
      <c r="AM24" s="33"/>
      <c r="AN24" s="3">
        <v>242</v>
      </c>
      <c r="AO24" s="3">
        <v>230</v>
      </c>
      <c r="AP24" s="33">
        <f>20709321000+3074213000</f>
        <v>23783534000</v>
      </c>
      <c r="AQ24" s="33">
        <f>15590573000+3074213000</f>
        <v>18664786000</v>
      </c>
      <c r="AR24" s="33">
        <f>12020167000+2331536000</f>
        <v>14351703000</v>
      </c>
      <c r="AS24" s="3">
        <v>180</v>
      </c>
      <c r="AT24" s="3"/>
      <c r="AU24" s="33">
        <f>23911762000+3572902000</f>
        <v>27484664000</v>
      </c>
      <c r="AV24" s="33"/>
    </row>
    <row r="25" spans="3:48" x14ac:dyDescent="0.25">
      <c r="D25" t="s">
        <v>816</v>
      </c>
      <c r="E25" s="3">
        <v>185</v>
      </c>
      <c r="F25" s="3">
        <v>155</v>
      </c>
      <c r="G25" s="33">
        <f>5582051000+2044000000</f>
        <v>7626051000</v>
      </c>
      <c r="H25" s="33">
        <f>4538051000+700000000</f>
        <v>5238051000</v>
      </c>
      <c r="I25" s="3">
        <v>177</v>
      </c>
      <c r="J25" s="3">
        <v>138</v>
      </c>
      <c r="K25" s="33">
        <f>3511867000+518649000</f>
        <v>4030516000</v>
      </c>
      <c r="L25" s="33">
        <f>2661867000+235348000</f>
        <v>2897215000</v>
      </c>
      <c r="M25" s="33"/>
      <c r="N25" s="3">
        <v>148</v>
      </c>
      <c r="O25" s="3">
        <v>168</v>
      </c>
      <c r="P25" s="33">
        <f>3387948000+629030000</f>
        <v>4016978000</v>
      </c>
      <c r="Q25" s="33">
        <f>3321603000+629030000</f>
        <v>3950633000</v>
      </c>
      <c r="R25" s="3">
        <v>93</v>
      </c>
      <c r="S25" s="3">
        <v>227</v>
      </c>
      <c r="T25" s="33">
        <f>8027682000+1062443000</f>
        <v>9090125000</v>
      </c>
      <c r="U25" s="33">
        <f>4404923000+16812000</f>
        <v>4421735000</v>
      </c>
      <c r="V25" s="3">
        <v>134</v>
      </c>
      <c r="W25" s="3">
        <v>160</v>
      </c>
      <c r="X25" s="33">
        <f>3810260000+50438000</f>
        <v>3860698000</v>
      </c>
      <c r="Y25" s="33">
        <f>3777260000+50438000</f>
        <v>3827698000</v>
      </c>
      <c r="Z25" s="3">
        <v>161</v>
      </c>
      <c r="AA25" s="3">
        <v>237</v>
      </c>
      <c r="AB25" s="33">
        <f>1556000000+103627000</f>
        <v>1659627000</v>
      </c>
      <c r="AC25" s="33">
        <f>2338928000+103627000</f>
        <v>2442555000</v>
      </c>
      <c r="AD25" s="33">
        <f>2356000000+103627000</f>
        <v>2459627000</v>
      </c>
      <c r="AE25" s="3">
        <v>201</v>
      </c>
      <c r="AF25" s="3">
        <v>247</v>
      </c>
      <c r="AG25" s="33">
        <f>1133000000+11368000</f>
        <v>1144368000</v>
      </c>
      <c r="AH25" s="3">
        <v>1888316000</v>
      </c>
      <c r="AI25" s="3">
        <v>262</v>
      </c>
      <c r="AJ25" s="3">
        <v>233</v>
      </c>
      <c r="AK25" s="33">
        <f>1251300000+167838000</f>
        <v>1419138000</v>
      </c>
      <c r="AL25" s="33">
        <f>1368300000+85204000</f>
        <v>1453504000</v>
      </c>
      <c r="AM25" s="33"/>
      <c r="AN25" s="3">
        <v>250</v>
      </c>
      <c r="AO25" s="3">
        <v>238</v>
      </c>
      <c r="AP25" s="33">
        <f>1206082000+876000</f>
        <v>1206958000</v>
      </c>
      <c r="AQ25" s="33">
        <f>1056082000+876000</f>
        <v>1056958000</v>
      </c>
      <c r="AR25" s="33">
        <f>1000192000+807000</f>
        <v>1000999000</v>
      </c>
      <c r="AS25" s="3">
        <v>188</v>
      </c>
      <c r="AT25" s="3"/>
      <c r="AU25" s="3">
        <v>734717000</v>
      </c>
      <c r="AV25" s="3"/>
    </row>
    <row r="26" spans="3:48" x14ac:dyDescent="0.25">
      <c r="D26" t="s">
        <v>74</v>
      </c>
      <c r="E26" s="3">
        <v>185</v>
      </c>
      <c r="F26" s="3">
        <v>156</v>
      </c>
      <c r="G26" s="3">
        <v>1278135000</v>
      </c>
      <c r="H26" s="3">
        <v>1313973000</v>
      </c>
      <c r="I26" s="3">
        <v>178</v>
      </c>
      <c r="J26" s="3">
        <v>138</v>
      </c>
      <c r="K26" s="3">
        <v>1458491000</v>
      </c>
      <c r="L26" s="3">
        <v>977048000</v>
      </c>
      <c r="M26" s="3"/>
      <c r="N26" s="3">
        <v>149</v>
      </c>
      <c r="O26" s="3">
        <v>169</v>
      </c>
      <c r="P26" s="3">
        <v>1399559000</v>
      </c>
      <c r="Q26" s="3">
        <v>1269212000</v>
      </c>
      <c r="R26" s="3">
        <v>94</v>
      </c>
      <c r="S26" s="3">
        <v>228</v>
      </c>
      <c r="T26" s="3">
        <v>1539515000</v>
      </c>
      <c r="U26" s="3">
        <v>1446031000</v>
      </c>
      <c r="V26" s="3">
        <v>134</v>
      </c>
      <c r="W26" s="3">
        <v>161</v>
      </c>
      <c r="X26" s="3">
        <v>972316000</v>
      </c>
      <c r="Y26" s="3">
        <v>1196997000</v>
      </c>
      <c r="Z26" s="3">
        <v>162</v>
      </c>
      <c r="AA26" s="3">
        <v>238</v>
      </c>
      <c r="AB26" s="3">
        <v>1442361000</v>
      </c>
      <c r="AC26" s="3">
        <v>1263058000</v>
      </c>
      <c r="AD26" s="3">
        <v>1809059000</v>
      </c>
      <c r="AE26" s="3">
        <v>201</v>
      </c>
      <c r="AF26" s="3">
        <v>248</v>
      </c>
      <c r="AG26" s="3">
        <v>2447826000</v>
      </c>
      <c r="AH26" s="3">
        <v>2638198000</v>
      </c>
      <c r="AI26" s="3">
        <v>263</v>
      </c>
      <c r="AJ26" s="3">
        <v>233</v>
      </c>
      <c r="AK26" s="3">
        <v>2795227000</v>
      </c>
      <c r="AL26" s="3">
        <v>971632000</v>
      </c>
      <c r="AM26" s="3"/>
      <c r="AN26" s="3">
        <v>250</v>
      </c>
      <c r="AO26" s="3">
        <v>239</v>
      </c>
      <c r="AP26" s="3">
        <v>823160000</v>
      </c>
      <c r="AQ26" s="3">
        <v>794343000</v>
      </c>
      <c r="AR26" s="3">
        <v>887953000</v>
      </c>
      <c r="AS26" s="3">
        <v>188</v>
      </c>
      <c r="AT26" s="3"/>
      <c r="AU26" s="3">
        <v>1313665000</v>
      </c>
      <c r="AV26" s="3"/>
    </row>
    <row r="27" spans="3:48" x14ac:dyDescent="0.25">
      <c r="D27" t="s">
        <v>76</v>
      </c>
      <c r="E27" s="3">
        <v>188</v>
      </c>
      <c r="F27" s="3">
        <v>158</v>
      </c>
      <c r="G27" s="3">
        <v>6157997000</v>
      </c>
      <c r="H27" s="3">
        <v>6688989000</v>
      </c>
      <c r="I27" s="3">
        <v>181</v>
      </c>
      <c r="J27" s="3">
        <v>140</v>
      </c>
      <c r="K27" s="3">
        <v>3150194000</v>
      </c>
      <c r="L27" s="3">
        <v>2903852000</v>
      </c>
      <c r="M27" s="3"/>
      <c r="N27" s="3">
        <v>152</v>
      </c>
      <c r="O27" s="3">
        <v>172</v>
      </c>
      <c r="P27" s="3">
        <v>2552038000</v>
      </c>
      <c r="Q27" s="3">
        <v>2623257000</v>
      </c>
      <c r="R27" s="3">
        <v>96</v>
      </c>
      <c r="S27" s="3">
        <v>232</v>
      </c>
      <c r="T27" s="3">
        <v>2807242000</v>
      </c>
      <c r="U27" s="3">
        <v>2315181000</v>
      </c>
      <c r="V27" s="3">
        <v>136</v>
      </c>
      <c r="W27" s="3">
        <v>163</v>
      </c>
      <c r="X27" s="3">
        <v>2407568000</v>
      </c>
      <c r="Y27" s="3">
        <v>2619775000</v>
      </c>
      <c r="Z27" s="3">
        <v>165</v>
      </c>
      <c r="AA27" s="3">
        <v>241</v>
      </c>
      <c r="AB27" s="3">
        <v>1670599000</v>
      </c>
      <c r="AC27" s="3">
        <v>1976353000</v>
      </c>
      <c r="AD27" s="3">
        <v>1914399000</v>
      </c>
      <c r="AE27" s="3">
        <v>205</v>
      </c>
      <c r="AF27" s="3">
        <v>252</v>
      </c>
      <c r="AG27" s="3">
        <v>2296041000</v>
      </c>
      <c r="AH27" s="3">
        <v>3785884000</v>
      </c>
      <c r="AI27" s="3">
        <v>267</v>
      </c>
      <c r="AJ27" s="3">
        <v>235</v>
      </c>
      <c r="AK27" s="3">
        <v>1584306000</v>
      </c>
      <c r="AL27" s="3">
        <v>902061000</v>
      </c>
      <c r="AM27" s="3"/>
      <c r="AN27" s="3">
        <v>253</v>
      </c>
      <c r="AO27" s="3">
        <v>241</v>
      </c>
      <c r="AP27" s="3">
        <v>335550000</v>
      </c>
      <c r="AQ27" s="3">
        <v>1189449000</v>
      </c>
      <c r="AR27" s="3">
        <v>1422770000</v>
      </c>
      <c r="AS27" s="3">
        <v>191</v>
      </c>
      <c r="AT27" s="3"/>
      <c r="AU27" s="3">
        <v>1983747000</v>
      </c>
      <c r="AV27" s="3"/>
    </row>
    <row r="28" spans="3:48" x14ac:dyDescent="0.25">
      <c r="D28" t="s">
        <v>78</v>
      </c>
      <c r="E28" s="3">
        <v>196</v>
      </c>
      <c r="F28" s="3">
        <v>165</v>
      </c>
      <c r="G28" s="3">
        <v>4368868000</v>
      </c>
      <c r="H28" s="3">
        <v>4203473000</v>
      </c>
      <c r="I28" s="3">
        <v>187</v>
      </c>
      <c r="J28" s="3">
        <v>145</v>
      </c>
      <c r="K28" s="3">
        <v>2587022000</v>
      </c>
      <c r="L28" s="3">
        <v>2354165000</v>
      </c>
      <c r="M28" s="3"/>
      <c r="N28" s="3">
        <v>157</v>
      </c>
      <c r="O28" s="3">
        <v>178</v>
      </c>
      <c r="P28" s="3">
        <v>2421284000</v>
      </c>
      <c r="Q28" s="3">
        <v>2088148000</v>
      </c>
      <c r="R28" s="3">
        <v>100</v>
      </c>
      <c r="S28" s="3">
        <v>240</v>
      </c>
      <c r="T28" s="3">
        <v>2663412000</v>
      </c>
      <c r="U28" s="3">
        <v>1224548000</v>
      </c>
      <c r="V28" s="3">
        <v>140</v>
      </c>
      <c r="W28" s="3">
        <v>167</v>
      </c>
      <c r="X28" s="3">
        <v>1500769000</v>
      </c>
      <c r="Y28" s="3">
        <v>1555401000</v>
      </c>
      <c r="Z28" s="3">
        <v>168</v>
      </c>
      <c r="AA28" s="3">
        <v>245</v>
      </c>
      <c r="AB28" s="3">
        <v>965453000</v>
      </c>
      <c r="AC28" s="3">
        <v>1641242000</v>
      </c>
      <c r="AD28" s="3">
        <v>1188529000</v>
      </c>
      <c r="AE28" s="3">
        <v>209</v>
      </c>
      <c r="AF28" s="3">
        <v>257</v>
      </c>
      <c r="AG28" s="3">
        <v>1504479000</v>
      </c>
      <c r="AH28" s="3">
        <v>2587746000</v>
      </c>
      <c r="AI28" s="3">
        <v>269</v>
      </c>
      <c r="AJ28" s="3">
        <v>237</v>
      </c>
      <c r="AK28" s="3">
        <v>556841000</v>
      </c>
      <c r="AL28" s="3">
        <v>587976000</v>
      </c>
      <c r="AM28" s="3"/>
      <c r="AN28" s="3">
        <v>255</v>
      </c>
      <c r="AO28" s="3">
        <v>243</v>
      </c>
      <c r="AP28" s="3">
        <v>733989000</v>
      </c>
      <c r="AQ28" s="3">
        <v>786545000</v>
      </c>
      <c r="AR28" s="3">
        <v>730999000</v>
      </c>
      <c r="AS28" s="3">
        <v>194</v>
      </c>
      <c r="AT28" s="3"/>
      <c r="AU28" s="3">
        <v>741599000</v>
      </c>
      <c r="AV28" s="3"/>
    </row>
    <row r="29" spans="3:48" x14ac:dyDescent="0.25">
      <c r="D29" t="s">
        <v>81</v>
      </c>
      <c r="E29" s="3"/>
      <c r="F29" s="3">
        <v>170</v>
      </c>
      <c r="G29" s="3"/>
      <c r="H29" s="3">
        <v>36043000</v>
      </c>
      <c r="I29" s="3">
        <v>0</v>
      </c>
      <c r="J29" s="3">
        <v>149</v>
      </c>
      <c r="K29" s="3">
        <v>0</v>
      </c>
      <c r="L29" s="3">
        <v>25000000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>
        <v>257</v>
      </c>
      <c r="AO29" s="3">
        <v>245</v>
      </c>
      <c r="AP29" s="3">
        <v>2850000</v>
      </c>
      <c r="AQ29" s="3">
        <v>3413000</v>
      </c>
      <c r="AR29" s="3">
        <v>3293000</v>
      </c>
      <c r="AS29" s="3">
        <v>196</v>
      </c>
      <c r="AT29" s="3"/>
      <c r="AU29" s="3">
        <v>5000000</v>
      </c>
      <c r="AV29" s="3"/>
    </row>
    <row r="30" spans="3:48" x14ac:dyDescent="0.25">
      <c r="D30" t="s">
        <v>83</v>
      </c>
      <c r="E30" s="3">
        <v>203</v>
      </c>
      <c r="F30" s="3">
        <v>170</v>
      </c>
      <c r="G30" s="33">
        <f>3319240000+150068000</f>
        <v>3469308000</v>
      </c>
      <c r="H30" s="33">
        <f>3677860000+150068000</f>
        <v>3827928000</v>
      </c>
      <c r="I30" s="3">
        <v>193</v>
      </c>
      <c r="J30" s="3">
        <v>149</v>
      </c>
      <c r="K30" s="33">
        <f>983648000+20725000</f>
        <v>1004373000</v>
      </c>
      <c r="L30" s="33">
        <f>649635000+304026000</f>
        <v>953661000</v>
      </c>
      <c r="M30" s="33"/>
      <c r="N30" s="3">
        <v>163</v>
      </c>
      <c r="O30" s="3">
        <v>183</v>
      </c>
      <c r="P30" s="33">
        <f>964299000+1623508000</f>
        <v>2587807000</v>
      </c>
      <c r="Q30" s="33">
        <f>1288753000+476120000</f>
        <v>1764873000</v>
      </c>
      <c r="R30" s="3">
        <v>104</v>
      </c>
      <c r="S30" s="3">
        <v>246</v>
      </c>
      <c r="T30" s="33">
        <f>1060729000+620775000</f>
        <v>1681504000</v>
      </c>
      <c r="U30" s="33">
        <f>716752000+327139000</f>
        <v>1043891000</v>
      </c>
      <c r="V30" s="3">
        <v>143</v>
      </c>
      <c r="W30" s="3">
        <v>170</v>
      </c>
      <c r="X30" s="33">
        <f>256747000+1121918000</f>
        <v>1378665000</v>
      </c>
      <c r="Y30" s="33">
        <f>378497000+231970000</f>
        <v>610467000</v>
      </c>
      <c r="Z30" s="3">
        <v>170</v>
      </c>
      <c r="AA30" s="3">
        <v>248</v>
      </c>
      <c r="AB30" s="33">
        <f>865114000+1065116000</f>
        <v>1930230000</v>
      </c>
      <c r="AC30" s="33">
        <f>399386000+1065116000</f>
        <v>1464502000</v>
      </c>
      <c r="AD30" s="33">
        <f>865114000+123858000</f>
        <v>988972000</v>
      </c>
      <c r="AE30" s="3">
        <v>213</v>
      </c>
      <c r="AF30" s="3">
        <v>261</v>
      </c>
      <c r="AG30" s="33">
        <f>451210000+449410000</f>
        <v>900620000</v>
      </c>
      <c r="AH30" s="3">
        <v>732041000</v>
      </c>
      <c r="AI30" s="3">
        <v>270</v>
      </c>
      <c r="AJ30" s="3">
        <v>239</v>
      </c>
      <c r="AK30" s="33">
        <f>261614000+635777000</f>
        <v>897391000</v>
      </c>
      <c r="AL30" s="33">
        <f>694577000+244789000</f>
        <v>939366000</v>
      </c>
      <c r="AM30" s="33"/>
      <c r="AN30" s="3">
        <v>257</v>
      </c>
      <c r="AO30" s="3">
        <v>245</v>
      </c>
      <c r="AP30" s="33">
        <f>119089000+611596000</f>
        <v>730685000</v>
      </c>
      <c r="AQ30" s="33">
        <f>109594000+611596000</f>
        <v>721190000</v>
      </c>
      <c r="AR30" s="33">
        <f>115181000+363317000</f>
        <v>478498000</v>
      </c>
      <c r="AS30" s="3">
        <v>196</v>
      </c>
      <c r="AT30" s="3"/>
      <c r="AU30" s="3">
        <v>21992000</v>
      </c>
      <c r="AV30" s="3"/>
    </row>
    <row r="31" spans="3:48" x14ac:dyDescent="0.25">
      <c r="D31" t="s">
        <v>85</v>
      </c>
      <c r="E31" s="3">
        <v>205</v>
      </c>
      <c r="F31" s="3">
        <v>173</v>
      </c>
      <c r="G31" s="3">
        <v>7912130000</v>
      </c>
      <c r="H31" s="3">
        <v>7161086000</v>
      </c>
      <c r="I31" s="3">
        <v>194</v>
      </c>
      <c r="J31" s="3">
        <v>150</v>
      </c>
      <c r="K31" s="3">
        <v>1900083000</v>
      </c>
      <c r="L31" s="3">
        <v>1859965000</v>
      </c>
      <c r="M31" s="3"/>
      <c r="N31" s="3">
        <v>165</v>
      </c>
      <c r="O31" s="3">
        <v>185</v>
      </c>
      <c r="P31" s="3">
        <v>2103109000</v>
      </c>
      <c r="Q31" s="3">
        <v>2713191000</v>
      </c>
      <c r="R31" s="3">
        <v>106</v>
      </c>
      <c r="S31" s="3">
        <v>248</v>
      </c>
      <c r="T31" s="3">
        <v>2313420000</v>
      </c>
      <c r="U31" s="3">
        <v>1728520000</v>
      </c>
      <c r="V31" s="3">
        <v>143</v>
      </c>
      <c r="W31" s="3">
        <v>171</v>
      </c>
      <c r="X31" s="3">
        <v>1007157000</v>
      </c>
      <c r="Y31" s="3">
        <v>1249942000</v>
      </c>
      <c r="Z31" s="3">
        <v>171</v>
      </c>
      <c r="AA31" s="3">
        <v>250</v>
      </c>
      <c r="AB31" s="3">
        <v>1674231000</v>
      </c>
      <c r="AC31" s="3">
        <v>1318925000</v>
      </c>
      <c r="AD31" s="3">
        <v>1773191000</v>
      </c>
      <c r="AE31" s="3">
        <v>214</v>
      </c>
      <c r="AF31" s="3">
        <v>262</v>
      </c>
      <c r="AG31" s="3">
        <v>675396000</v>
      </c>
      <c r="AH31" s="3">
        <v>744671000</v>
      </c>
      <c r="AI31" s="3">
        <v>271</v>
      </c>
      <c r="AJ31" s="3">
        <v>240</v>
      </c>
      <c r="AK31" s="3">
        <v>821786000</v>
      </c>
      <c r="AL31" s="3">
        <v>1077133000</v>
      </c>
      <c r="AM31" s="3"/>
      <c r="AN31" s="3">
        <v>257</v>
      </c>
      <c r="AO31" s="3">
        <v>245</v>
      </c>
      <c r="AP31" s="3">
        <v>754716000</v>
      </c>
      <c r="AQ31" s="3">
        <v>931381000</v>
      </c>
      <c r="AR31" s="3">
        <v>1069353000</v>
      </c>
      <c r="AS31" s="3">
        <v>196</v>
      </c>
      <c r="AT31" s="3"/>
      <c r="AU31" s="3">
        <v>540082000</v>
      </c>
      <c r="AV31" s="3"/>
    </row>
    <row r="32" spans="3:48" x14ac:dyDescent="0.25">
      <c r="C32" t="s">
        <v>196</v>
      </c>
      <c r="E32" s="3"/>
      <c r="F32" s="3"/>
      <c r="G32" s="3"/>
      <c r="H32" s="3"/>
      <c r="I32" s="3"/>
      <c r="J32" s="3"/>
      <c r="K32" s="29">
        <f t="shared" ref="K32" si="7">SUM(K33:K38)</f>
        <v>33699071000</v>
      </c>
      <c r="L32" s="29">
        <f t="shared" ref="L32" si="8">SUM(L33:L38)</f>
        <v>24287254000</v>
      </c>
      <c r="M32" s="3"/>
      <c r="N32" s="3"/>
      <c r="O32" s="3"/>
      <c r="P32" s="29">
        <f t="shared" ref="P32" si="9">SUM(P33:P38)</f>
        <v>32876607000</v>
      </c>
      <c r="Q32" s="29">
        <f t="shared" ref="Q32" si="10">SUM(Q33:Q38)</f>
        <v>30169696000</v>
      </c>
      <c r="R32" s="3"/>
      <c r="S32" s="3"/>
      <c r="T32" s="29">
        <f t="shared" ref="T32:U32" si="11">SUM(T33:T38)</f>
        <v>44427070000</v>
      </c>
      <c r="U32" s="29">
        <f t="shared" si="11"/>
        <v>25355149000</v>
      </c>
      <c r="V32" s="3"/>
      <c r="W32" s="3"/>
      <c r="X32" s="29">
        <f t="shared" ref="X32:Y32" si="12">SUM(X33:X38)</f>
        <v>35363258000</v>
      </c>
      <c r="Y32" s="29">
        <f t="shared" si="12"/>
        <v>25382854000</v>
      </c>
      <c r="Z32" s="3"/>
      <c r="AA32" s="3"/>
      <c r="AB32" s="29">
        <f t="shared" ref="AB32:AD32" si="13">SUM(AB33:AB38)</f>
        <v>45665937000</v>
      </c>
      <c r="AC32" s="29">
        <f t="shared" si="13"/>
        <v>37989938000</v>
      </c>
      <c r="AD32" s="29">
        <f t="shared" si="13"/>
        <v>31213455000</v>
      </c>
      <c r="AE32" s="3"/>
      <c r="AF32" s="3"/>
      <c r="AG32" s="29">
        <f t="shared" ref="AG32:AH32" si="14">SUM(AG33:AG38)</f>
        <v>45838980000</v>
      </c>
      <c r="AH32" s="29">
        <f t="shared" si="14"/>
        <v>24755275000</v>
      </c>
      <c r="AI32" s="3"/>
      <c r="AJ32" s="3"/>
      <c r="AK32" s="29">
        <f t="shared" ref="AK32:AL32" si="15">SUM(AK33:AK38)</f>
        <v>59497584000</v>
      </c>
      <c r="AL32" s="29">
        <f t="shared" si="15"/>
        <v>42564250000</v>
      </c>
      <c r="AM32" s="3"/>
      <c r="AN32" s="3"/>
      <c r="AO32" s="3"/>
      <c r="AP32" s="29">
        <f t="shared" ref="AP32:AR32" si="16">SUM(AP33:AP38)</f>
        <v>52265623000</v>
      </c>
      <c r="AQ32" s="29">
        <f t="shared" si="16"/>
        <v>43294759000</v>
      </c>
      <c r="AR32" s="29">
        <f t="shared" si="16"/>
        <v>34052594000</v>
      </c>
      <c r="AS32" s="3"/>
      <c r="AT32" s="3"/>
      <c r="AU32" s="29">
        <f>SUM(AU33:AU38)</f>
        <v>44410122000</v>
      </c>
      <c r="AV32" s="3"/>
    </row>
    <row r="33" spans="2:48" x14ac:dyDescent="0.25">
      <c r="D33" t="s">
        <v>89</v>
      </c>
      <c r="E33" s="3">
        <v>210</v>
      </c>
      <c r="F33" s="3">
        <v>176</v>
      </c>
      <c r="G33" s="3">
        <v>127000000</v>
      </c>
      <c r="H33" s="3">
        <v>127000000</v>
      </c>
      <c r="I33" s="3">
        <v>197</v>
      </c>
      <c r="J33" s="3">
        <v>0</v>
      </c>
      <c r="K33" s="3">
        <v>126870000</v>
      </c>
      <c r="L33" s="3">
        <v>0</v>
      </c>
      <c r="M33" s="3"/>
      <c r="N33" s="3">
        <v>167</v>
      </c>
      <c r="O33" s="3">
        <v>189</v>
      </c>
      <c r="P33" s="3">
        <v>31900000</v>
      </c>
      <c r="Q33" s="3">
        <v>140000000</v>
      </c>
      <c r="R33" s="3">
        <v>108</v>
      </c>
      <c r="S33" s="3">
        <v>251</v>
      </c>
      <c r="T33" s="3">
        <v>100800000</v>
      </c>
      <c r="U33" s="3">
        <v>260800000</v>
      </c>
      <c r="V33" s="3"/>
      <c r="W33" s="3">
        <v>172</v>
      </c>
      <c r="X33" s="3"/>
      <c r="Y33" s="3">
        <v>20000000</v>
      </c>
      <c r="Z33" s="3">
        <v>173</v>
      </c>
      <c r="AA33" s="3">
        <v>252</v>
      </c>
      <c r="AB33" s="3">
        <v>70000000</v>
      </c>
      <c r="AC33" s="3"/>
      <c r="AD33" s="3">
        <v>520000000</v>
      </c>
      <c r="AE33" s="3">
        <v>216</v>
      </c>
      <c r="AF33" s="3">
        <v>263</v>
      </c>
      <c r="AG33" s="3">
        <v>253970000</v>
      </c>
      <c r="AH33" s="3">
        <v>256691000</v>
      </c>
      <c r="AI33" s="3"/>
      <c r="AJ33" s="3"/>
      <c r="AK33" s="3"/>
      <c r="AL33" s="3"/>
      <c r="AM33" s="3"/>
      <c r="AN33" s="3">
        <v>259</v>
      </c>
      <c r="AO33" s="3">
        <v>247</v>
      </c>
      <c r="AP33" s="3">
        <v>65000000</v>
      </c>
      <c r="AQ33" s="3">
        <v>65000000</v>
      </c>
      <c r="AR33" s="3">
        <v>61244000</v>
      </c>
      <c r="AS33" s="3">
        <v>198</v>
      </c>
      <c r="AT33" s="3"/>
      <c r="AU33" s="3">
        <v>200000000</v>
      </c>
      <c r="AV33" s="3"/>
    </row>
    <row r="34" spans="2:48" x14ac:dyDescent="0.25">
      <c r="D34" t="s">
        <v>91</v>
      </c>
      <c r="E34" s="3">
        <v>210</v>
      </c>
      <c r="F34" s="3">
        <v>177</v>
      </c>
      <c r="G34" s="3">
        <v>4596652000</v>
      </c>
      <c r="H34" s="3">
        <v>4140904000</v>
      </c>
      <c r="I34" s="3">
        <v>197</v>
      </c>
      <c r="J34" s="3">
        <v>153</v>
      </c>
      <c r="K34" s="3">
        <v>4292864000</v>
      </c>
      <c r="L34" s="3">
        <v>3016686000</v>
      </c>
      <c r="M34" s="3"/>
      <c r="N34" s="3">
        <v>167</v>
      </c>
      <c r="O34" s="3">
        <v>189</v>
      </c>
      <c r="P34" s="3">
        <v>3778729000</v>
      </c>
      <c r="Q34" s="3">
        <v>4338522000</v>
      </c>
      <c r="R34" s="3">
        <v>108</v>
      </c>
      <c r="S34" s="3">
        <v>252</v>
      </c>
      <c r="T34" s="3">
        <v>4090892000</v>
      </c>
      <c r="U34" s="3">
        <v>3204732000</v>
      </c>
      <c r="V34" s="3">
        <v>144</v>
      </c>
      <c r="W34" s="3">
        <v>172</v>
      </c>
      <c r="X34" s="3">
        <v>3719303000</v>
      </c>
      <c r="Y34" s="3">
        <v>3321303000</v>
      </c>
      <c r="Z34" s="3">
        <v>173</v>
      </c>
      <c r="AA34" s="3">
        <v>253</v>
      </c>
      <c r="AB34" s="3">
        <v>7108683000</v>
      </c>
      <c r="AC34" s="3">
        <v>2814573000</v>
      </c>
      <c r="AD34" s="3">
        <v>6697288000</v>
      </c>
      <c r="AE34" s="3">
        <v>216</v>
      </c>
      <c r="AF34" s="3">
        <v>263</v>
      </c>
      <c r="AG34" s="3">
        <v>4201224000</v>
      </c>
      <c r="AH34" s="3">
        <v>3858939000</v>
      </c>
      <c r="AI34" s="3">
        <v>273</v>
      </c>
      <c r="AJ34" s="3">
        <v>242</v>
      </c>
      <c r="AK34" s="3">
        <v>8322214000</v>
      </c>
      <c r="AL34" s="3">
        <v>6384384000</v>
      </c>
      <c r="AM34" s="3"/>
      <c r="AN34" s="3">
        <v>259</v>
      </c>
      <c r="AO34" s="3">
        <v>247</v>
      </c>
      <c r="AP34" s="3">
        <v>8204914000</v>
      </c>
      <c r="AQ34" s="3">
        <v>7156070000</v>
      </c>
      <c r="AR34" s="3">
        <v>7351734000</v>
      </c>
      <c r="AS34" s="3">
        <v>198</v>
      </c>
      <c r="AT34" s="3"/>
      <c r="AU34" s="3">
        <v>12030210000</v>
      </c>
      <c r="AV34" s="3"/>
    </row>
    <row r="35" spans="2:48" x14ac:dyDescent="0.25">
      <c r="D35" t="s">
        <v>731</v>
      </c>
      <c r="E35" s="3">
        <v>215</v>
      </c>
      <c r="F35" s="3">
        <v>180</v>
      </c>
      <c r="G35" s="3">
        <v>4959275000</v>
      </c>
      <c r="H35" s="3">
        <v>4809388000</v>
      </c>
      <c r="I35" s="3">
        <v>202</v>
      </c>
      <c r="J35" s="3">
        <v>156</v>
      </c>
      <c r="K35" s="3">
        <v>7759729000</v>
      </c>
      <c r="L35" s="3">
        <v>5516966000</v>
      </c>
      <c r="M35" s="3"/>
      <c r="N35" s="3">
        <v>171</v>
      </c>
      <c r="O35" s="3">
        <v>193</v>
      </c>
      <c r="P35" s="3">
        <v>4473190000</v>
      </c>
      <c r="Q35" s="3">
        <v>3675783000</v>
      </c>
      <c r="R35" s="3">
        <v>110</v>
      </c>
      <c r="S35" s="3">
        <v>255</v>
      </c>
      <c r="T35" s="3">
        <v>4920509000</v>
      </c>
      <c r="U35" s="3">
        <v>2517539000</v>
      </c>
      <c r="V35" s="3">
        <v>146</v>
      </c>
      <c r="W35" s="3">
        <v>174</v>
      </c>
      <c r="X35" s="3">
        <v>3230878000</v>
      </c>
      <c r="Y35" s="3">
        <v>3969378000</v>
      </c>
      <c r="Z35" s="3">
        <v>177</v>
      </c>
      <c r="AA35" s="3">
        <v>258</v>
      </c>
      <c r="AB35" s="3">
        <v>4105904000</v>
      </c>
      <c r="AC35" s="3">
        <v>2161484000</v>
      </c>
      <c r="AD35" s="3">
        <v>4400904000</v>
      </c>
      <c r="AE35" s="3">
        <v>219</v>
      </c>
      <c r="AF35" s="3">
        <v>267</v>
      </c>
      <c r="AG35" s="3">
        <v>8793332000</v>
      </c>
      <c r="AH35" s="3">
        <v>7094751000</v>
      </c>
      <c r="AI35" s="3">
        <v>277</v>
      </c>
      <c r="AJ35" s="3">
        <v>246</v>
      </c>
      <c r="AK35" s="3">
        <v>10011284000</v>
      </c>
      <c r="AL35" s="3">
        <v>10424105000</v>
      </c>
      <c r="AM35" s="3"/>
      <c r="AN35" s="3">
        <v>264</v>
      </c>
      <c r="AO35" s="3">
        <v>253</v>
      </c>
      <c r="AP35" s="3">
        <v>7634932000</v>
      </c>
      <c r="AQ35" s="3">
        <v>5611083000</v>
      </c>
      <c r="AR35" s="3">
        <v>4819213000</v>
      </c>
      <c r="AS35" s="3">
        <v>206</v>
      </c>
      <c r="AT35" s="3"/>
      <c r="AU35" s="3">
        <v>3007128000</v>
      </c>
      <c r="AV35" s="3"/>
    </row>
    <row r="36" spans="2:48" x14ac:dyDescent="0.25">
      <c r="D36" t="s">
        <v>730</v>
      </c>
      <c r="E36" s="3">
        <v>230</v>
      </c>
      <c r="F36" s="3">
        <v>194</v>
      </c>
      <c r="G36" s="33">
        <f>3635832000+589420000</f>
        <v>4225252000</v>
      </c>
      <c r="H36" s="33">
        <f>3150073000+89420000</f>
        <v>3239493000</v>
      </c>
      <c r="I36" s="3">
        <v>225</v>
      </c>
      <c r="J36" s="3">
        <v>170</v>
      </c>
      <c r="K36" s="33">
        <f>2949710000+772000000</f>
        <v>3721710000</v>
      </c>
      <c r="L36" s="33">
        <f>2644378000+772000000</f>
        <v>3416378000</v>
      </c>
      <c r="M36" s="33"/>
      <c r="N36" s="3">
        <v>182</v>
      </c>
      <c r="O36" s="3">
        <v>204</v>
      </c>
      <c r="P36" s="33">
        <f>2064893000+1573540000</f>
        <v>3638433000</v>
      </c>
      <c r="Q36" s="33">
        <f>1514465000+573540000</f>
        <v>2088005000</v>
      </c>
      <c r="R36" s="3">
        <v>111</v>
      </c>
      <c r="S36" s="3">
        <v>263</v>
      </c>
      <c r="T36" s="33">
        <f>2271382000+2585670000</f>
        <v>4857052000</v>
      </c>
      <c r="U36" s="33">
        <f>2087457000+470000000</f>
        <v>2557457000</v>
      </c>
      <c r="V36" s="3">
        <v>151</v>
      </c>
      <c r="W36" s="3">
        <v>181</v>
      </c>
      <c r="X36" s="33">
        <f>2923671000+2624000000</f>
        <v>5547671000</v>
      </c>
      <c r="Y36" s="33">
        <f>2521671000+400000000</f>
        <v>2921671000</v>
      </c>
      <c r="Z36" s="3">
        <v>182</v>
      </c>
      <c r="AA36" s="3">
        <v>264</v>
      </c>
      <c r="AB36" s="33">
        <f>2603063000+2286912000</f>
        <v>4889975000</v>
      </c>
      <c r="AC36" s="33">
        <f>2129591000+2286912000</f>
        <v>4416503000</v>
      </c>
      <c r="AD36" s="33">
        <f>2732593000+200912000</f>
        <v>2933505000</v>
      </c>
      <c r="AE36" s="3">
        <v>230</v>
      </c>
      <c r="AF36" s="3">
        <v>279</v>
      </c>
      <c r="AG36" s="33">
        <f>3416563000+1553832000</f>
        <v>4970395000</v>
      </c>
      <c r="AH36" s="3">
        <v>2375127000</v>
      </c>
      <c r="AI36" s="3">
        <v>287</v>
      </c>
      <c r="AJ36" s="3">
        <v>259</v>
      </c>
      <c r="AK36" s="33">
        <f>5026605000+1476024000</f>
        <v>6502629000</v>
      </c>
      <c r="AL36" s="33">
        <f>4721035000+600851000</f>
        <v>5321886000</v>
      </c>
      <c r="AM36" s="33"/>
      <c r="AN36" s="3">
        <v>275</v>
      </c>
      <c r="AO36" s="3">
        <v>263</v>
      </c>
      <c r="AP36" s="33">
        <f>5190604000+616446000</f>
        <v>5807050000</v>
      </c>
      <c r="AQ36" s="33">
        <f>4404614000+616446000</f>
        <v>5021060000</v>
      </c>
      <c r="AR36" s="33">
        <f>4459683000+176464000</f>
        <v>4636147000</v>
      </c>
      <c r="AS36" s="3">
        <v>211</v>
      </c>
      <c r="AT36" s="3"/>
      <c r="AU36" s="33">
        <f>3866717000+3657642000</f>
        <v>7524359000</v>
      </c>
      <c r="AV36" s="33"/>
    </row>
    <row r="37" spans="2:48" x14ac:dyDescent="0.25">
      <c r="D37" t="s">
        <v>97</v>
      </c>
      <c r="E37" s="3">
        <v>244</v>
      </c>
      <c r="F37" s="3">
        <v>205</v>
      </c>
      <c r="G37" s="3">
        <v>21623437000</v>
      </c>
      <c r="H37" s="3">
        <v>19192516000</v>
      </c>
      <c r="I37" s="3">
        <v>238</v>
      </c>
      <c r="J37" s="3">
        <v>180</v>
      </c>
      <c r="K37" s="3">
        <v>12242425000</v>
      </c>
      <c r="L37" s="3">
        <v>6967009000</v>
      </c>
      <c r="M37" s="3"/>
      <c r="N37" s="3">
        <v>189</v>
      </c>
      <c r="O37" s="3">
        <v>212</v>
      </c>
      <c r="P37" s="3">
        <v>15234881000</v>
      </c>
      <c r="Q37" s="3">
        <v>15045047000</v>
      </c>
      <c r="R37" s="3">
        <v>112</v>
      </c>
      <c r="S37" s="3">
        <v>271</v>
      </c>
      <c r="T37" s="3">
        <v>16758369000</v>
      </c>
      <c r="U37" s="3">
        <v>12298080000</v>
      </c>
      <c r="V37" s="3">
        <v>157</v>
      </c>
      <c r="W37" s="3">
        <v>187</v>
      </c>
      <c r="X37" s="3">
        <v>13133875000</v>
      </c>
      <c r="Y37" s="3">
        <v>12559375000</v>
      </c>
      <c r="Z37" s="3">
        <v>187</v>
      </c>
      <c r="AA37" s="3">
        <v>271</v>
      </c>
      <c r="AB37" s="3">
        <v>13586823000</v>
      </c>
      <c r="AC37" s="3">
        <v>12272808000</v>
      </c>
      <c r="AD37" s="3">
        <v>13305436000</v>
      </c>
      <c r="AE37" s="3">
        <v>237</v>
      </c>
      <c r="AF37" s="3">
        <v>286</v>
      </c>
      <c r="AG37" s="3">
        <v>9209847000</v>
      </c>
      <c r="AH37" s="3">
        <v>9006058000</v>
      </c>
      <c r="AI37" s="3">
        <v>297</v>
      </c>
      <c r="AJ37" s="3">
        <v>268</v>
      </c>
      <c r="AK37" s="3">
        <v>23863063000</v>
      </c>
      <c r="AL37" s="3">
        <v>12992738000</v>
      </c>
      <c r="AM37" s="3"/>
      <c r="AN37" s="3">
        <v>286</v>
      </c>
      <c r="AO37" s="3">
        <v>274</v>
      </c>
      <c r="AP37" s="3">
        <v>15119413000</v>
      </c>
      <c r="AQ37" s="3">
        <v>12586163000</v>
      </c>
      <c r="AR37" s="3">
        <v>10622466000</v>
      </c>
      <c r="AS37" s="3">
        <v>221</v>
      </c>
      <c r="AT37" s="3"/>
      <c r="AU37" s="3">
        <v>15291066000</v>
      </c>
      <c r="AV37" s="3"/>
    </row>
    <row r="38" spans="2:48" x14ac:dyDescent="0.25">
      <c r="D38" t="s">
        <v>99</v>
      </c>
      <c r="E38" s="3">
        <v>269</v>
      </c>
      <c r="F38" s="3">
        <v>224</v>
      </c>
      <c r="G38" s="33">
        <f>1825907000+1471967000</f>
        <v>3297874000</v>
      </c>
      <c r="H38" s="33">
        <f>3425150000+800000000</f>
        <v>4225150000</v>
      </c>
      <c r="I38" s="3">
        <v>255</v>
      </c>
      <c r="J38" s="3">
        <v>190</v>
      </c>
      <c r="K38" s="33">
        <f>2289593000+3265880000</f>
        <v>5555473000</v>
      </c>
      <c r="L38" s="33">
        <f>3804335000+1565880000</f>
        <v>5370215000</v>
      </c>
      <c r="M38" s="33"/>
      <c r="N38" s="3">
        <v>205</v>
      </c>
      <c r="O38" s="3">
        <v>230</v>
      </c>
      <c r="P38" s="33">
        <f>1450992000+4268482000</f>
        <v>5719474000</v>
      </c>
      <c r="Q38" s="33">
        <f>1949720000+2932619000</f>
        <v>4882339000</v>
      </c>
      <c r="R38" s="3">
        <v>117</v>
      </c>
      <c r="S38" s="3">
        <v>286</v>
      </c>
      <c r="T38" s="33">
        <f>1596092000+12103356000</f>
        <v>13699448000</v>
      </c>
      <c r="U38" s="33">
        <f>2274939000+2241602000</f>
        <v>4516541000</v>
      </c>
      <c r="V38" s="3">
        <v>166</v>
      </c>
      <c r="W38" s="3">
        <v>197</v>
      </c>
      <c r="X38" s="33">
        <f>1554353000+8177178000</f>
        <v>9731531000</v>
      </c>
      <c r="Y38" s="33">
        <f>1801353000+789774000</f>
        <v>2591127000</v>
      </c>
      <c r="Z38" s="3">
        <v>197</v>
      </c>
      <c r="AA38" s="3">
        <v>284</v>
      </c>
      <c r="AB38" s="33">
        <f>1295726000+14608826000</f>
        <v>15904552000</v>
      </c>
      <c r="AC38" s="33">
        <f>1715744000+14608826000</f>
        <v>16324570000</v>
      </c>
      <c r="AD38" s="33">
        <f>1677226000+1679096000</f>
        <v>3356322000</v>
      </c>
      <c r="AE38" s="3">
        <v>244</v>
      </c>
      <c r="AF38" s="3">
        <v>295</v>
      </c>
      <c r="AG38" s="33">
        <f>1647629000+16762583000</f>
        <v>18410212000</v>
      </c>
      <c r="AH38" s="3">
        <v>2163709000</v>
      </c>
      <c r="AI38" s="3">
        <v>311</v>
      </c>
      <c r="AJ38" s="3">
        <v>278</v>
      </c>
      <c r="AK38" s="33">
        <f>3946680000+6851714000</f>
        <v>10798394000</v>
      </c>
      <c r="AL38" s="33">
        <f>3850945000+3590192000</f>
        <v>7441137000</v>
      </c>
      <c r="AM38" s="33"/>
      <c r="AN38" s="3">
        <v>297</v>
      </c>
      <c r="AO38" s="3">
        <v>284</v>
      </c>
      <c r="AP38" s="33">
        <f>4225466000+11208848000</f>
        <v>15434314000</v>
      </c>
      <c r="AQ38" s="33">
        <f>3646535000+9208848000</f>
        <v>12855383000</v>
      </c>
      <c r="AR38" s="33">
        <f>3727129000+2834661000</f>
        <v>6561790000</v>
      </c>
      <c r="AS38" s="3">
        <v>231</v>
      </c>
      <c r="AT38" s="3"/>
      <c r="AU38" s="33">
        <f>4592468000+1764891000</f>
        <v>6357359000</v>
      </c>
      <c r="AV38" s="33"/>
    </row>
    <row r="39" spans="2:48" x14ac:dyDescent="0.25">
      <c r="B39" s="25" t="s">
        <v>817</v>
      </c>
      <c r="C39" s="25"/>
      <c r="D39" s="25"/>
      <c r="E39" s="27"/>
      <c r="F39" s="27"/>
      <c r="G39" s="27">
        <v>128233006000</v>
      </c>
      <c r="H39" s="27">
        <v>127734500000</v>
      </c>
      <c r="I39" s="27"/>
      <c r="J39" s="27"/>
      <c r="K39" s="27">
        <f>101909999000+12387070000</f>
        <v>114297069000</v>
      </c>
      <c r="L39" s="27">
        <f>82063616000+8660180000</f>
        <v>90723796000</v>
      </c>
      <c r="M39" s="27"/>
      <c r="N39" s="27"/>
      <c r="O39" s="27"/>
      <c r="P39" s="27">
        <v>95469176000</v>
      </c>
      <c r="Q39" s="27">
        <v>90123209000</v>
      </c>
      <c r="R39" s="27"/>
      <c r="S39" s="27"/>
      <c r="T39" s="27">
        <f>88924193000+36942862000</f>
        <v>125867055000</v>
      </c>
      <c r="U39" s="27">
        <f>90939849000+10873825000</f>
        <v>101813674000</v>
      </c>
      <c r="V39" s="27"/>
      <c r="W39" s="27"/>
      <c r="X39" s="27">
        <f>109791566000+21321838000</f>
        <v>131113404000</v>
      </c>
      <c r="Y39" s="27">
        <f>127470299000+1496430000</f>
        <v>128966729000</v>
      </c>
      <c r="Z39" s="27"/>
      <c r="AA39" s="27"/>
      <c r="AB39" s="27">
        <f>146891631000+22003512000</f>
        <v>168895143000</v>
      </c>
      <c r="AC39" s="27">
        <v>131795078000</v>
      </c>
      <c r="AD39" s="27">
        <f>182989695000+2785518000</f>
        <v>185775213000</v>
      </c>
      <c r="AE39" s="27"/>
      <c r="AF39" s="27"/>
      <c r="AG39" s="27">
        <f>194013945000+21628636000</f>
        <v>215642581000</v>
      </c>
      <c r="AH39" s="27">
        <v>244577911000</v>
      </c>
      <c r="AI39" s="27"/>
      <c r="AJ39" s="27"/>
      <c r="AK39" s="27">
        <f>226718882000+27570599000</f>
        <v>254289481000</v>
      </c>
      <c r="AL39" s="27">
        <f>248078271000+9206948000</f>
        <v>257285219000</v>
      </c>
      <c r="AM39" s="27">
        <v>-7473500000</v>
      </c>
      <c r="AN39" s="27"/>
      <c r="AO39" s="27"/>
      <c r="AP39" s="27">
        <f>235055761000+15769796000</f>
        <v>250825557000</v>
      </c>
      <c r="AQ39" s="27">
        <f>0+15769796000</f>
        <v>15769796000</v>
      </c>
      <c r="AR39" s="27">
        <f>0+4760870000</f>
        <v>4760870000</v>
      </c>
      <c r="AS39" s="27"/>
      <c r="AT39" s="27"/>
      <c r="AU39" s="27">
        <f>83846944000+19603487000</f>
        <v>103450431000</v>
      </c>
      <c r="AV39" s="27"/>
    </row>
    <row r="40" spans="2:48" x14ac:dyDescent="0.25">
      <c r="C40" t="s">
        <v>197</v>
      </c>
      <c r="E40" s="3"/>
      <c r="F40" s="3"/>
      <c r="G40" s="29">
        <f t="shared" ref="G40:H40" si="17">SUM(G41:G42)</f>
        <v>128233006000</v>
      </c>
      <c r="H40" s="29">
        <f t="shared" si="17"/>
        <v>127734500000</v>
      </c>
      <c r="I40" s="3"/>
      <c r="J40" s="3"/>
      <c r="K40" s="29">
        <f t="shared" ref="K40:L40" si="18">SUM(K41:K42)</f>
        <v>114297069000</v>
      </c>
      <c r="L40" s="29">
        <f t="shared" si="18"/>
        <v>90723796000</v>
      </c>
      <c r="M40" s="3"/>
      <c r="N40" s="3"/>
      <c r="O40" s="3"/>
      <c r="P40" s="29">
        <f t="shared" ref="P40:Q40" si="19">SUM(P41:P42)</f>
        <v>95469176000</v>
      </c>
      <c r="Q40" s="29">
        <f t="shared" si="19"/>
        <v>90123209000</v>
      </c>
      <c r="R40" s="3"/>
      <c r="S40" s="3"/>
      <c r="T40" s="29">
        <f>SUM(T41:T42)</f>
        <v>125867055000</v>
      </c>
      <c r="U40" s="29">
        <f>SUM(U41:U42)</f>
        <v>101813674000</v>
      </c>
      <c r="V40" s="3"/>
      <c r="W40" s="3"/>
      <c r="X40" s="29">
        <f t="shared" ref="X40:Y40" si="20">SUM(X41:X42)</f>
        <v>131113404000</v>
      </c>
      <c r="Y40" s="29">
        <f t="shared" si="20"/>
        <v>128966729000</v>
      </c>
      <c r="Z40" s="3"/>
      <c r="AA40" s="3"/>
      <c r="AB40" s="29">
        <f t="shared" ref="AB40:AD40" si="21">SUM(AB41:AB42)</f>
        <v>168895143000</v>
      </c>
      <c r="AC40" s="29">
        <f t="shared" si="21"/>
        <v>131795078000</v>
      </c>
      <c r="AD40" s="29">
        <f t="shared" si="21"/>
        <v>185775213000</v>
      </c>
      <c r="AE40" s="3"/>
      <c r="AF40" s="3"/>
      <c r="AG40" s="29">
        <f t="shared" ref="AG40:AH40" si="22">SUM(AG41:AG42)</f>
        <v>215642581000</v>
      </c>
      <c r="AH40" s="29">
        <f t="shared" si="22"/>
        <v>244577911000</v>
      </c>
      <c r="AI40" s="3"/>
      <c r="AJ40" s="3"/>
      <c r="AK40" s="29">
        <f t="shared" ref="AK40:AM40" si="23">SUM(AK41:AK42)</f>
        <v>254289481000</v>
      </c>
      <c r="AL40" s="29">
        <f t="shared" si="23"/>
        <v>257285219000</v>
      </c>
      <c r="AM40" s="29">
        <f t="shared" si="23"/>
        <v>-7473500000</v>
      </c>
      <c r="AN40" s="3"/>
      <c r="AO40" s="3"/>
      <c r="AP40" s="29">
        <f t="shared" ref="AP40:AR40" si="24">SUM(AP41:AP42)</f>
        <v>250825557000</v>
      </c>
      <c r="AQ40" s="29">
        <f t="shared" si="24"/>
        <v>15769796000</v>
      </c>
      <c r="AR40" s="29">
        <f t="shared" si="24"/>
        <v>4760870000</v>
      </c>
      <c r="AS40" s="3"/>
      <c r="AT40" s="3"/>
      <c r="AU40" s="29">
        <f>SUM(AU41:AU42)</f>
        <v>103450431000</v>
      </c>
      <c r="AV40" s="3"/>
    </row>
    <row r="41" spans="2:48" x14ac:dyDescent="0.25">
      <c r="D41" t="s">
        <v>671</v>
      </c>
      <c r="E41" s="3">
        <v>271</v>
      </c>
      <c r="F41" s="3">
        <v>228</v>
      </c>
      <c r="G41" s="33">
        <f>95236398000+1200000000</f>
        <v>96436398000</v>
      </c>
      <c r="H41" s="33">
        <f>97017780000+200000000</f>
        <v>97217780000</v>
      </c>
      <c r="I41" s="3">
        <v>257</v>
      </c>
      <c r="J41" s="3">
        <v>193</v>
      </c>
      <c r="K41" s="33">
        <f>72742136000+2199905000</f>
        <v>74942041000</v>
      </c>
      <c r="L41" s="33">
        <f>59737701000+1198643000</f>
        <v>60936344000</v>
      </c>
      <c r="M41" s="33"/>
      <c r="N41" s="3">
        <v>206</v>
      </c>
      <c r="O41" s="3">
        <v>232</v>
      </c>
      <c r="P41" s="33">
        <f>61559043000+1728017000</f>
        <v>63287060000</v>
      </c>
      <c r="Q41" s="33">
        <f>61891383000+1728017000</f>
        <v>63619400000</v>
      </c>
      <c r="R41" s="3">
        <v>118</v>
      </c>
      <c r="S41" s="3">
        <v>289</v>
      </c>
      <c r="T41" s="33">
        <f>68080521000+2592025000</f>
        <v>70672546000</v>
      </c>
      <c r="U41" s="33">
        <f>65875039000+375000000</f>
        <v>66250039000</v>
      </c>
      <c r="V41" s="3">
        <v>168</v>
      </c>
      <c r="W41" s="3">
        <v>199</v>
      </c>
      <c r="X41" s="33">
        <f>72119162000+2500000000</f>
        <v>74619162000</v>
      </c>
      <c r="Y41" s="33">
        <f>83944714000+100000000</f>
        <v>84044714000</v>
      </c>
      <c r="Z41" s="3">
        <v>199</v>
      </c>
      <c r="AA41" s="3">
        <v>286</v>
      </c>
      <c r="AB41" s="33">
        <f>86766246000+3728588000</f>
        <v>90494834000</v>
      </c>
      <c r="AC41" s="33">
        <f>72119162000+3728588000</f>
        <v>75847750000</v>
      </c>
      <c r="AD41" s="33">
        <f>115423826000+234311000</f>
        <v>115658137000</v>
      </c>
      <c r="AE41" s="3">
        <v>246</v>
      </c>
      <c r="AF41" s="3">
        <v>297</v>
      </c>
      <c r="AG41" s="33">
        <f>105294833000+6017241000</f>
        <v>111312074000</v>
      </c>
      <c r="AH41" s="3">
        <v>144040506000</v>
      </c>
      <c r="AI41" s="3">
        <v>312</v>
      </c>
      <c r="AJ41" s="3">
        <v>280</v>
      </c>
      <c r="AK41" s="33">
        <f>136192169000+6830987000</f>
        <v>143023156000</v>
      </c>
      <c r="AL41" s="33">
        <f>154437746000+2452606000</f>
        <v>156890352000</v>
      </c>
      <c r="AM41" s="33">
        <v>-4585000000</v>
      </c>
      <c r="AN41" s="3">
        <v>299</v>
      </c>
      <c r="AO41" s="3">
        <v>0</v>
      </c>
      <c r="AP41" s="33">
        <f>159058531000+1253510000</f>
        <v>160312041000</v>
      </c>
      <c r="AQ41" s="33">
        <f>0+1253510000</f>
        <v>1253510000</v>
      </c>
      <c r="AR41" s="33">
        <f>0+470381000</f>
        <v>470381000</v>
      </c>
      <c r="AS41" s="3">
        <v>233</v>
      </c>
      <c r="AT41" s="3"/>
      <c r="AU41" s="3">
        <v>62988802000</v>
      </c>
      <c r="AV41" s="3"/>
    </row>
    <row r="42" spans="2:48" x14ac:dyDescent="0.25">
      <c r="D42" t="s">
        <v>672</v>
      </c>
      <c r="E42" s="3">
        <v>393</v>
      </c>
      <c r="F42" s="3">
        <v>333</v>
      </c>
      <c r="G42" s="33">
        <f>24357135000+7439473000</f>
        <v>31796608000</v>
      </c>
      <c r="H42" s="33">
        <f>25724390000+4792330000</f>
        <v>30516720000</v>
      </c>
      <c r="I42" s="3">
        <v>349</v>
      </c>
      <c r="J42" s="3">
        <v>268</v>
      </c>
      <c r="K42" s="33">
        <f>29167863000+10187165000</f>
        <v>39355028000</v>
      </c>
      <c r="L42" s="33">
        <f>22325915000+7461537000</f>
        <v>29787452000</v>
      </c>
      <c r="M42" s="33"/>
      <c r="N42" s="3">
        <v>273</v>
      </c>
      <c r="O42" s="3">
        <v>310</v>
      </c>
      <c r="P42" s="33">
        <f>19482100000+12700016000</f>
        <v>32182116000</v>
      </c>
      <c r="Q42" s="33">
        <f>18803793000+7700016000</f>
        <v>26503809000</v>
      </c>
      <c r="R42" s="3">
        <v>144</v>
      </c>
      <c r="S42" s="3">
        <v>378</v>
      </c>
      <c r="T42" s="33">
        <f>20843672000+34350837000</f>
        <v>55194509000</v>
      </c>
      <c r="U42" s="33">
        <f>25064810000+10498825000</f>
        <v>35563635000</v>
      </c>
      <c r="V42" s="3">
        <v>210</v>
      </c>
      <c r="W42" s="3">
        <v>252</v>
      </c>
      <c r="X42" s="33">
        <f>37672404000+18821838000</f>
        <v>56494242000</v>
      </c>
      <c r="Y42" s="33">
        <f>43525585000+1396430000</f>
        <v>44922015000</v>
      </c>
      <c r="Z42" s="3">
        <v>248</v>
      </c>
      <c r="AA42" s="3">
        <v>369</v>
      </c>
      <c r="AB42" s="33">
        <f>60125385000+18274924000</f>
        <v>78400309000</v>
      </c>
      <c r="AC42" s="33">
        <f>37672404000+18274924000</f>
        <v>55947328000</v>
      </c>
      <c r="AD42" s="33">
        <f>67565869000+2551207000</f>
        <v>70117076000</v>
      </c>
      <c r="AE42" s="3">
        <v>305</v>
      </c>
      <c r="AF42" s="3">
        <v>388</v>
      </c>
      <c r="AG42" s="33">
        <f>88719112000+15611395000</f>
        <v>104330507000</v>
      </c>
      <c r="AH42" s="3">
        <v>100537405000</v>
      </c>
      <c r="AI42" s="3">
        <v>384</v>
      </c>
      <c r="AJ42" s="3">
        <v>378</v>
      </c>
      <c r="AK42" s="33">
        <f>90526713000+20739612000</f>
        <v>111266325000</v>
      </c>
      <c r="AL42" s="33">
        <f>93640525000+6754342000</f>
        <v>100394867000</v>
      </c>
      <c r="AM42" s="33">
        <v>-2888500000</v>
      </c>
      <c r="AN42" s="3">
        <v>373</v>
      </c>
      <c r="AO42" s="3">
        <v>0</v>
      </c>
      <c r="AP42" s="33">
        <f>75997230000+14516286000</f>
        <v>90513516000</v>
      </c>
      <c r="AQ42" s="33">
        <f>0+14516286000</f>
        <v>14516286000</v>
      </c>
      <c r="AR42" s="33">
        <f>0+4290489000</f>
        <v>4290489000</v>
      </c>
      <c r="AS42" s="3">
        <v>281</v>
      </c>
      <c r="AT42" s="3"/>
      <c r="AU42" s="33">
        <f>20858142000+19603487000</f>
        <v>40461629000</v>
      </c>
      <c r="AV42" s="33"/>
    </row>
    <row r="43" spans="2:48" x14ac:dyDescent="0.25">
      <c r="B43" s="25" t="s">
        <v>199</v>
      </c>
      <c r="C43" s="25"/>
      <c r="D43" s="25"/>
      <c r="E43" s="27"/>
      <c r="F43" s="27"/>
      <c r="G43" s="27">
        <v>52984824000</v>
      </c>
      <c r="H43" s="27">
        <v>50963477000</v>
      </c>
      <c r="I43" s="27"/>
      <c r="J43" s="27"/>
      <c r="K43" s="27">
        <v>34255997000</v>
      </c>
      <c r="L43" s="27">
        <v>30311352000</v>
      </c>
      <c r="M43" s="27"/>
      <c r="N43" s="27"/>
      <c r="O43" s="27"/>
      <c r="P43" s="27">
        <v>45734384000</v>
      </c>
      <c r="Q43" s="27">
        <v>45721388000</v>
      </c>
      <c r="R43" s="27"/>
      <c r="S43" s="27"/>
      <c r="T43" s="27">
        <v>50219822000</v>
      </c>
      <c r="U43" s="27">
        <v>62148275000</v>
      </c>
      <c r="V43" s="27"/>
      <c r="W43" s="27"/>
      <c r="X43" s="27">
        <v>206538746000</v>
      </c>
      <c r="Y43" s="27">
        <v>352797191000</v>
      </c>
      <c r="Z43" s="27"/>
      <c r="AA43" s="27"/>
      <c r="AB43" s="27">
        <v>154506039000</v>
      </c>
      <c r="AC43" s="27">
        <v>213953622000</v>
      </c>
      <c r="AD43" s="27">
        <v>388286983000</v>
      </c>
      <c r="AE43" s="27"/>
      <c r="AF43" s="27"/>
      <c r="AG43" s="27">
        <v>174088780000</v>
      </c>
      <c r="AH43" s="27">
        <v>410991162000</v>
      </c>
      <c r="AI43" s="27"/>
      <c r="AJ43" s="27"/>
      <c r="AK43" s="27">
        <v>221499350000</v>
      </c>
      <c r="AL43" s="27">
        <v>504226522000</v>
      </c>
      <c r="AM43" s="27">
        <v>-18042200000</v>
      </c>
      <c r="AN43" s="27"/>
      <c r="AO43" s="27"/>
      <c r="AP43" s="27">
        <v>167790413000</v>
      </c>
      <c r="AQ43" s="27">
        <v>224731580000</v>
      </c>
      <c r="AR43" s="27">
        <v>240498917000</v>
      </c>
      <c r="AS43" s="27"/>
      <c r="AT43" s="27"/>
      <c r="AU43" s="27">
        <v>157308648000</v>
      </c>
      <c r="AV43" s="27"/>
    </row>
    <row r="44" spans="2:48" x14ac:dyDescent="0.25">
      <c r="D44" t="s">
        <v>745</v>
      </c>
      <c r="E44" s="3">
        <v>422</v>
      </c>
      <c r="F44" s="3">
        <v>360</v>
      </c>
      <c r="G44" s="3">
        <v>2608373000</v>
      </c>
      <c r="H44" s="3">
        <v>2492373000</v>
      </c>
      <c r="I44" s="3">
        <v>380</v>
      </c>
      <c r="J44" s="3">
        <v>291</v>
      </c>
      <c r="K44" s="3">
        <v>1846160000</v>
      </c>
      <c r="L44" s="3">
        <v>1590310000</v>
      </c>
      <c r="M44" s="3"/>
      <c r="N44" s="3">
        <v>294</v>
      </c>
      <c r="O44" s="3">
        <v>335</v>
      </c>
      <c r="P44" s="3">
        <v>1769151000</v>
      </c>
      <c r="Q44" s="3">
        <v>1939784000</v>
      </c>
      <c r="R44" s="3">
        <v>328</v>
      </c>
      <c r="S44" s="3">
        <v>410</v>
      </c>
      <c r="T44" s="3">
        <v>1946066000</v>
      </c>
      <c r="U44" s="3">
        <v>1655327000</v>
      </c>
      <c r="V44" s="3">
        <v>233</v>
      </c>
      <c r="W44" s="3">
        <v>280</v>
      </c>
      <c r="X44" s="3">
        <v>1521937000</v>
      </c>
      <c r="Y44" s="3">
        <v>1516937000</v>
      </c>
      <c r="Z44" s="3">
        <v>276</v>
      </c>
      <c r="AA44" s="3">
        <v>410</v>
      </c>
      <c r="AB44" s="3">
        <v>830408000</v>
      </c>
      <c r="AC44" s="3">
        <v>1521937000</v>
      </c>
      <c r="AD44" s="3">
        <v>1344400000</v>
      </c>
      <c r="AE44" s="3">
        <v>344</v>
      </c>
      <c r="AF44" s="3">
        <v>441</v>
      </c>
      <c r="AG44" s="3">
        <v>881815000</v>
      </c>
      <c r="AH44" s="3">
        <v>1656815000</v>
      </c>
      <c r="AI44" s="3">
        <v>417</v>
      </c>
      <c r="AJ44" s="3">
        <v>424</v>
      </c>
      <c r="AK44" s="3">
        <v>1519000000</v>
      </c>
      <c r="AL44" s="3">
        <v>1098000000</v>
      </c>
      <c r="AM44" s="3"/>
      <c r="AN44" s="3">
        <v>409</v>
      </c>
      <c r="AO44" s="3">
        <v>287</v>
      </c>
      <c r="AP44" s="3">
        <v>1097699000</v>
      </c>
      <c r="AQ44" s="3">
        <v>1047699000</v>
      </c>
      <c r="AR44" s="3">
        <v>687226000</v>
      </c>
      <c r="AS44" s="3"/>
      <c r="AT44" s="3"/>
      <c r="AU44" s="3"/>
      <c r="AV44" s="3"/>
    </row>
    <row r="45" spans="2:48" x14ac:dyDescent="0.25">
      <c r="D45" t="s">
        <v>746</v>
      </c>
      <c r="E45" s="3">
        <v>424</v>
      </c>
      <c r="F45" s="3">
        <v>362</v>
      </c>
      <c r="G45" s="3">
        <v>4492561000</v>
      </c>
      <c r="H45" s="3">
        <v>3729756000</v>
      </c>
      <c r="I45" s="3">
        <v>382</v>
      </c>
      <c r="J45" s="3">
        <v>293</v>
      </c>
      <c r="K45" s="3">
        <v>2480866000</v>
      </c>
      <c r="L45" s="3">
        <v>2246568000</v>
      </c>
      <c r="M45" s="3"/>
      <c r="N45" s="3">
        <v>296</v>
      </c>
      <c r="O45" s="3">
        <v>337</v>
      </c>
      <c r="P45" s="3">
        <v>2295899000</v>
      </c>
      <c r="Q45" s="3">
        <v>2284223000</v>
      </c>
      <c r="R45" s="3">
        <v>329</v>
      </c>
      <c r="S45" s="3">
        <v>412</v>
      </c>
      <c r="T45" s="3">
        <v>2525489000</v>
      </c>
      <c r="U45" s="3">
        <v>2179725000</v>
      </c>
      <c r="V45" s="3">
        <v>235</v>
      </c>
      <c r="W45" s="3">
        <v>282</v>
      </c>
      <c r="X45" s="3">
        <v>2131028000</v>
      </c>
      <c r="Y45" s="3">
        <v>1919028000</v>
      </c>
      <c r="Z45" s="3">
        <v>277</v>
      </c>
      <c r="AA45" s="3">
        <v>412</v>
      </c>
      <c r="AB45" s="3">
        <v>1432114000</v>
      </c>
      <c r="AC45" s="3">
        <v>2131028000</v>
      </c>
      <c r="AD45" s="3">
        <v>1547114000</v>
      </c>
      <c r="AE45" s="3">
        <v>344</v>
      </c>
      <c r="AF45" s="3">
        <v>442</v>
      </c>
      <c r="AG45" s="3">
        <v>1707057000</v>
      </c>
      <c r="AH45" s="3">
        <v>1738657000</v>
      </c>
      <c r="AI45" s="3">
        <v>418</v>
      </c>
      <c r="AJ45" s="3">
        <v>425</v>
      </c>
      <c r="AK45" s="3">
        <v>3826287000</v>
      </c>
      <c r="AL45" s="3">
        <v>2633477000</v>
      </c>
      <c r="AM45" s="3"/>
      <c r="AN45" s="3">
        <v>409</v>
      </c>
      <c r="AO45" s="3">
        <v>288</v>
      </c>
      <c r="AP45" s="3">
        <v>1719751000</v>
      </c>
      <c r="AQ45" s="3">
        <v>1016751000</v>
      </c>
      <c r="AR45" s="3">
        <v>1186036000</v>
      </c>
      <c r="AS45" s="3"/>
      <c r="AT45" s="3"/>
      <c r="AU45" s="3"/>
      <c r="AV45" s="3"/>
    </row>
    <row r="46" spans="2:48" x14ac:dyDescent="0.25">
      <c r="D46" t="s">
        <v>818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>
        <v>415</v>
      </c>
      <c r="T46" s="3"/>
      <c r="U46" s="3">
        <v>375110000</v>
      </c>
      <c r="V46" s="3">
        <v>237</v>
      </c>
      <c r="W46" s="3">
        <v>284</v>
      </c>
      <c r="X46" s="3">
        <v>172559000</v>
      </c>
      <c r="Y46" s="3">
        <v>139550000</v>
      </c>
      <c r="Z46" s="3">
        <v>279</v>
      </c>
      <c r="AA46" s="3">
        <v>414</v>
      </c>
      <c r="AB46" s="3">
        <v>68032000</v>
      </c>
      <c r="AC46" s="3">
        <v>172559000</v>
      </c>
      <c r="AD46" s="3">
        <v>68032000</v>
      </c>
      <c r="AE46" s="3">
        <v>346</v>
      </c>
      <c r="AF46" s="3">
        <v>445</v>
      </c>
      <c r="AG46" s="3">
        <v>58143000</v>
      </c>
      <c r="AH46" s="3">
        <v>58143000</v>
      </c>
      <c r="AI46" s="3">
        <v>420</v>
      </c>
      <c r="AJ46" s="3">
        <v>426</v>
      </c>
      <c r="AK46" s="3">
        <v>62350000</v>
      </c>
      <c r="AL46" s="3">
        <v>62350000</v>
      </c>
      <c r="AM46" s="3"/>
      <c r="AN46" s="3">
        <v>410</v>
      </c>
      <c r="AO46" s="3">
        <v>289</v>
      </c>
      <c r="AP46" s="3">
        <v>418040000</v>
      </c>
      <c r="AQ46" s="3">
        <v>418040000</v>
      </c>
      <c r="AR46" s="3">
        <v>401563000</v>
      </c>
      <c r="AS46" s="3"/>
      <c r="AT46" s="3"/>
      <c r="AU46" s="3"/>
      <c r="AV46" s="3"/>
    </row>
    <row r="47" spans="2:48" x14ac:dyDescent="0.25">
      <c r="D47" t="s">
        <v>747</v>
      </c>
      <c r="E47" s="3">
        <v>429</v>
      </c>
      <c r="F47" s="3">
        <v>365</v>
      </c>
      <c r="G47" s="3">
        <v>31994424000</v>
      </c>
      <c r="H47" s="3">
        <v>30908907000</v>
      </c>
      <c r="I47" s="3">
        <v>386</v>
      </c>
      <c r="J47" s="3">
        <v>296</v>
      </c>
      <c r="K47" s="3">
        <v>18687929000</v>
      </c>
      <c r="L47" s="3">
        <v>16931698000</v>
      </c>
      <c r="M47" s="3"/>
      <c r="N47" s="3">
        <v>299</v>
      </c>
      <c r="O47" s="3">
        <v>340</v>
      </c>
      <c r="P47" s="3">
        <v>21727489000</v>
      </c>
      <c r="Q47" s="3">
        <v>21864519000</v>
      </c>
      <c r="R47" s="3">
        <v>330</v>
      </c>
      <c r="S47" s="3">
        <v>416</v>
      </c>
      <c r="T47" s="3">
        <v>23900238000</v>
      </c>
      <c r="U47" s="3">
        <v>16763321000</v>
      </c>
      <c r="V47" s="3">
        <v>237</v>
      </c>
      <c r="W47" s="3">
        <v>284</v>
      </c>
      <c r="X47" s="3">
        <v>16803507000</v>
      </c>
      <c r="Y47" s="3">
        <v>17087000000</v>
      </c>
      <c r="Z47" s="3">
        <v>279</v>
      </c>
      <c r="AA47" s="3">
        <v>415</v>
      </c>
      <c r="AB47" s="3">
        <v>15675407000</v>
      </c>
      <c r="AC47" s="3">
        <v>16803507000</v>
      </c>
      <c r="AD47" s="3">
        <v>17689155000</v>
      </c>
      <c r="AE47" s="3">
        <v>347</v>
      </c>
      <c r="AF47" s="3">
        <v>445</v>
      </c>
      <c r="AG47" s="3">
        <v>13967500000</v>
      </c>
      <c r="AH47" s="3">
        <v>15163693000</v>
      </c>
      <c r="AI47" s="3">
        <v>420</v>
      </c>
      <c r="AJ47" s="3">
        <v>427</v>
      </c>
      <c r="AK47" s="3">
        <v>6380413000</v>
      </c>
      <c r="AL47" s="3">
        <v>6107767000</v>
      </c>
      <c r="AM47" s="3"/>
      <c r="AN47" s="3">
        <v>411</v>
      </c>
      <c r="AO47" s="3">
        <v>289</v>
      </c>
      <c r="AP47" s="3">
        <v>3550000000</v>
      </c>
      <c r="AQ47" s="3">
        <v>3809834000</v>
      </c>
      <c r="AR47" s="3">
        <v>4005927000</v>
      </c>
      <c r="AS47" s="3"/>
      <c r="AT47" s="3"/>
      <c r="AU47" s="3"/>
      <c r="AV47" s="3"/>
    </row>
    <row r="48" spans="2:48" x14ac:dyDescent="0.25">
      <c r="D48" t="s">
        <v>819</v>
      </c>
      <c r="E48" s="3">
        <v>466</v>
      </c>
      <c r="F48" s="3">
        <v>396</v>
      </c>
      <c r="G48" s="3">
        <v>12319466000</v>
      </c>
      <c r="H48" s="3">
        <v>12553441000</v>
      </c>
      <c r="I48" s="3">
        <v>426</v>
      </c>
      <c r="J48" s="3">
        <v>328</v>
      </c>
      <c r="K48" s="3">
        <v>6828349000</v>
      </c>
      <c r="L48" s="3">
        <v>5817226000</v>
      </c>
      <c r="M48" s="3"/>
      <c r="N48" s="3">
        <v>332</v>
      </c>
      <c r="O48" s="3">
        <v>376</v>
      </c>
      <c r="P48" s="3">
        <v>10522455000</v>
      </c>
      <c r="Q48" s="3">
        <v>10581978000</v>
      </c>
      <c r="R48" s="3">
        <v>338</v>
      </c>
      <c r="S48" s="3">
        <v>458</v>
      </c>
      <c r="T48" s="3">
        <v>11574700000</v>
      </c>
      <c r="U48" s="3">
        <v>13355298000</v>
      </c>
      <c r="V48" s="3">
        <v>260</v>
      </c>
      <c r="W48" s="3">
        <v>309</v>
      </c>
      <c r="X48" s="3">
        <v>9145632000</v>
      </c>
      <c r="Y48" s="3">
        <v>9170579000</v>
      </c>
      <c r="Z48" s="3">
        <v>301</v>
      </c>
      <c r="AA48" s="3">
        <v>443</v>
      </c>
      <c r="AB48" s="3">
        <v>8080797000</v>
      </c>
      <c r="AC48" s="3">
        <v>9145632000</v>
      </c>
      <c r="AD48" s="3">
        <v>9355297000</v>
      </c>
      <c r="AE48" s="3">
        <v>371</v>
      </c>
      <c r="AF48" s="3">
        <v>474</v>
      </c>
      <c r="AG48" s="3">
        <v>10020000000</v>
      </c>
      <c r="AH48" s="3">
        <v>9326617000</v>
      </c>
      <c r="AI48" s="3">
        <v>439</v>
      </c>
      <c r="AJ48" s="3">
        <v>448</v>
      </c>
      <c r="AK48" s="3">
        <v>5628375000</v>
      </c>
      <c r="AL48" s="3">
        <v>5583560000</v>
      </c>
      <c r="AM48" s="3"/>
      <c r="AN48" s="3">
        <v>428</v>
      </c>
      <c r="AO48" s="3">
        <v>310</v>
      </c>
      <c r="AP48" s="3">
        <v>5778000000</v>
      </c>
      <c r="AQ48" s="3">
        <v>6587922000</v>
      </c>
      <c r="AR48" s="3">
        <v>3750218000</v>
      </c>
      <c r="AS48" s="3"/>
      <c r="AT48" s="3"/>
      <c r="AU48" s="3"/>
      <c r="AV48" s="3"/>
    </row>
    <row r="49" spans="3:48" x14ac:dyDescent="0.25">
      <c r="D49" t="s">
        <v>820</v>
      </c>
      <c r="E49" s="3"/>
      <c r="F49" s="3"/>
      <c r="G49" s="3"/>
      <c r="H49" s="3"/>
      <c r="I49" s="3">
        <v>450</v>
      </c>
      <c r="J49" s="3">
        <v>346</v>
      </c>
      <c r="K49" s="3">
        <v>942693000</v>
      </c>
      <c r="L49" s="3">
        <v>530550000</v>
      </c>
      <c r="M49" s="3"/>
      <c r="N49" s="3">
        <v>360</v>
      </c>
      <c r="O49" s="3">
        <v>406</v>
      </c>
      <c r="P49" s="3">
        <v>6892390000</v>
      </c>
      <c r="Q49" s="3">
        <v>6523884000</v>
      </c>
      <c r="R49" s="3">
        <v>343</v>
      </c>
      <c r="S49" s="3">
        <v>493</v>
      </c>
      <c r="T49" s="3">
        <v>7581629000</v>
      </c>
      <c r="U49" s="3">
        <v>7766683000</v>
      </c>
      <c r="V49" s="3">
        <v>278</v>
      </c>
      <c r="W49" s="3">
        <v>328</v>
      </c>
      <c r="X49" s="3">
        <v>6239130000</v>
      </c>
      <c r="Y49" s="3">
        <v>7437471000</v>
      </c>
      <c r="Z49" s="3">
        <v>318</v>
      </c>
      <c r="AA49" s="3">
        <v>464</v>
      </c>
      <c r="AB49" s="3">
        <v>4129587000</v>
      </c>
      <c r="AC49" s="3">
        <v>6239130000</v>
      </c>
      <c r="AD49" s="3">
        <v>4929704000</v>
      </c>
      <c r="AE49" s="3">
        <v>391</v>
      </c>
      <c r="AF49" s="3">
        <v>496</v>
      </c>
      <c r="AG49" s="3">
        <v>3800000000</v>
      </c>
      <c r="AH49" s="3">
        <v>5107000000</v>
      </c>
      <c r="AI49" s="3">
        <v>457</v>
      </c>
      <c r="AJ49" s="3">
        <v>468</v>
      </c>
      <c r="AK49" s="3">
        <v>5010000000</v>
      </c>
      <c r="AL49" s="3">
        <v>5731500000</v>
      </c>
      <c r="AM49" s="3"/>
      <c r="AN49" s="3">
        <v>445</v>
      </c>
      <c r="AO49" s="3">
        <v>0</v>
      </c>
      <c r="AP49" s="3">
        <v>3000000000</v>
      </c>
      <c r="AQ49" s="3">
        <v>3175000000</v>
      </c>
      <c r="AR49" s="3">
        <v>0</v>
      </c>
      <c r="AS49" s="3"/>
      <c r="AT49" s="3"/>
      <c r="AU49" s="3"/>
      <c r="AV49" s="3"/>
    </row>
    <row r="50" spans="3:48" x14ac:dyDescent="0.25">
      <c r="D50" t="s">
        <v>821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>
        <v>510</v>
      </c>
      <c r="T50" s="3"/>
      <c r="U50" s="3">
        <v>476200000</v>
      </c>
      <c r="V50" s="3">
        <v>288</v>
      </c>
      <c r="W50" s="3">
        <v>340</v>
      </c>
      <c r="X50" s="3">
        <v>583160000</v>
      </c>
      <c r="Y50" s="3">
        <v>553160000</v>
      </c>
      <c r="Z50" s="3"/>
      <c r="AA50" s="3"/>
      <c r="AB50" s="3"/>
      <c r="AC50" s="3">
        <v>583160000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3:48" x14ac:dyDescent="0.25">
      <c r="D51" t="s">
        <v>670</v>
      </c>
      <c r="E51" s="3">
        <v>481</v>
      </c>
      <c r="F51" s="3">
        <v>408</v>
      </c>
      <c r="G51" s="3">
        <v>1250000000</v>
      </c>
      <c r="H51" s="3">
        <v>800000000</v>
      </c>
      <c r="I51" s="3">
        <v>454</v>
      </c>
      <c r="J51" s="3">
        <v>348</v>
      </c>
      <c r="K51" s="3">
        <v>1270000000</v>
      </c>
      <c r="L51" s="3">
        <v>895000000</v>
      </c>
      <c r="M51" s="3"/>
      <c r="N51" s="3">
        <v>373</v>
      </c>
      <c r="O51" s="3">
        <v>420</v>
      </c>
      <c r="P51" s="3">
        <v>1047000000</v>
      </c>
      <c r="Q51" s="3">
        <v>1047000000</v>
      </c>
      <c r="R51" s="3">
        <v>343</v>
      </c>
      <c r="S51" s="3">
        <v>510</v>
      </c>
      <c r="T51" s="3">
        <v>1131700000</v>
      </c>
      <c r="U51" s="3">
        <v>2809341000</v>
      </c>
      <c r="V51" s="3">
        <v>288</v>
      </c>
      <c r="W51" s="3">
        <v>341</v>
      </c>
      <c r="X51" s="3">
        <v>3416139000</v>
      </c>
      <c r="Y51" s="3">
        <v>4254139000</v>
      </c>
      <c r="Z51" s="3">
        <v>325</v>
      </c>
      <c r="AA51" s="3">
        <v>475</v>
      </c>
      <c r="AB51" s="3">
        <v>2702500000</v>
      </c>
      <c r="AC51" s="3">
        <v>3416139000</v>
      </c>
      <c r="AD51" s="3">
        <v>13122692000</v>
      </c>
      <c r="AE51" s="3">
        <v>397</v>
      </c>
      <c r="AF51" s="3">
        <v>505</v>
      </c>
      <c r="AG51" s="3">
        <v>2035600000</v>
      </c>
      <c r="AH51" s="3">
        <v>2810100000</v>
      </c>
      <c r="AI51" s="3">
        <v>462</v>
      </c>
      <c r="AJ51" s="3">
        <v>474</v>
      </c>
      <c r="AK51" s="3">
        <v>2110600000</v>
      </c>
      <c r="AL51" s="3">
        <v>2596677000</v>
      </c>
      <c r="AM51" s="3">
        <v>-182700000</v>
      </c>
      <c r="AN51" s="3">
        <v>477</v>
      </c>
      <c r="AO51" s="3">
        <v>329</v>
      </c>
      <c r="AP51" s="3">
        <v>2277200000</v>
      </c>
      <c r="AQ51" s="3">
        <v>1655449000</v>
      </c>
      <c r="AR51" s="3">
        <v>1873600000</v>
      </c>
      <c r="AS51" s="3">
        <v>290</v>
      </c>
      <c r="AT51" s="3"/>
      <c r="AU51" s="3">
        <v>7298600000</v>
      </c>
      <c r="AV51" s="3"/>
    </row>
    <row r="52" spans="3:48" x14ac:dyDescent="0.25">
      <c r="D52" t="s">
        <v>822</v>
      </c>
      <c r="E52" s="3"/>
      <c r="F52" s="3">
        <v>409</v>
      </c>
      <c r="G52" s="3"/>
      <c r="H52" s="3">
        <v>109000000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3:48" x14ac:dyDescent="0.25">
      <c r="D53" t="s">
        <v>823</v>
      </c>
      <c r="E53" s="3"/>
      <c r="F53" s="3">
        <v>409</v>
      </c>
      <c r="G53" s="3"/>
      <c r="H53" s="3">
        <v>50000000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3:48" x14ac:dyDescent="0.25">
      <c r="D54" t="s">
        <v>824</v>
      </c>
      <c r="E54" s="3"/>
      <c r="F54" s="3"/>
      <c r="G54" s="3"/>
      <c r="H54" s="3"/>
      <c r="I54" s="3">
        <v>0</v>
      </c>
      <c r="J54" s="3">
        <v>349</v>
      </c>
      <c r="K54" s="3">
        <v>0</v>
      </c>
      <c r="L54" s="3">
        <v>300000000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3:48" x14ac:dyDescent="0.25">
      <c r="D55" t="s">
        <v>825</v>
      </c>
      <c r="E55" s="3">
        <v>482</v>
      </c>
      <c r="F55" s="3">
        <v>409</v>
      </c>
      <c r="G55" s="3">
        <v>320000000</v>
      </c>
      <c r="H55" s="3">
        <v>320000000</v>
      </c>
      <c r="I55" s="3">
        <v>454</v>
      </c>
      <c r="J55" s="3">
        <v>349</v>
      </c>
      <c r="K55" s="3">
        <v>600000000</v>
      </c>
      <c r="L55" s="3">
        <v>400000000</v>
      </c>
      <c r="M55" s="3"/>
      <c r="N55" s="3"/>
      <c r="O55" s="3"/>
      <c r="P55" s="3"/>
      <c r="Q55" s="3"/>
      <c r="R55" s="3">
        <v>343</v>
      </c>
      <c r="S55" s="3"/>
      <c r="T55" s="3">
        <v>560000000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3:48" x14ac:dyDescent="0.25">
      <c r="D56" t="s">
        <v>110</v>
      </c>
      <c r="E56" s="3"/>
      <c r="F56" s="3"/>
      <c r="G56" s="3"/>
      <c r="H56" s="3"/>
      <c r="I56" s="3">
        <v>454</v>
      </c>
      <c r="J56" s="3">
        <v>348</v>
      </c>
      <c r="K56" s="3">
        <v>1000000000</v>
      </c>
      <c r="L56" s="3">
        <v>1000000000</v>
      </c>
      <c r="M56" s="3"/>
      <c r="N56" s="3">
        <v>374</v>
      </c>
      <c r="O56" s="3">
        <v>421</v>
      </c>
      <c r="P56" s="3">
        <v>1000000000</v>
      </c>
      <c r="Q56" s="3">
        <v>1000000000</v>
      </c>
      <c r="R56" s="3">
        <v>328</v>
      </c>
      <c r="S56" s="3">
        <v>514</v>
      </c>
      <c r="T56" s="3">
        <v>1000000000</v>
      </c>
      <c r="U56" s="3">
        <v>1000000000</v>
      </c>
      <c r="V56" s="3">
        <v>292</v>
      </c>
      <c r="W56" s="3">
        <v>347</v>
      </c>
      <c r="X56" s="3">
        <v>1000000000</v>
      </c>
      <c r="Y56" s="3">
        <v>1000000000</v>
      </c>
      <c r="Z56" s="3">
        <v>327</v>
      </c>
      <c r="AA56" s="3">
        <v>518</v>
      </c>
      <c r="AB56" s="3">
        <v>1000000000</v>
      </c>
      <c r="AC56" s="3">
        <v>1000000000</v>
      </c>
      <c r="AD56" s="3">
        <v>11000000000</v>
      </c>
      <c r="AE56" s="3">
        <v>398</v>
      </c>
      <c r="AF56" s="3">
        <v>510</v>
      </c>
      <c r="AG56" s="3">
        <v>1000000000</v>
      </c>
      <c r="AH56" s="3">
        <v>1000000000</v>
      </c>
      <c r="AI56" s="3">
        <v>465</v>
      </c>
      <c r="AJ56" s="3">
        <v>478</v>
      </c>
      <c r="AK56" s="3">
        <v>1000000000</v>
      </c>
      <c r="AL56" s="3">
        <v>1000000000</v>
      </c>
      <c r="AM56" s="3"/>
      <c r="AN56" s="3">
        <v>480</v>
      </c>
      <c r="AO56" s="3">
        <v>335</v>
      </c>
      <c r="AP56" s="3">
        <v>1000000000</v>
      </c>
      <c r="AQ56" s="3">
        <v>1000000000</v>
      </c>
      <c r="AR56" s="3">
        <v>1200000000</v>
      </c>
      <c r="AS56" s="3">
        <v>316</v>
      </c>
      <c r="AT56" s="3"/>
      <c r="AU56" s="3">
        <v>1000000000</v>
      </c>
      <c r="AV56" s="3"/>
    </row>
    <row r="57" spans="3:48" x14ac:dyDescent="0.25">
      <c r="D57" t="s">
        <v>826</v>
      </c>
      <c r="E57" s="3"/>
      <c r="F57" s="3"/>
      <c r="G57" s="3"/>
      <c r="H57" s="3"/>
      <c r="I57" s="3">
        <v>454</v>
      </c>
      <c r="J57" s="3">
        <v>348</v>
      </c>
      <c r="K57" s="3">
        <v>600000000</v>
      </c>
      <c r="L57" s="3">
        <v>600000000</v>
      </c>
      <c r="M57" s="3"/>
      <c r="N57" s="3"/>
      <c r="O57" s="3"/>
      <c r="P57" s="3"/>
      <c r="Q57" s="3"/>
      <c r="R57" s="3"/>
      <c r="S57" s="3">
        <v>514</v>
      </c>
      <c r="T57" s="3"/>
      <c r="U57" s="3">
        <v>150000000</v>
      </c>
      <c r="V57" s="3">
        <v>292</v>
      </c>
      <c r="W57" s="3">
        <v>348</v>
      </c>
      <c r="X57" s="3">
        <v>150000000</v>
      </c>
      <c r="Y57" s="3">
        <v>350000000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3:48" x14ac:dyDescent="0.25">
      <c r="D58" t="s">
        <v>827</v>
      </c>
      <c r="E58" s="3"/>
      <c r="F58" s="3"/>
      <c r="G58" s="3"/>
      <c r="H58" s="3"/>
      <c r="I58" s="3"/>
      <c r="J58" s="3"/>
      <c r="K58" s="3"/>
      <c r="L58" s="3"/>
      <c r="M58" s="3"/>
      <c r="N58" s="3">
        <v>374</v>
      </c>
      <c r="O58" s="3">
        <v>421</v>
      </c>
      <c r="P58" s="3">
        <v>480000000</v>
      </c>
      <c r="Q58" s="3">
        <v>480000000</v>
      </c>
      <c r="R58" s="3"/>
      <c r="S58" s="3">
        <v>514</v>
      </c>
      <c r="T58" s="3"/>
      <c r="U58" s="3">
        <v>550270000</v>
      </c>
      <c r="V58" s="3">
        <v>292</v>
      </c>
      <c r="W58" s="3">
        <v>348</v>
      </c>
      <c r="X58" s="3">
        <v>480000000</v>
      </c>
      <c r="Y58" s="3">
        <v>480000000</v>
      </c>
      <c r="Z58" s="3">
        <v>327</v>
      </c>
      <c r="AA58" s="3">
        <v>518</v>
      </c>
      <c r="AB58" s="3">
        <v>480000000</v>
      </c>
      <c r="AC58" s="3">
        <v>480000000</v>
      </c>
      <c r="AD58" s="3">
        <v>224188000</v>
      </c>
      <c r="AE58" s="3">
        <v>399</v>
      </c>
      <c r="AF58" s="3">
        <v>510</v>
      </c>
      <c r="AG58" s="3">
        <v>480000000</v>
      </c>
      <c r="AH58" s="3">
        <v>480000000</v>
      </c>
      <c r="AI58" s="3">
        <v>465</v>
      </c>
      <c r="AJ58" s="3">
        <v>478</v>
      </c>
      <c r="AK58" s="3">
        <v>480000000</v>
      </c>
      <c r="AL58" s="3">
        <v>480000000</v>
      </c>
      <c r="AM58" s="3"/>
      <c r="AN58" s="3">
        <v>481</v>
      </c>
      <c r="AO58" s="3">
        <v>335</v>
      </c>
      <c r="AP58" s="3">
        <v>510000000</v>
      </c>
      <c r="AQ58" s="3">
        <v>510000000</v>
      </c>
      <c r="AR58" s="3">
        <v>510000000</v>
      </c>
      <c r="AS58" s="3">
        <v>317</v>
      </c>
      <c r="AT58" s="3"/>
      <c r="AU58" s="3">
        <v>510000000</v>
      </c>
      <c r="AV58" s="3"/>
    </row>
    <row r="59" spans="3:48" x14ac:dyDescent="0.25">
      <c r="D59" t="s">
        <v>828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>
        <v>515</v>
      </c>
      <c r="T59" s="3"/>
      <c r="U59" s="3">
        <v>15067000000</v>
      </c>
      <c r="V59" s="3">
        <v>292</v>
      </c>
      <c r="W59" s="3">
        <v>348</v>
      </c>
      <c r="X59" s="3">
        <v>15192000000</v>
      </c>
      <c r="Y59" s="3">
        <v>13910149000</v>
      </c>
      <c r="Z59" s="3">
        <v>328</v>
      </c>
      <c r="AA59" s="3">
        <v>519</v>
      </c>
      <c r="AB59" s="3">
        <v>2127937000</v>
      </c>
      <c r="AC59" s="3">
        <v>15192000000</v>
      </c>
      <c r="AD59" s="3">
        <v>21231216000</v>
      </c>
      <c r="AE59" s="3">
        <v>400</v>
      </c>
      <c r="AF59" s="3">
        <v>511</v>
      </c>
      <c r="AG59" s="3">
        <v>15232000000</v>
      </c>
      <c r="AH59" s="3">
        <v>24553974000</v>
      </c>
      <c r="AI59" s="3">
        <v>466</v>
      </c>
      <c r="AJ59" s="3">
        <v>480</v>
      </c>
      <c r="AK59" s="3">
        <v>16755935000</v>
      </c>
      <c r="AL59" s="3">
        <v>34748020000</v>
      </c>
      <c r="AM59" s="3"/>
      <c r="AN59" s="3">
        <v>448</v>
      </c>
      <c r="AO59" s="3">
        <v>337</v>
      </c>
      <c r="AP59" s="3">
        <v>18331730000</v>
      </c>
      <c r="AQ59" s="3">
        <v>16570729000</v>
      </c>
      <c r="AR59" s="3">
        <v>14833952000</v>
      </c>
      <c r="AS59" s="3"/>
      <c r="AT59" s="3"/>
      <c r="AU59" s="3"/>
      <c r="AV59" s="3"/>
    </row>
    <row r="60" spans="3:48" x14ac:dyDescent="0.25">
      <c r="C60" t="s">
        <v>131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>
        <v>361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3:48" x14ac:dyDescent="0.25">
      <c r="D61" t="s">
        <v>829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305</v>
      </c>
      <c r="W61" s="3">
        <v>361</v>
      </c>
      <c r="X61" s="3">
        <v>47976667000</v>
      </c>
      <c r="Y61" s="3">
        <v>102957711000</v>
      </c>
      <c r="Z61" s="3">
        <v>330</v>
      </c>
      <c r="AA61" s="3">
        <v>537</v>
      </c>
      <c r="AB61" s="3">
        <v>29854043000</v>
      </c>
      <c r="AC61" s="3">
        <v>42680543000</v>
      </c>
      <c r="AD61" s="3">
        <v>66653636000</v>
      </c>
      <c r="AE61" s="3">
        <v>435</v>
      </c>
      <c r="AF61" s="3">
        <v>555</v>
      </c>
      <c r="AG61" s="3">
        <v>32163317000</v>
      </c>
      <c r="AH61" s="3">
        <v>79950479000</v>
      </c>
      <c r="AI61" s="3">
        <v>493</v>
      </c>
      <c r="AJ61" s="3">
        <v>523</v>
      </c>
      <c r="AK61" s="3">
        <v>69887226000</v>
      </c>
      <c r="AL61" s="3">
        <v>136825483000</v>
      </c>
      <c r="AM61" s="3"/>
      <c r="AN61" s="3">
        <v>483</v>
      </c>
      <c r="AO61" s="3">
        <v>361</v>
      </c>
      <c r="AP61" s="3">
        <v>46491698000</v>
      </c>
      <c r="AQ61" s="3">
        <v>96977045000</v>
      </c>
      <c r="AR61" s="3">
        <v>72025030000</v>
      </c>
      <c r="AS61" s="3"/>
      <c r="AT61" s="3"/>
      <c r="AU61" s="3"/>
      <c r="AV61" s="3"/>
    </row>
    <row r="62" spans="3:48" x14ac:dyDescent="0.25">
      <c r="D62" t="s">
        <v>830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349</v>
      </c>
      <c r="W62" s="3">
        <v>441</v>
      </c>
      <c r="X62" s="3">
        <v>253000000</v>
      </c>
      <c r="Y62" s="3">
        <v>299000000</v>
      </c>
      <c r="Z62" s="3">
        <v>348</v>
      </c>
      <c r="AA62" s="3">
        <v>589</v>
      </c>
      <c r="AB62" s="3">
        <v>405000000</v>
      </c>
      <c r="AC62" s="3">
        <v>253000000</v>
      </c>
      <c r="AD62" s="3">
        <v>517000000</v>
      </c>
      <c r="AE62" s="3">
        <v>457</v>
      </c>
      <c r="AF62" s="3">
        <v>625</v>
      </c>
      <c r="AG62" s="3">
        <v>226000000</v>
      </c>
      <c r="AH62" s="3">
        <v>326000000</v>
      </c>
      <c r="AI62" s="3">
        <v>552</v>
      </c>
      <c r="AJ62" s="3">
        <v>633</v>
      </c>
      <c r="AK62" s="3">
        <v>938575000</v>
      </c>
      <c r="AL62" s="3">
        <v>786000000</v>
      </c>
      <c r="AM62" s="3"/>
      <c r="AN62" s="3">
        <v>519</v>
      </c>
      <c r="AO62" s="3">
        <v>475</v>
      </c>
      <c r="AP62" s="3">
        <v>2246400000</v>
      </c>
      <c r="AQ62" s="3">
        <v>3209910000</v>
      </c>
      <c r="AR62" s="3">
        <v>3396732000</v>
      </c>
      <c r="AS62" s="3"/>
      <c r="AT62" s="3"/>
      <c r="AU62" s="3"/>
      <c r="AV62" s="3"/>
    </row>
    <row r="63" spans="3:48" x14ac:dyDescent="0.25">
      <c r="D63" t="s">
        <v>831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350</v>
      </c>
      <c r="W63" s="3">
        <v>441</v>
      </c>
      <c r="X63" s="3">
        <v>11801000000</v>
      </c>
      <c r="Y63" s="3">
        <v>16109000000</v>
      </c>
      <c r="Z63" s="3">
        <v>349</v>
      </c>
      <c r="AA63" s="3">
        <v>590</v>
      </c>
      <c r="AB63" s="3">
        <v>5115738000</v>
      </c>
      <c r="AC63" s="3">
        <v>11801000000</v>
      </c>
      <c r="AD63" s="3">
        <v>11264738000</v>
      </c>
      <c r="AE63" s="3">
        <v>458</v>
      </c>
      <c r="AF63" s="3">
        <v>625</v>
      </c>
      <c r="AG63" s="3">
        <v>4291381000</v>
      </c>
      <c r="AH63" s="3">
        <v>8352381000</v>
      </c>
      <c r="AI63" s="3">
        <v>553</v>
      </c>
      <c r="AJ63" s="3">
        <v>634</v>
      </c>
      <c r="AK63" s="3">
        <v>8122976000</v>
      </c>
      <c r="AL63" s="3">
        <v>17487514000</v>
      </c>
      <c r="AM63" s="3"/>
      <c r="AN63" s="3">
        <v>521</v>
      </c>
      <c r="AO63" s="3">
        <v>479</v>
      </c>
      <c r="AP63" s="3">
        <v>5953500000</v>
      </c>
      <c r="AQ63" s="3">
        <v>6747500000</v>
      </c>
      <c r="AR63" s="3">
        <v>5374970000</v>
      </c>
      <c r="AS63" s="3"/>
      <c r="AT63" s="3"/>
      <c r="AU63" s="3"/>
      <c r="AV63" s="3"/>
    </row>
    <row r="64" spans="3:48" x14ac:dyDescent="0.25">
      <c r="D64" t="s">
        <v>832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354</v>
      </c>
      <c r="W64" s="3">
        <v>447</v>
      </c>
      <c r="X64" s="3">
        <v>1842051000</v>
      </c>
      <c r="Y64" s="3">
        <v>5308278000</v>
      </c>
      <c r="Z64" s="3">
        <v>350</v>
      </c>
      <c r="AA64" s="3">
        <v>595</v>
      </c>
      <c r="AB64" s="3">
        <v>5419100000</v>
      </c>
      <c r="AC64" s="3">
        <v>1842051000</v>
      </c>
      <c r="AD64" s="3">
        <v>8114100000</v>
      </c>
      <c r="AE64" s="3">
        <v>460</v>
      </c>
      <c r="AF64" s="3">
        <v>629</v>
      </c>
      <c r="AG64" s="3">
        <v>2047000000</v>
      </c>
      <c r="AH64" s="3">
        <v>4488978000</v>
      </c>
      <c r="AI64" s="3">
        <v>557</v>
      </c>
      <c r="AJ64" s="3">
        <v>641</v>
      </c>
      <c r="AK64" s="3">
        <v>3746854000</v>
      </c>
      <c r="AL64" s="3">
        <v>17750677000</v>
      </c>
      <c r="AM64" s="3"/>
      <c r="AN64" s="3">
        <v>524</v>
      </c>
      <c r="AO64" s="3">
        <v>483</v>
      </c>
      <c r="AP64" s="3">
        <v>1726700000</v>
      </c>
      <c r="AQ64" s="3">
        <v>1126152000</v>
      </c>
      <c r="AR64" s="3">
        <v>428050000</v>
      </c>
      <c r="AS64" s="3"/>
      <c r="AT64" s="3"/>
      <c r="AU64" s="3"/>
      <c r="AV64" s="3"/>
    </row>
    <row r="65" spans="3:48" x14ac:dyDescent="0.25">
      <c r="D65" s="34" t="s">
        <v>673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355</v>
      </c>
      <c r="W65" s="3">
        <v>449</v>
      </c>
      <c r="X65" s="3">
        <v>38623939000</v>
      </c>
      <c r="Y65" s="3">
        <v>62931219000</v>
      </c>
      <c r="Z65" s="3">
        <v>352</v>
      </c>
      <c r="AA65" s="3">
        <v>598</v>
      </c>
      <c r="AB65" s="3">
        <v>34666398000</v>
      </c>
      <c r="AC65" s="3">
        <v>38623939000</v>
      </c>
      <c r="AD65" s="3">
        <v>68474921000</v>
      </c>
      <c r="AE65" s="3">
        <v>461</v>
      </c>
      <c r="AF65" s="3">
        <v>630</v>
      </c>
      <c r="AG65" s="3">
        <v>22908662000</v>
      </c>
      <c r="AH65" s="3">
        <v>71190002000</v>
      </c>
      <c r="AI65" s="3">
        <v>558</v>
      </c>
      <c r="AJ65" s="3">
        <v>645</v>
      </c>
      <c r="AK65" s="3">
        <v>30665626000</v>
      </c>
      <c r="AL65" s="3">
        <v>55587568000</v>
      </c>
      <c r="AM65" s="3">
        <v>-9096500000</v>
      </c>
      <c r="AN65" s="3">
        <v>525</v>
      </c>
      <c r="AO65" s="3">
        <v>0</v>
      </c>
      <c r="AP65" s="3">
        <v>9447507000</v>
      </c>
      <c r="AQ65" s="3">
        <v>0</v>
      </c>
      <c r="AR65" s="3">
        <v>0</v>
      </c>
      <c r="AS65" s="3"/>
      <c r="AT65" s="3"/>
      <c r="AU65" s="3"/>
      <c r="AV65" s="3"/>
    </row>
    <row r="66" spans="3:48" x14ac:dyDescent="0.25">
      <c r="D66" t="s">
        <v>833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384</v>
      </c>
      <c r="W66" s="3">
        <v>495</v>
      </c>
      <c r="X66" s="3">
        <v>9621997000</v>
      </c>
      <c r="Y66" s="3">
        <v>21949750000</v>
      </c>
      <c r="Z66" s="3">
        <v>366</v>
      </c>
      <c r="AA66" s="3">
        <v>638</v>
      </c>
      <c r="AB66" s="3">
        <v>3736778000</v>
      </c>
      <c r="AC66" s="3">
        <v>9621997000</v>
      </c>
      <c r="AD66" s="3">
        <v>22911532000</v>
      </c>
      <c r="AE66" s="3"/>
      <c r="AF66" s="3"/>
      <c r="AG66" s="3"/>
      <c r="AH66" s="3"/>
      <c r="AI66" s="3"/>
      <c r="AJ66" s="3"/>
      <c r="AK66" s="3"/>
      <c r="AL66" s="3"/>
      <c r="AM66" s="3"/>
      <c r="AN66" s="3">
        <v>533</v>
      </c>
      <c r="AO66" s="3">
        <v>495</v>
      </c>
      <c r="AP66" s="3">
        <v>3245557000</v>
      </c>
      <c r="AQ66" s="3">
        <v>5218849000</v>
      </c>
      <c r="AR66" s="3">
        <v>5202400000</v>
      </c>
      <c r="AS66" s="3"/>
      <c r="AT66" s="3"/>
      <c r="AU66" s="3"/>
      <c r="AV66" s="3"/>
    </row>
    <row r="67" spans="3:48" x14ac:dyDescent="0.25">
      <c r="D67" t="s">
        <v>834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493</v>
      </c>
      <c r="AP67" s="3"/>
      <c r="AQ67" s="3">
        <v>305278000</v>
      </c>
      <c r="AR67" s="3">
        <v>345229000</v>
      </c>
      <c r="AS67" s="3"/>
      <c r="AT67" s="3"/>
      <c r="AU67" s="3"/>
      <c r="AV67" s="3"/>
    </row>
    <row r="68" spans="3:48" x14ac:dyDescent="0.25">
      <c r="D68" t="s">
        <v>674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472</v>
      </c>
      <c r="AF68" s="3">
        <v>671</v>
      </c>
      <c r="AG68" s="3">
        <v>1010315000</v>
      </c>
      <c r="AH68" s="3">
        <v>4813790000</v>
      </c>
      <c r="AI68" s="3">
        <v>577</v>
      </c>
      <c r="AJ68" s="3">
        <v>682</v>
      </c>
      <c r="AK68" s="3">
        <v>2634050000</v>
      </c>
      <c r="AL68" s="3">
        <v>6059815000</v>
      </c>
      <c r="AM68" s="3">
        <v>-700000000</v>
      </c>
      <c r="AN68" s="3"/>
      <c r="AO68" s="3">
        <v>484</v>
      </c>
      <c r="AP68" s="3"/>
      <c r="AQ68" s="3"/>
      <c r="AR68" s="3">
        <v>5237132000</v>
      </c>
      <c r="AS68" s="3"/>
      <c r="AT68" s="3"/>
      <c r="AU68" s="3"/>
      <c r="AV68" s="3"/>
    </row>
    <row r="69" spans="3:48" x14ac:dyDescent="0.25">
      <c r="D69" t="s">
        <v>835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>
        <v>495</v>
      </c>
      <c r="AP69" s="3"/>
      <c r="AQ69" s="3">
        <v>39000000</v>
      </c>
      <c r="AR69" s="3">
        <v>39000000</v>
      </c>
      <c r="AS69" s="3"/>
      <c r="AT69" s="3"/>
      <c r="AU69" s="3"/>
      <c r="AV69" s="3"/>
    </row>
    <row r="70" spans="3:48" x14ac:dyDescent="0.25">
      <c r="D70" t="s">
        <v>836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473</v>
      </c>
      <c r="AF70" s="3">
        <v>675</v>
      </c>
      <c r="AG70" s="3">
        <v>225000000</v>
      </c>
      <c r="AH70" s="3">
        <v>1803315000</v>
      </c>
      <c r="AI70" s="3">
        <v>579</v>
      </c>
      <c r="AJ70" s="3">
        <v>688</v>
      </c>
      <c r="AK70" s="3">
        <v>897627000</v>
      </c>
      <c r="AL70" s="3">
        <v>2592627000</v>
      </c>
      <c r="AM70" s="3"/>
      <c r="AN70" s="3">
        <v>535</v>
      </c>
      <c r="AO70" s="3">
        <v>490</v>
      </c>
      <c r="AP70" s="3">
        <v>614000000</v>
      </c>
      <c r="AQ70" s="3">
        <v>1666240000</v>
      </c>
      <c r="AR70" s="3">
        <v>2374930000</v>
      </c>
      <c r="AS70" s="3"/>
      <c r="AT70" s="3"/>
      <c r="AU70" s="3"/>
      <c r="AV70" s="3"/>
    </row>
    <row r="71" spans="3:48" x14ac:dyDescent="0.25">
      <c r="D71" t="s">
        <v>837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>
        <v>100000000</v>
      </c>
      <c r="AR71" s="3"/>
      <c r="AS71" s="3"/>
      <c r="AT71" s="3"/>
      <c r="AU71" s="3"/>
      <c r="AV71" s="3"/>
    </row>
    <row r="72" spans="3:48" x14ac:dyDescent="0.25">
      <c r="C72" t="s">
        <v>838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>
        <v>534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3:48" x14ac:dyDescent="0.25">
      <c r="D73" t="s">
        <v>839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402</v>
      </c>
      <c r="W73" s="3">
        <v>534</v>
      </c>
      <c r="X73" s="3">
        <v>10221450000</v>
      </c>
      <c r="Y73" s="3">
        <v>25573770000</v>
      </c>
      <c r="Z73" s="3">
        <v>372</v>
      </c>
      <c r="AA73" s="3">
        <v>674</v>
      </c>
      <c r="AB73" s="3">
        <v>12814600000</v>
      </c>
      <c r="AC73" s="3">
        <v>7867519000</v>
      </c>
      <c r="AD73" s="3">
        <v>40362084000</v>
      </c>
      <c r="AE73" s="3">
        <v>473</v>
      </c>
      <c r="AF73" s="3">
        <v>677</v>
      </c>
      <c r="AG73" s="3">
        <v>18068500000</v>
      </c>
      <c r="AH73" s="3">
        <v>45177579000</v>
      </c>
      <c r="AI73" s="3">
        <v>580</v>
      </c>
      <c r="AJ73" s="3">
        <v>690</v>
      </c>
      <c r="AK73" s="3">
        <v>13826350000</v>
      </c>
      <c r="AL73" s="3">
        <v>48425772000</v>
      </c>
      <c r="AM73" s="3"/>
      <c r="AN73" s="3">
        <v>536</v>
      </c>
      <c r="AO73" s="3">
        <v>518</v>
      </c>
      <c r="AP73" s="3">
        <v>16520374000</v>
      </c>
      <c r="AQ73" s="3">
        <v>23464136000</v>
      </c>
      <c r="AR73" s="3">
        <v>33636646000</v>
      </c>
      <c r="AS73" s="3">
        <v>319</v>
      </c>
      <c r="AT73" s="3"/>
      <c r="AU73" s="3">
        <v>105725209000</v>
      </c>
      <c r="AV73" s="3"/>
    </row>
    <row r="74" spans="3:48" x14ac:dyDescent="0.25">
      <c r="D74" t="s">
        <v>840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440</v>
      </c>
      <c r="W74" s="3">
        <v>603</v>
      </c>
      <c r="X74" s="3">
        <v>1643500000</v>
      </c>
      <c r="Y74" s="3">
        <v>1779500000</v>
      </c>
      <c r="Z74" s="3">
        <v>405</v>
      </c>
      <c r="AA74" s="3">
        <v>767</v>
      </c>
      <c r="AB74" s="3">
        <v>1272000000</v>
      </c>
      <c r="AC74" s="3">
        <v>1643500000</v>
      </c>
      <c r="AD74" s="3">
        <v>1268000000</v>
      </c>
      <c r="AE74" s="3">
        <v>519</v>
      </c>
      <c r="AF74" s="3">
        <v>775</v>
      </c>
      <c r="AG74" s="3">
        <v>539000000</v>
      </c>
      <c r="AH74" s="3">
        <v>539000000</v>
      </c>
      <c r="AI74" s="3">
        <v>615</v>
      </c>
      <c r="AJ74" s="3">
        <v>772</v>
      </c>
      <c r="AK74" s="3">
        <v>1356000000</v>
      </c>
      <c r="AL74" s="3">
        <v>1583000000</v>
      </c>
      <c r="AM74" s="3"/>
      <c r="AN74" s="3">
        <v>569</v>
      </c>
      <c r="AO74" s="3">
        <v>596</v>
      </c>
      <c r="AP74" s="3">
        <v>483000000</v>
      </c>
      <c r="AQ74" s="3">
        <v>504200000</v>
      </c>
      <c r="AR74" s="3">
        <v>652081000</v>
      </c>
      <c r="AS74" s="3"/>
      <c r="AT74" s="3"/>
      <c r="AU74" s="3"/>
      <c r="AV74" s="3"/>
    </row>
    <row r="75" spans="3:48" x14ac:dyDescent="0.25">
      <c r="D75" t="s">
        <v>841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443</v>
      </c>
      <c r="W75" s="3">
        <v>607</v>
      </c>
      <c r="X75" s="3">
        <v>1501000000</v>
      </c>
      <c r="Y75" s="3">
        <v>2881300000</v>
      </c>
      <c r="Z75" s="3">
        <v>409</v>
      </c>
      <c r="AA75" s="3">
        <v>772</v>
      </c>
      <c r="AB75" s="3">
        <v>665000000</v>
      </c>
      <c r="AC75" s="3">
        <v>1501000000</v>
      </c>
      <c r="AD75" s="3">
        <v>2582795000</v>
      </c>
      <c r="AE75" s="3">
        <v>523</v>
      </c>
      <c r="AF75" s="3">
        <v>779</v>
      </c>
      <c r="AG75" s="3">
        <v>913000000</v>
      </c>
      <c r="AH75" s="3">
        <v>1058500000</v>
      </c>
      <c r="AI75" s="3">
        <v>618</v>
      </c>
      <c r="AJ75" s="3">
        <v>776</v>
      </c>
      <c r="AK75" s="3">
        <v>712000000</v>
      </c>
      <c r="AL75" s="3">
        <v>1164000000</v>
      </c>
      <c r="AM75" s="3"/>
      <c r="AN75" s="3">
        <v>571</v>
      </c>
      <c r="AO75" s="3">
        <v>599</v>
      </c>
      <c r="AP75" s="3">
        <v>1774033000</v>
      </c>
      <c r="AQ75" s="3">
        <v>1814033000</v>
      </c>
      <c r="AR75" s="3">
        <v>655597000</v>
      </c>
      <c r="AS75" s="3"/>
      <c r="AT75" s="3"/>
      <c r="AU75" s="3"/>
      <c r="AV75" s="3"/>
    </row>
    <row r="76" spans="3:48" x14ac:dyDescent="0.25">
      <c r="D76" t="s">
        <v>842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447</v>
      </c>
      <c r="W76" s="3">
        <v>612</v>
      </c>
      <c r="X76" s="3">
        <v>215000000</v>
      </c>
      <c r="Y76" s="3">
        <v>315000000</v>
      </c>
      <c r="Z76" s="3">
        <v>411</v>
      </c>
      <c r="AA76" s="3">
        <v>776</v>
      </c>
      <c r="AB76" s="3">
        <v>522000000</v>
      </c>
      <c r="AC76" s="3">
        <v>215000000</v>
      </c>
      <c r="AD76" s="3">
        <v>1022000000</v>
      </c>
      <c r="AE76" s="3">
        <v>526</v>
      </c>
      <c r="AF76" s="3">
        <v>782</v>
      </c>
      <c r="AG76" s="3">
        <v>2632000000</v>
      </c>
      <c r="AH76" s="3">
        <v>2949500000</v>
      </c>
      <c r="AI76" s="3">
        <v>620</v>
      </c>
      <c r="AJ76" s="3">
        <v>779</v>
      </c>
      <c r="AK76" s="3">
        <v>688000000</v>
      </c>
      <c r="AL76" s="3">
        <v>930000000</v>
      </c>
      <c r="AM76" s="3"/>
      <c r="AN76" s="3">
        <v>573</v>
      </c>
      <c r="AO76" s="3">
        <v>600</v>
      </c>
      <c r="AP76" s="3">
        <v>545000000</v>
      </c>
      <c r="AQ76" s="3">
        <v>545000000</v>
      </c>
      <c r="AR76" s="3">
        <v>323252000</v>
      </c>
      <c r="AS76" s="3">
        <v>445</v>
      </c>
      <c r="AT76" s="3"/>
      <c r="AU76" s="3">
        <v>1381000000</v>
      </c>
      <c r="AV76" s="3"/>
    </row>
    <row r="77" spans="3:48" x14ac:dyDescent="0.25">
      <c r="D77" s="34" t="s">
        <v>675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447</v>
      </c>
      <c r="W77" s="3">
        <v>613</v>
      </c>
      <c r="X77" s="3">
        <v>6378400000</v>
      </c>
      <c r="Y77" s="3">
        <v>16655200000</v>
      </c>
      <c r="Z77" s="3">
        <v>412</v>
      </c>
      <c r="AA77" s="3">
        <v>777</v>
      </c>
      <c r="AB77" s="3">
        <v>4504800000</v>
      </c>
      <c r="AC77" s="3">
        <v>2803121000</v>
      </c>
      <c r="AD77" s="3">
        <v>26417700000</v>
      </c>
      <c r="AE77" s="3">
        <v>527</v>
      </c>
      <c r="AF77" s="3">
        <v>783</v>
      </c>
      <c r="AG77" s="3">
        <v>11043700000</v>
      </c>
      <c r="AH77" s="3">
        <v>33565050000</v>
      </c>
      <c r="AI77" s="3">
        <v>621</v>
      </c>
      <c r="AJ77" s="3">
        <v>779</v>
      </c>
      <c r="AK77" s="3">
        <v>13708150000</v>
      </c>
      <c r="AL77" s="3">
        <v>50467675000</v>
      </c>
      <c r="AM77" s="3">
        <v>-150000000</v>
      </c>
      <c r="AN77" s="3">
        <v>573</v>
      </c>
      <c r="AO77" s="3">
        <v>0</v>
      </c>
      <c r="AP77" s="3">
        <v>8024783000</v>
      </c>
      <c r="AQ77" s="3"/>
      <c r="AR77" s="3">
        <v>0</v>
      </c>
      <c r="AS77" s="3"/>
      <c r="AT77" s="3"/>
      <c r="AU77" s="3"/>
      <c r="AV77" s="3"/>
    </row>
    <row r="78" spans="3:48" x14ac:dyDescent="0.25">
      <c r="D78" t="s">
        <v>676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462</v>
      </c>
      <c r="W78" s="3">
        <v>638</v>
      </c>
      <c r="X78" s="3">
        <v>17205150000</v>
      </c>
      <c r="Y78" s="3">
        <v>33156750000</v>
      </c>
      <c r="Z78" s="3">
        <v>423</v>
      </c>
      <c r="AA78" s="3">
        <v>812</v>
      </c>
      <c r="AB78" s="3">
        <v>17053300000</v>
      </c>
      <c r="AC78" s="3">
        <v>35995360000</v>
      </c>
      <c r="AD78" s="3">
        <v>50541329000</v>
      </c>
      <c r="AE78" s="3">
        <v>541</v>
      </c>
      <c r="AF78" s="3">
        <v>820</v>
      </c>
      <c r="AG78" s="3">
        <v>27674790000</v>
      </c>
      <c r="AH78" s="3">
        <v>87866589000</v>
      </c>
      <c r="AI78" s="3">
        <v>636</v>
      </c>
      <c r="AJ78" s="3">
        <v>830</v>
      </c>
      <c r="AK78" s="3">
        <f>39000000+30177456000</f>
        <v>30216456000</v>
      </c>
      <c r="AL78" s="3">
        <v>96122294000</v>
      </c>
      <c r="AM78" s="3">
        <v>-7033000000</v>
      </c>
      <c r="AN78" s="3">
        <v>591</v>
      </c>
      <c r="AO78" s="3">
        <v>613</v>
      </c>
      <c r="AP78" s="3">
        <v>29688941000</v>
      </c>
      <c r="AQ78" s="3">
        <v>43343987000</v>
      </c>
      <c r="AR78" s="3">
        <v>74663274000</v>
      </c>
      <c r="AS78" s="3">
        <v>446</v>
      </c>
      <c r="AT78" s="3"/>
      <c r="AU78" s="3">
        <v>40974839000</v>
      </c>
      <c r="AV78" s="3"/>
    </row>
    <row r="79" spans="3:48" x14ac:dyDescent="0.25">
      <c r="D79" t="s">
        <v>677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565</v>
      </c>
      <c r="W79" s="3">
        <v>790</v>
      </c>
      <c r="X79" s="3">
        <v>251500000</v>
      </c>
      <c r="Y79" s="3">
        <v>415500000</v>
      </c>
      <c r="Z79" s="3">
        <v>518</v>
      </c>
      <c r="AA79" s="3">
        <v>1034</v>
      </c>
      <c r="AB79" s="3">
        <v>83000000</v>
      </c>
      <c r="AC79" s="3">
        <v>251500000</v>
      </c>
      <c r="AD79" s="3">
        <v>927750000</v>
      </c>
      <c r="AE79" s="3">
        <v>677</v>
      </c>
      <c r="AF79" s="3">
        <v>1129</v>
      </c>
      <c r="AG79" s="3">
        <v>84000000</v>
      </c>
      <c r="AH79" s="3">
        <v>558000000</v>
      </c>
      <c r="AI79" s="3"/>
      <c r="AJ79" s="3">
        <v>822</v>
      </c>
      <c r="AK79" s="3"/>
      <c r="AL79" s="3">
        <v>1407000000</v>
      </c>
      <c r="AM79" s="3">
        <v>-800000000</v>
      </c>
      <c r="AN79" s="3">
        <v>584</v>
      </c>
      <c r="AO79" s="3">
        <v>601</v>
      </c>
      <c r="AP79" s="3">
        <v>744500000</v>
      </c>
      <c r="AQ79" s="3">
        <v>1020810000</v>
      </c>
      <c r="AR79" s="3">
        <v>1178856000</v>
      </c>
      <c r="AS79" s="3"/>
      <c r="AT79" s="3"/>
      <c r="AU79" s="3"/>
      <c r="AV79" s="3"/>
    </row>
    <row r="80" spans="3:48" x14ac:dyDescent="0.25">
      <c r="D80" t="s">
        <v>678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567</v>
      </c>
      <c r="W80" s="3">
        <v>793</v>
      </c>
      <c r="X80" s="3">
        <v>1189500000</v>
      </c>
      <c r="Y80" s="3">
        <v>2736600000</v>
      </c>
      <c r="Z80" s="3">
        <v>518</v>
      </c>
      <c r="AA80" s="3">
        <v>1037</v>
      </c>
      <c r="AB80" s="3">
        <v>656000000</v>
      </c>
      <c r="AC80" s="3">
        <v>1189500000</v>
      </c>
      <c r="AD80" s="3">
        <v>4426600000</v>
      </c>
      <c r="AE80" s="3">
        <v>678</v>
      </c>
      <c r="AF80" s="3">
        <v>1132</v>
      </c>
      <c r="AG80" s="3">
        <v>303000000</v>
      </c>
      <c r="AH80" s="3">
        <v>4584000000</v>
      </c>
      <c r="AI80" s="3">
        <v>637</v>
      </c>
      <c r="AJ80" s="3">
        <v>824</v>
      </c>
      <c r="AK80" s="3">
        <v>184000000</v>
      </c>
      <c r="AL80" s="3">
        <v>3439500000</v>
      </c>
      <c r="AM80" s="3">
        <v>-50000000</v>
      </c>
      <c r="AN80" s="3">
        <v>586</v>
      </c>
      <c r="AO80" s="3">
        <v>604</v>
      </c>
      <c r="AP80" s="3">
        <v>1312500000</v>
      </c>
      <c r="AQ80" s="3">
        <v>1285500000</v>
      </c>
      <c r="AR80" s="3">
        <v>3440000000</v>
      </c>
      <c r="AS80" s="3"/>
      <c r="AT80" s="3"/>
      <c r="AU80" s="3"/>
      <c r="AV80" s="3"/>
    </row>
    <row r="81" spans="2:48" x14ac:dyDescent="0.25">
      <c r="D81" t="s">
        <v>679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572</v>
      </c>
      <c r="W81" s="3">
        <v>802</v>
      </c>
      <c r="X81" s="3">
        <v>979500000</v>
      </c>
      <c r="Y81" s="3">
        <v>1910600000</v>
      </c>
      <c r="Z81" s="3"/>
      <c r="AA81" s="3">
        <v>1050</v>
      </c>
      <c r="AB81" s="3">
        <v>1211500000</v>
      </c>
      <c r="AC81" s="3">
        <v>979500000</v>
      </c>
      <c r="AD81" s="3">
        <v>2291000000</v>
      </c>
      <c r="AE81" s="3">
        <v>680</v>
      </c>
      <c r="AF81" s="3">
        <v>1140</v>
      </c>
      <c r="AG81" s="3">
        <v>777000000</v>
      </c>
      <c r="AH81" s="3">
        <v>1873000000</v>
      </c>
      <c r="AI81" s="3">
        <v>771</v>
      </c>
      <c r="AJ81" s="3">
        <v>1137</v>
      </c>
      <c r="AK81" s="3">
        <v>1142500000</v>
      </c>
      <c r="AL81" s="3">
        <v>3556246000</v>
      </c>
      <c r="AM81" s="3">
        <v>-30000000</v>
      </c>
      <c r="AN81" s="3">
        <v>702</v>
      </c>
      <c r="AO81" s="3">
        <v>892</v>
      </c>
      <c r="AP81" s="3">
        <v>1269500000</v>
      </c>
      <c r="AQ81" s="3">
        <v>1537516000</v>
      </c>
      <c r="AR81" s="3">
        <v>2617216000</v>
      </c>
      <c r="AS81" s="3"/>
      <c r="AT81" s="3"/>
      <c r="AU81" s="3"/>
      <c r="AV81" s="3"/>
    </row>
    <row r="82" spans="2:48" x14ac:dyDescent="0.25">
      <c r="D82" t="s">
        <v>843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>
        <v>710</v>
      </c>
      <c r="AO82" s="3">
        <v>908</v>
      </c>
      <c r="AP82" s="3">
        <v>20000000</v>
      </c>
      <c r="AQ82" s="3">
        <v>35000000</v>
      </c>
      <c r="AR82" s="3">
        <v>460000000</v>
      </c>
      <c r="AS82" s="3">
        <v>562</v>
      </c>
      <c r="AT82" s="3"/>
      <c r="AU82" s="3">
        <v>419000000</v>
      </c>
      <c r="AV82" s="3"/>
    </row>
    <row r="83" spans="2:48" x14ac:dyDescent="0.25">
      <c r="B83" s="25" t="s">
        <v>198</v>
      </c>
      <c r="C83" s="25"/>
      <c r="D83" s="25"/>
      <c r="E83" s="27"/>
      <c r="F83" s="27"/>
      <c r="G83" s="27">
        <v>64831937000</v>
      </c>
      <c r="H83" s="27">
        <v>118960456000</v>
      </c>
      <c r="I83" s="27"/>
      <c r="J83" s="27"/>
      <c r="K83" s="27">
        <v>119889578000</v>
      </c>
      <c r="L83" s="27">
        <v>218442709000</v>
      </c>
      <c r="M83" s="27">
        <v>-94564241000</v>
      </c>
      <c r="N83" s="27"/>
      <c r="O83" s="27"/>
      <c r="P83" s="27">
        <v>96961123000</v>
      </c>
      <c r="Q83" s="27">
        <v>198815904000</v>
      </c>
      <c r="R83" s="27"/>
      <c r="S83" s="27"/>
      <c r="T83" s="27">
        <v>176158808000</v>
      </c>
      <c r="U83" s="27">
        <v>280623791000</v>
      </c>
      <c r="V83" s="27"/>
      <c r="W83" s="27"/>
      <c r="X83" s="27">
        <v>31212220000</v>
      </c>
      <c r="Y83" s="27">
        <v>15433220000</v>
      </c>
      <c r="Z83" s="27"/>
      <c r="AA83" s="27"/>
      <c r="AB83" s="27">
        <f>31804339000+2095760000</f>
        <v>33900099000</v>
      </c>
      <c r="AC83" s="27">
        <v>27787529000</v>
      </c>
      <c r="AD83" s="27">
        <f>21573007000+95760000</f>
        <v>21668767000</v>
      </c>
      <c r="AE83" s="27"/>
      <c r="AF83" s="27"/>
      <c r="AG83" s="27">
        <f>23531063000+1669040000</f>
        <v>25200103000</v>
      </c>
      <c r="AH83" s="27">
        <v>20610736000</v>
      </c>
      <c r="AI83" s="27"/>
      <c r="AJ83" s="27"/>
      <c r="AK83" s="27">
        <f>15198496000+2798401000</f>
        <v>17996897000</v>
      </c>
      <c r="AL83" s="27">
        <f>18302950000+990574000</f>
        <v>19293524000</v>
      </c>
      <c r="AM83" s="27">
        <v>-550000000</v>
      </c>
      <c r="AN83" s="27"/>
      <c r="AO83" s="27"/>
      <c r="AP83" s="27">
        <f>14219706000+1194138000</f>
        <v>15413844000</v>
      </c>
      <c r="AQ83" s="27">
        <f>6804681000+1194138000</f>
        <v>7998819000</v>
      </c>
      <c r="AR83" s="27">
        <f>7606388000+194138000</f>
        <v>7800526000</v>
      </c>
      <c r="AS83" s="27"/>
      <c r="AT83" s="27"/>
      <c r="AU83" s="27">
        <f>14433675000+182970000</f>
        <v>14616645000</v>
      </c>
      <c r="AV83" s="27"/>
    </row>
    <row r="84" spans="2:48" x14ac:dyDescent="0.25">
      <c r="C84" t="s">
        <v>751</v>
      </c>
      <c r="E84" s="3"/>
      <c r="F84" s="3"/>
      <c r="G84" s="29"/>
      <c r="H84" s="3"/>
      <c r="I84" s="3"/>
      <c r="J84" s="3"/>
      <c r="K84" s="29"/>
      <c r="L84" s="3"/>
      <c r="M84" s="3"/>
      <c r="N84" s="3"/>
      <c r="O84" s="3"/>
      <c r="P84" s="29"/>
      <c r="Q84" s="3"/>
      <c r="R84" s="3"/>
      <c r="S84" s="3"/>
      <c r="T84" s="29"/>
      <c r="U84" s="3"/>
      <c r="V84" s="3"/>
      <c r="W84" s="3"/>
      <c r="X84" s="29"/>
      <c r="Y84" s="3"/>
      <c r="Z84" s="3"/>
      <c r="AA84" s="3"/>
      <c r="AB84" s="29"/>
      <c r="AC84" s="29"/>
      <c r="AD84" s="3"/>
      <c r="AE84" s="3"/>
      <c r="AF84" s="3"/>
      <c r="AG84" s="29"/>
      <c r="AH84" s="3"/>
      <c r="AI84" s="3"/>
      <c r="AJ84" s="3"/>
      <c r="AK84" s="29"/>
      <c r="AL84" s="3"/>
      <c r="AM84" s="3"/>
      <c r="AN84" s="3"/>
      <c r="AO84" s="3"/>
      <c r="AP84" s="29"/>
      <c r="AQ84" s="29"/>
      <c r="AR84" s="3"/>
      <c r="AS84" s="3"/>
      <c r="AT84" s="3"/>
      <c r="AU84" s="29"/>
      <c r="AV84" s="3"/>
    </row>
    <row r="85" spans="2:48" x14ac:dyDescent="0.25">
      <c r="D85" t="s">
        <v>434</v>
      </c>
      <c r="E85" s="3">
        <v>483</v>
      </c>
      <c r="F85" s="3">
        <v>410</v>
      </c>
      <c r="G85" s="3">
        <v>352200000</v>
      </c>
      <c r="H85" s="3">
        <v>454550000</v>
      </c>
      <c r="I85" s="3">
        <v>455</v>
      </c>
      <c r="J85" s="3">
        <v>349</v>
      </c>
      <c r="K85" s="3">
        <v>301730000</v>
      </c>
      <c r="L85" s="3">
        <v>1116330000</v>
      </c>
      <c r="M85" s="3">
        <v>-75700000</v>
      </c>
      <c r="N85" s="3">
        <v>375</v>
      </c>
      <c r="O85" s="3">
        <v>422</v>
      </c>
      <c r="P85" s="3">
        <v>515990000</v>
      </c>
      <c r="Q85" s="3">
        <v>1458000000</v>
      </c>
      <c r="R85" s="3">
        <v>154</v>
      </c>
      <c r="S85" s="3">
        <v>528</v>
      </c>
      <c r="T85" s="3">
        <f>888000000+570000000</f>
        <v>1458000000</v>
      </c>
      <c r="U85" s="3">
        <v>1751384000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2:48" x14ac:dyDescent="0.25">
      <c r="D86" t="s">
        <v>752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2:48" x14ac:dyDescent="0.25">
      <c r="D87" t="s">
        <v>753</v>
      </c>
      <c r="E87" s="3">
        <v>491</v>
      </c>
      <c r="F87" s="3">
        <v>418</v>
      </c>
      <c r="G87" s="3">
        <f>4992500000+12769917000+4908137000</f>
        <v>22670554000</v>
      </c>
      <c r="H87" s="3">
        <f>10275303000+18595876000+6486142000</f>
        <v>35357321000</v>
      </c>
      <c r="I87" s="3">
        <v>462</v>
      </c>
      <c r="J87" s="3">
        <v>360</v>
      </c>
      <c r="K87" s="3">
        <v>32087449000</v>
      </c>
      <c r="L87" s="3">
        <v>56471945000</v>
      </c>
      <c r="M87" s="3">
        <v>-10427590000</v>
      </c>
      <c r="N87" s="3">
        <v>381</v>
      </c>
      <c r="O87" s="3">
        <v>430</v>
      </c>
      <c r="P87" s="3">
        <v>36145814000</v>
      </c>
      <c r="Q87" s="3">
        <v>62648874000</v>
      </c>
      <c r="R87" s="3">
        <v>157</v>
      </c>
      <c r="S87" s="3">
        <v>539</v>
      </c>
      <c r="T87" s="3">
        <f>28170413000+15185000000+5209191000</f>
        <v>48564604000</v>
      </c>
      <c r="U87" s="3">
        <v>89031558000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2:48" x14ac:dyDescent="0.25">
      <c r="D88" t="s">
        <v>754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2:48" x14ac:dyDescent="0.25">
      <c r="C89" t="s">
        <v>755</v>
      </c>
      <c r="E89" s="3"/>
      <c r="F89" s="3"/>
      <c r="G89" s="29"/>
      <c r="H89" s="3"/>
      <c r="I89" s="3"/>
      <c r="J89" s="3"/>
      <c r="K89" s="29"/>
      <c r="L89" s="3"/>
      <c r="M89" s="3"/>
      <c r="N89" s="3"/>
      <c r="O89" s="3"/>
      <c r="P89" s="29"/>
      <c r="Q89" s="3"/>
      <c r="R89" s="3"/>
      <c r="S89" s="3"/>
      <c r="T89" s="29"/>
      <c r="U89" s="3"/>
      <c r="V89" s="3"/>
      <c r="W89" s="3"/>
      <c r="X89" s="29"/>
      <c r="Y89" s="3"/>
      <c r="Z89" s="3"/>
      <c r="AA89" s="3"/>
      <c r="AB89" s="29"/>
      <c r="AC89" s="29"/>
      <c r="AD89" s="3"/>
      <c r="AE89" s="3"/>
      <c r="AF89" s="3"/>
      <c r="AG89" s="29"/>
      <c r="AH89" s="3"/>
      <c r="AI89" s="3"/>
      <c r="AJ89" s="3"/>
      <c r="AK89" s="29"/>
      <c r="AL89" s="3"/>
      <c r="AM89" s="3"/>
      <c r="AN89" s="3"/>
      <c r="AO89" s="3"/>
      <c r="AP89" s="29"/>
      <c r="AQ89" s="29"/>
      <c r="AR89" s="3"/>
      <c r="AS89" s="3"/>
      <c r="AT89" s="3"/>
      <c r="AU89" s="29"/>
      <c r="AV89" s="3"/>
    </row>
    <row r="90" spans="2:48" x14ac:dyDescent="0.25">
      <c r="D90" t="s">
        <v>757</v>
      </c>
      <c r="E90" s="3">
        <v>706</v>
      </c>
      <c r="F90" s="3">
        <v>665</v>
      </c>
      <c r="G90" s="3">
        <f>654000000+480750000</f>
        <v>1134750000</v>
      </c>
      <c r="H90" s="3">
        <f>2302765000+798750000</f>
        <v>3101515000</v>
      </c>
      <c r="I90" s="3">
        <v>712</v>
      </c>
      <c r="J90" s="3">
        <v>785</v>
      </c>
      <c r="K90" s="3">
        <v>1270156000</v>
      </c>
      <c r="L90" s="3">
        <v>4160514000</v>
      </c>
      <c r="M90" s="3">
        <v>-1990050000</v>
      </c>
      <c r="N90" s="3">
        <v>547</v>
      </c>
      <c r="O90" s="3">
        <v>759</v>
      </c>
      <c r="P90" s="3">
        <v>1333876000</v>
      </c>
      <c r="Q90" s="3">
        <v>5514797000</v>
      </c>
      <c r="R90" s="3">
        <v>229</v>
      </c>
      <c r="S90" s="3">
        <v>1003</v>
      </c>
      <c r="T90" s="3">
        <f>3473608000+2041189000</f>
        <v>5514797000</v>
      </c>
      <c r="U90" s="3">
        <v>11703014000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2:48" x14ac:dyDescent="0.25">
      <c r="D91" t="s">
        <v>756</v>
      </c>
      <c r="E91" s="3">
        <v>696</v>
      </c>
      <c r="F91" s="3">
        <v>678</v>
      </c>
      <c r="G91" s="3">
        <f>1036500000+1134880000</f>
        <v>2171380000</v>
      </c>
      <c r="H91" s="3">
        <f>5823808000+2340938000</f>
        <v>8164746000</v>
      </c>
      <c r="I91" s="3">
        <v>695</v>
      </c>
      <c r="J91" s="3">
        <v>807</v>
      </c>
      <c r="K91" s="3">
        <v>16064061000</v>
      </c>
      <c r="L91" s="3">
        <v>31177243000</v>
      </c>
      <c r="M91" s="3">
        <v>-22046800000</v>
      </c>
      <c r="N91" s="3">
        <v>556</v>
      </c>
      <c r="O91" s="3">
        <v>778</v>
      </c>
      <c r="P91" s="3">
        <v>4863253000</v>
      </c>
      <c r="Q91" s="3">
        <v>20409031000</v>
      </c>
      <c r="R91" s="3">
        <v>208</v>
      </c>
      <c r="S91" s="3">
        <v>1034</v>
      </c>
      <c r="T91" s="3">
        <f>17021001000+7369380000</f>
        <v>24390381000</v>
      </c>
      <c r="U91" s="3">
        <v>26945661000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2:48" x14ac:dyDescent="0.25">
      <c r="C92" t="s">
        <v>844</v>
      </c>
      <c r="E92" s="3"/>
      <c r="F92" s="3"/>
      <c r="G92" s="29"/>
      <c r="H92" s="3"/>
      <c r="I92" s="3"/>
      <c r="J92" s="3"/>
      <c r="K92" s="29"/>
      <c r="L92" s="3"/>
      <c r="M92" s="3"/>
      <c r="N92" s="3"/>
      <c r="O92" s="3"/>
      <c r="P92" s="29"/>
      <c r="Q92" s="3"/>
      <c r="R92" s="3"/>
      <c r="S92" s="3"/>
      <c r="T92" s="29"/>
      <c r="U92" s="3"/>
      <c r="V92" s="3"/>
      <c r="W92" s="3"/>
      <c r="X92" s="29"/>
      <c r="Y92" s="3"/>
      <c r="Z92" s="3"/>
      <c r="AA92" s="3"/>
      <c r="AB92" s="29"/>
      <c r="AC92" s="29"/>
      <c r="AD92" s="3"/>
      <c r="AE92" s="3"/>
      <c r="AF92" s="3"/>
      <c r="AG92" s="29"/>
      <c r="AH92" s="3"/>
      <c r="AI92" s="3"/>
      <c r="AJ92" s="3"/>
      <c r="AK92" s="29"/>
      <c r="AL92" s="3"/>
      <c r="AM92" s="3"/>
      <c r="AN92" s="3"/>
      <c r="AO92" s="3"/>
      <c r="AP92" s="29"/>
      <c r="AQ92" s="29"/>
      <c r="AR92" s="3"/>
      <c r="AS92" s="3"/>
      <c r="AT92" s="3"/>
      <c r="AU92" s="29"/>
      <c r="AV92" s="3"/>
    </row>
    <row r="93" spans="2:48" x14ac:dyDescent="0.25">
      <c r="D93" t="s">
        <v>430</v>
      </c>
      <c r="E93" s="3">
        <v>716</v>
      </c>
      <c r="F93" s="3">
        <v>695</v>
      </c>
      <c r="G93" s="3">
        <v>12122619000</v>
      </c>
      <c r="H93" s="3">
        <f>8006576000+3450000000+754239000</f>
        <v>12210815000</v>
      </c>
      <c r="I93" s="3">
        <v>724</v>
      </c>
      <c r="J93" s="3">
        <v>845</v>
      </c>
      <c r="K93" s="3">
        <v>30257719000</v>
      </c>
      <c r="L93" s="3">
        <v>33653666000</v>
      </c>
      <c r="M93" s="3">
        <v>-15891390000</v>
      </c>
      <c r="N93" s="3">
        <v>564</v>
      </c>
      <c r="O93" s="3">
        <v>811</v>
      </c>
      <c r="P93" s="3">
        <v>24281929000</v>
      </c>
      <c r="Q93" s="3">
        <v>27360041000</v>
      </c>
      <c r="R93" s="3">
        <v>238</v>
      </c>
      <c r="S93" s="3">
        <v>1082</v>
      </c>
      <c r="T93" s="3">
        <f>500000000+20144461000+6440232000</f>
        <v>27084693000</v>
      </c>
      <c r="U93" s="3">
        <v>19509896000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2:48" x14ac:dyDescent="0.25">
      <c r="D94" t="s">
        <v>429</v>
      </c>
      <c r="E94" s="3"/>
      <c r="F94" s="3"/>
      <c r="G94" s="3"/>
      <c r="H94" s="3"/>
      <c r="I94" s="3">
        <v>734</v>
      </c>
      <c r="J94" s="3">
        <v>862</v>
      </c>
      <c r="K94" s="3">
        <v>677500000</v>
      </c>
      <c r="L94" s="3">
        <v>2225000000</v>
      </c>
      <c r="M94" s="3">
        <v>-1270000000</v>
      </c>
      <c r="N94" s="3">
        <v>566</v>
      </c>
      <c r="O94" s="3">
        <v>829</v>
      </c>
      <c r="P94" s="3">
        <v>488500000</v>
      </c>
      <c r="Q94" s="3">
        <v>478500000</v>
      </c>
      <c r="R94" s="3">
        <v>251</v>
      </c>
      <c r="S94" s="3">
        <v>1098</v>
      </c>
      <c r="T94" s="3">
        <v>478500000</v>
      </c>
      <c r="U94" s="3">
        <v>117300000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2:48" x14ac:dyDescent="0.25">
      <c r="C95" t="s">
        <v>845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2:48" x14ac:dyDescent="0.25">
      <c r="D96" t="s">
        <v>435</v>
      </c>
      <c r="E96" s="3">
        <v>717</v>
      </c>
      <c r="F96" s="3">
        <v>698</v>
      </c>
      <c r="G96" s="3">
        <f>13971689000+7826025000</f>
        <v>21797714000</v>
      </c>
      <c r="H96" s="3">
        <f>40549655000+10777016000</f>
        <v>51326671000</v>
      </c>
      <c r="I96" s="3">
        <v>736</v>
      </c>
      <c r="J96" s="3">
        <v>864</v>
      </c>
      <c r="K96" s="3">
        <v>33852165000</v>
      </c>
      <c r="L96" s="3">
        <v>79495853000</v>
      </c>
      <c r="M96" s="3">
        <v>-40270211000</v>
      </c>
      <c r="N96" s="3">
        <v>567</v>
      </c>
      <c r="O96" s="3">
        <v>830</v>
      </c>
      <c r="P96" s="3">
        <v>24409887000</v>
      </c>
      <c r="Q96" s="3">
        <v>71468813000</v>
      </c>
      <c r="R96" s="3">
        <v>251</v>
      </c>
      <c r="S96" s="3">
        <v>1098</v>
      </c>
      <c r="T96" s="3">
        <f>42555733000+16634252000</f>
        <v>59189985000</v>
      </c>
      <c r="U96" s="3">
        <v>119156166000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3:48" x14ac:dyDescent="0.25">
      <c r="D97" t="s">
        <v>436</v>
      </c>
      <c r="E97" s="3">
        <v>815</v>
      </c>
      <c r="F97" s="3">
        <v>828</v>
      </c>
      <c r="G97" s="3">
        <f>1632286000+404050000</f>
        <v>2036336000</v>
      </c>
      <c r="H97" s="3">
        <f>4278884000+829520000</f>
        <v>5108404000</v>
      </c>
      <c r="I97" s="3">
        <v>839</v>
      </c>
      <c r="J97" s="3">
        <v>1052</v>
      </c>
      <c r="K97" s="3">
        <v>4030475000</v>
      </c>
      <c r="L97" s="3">
        <v>7754935000</v>
      </c>
      <c r="M97" s="3">
        <v>-2341250000</v>
      </c>
      <c r="N97" s="3">
        <v>630</v>
      </c>
      <c r="O97" s="3">
        <v>984</v>
      </c>
      <c r="P97" s="3">
        <v>2694971000</v>
      </c>
      <c r="Q97" s="3">
        <v>5840445000</v>
      </c>
      <c r="R97" s="3">
        <v>318</v>
      </c>
      <c r="S97" s="3">
        <v>1339</v>
      </c>
      <c r="T97" s="3">
        <f>4375425000+1465020000</f>
        <v>5840445000</v>
      </c>
      <c r="U97" s="3">
        <v>10072312000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3:48" x14ac:dyDescent="0.25">
      <c r="D98" t="s">
        <v>759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3:48" x14ac:dyDescent="0.25">
      <c r="D99" t="s">
        <v>760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3:48" x14ac:dyDescent="0.25">
      <c r="C100" t="s">
        <v>846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3:48" x14ac:dyDescent="0.25">
      <c r="D101" t="s">
        <v>437</v>
      </c>
      <c r="E101" s="3">
        <v>823</v>
      </c>
      <c r="F101" s="3">
        <v>838</v>
      </c>
      <c r="G101" s="3">
        <f>2030206000+516178000</f>
        <v>2546384000</v>
      </c>
      <c r="H101" s="3">
        <f>2535756000+700678000</f>
        <v>3236434000</v>
      </c>
      <c r="I101" s="3">
        <v>848</v>
      </c>
      <c r="J101" s="3">
        <v>1069</v>
      </c>
      <c r="K101" s="3">
        <v>1348323000</v>
      </c>
      <c r="L101" s="3">
        <v>2387223000</v>
      </c>
      <c r="M101" s="3">
        <v>-251250000</v>
      </c>
      <c r="N101" s="3">
        <v>635</v>
      </c>
      <c r="O101" s="3">
        <v>995</v>
      </c>
      <c r="P101" s="3">
        <v>2226903000</v>
      </c>
      <c r="Q101" s="3">
        <v>3637403000</v>
      </c>
      <c r="R101" s="3">
        <v>324</v>
      </c>
      <c r="S101" s="3">
        <v>1357</v>
      </c>
      <c r="T101" s="3">
        <f>1892123000+1745280000</f>
        <v>3637403000</v>
      </c>
      <c r="U101" s="3">
        <v>2336500000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3:48" x14ac:dyDescent="0.25">
      <c r="C102" t="s">
        <v>193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3:48" x14ac:dyDescent="0.25">
      <c r="D103" t="s">
        <v>430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>
        <v>580</v>
      </c>
      <c r="W103" s="3">
        <v>812</v>
      </c>
      <c r="X103" s="3">
        <v>15150000000</v>
      </c>
      <c r="Y103" s="3">
        <v>1000000000</v>
      </c>
      <c r="Z103" s="3">
        <v>530</v>
      </c>
      <c r="AA103" s="3">
        <v>1064</v>
      </c>
      <c r="AB103" s="3">
        <v>16900297000</v>
      </c>
      <c r="AC103" s="3">
        <v>14388697000</v>
      </c>
      <c r="AD103" s="3">
        <v>1393437000</v>
      </c>
      <c r="AE103" s="3">
        <v>686</v>
      </c>
      <c r="AF103" s="3">
        <v>1150</v>
      </c>
      <c r="AG103" s="3">
        <v>10005150000</v>
      </c>
      <c r="AH103" s="3">
        <v>1357891000</v>
      </c>
      <c r="AI103" s="3">
        <v>778</v>
      </c>
      <c r="AJ103" s="3">
        <v>1151</v>
      </c>
      <c r="AK103" s="3">
        <v>4598496000</v>
      </c>
      <c r="AL103" s="3">
        <v>1398496000</v>
      </c>
      <c r="AM103" s="3"/>
      <c r="AN103" s="3">
        <v>711</v>
      </c>
      <c r="AO103" s="3">
        <v>909</v>
      </c>
      <c r="AP103" s="3">
        <v>4000000000</v>
      </c>
      <c r="AQ103" s="3">
        <v>1000000000</v>
      </c>
      <c r="AR103" s="3">
        <v>1000000000</v>
      </c>
      <c r="AS103" s="3">
        <v>564</v>
      </c>
      <c r="AT103" s="3"/>
      <c r="AU103" s="3">
        <v>1000000000</v>
      </c>
      <c r="AV103" s="3"/>
    </row>
    <row r="104" spans="3:48" x14ac:dyDescent="0.25">
      <c r="C104" t="s">
        <v>847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3:48" x14ac:dyDescent="0.25">
      <c r="D105" t="s">
        <v>433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>
        <v>580</v>
      </c>
      <c r="W105" s="3">
        <v>812</v>
      </c>
      <c r="X105" s="3">
        <v>16062220000</v>
      </c>
      <c r="Y105" s="3">
        <v>14433220000</v>
      </c>
      <c r="Z105" s="3">
        <v>530</v>
      </c>
      <c r="AA105" s="3">
        <v>1064</v>
      </c>
      <c r="AB105" s="3">
        <v>14904042000</v>
      </c>
      <c r="AC105" s="3">
        <v>11303072000</v>
      </c>
      <c r="AD105" s="3">
        <v>20179570000</v>
      </c>
      <c r="AE105" s="3">
        <v>686</v>
      </c>
      <c r="AF105" s="3">
        <v>1151</v>
      </c>
      <c r="AG105" s="3">
        <v>13525913000</v>
      </c>
      <c r="AH105" s="3">
        <v>19252845000</v>
      </c>
      <c r="AI105" s="3">
        <v>778</v>
      </c>
      <c r="AJ105" s="3">
        <v>1152</v>
      </c>
      <c r="AK105" s="3">
        <v>10600000000</v>
      </c>
      <c r="AL105" s="3">
        <v>16904454000</v>
      </c>
      <c r="AM105" s="3">
        <v>-550000000</v>
      </c>
      <c r="AN105" s="3">
        <v>711</v>
      </c>
      <c r="AO105" s="3">
        <v>910</v>
      </c>
      <c r="AP105" s="3">
        <v>10219706000</v>
      </c>
      <c r="AQ105" s="3">
        <v>5804681000</v>
      </c>
      <c r="AR105" s="3">
        <v>6606388000</v>
      </c>
      <c r="AS105" s="3">
        <v>564</v>
      </c>
      <c r="AT105" s="3"/>
      <c r="AU105" s="3">
        <v>13433675000</v>
      </c>
      <c r="AV105" s="3"/>
    </row>
    <row r="106" spans="3:48" x14ac:dyDescent="0.25">
      <c r="D106" t="s">
        <v>848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546</v>
      </c>
      <c r="AA106" s="3">
        <v>1087</v>
      </c>
      <c r="AB106" s="33">
        <v>2095760000</v>
      </c>
      <c r="AC106" s="33">
        <v>2095760000</v>
      </c>
      <c r="AD106" s="33">
        <v>95760000</v>
      </c>
      <c r="AE106" s="3">
        <v>702</v>
      </c>
      <c r="AF106" s="3"/>
      <c r="AG106" s="33">
        <v>1669040000</v>
      </c>
      <c r="AH106" s="3"/>
      <c r="AI106" s="3">
        <v>791</v>
      </c>
      <c r="AJ106" s="3"/>
      <c r="AK106" s="33">
        <v>2798401000</v>
      </c>
      <c r="AL106" s="33">
        <v>990574000</v>
      </c>
      <c r="AM106" s="3"/>
      <c r="AN106" s="3">
        <v>727</v>
      </c>
      <c r="AO106" s="3"/>
      <c r="AP106" s="33">
        <v>1194138000</v>
      </c>
      <c r="AQ106" s="33">
        <v>1194138000</v>
      </c>
      <c r="AR106" s="33">
        <v>194138000</v>
      </c>
      <c r="AS106" s="3"/>
      <c r="AT106" s="3"/>
      <c r="AU106" s="33">
        <f>0+182970000</f>
        <v>182970000</v>
      </c>
      <c r="AV106" s="3"/>
    </row>
    <row r="107" spans="3:48" x14ac:dyDescent="0.25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3:48" x14ac:dyDescent="0.25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3:48" x14ac:dyDescent="0.25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3:48" x14ac:dyDescent="0.25"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3:48" x14ac:dyDescent="0.25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3:48" x14ac:dyDescent="0.25"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5:48" x14ac:dyDescent="0.25"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5:48" x14ac:dyDescent="0.25"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5:48" x14ac:dyDescent="0.25"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5:48" x14ac:dyDescent="0.25"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5:48" x14ac:dyDescent="0.25"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5:48" x14ac:dyDescent="0.25"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5:48" x14ac:dyDescent="0.25"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5:48" x14ac:dyDescent="0.25"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5:48" x14ac:dyDescent="0.25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5:48" x14ac:dyDescent="0.25"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5:48" x14ac:dyDescent="0.25"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5:48" x14ac:dyDescent="0.25"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5:48" x14ac:dyDescent="0.25"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5:48" x14ac:dyDescent="0.25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5:48" x14ac:dyDescent="0.25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5:48" x14ac:dyDescent="0.25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5:48" x14ac:dyDescent="0.25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5:48" x14ac:dyDescent="0.25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5:48" x14ac:dyDescent="0.25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5:48" x14ac:dyDescent="0.25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5:48" x14ac:dyDescent="0.25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5:48" x14ac:dyDescent="0.25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5:48" x14ac:dyDescent="0.25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5:48" x14ac:dyDescent="0.25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5:48" x14ac:dyDescent="0.25"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5:48" x14ac:dyDescent="0.25"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5:48" x14ac:dyDescent="0.25"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5:48" x14ac:dyDescent="0.25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5:48" x14ac:dyDescent="0.25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5:48" x14ac:dyDescent="0.25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5:48" x14ac:dyDescent="0.25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5:48" x14ac:dyDescent="0.25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5:48" x14ac:dyDescent="0.25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5:48" x14ac:dyDescent="0.25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5:48" x14ac:dyDescent="0.25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5:48" x14ac:dyDescent="0.25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5:48" x14ac:dyDescent="0.25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5:48" x14ac:dyDescent="0.25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5:48" x14ac:dyDescent="0.25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5:48" x14ac:dyDescent="0.25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5:48" x14ac:dyDescent="0.25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5:48" x14ac:dyDescent="0.25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5:48" x14ac:dyDescent="0.25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5:48" x14ac:dyDescent="0.25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5:48" x14ac:dyDescent="0.25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5:48" x14ac:dyDescent="0.25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5:48" x14ac:dyDescent="0.25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5:48" x14ac:dyDescent="0.25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5:48" x14ac:dyDescent="0.25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5:48" x14ac:dyDescent="0.25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5:48" x14ac:dyDescent="0.25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5:48" x14ac:dyDescent="0.25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5:48" x14ac:dyDescent="0.25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5:48" x14ac:dyDescent="0.25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5:48" x14ac:dyDescent="0.25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5:48" x14ac:dyDescent="0.25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5:48" x14ac:dyDescent="0.25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5:48" x14ac:dyDescent="0.25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D582-1B5B-4C11-AA33-2D3572CB4F44}">
  <dimension ref="A1:M92"/>
  <sheetViews>
    <sheetView topLeftCell="A47" workbookViewId="0">
      <selection activeCell="C83" sqref="C83"/>
    </sheetView>
  </sheetViews>
  <sheetFormatPr defaultRowHeight="15" x14ac:dyDescent="0.25"/>
  <cols>
    <col min="1" max="1" width="16.140625" style="7" bestFit="1" customWidth="1"/>
    <col min="4" max="5" width="0" hidden="1" customWidth="1"/>
    <col min="7" max="7" width="15.7109375" customWidth="1"/>
    <col min="8" max="13" width="18.7109375" customWidth="1"/>
  </cols>
  <sheetData>
    <row r="1" spans="1:13" x14ac:dyDescent="0.25">
      <c r="A1" s="7" t="s">
        <v>6</v>
      </c>
      <c r="B1" t="s">
        <v>7</v>
      </c>
      <c r="C1" t="s">
        <v>8</v>
      </c>
      <c r="D1" t="s">
        <v>9</v>
      </c>
      <c r="E1" t="s">
        <v>10</v>
      </c>
      <c r="K1" s="2">
        <f>SUM(K4,K21,K37,K47,K90,)</f>
        <v>496976373000</v>
      </c>
      <c r="L1" s="2">
        <f>SUM(L4,L21,L37,L47,L90,)</f>
        <v>54230204000</v>
      </c>
      <c r="M1" s="2">
        <f>SUM(M4,M21,M37,M47,M90,)</f>
        <v>551206577000</v>
      </c>
    </row>
    <row r="2" spans="1:13" x14ac:dyDescent="0.25">
      <c r="A2" s="7" t="s">
        <v>11</v>
      </c>
      <c r="B2" t="str">
        <f>LEFT(A2, 6)</f>
        <v>100000</v>
      </c>
      <c r="C2" t="s">
        <v>12</v>
      </c>
      <c r="D2" t="s">
        <v>12</v>
      </c>
      <c r="E2" t="s">
        <v>13</v>
      </c>
      <c r="H2" t="s">
        <v>14</v>
      </c>
      <c r="I2" t="s">
        <v>14</v>
      </c>
      <c r="J2" t="s">
        <v>14</v>
      </c>
      <c r="K2" t="s">
        <v>15</v>
      </c>
      <c r="L2" t="s">
        <v>15</v>
      </c>
      <c r="M2" t="s">
        <v>15</v>
      </c>
    </row>
    <row r="3" spans="1:13" x14ac:dyDescent="0.25">
      <c r="A3" s="7" t="s">
        <v>16</v>
      </c>
      <c r="B3" t="str">
        <f>LEFT(A3, 6)</f>
        <v>200000</v>
      </c>
      <c r="C3" t="s">
        <v>17</v>
      </c>
      <c r="D3" t="s">
        <v>17</v>
      </c>
      <c r="E3" t="s">
        <v>13</v>
      </c>
      <c r="H3" t="s">
        <v>18</v>
      </c>
      <c r="I3" t="s">
        <v>19</v>
      </c>
      <c r="J3" t="s">
        <v>20</v>
      </c>
      <c r="K3" t="s">
        <v>18</v>
      </c>
      <c r="L3" t="s">
        <v>19</v>
      </c>
      <c r="M3" t="s">
        <v>20</v>
      </c>
    </row>
    <row r="4" spans="1:13" x14ac:dyDescent="0.25">
      <c r="A4" s="7" t="s">
        <v>21</v>
      </c>
      <c r="B4" t="str">
        <f>LEFT(A4, 4)</f>
        <v>3101</v>
      </c>
      <c r="C4" s="8" t="s">
        <v>22</v>
      </c>
      <c r="F4" s="9"/>
      <c r="G4" s="10"/>
      <c r="H4" s="11">
        <v>105403593000</v>
      </c>
      <c r="I4" s="11">
        <v>2873461000</v>
      </c>
      <c r="J4" s="11">
        <f>SUM(H4:I4)</f>
        <v>108277054000</v>
      </c>
      <c r="K4" s="11">
        <v>123390944000</v>
      </c>
      <c r="L4" s="11">
        <v>2873461000</v>
      </c>
      <c r="M4" s="11">
        <f>SUM(K4:L4)</f>
        <v>126264405000</v>
      </c>
    </row>
    <row r="5" spans="1:13" x14ac:dyDescent="0.25">
      <c r="C5" s="12" t="s">
        <v>23</v>
      </c>
      <c r="G5" s="12"/>
      <c r="H5" s="13">
        <v>47854146000</v>
      </c>
      <c r="I5" s="13">
        <v>1755962000</v>
      </c>
      <c r="J5" s="13">
        <f t="shared" ref="J5:J68" si="0">SUM(H5:I5)</f>
        <v>49610108000</v>
      </c>
      <c r="K5" s="13">
        <v>55940559000</v>
      </c>
      <c r="L5" s="13">
        <v>1755962000</v>
      </c>
      <c r="M5" s="13">
        <f t="shared" ref="M5:M68" si="1">SUM(K5:L5)</f>
        <v>57696521000</v>
      </c>
    </row>
    <row r="6" spans="1:13" x14ac:dyDescent="0.25">
      <c r="A6" s="7" t="s">
        <v>24</v>
      </c>
      <c r="B6" t="str">
        <f t="shared" ref="B6:B20" si="2">LEFT(A6, 6)</f>
        <v>310101</v>
      </c>
      <c r="C6" t="s">
        <v>25</v>
      </c>
      <c r="D6" t="s">
        <v>26</v>
      </c>
      <c r="E6" t="s">
        <v>27</v>
      </c>
      <c r="H6" s="2">
        <v>14177717000</v>
      </c>
      <c r="I6" s="2">
        <v>1755962000</v>
      </c>
      <c r="J6" s="2">
        <f t="shared" si="0"/>
        <v>15933679000</v>
      </c>
      <c r="K6" s="2">
        <v>14891842000</v>
      </c>
      <c r="L6" s="2">
        <v>1755962000</v>
      </c>
      <c r="M6" s="2">
        <f t="shared" si="1"/>
        <v>16647804000</v>
      </c>
    </row>
    <row r="7" spans="1:13" x14ac:dyDescent="0.25">
      <c r="A7" s="7" t="s">
        <v>28</v>
      </c>
      <c r="B7" t="str">
        <f t="shared" si="2"/>
        <v>310102</v>
      </c>
      <c r="C7" t="s">
        <v>29</v>
      </c>
      <c r="D7" t="s">
        <v>26</v>
      </c>
      <c r="E7" t="s">
        <v>27</v>
      </c>
      <c r="H7" s="2">
        <v>20341692000</v>
      </c>
      <c r="I7" s="2"/>
      <c r="J7" s="2">
        <f t="shared" si="0"/>
        <v>20341692000</v>
      </c>
      <c r="K7" s="2">
        <v>24621062000</v>
      </c>
      <c r="L7" s="2"/>
      <c r="M7" s="2">
        <f t="shared" si="1"/>
        <v>24621062000</v>
      </c>
    </row>
    <row r="8" spans="1:13" x14ac:dyDescent="0.25">
      <c r="A8" s="7" t="s">
        <v>30</v>
      </c>
      <c r="B8" t="str">
        <f t="shared" si="2"/>
        <v>310103</v>
      </c>
      <c r="C8" t="s">
        <v>31</v>
      </c>
      <c r="D8" t="s">
        <v>26</v>
      </c>
      <c r="E8" t="s">
        <v>27</v>
      </c>
      <c r="H8" s="2">
        <v>13334737000</v>
      </c>
      <c r="I8" s="2"/>
      <c r="J8" s="2">
        <f t="shared" si="0"/>
        <v>13334737000</v>
      </c>
      <c r="K8" s="2">
        <v>16427655000</v>
      </c>
      <c r="L8" s="2"/>
      <c r="M8" s="2">
        <f t="shared" si="1"/>
        <v>16427655000</v>
      </c>
    </row>
    <row r="9" spans="1:13" x14ac:dyDescent="0.25">
      <c r="C9" s="12" t="s">
        <v>32</v>
      </c>
      <c r="H9" s="13">
        <v>20025833000</v>
      </c>
      <c r="I9" s="13">
        <v>1117499000</v>
      </c>
      <c r="J9" s="13">
        <f t="shared" si="0"/>
        <v>21143332000</v>
      </c>
      <c r="K9" s="13">
        <v>18364393000</v>
      </c>
      <c r="L9" s="13">
        <v>1117499000</v>
      </c>
      <c r="M9" s="13">
        <f t="shared" si="1"/>
        <v>19481892000</v>
      </c>
    </row>
    <row r="10" spans="1:13" x14ac:dyDescent="0.25">
      <c r="A10" s="7" t="s">
        <v>33</v>
      </c>
      <c r="B10" t="str">
        <f t="shared" si="2"/>
        <v>310104</v>
      </c>
      <c r="C10" t="s">
        <v>34</v>
      </c>
      <c r="D10" t="s">
        <v>35</v>
      </c>
      <c r="E10" t="s">
        <v>27</v>
      </c>
      <c r="H10" s="2">
        <v>9603039000</v>
      </c>
      <c r="I10" s="2"/>
      <c r="J10" s="2">
        <f t="shared" si="0"/>
        <v>9603039000</v>
      </c>
      <c r="K10" s="2">
        <v>4678878000</v>
      </c>
      <c r="L10" s="2"/>
      <c r="M10" s="2">
        <f t="shared" si="1"/>
        <v>4678878000</v>
      </c>
    </row>
    <row r="11" spans="1:13" x14ac:dyDescent="0.25">
      <c r="A11" s="7" t="s">
        <v>36</v>
      </c>
      <c r="B11" t="str">
        <f t="shared" si="2"/>
        <v>310105</v>
      </c>
      <c r="C11" t="s">
        <v>37</v>
      </c>
      <c r="D11" t="s">
        <v>35</v>
      </c>
      <c r="E11" t="s">
        <v>27</v>
      </c>
      <c r="H11" s="2">
        <v>6635304000</v>
      </c>
      <c r="I11" s="2"/>
      <c r="J11" s="2">
        <f t="shared" si="0"/>
        <v>6635304000</v>
      </c>
      <c r="K11" s="2">
        <v>8494289000</v>
      </c>
      <c r="L11" s="2"/>
      <c r="M11" s="2">
        <f t="shared" si="1"/>
        <v>8494289000</v>
      </c>
    </row>
    <row r="12" spans="1:13" x14ac:dyDescent="0.25">
      <c r="A12" s="7" t="s">
        <v>38</v>
      </c>
      <c r="B12" t="str">
        <f t="shared" si="2"/>
        <v>310106</v>
      </c>
      <c r="C12" t="s">
        <v>39</v>
      </c>
      <c r="D12" t="s">
        <v>35</v>
      </c>
      <c r="E12" t="s">
        <v>27</v>
      </c>
      <c r="H12" s="2">
        <v>3787490000</v>
      </c>
      <c r="I12" s="2">
        <v>1117499000</v>
      </c>
      <c r="J12" s="2">
        <f t="shared" si="0"/>
        <v>4904989000</v>
      </c>
      <c r="K12" s="2">
        <v>5191226000</v>
      </c>
      <c r="L12" s="2">
        <v>1117499000</v>
      </c>
      <c r="M12" s="2">
        <f t="shared" si="1"/>
        <v>6308725000</v>
      </c>
    </row>
    <row r="13" spans="1:13" x14ac:dyDescent="0.25">
      <c r="C13" s="12" t="s">
        <v>40</v>
      </c>
      <c r="H13" s="13">
        <v>25778574000</v>
      </c>
      <c r="I13" s="13"/>
      <c r="J13" s="13">
        <f t="shared" si="0"/>
        <v>25778574000</v>
      </c>
      <c r="K13" s="13">
        <v>28736381000</v>
      </c>
      <c r="L13" s="13"/>
      <c r="M13" s="13">
        <f t="shared" si="1"/>
        <v>28736381000</v>
      </c>
    </row>
    <row r="14" spans="1:13" x14ac:dyDescent="0.25">
      <c r="A14" s="7" t="s">
        <v>41</v>
      </c>
      <c r="B14" t="str">
        <f t="shared" si="2"/>
        <v>310107</v>
      </c>
      <c r="C14" t="s">
        <v>42</v>
      </c>
      <c r="D14" t="s">
        <v>43</v>
      </c>
      <c r="E14" t="s">
        <v>27</v>
      </c>
      <c r="H14" s="2">
        <v>5047175000</v>
      </c>
      <c r="I14" s="2"/>
      <c r="J14" s="2">
        <f t="shared" si="0"/>
        <v>5047175000</v>
      </c>
      <c r="K14" s="2">
        <v>4358890000</v>
      </c>
      <c r="L14" s="2"/>
      <c r="M14" s="2">
        <f t="shared" si="1"/>
        <v>4358890000</v>
      </c>
    </row>
    <row r="15" spans="1:13" x14ac:dyDescent="0.25">
      <c r="A15" s="7" t="s">
        <v>44</v>
      </c>
      <c r="B15" t="str">
        <f t="shared" si="2"/>
        <v>310108</v>
      </c>
      <c r="C15" t="s">
        <v>45</v>
      </c>
      <c r="D15" t="s">
        <v>43</v>
      </c>
      <c r="E15" t="s">
        <v>27</v>
      </c>
      <c r="H15" s="2">
        <v>12456191000</v>
      </c>
      <c r="I15" s="2"/>
      <c r="J15" s="2">
        <f t="shared" si="0"/>
        <v>12456191000</v>
      </c>
      <c r="K15" s="2">
        <v>13120605000</v>
      </c>
      <c r="L15" s="2"/>
      <c r="M15" s="2">
        <f t="shared" si="1"/>
        <v>13120605000</v>
      </c>
    </row>
    <row r="16" spans="1:13" x14ac:dyDescent="0.25">
      <c r="A16" s="7" t="s">
        <v>46</v>
      </c>
      <c r="B16" t="str">
        <f t="shared" si="2"/>
        <v>310109</v>
      </c>
      <c r="C16" t="s">
        <v>47</v>
      </c>
      <c r="D16" t="s">
        <v>43</v>
      </c>
      <c r="E16" t="s">
        <v>27</v>
      </c>
      <c r="H16" s="2">
        <v>8275208000</v>
      </c>
      <c r="I16" s="2"/>
      <c r="J16" s="2">
        <f t="shared" si="0"/>
        <v>8275208000</v>
      </c>
      <c r="K16" s="2">
        <v>11256886000</v>
      </c>
      <c r="L16" s="2"/>
      <c r="M16" s="2">
        <f t="shared" si="1"/>
        <v>11256886000</v>
      </c>
    </row>
    <row r="17" spans="1:13" x14ac:dyDescent="0.25">
      <c r="C17" s="12" t="s">
        <v>48</v>
      </c>
      <c r="H17" s="13">
        <v>11745040000</v>
      </c>
      <c r="I17" s="13"/>
      <c r="J17" s="13">
        <f t="shared" si="0"/>
        <v>11745040000</v>
      </c>
      <c r="K17" s="13">
        <v>20349611000</v>
      </c>
      <c r="L17" s="13"/>
      <c r="M17" s="13">
        <f t="shared" si="1"/>
        <v>20349611000</v>
      </c>
    </row>
    <row r="18" spans="1:13" x14ac:dyDescent="0.25">
      <c r="A18" s="7" t="s">
        <v>49</v>
      </c>
      <c r="B18" t="str">
        <f t="shared" si="2"/>
        <v>310110</v>
      </c>
      <c r="C18" t="s">
        <v>50</v>
      </c>
      <c r="D18" t="s">
        <v>51</v>
      </c>
      <c r="E18" t="s">
        <v>52</v>
      </c>
      <c r="H18" s="2">
        <v>4696421000</v>
      </c>
      <c r="I18" s="2"/>
      <c r="J18" s="2">
        <f t="shared" si="0"/>
        <v>4696421000</v>
      </c>
      <c r="K18" s="2">
        <v>8308663000</v>
      </c>
      <c r="L18" s="2"/>
      <c r="M18" s="2">
        <f t="shared" si="1"/>
        <v>8308663000</v>
      </c>
    </row>
    <row r="19" spans="1:13" x14ac:dyDescent="0.25">
      <c r="A19" s="7" t="s">
        <v>53</v>
      </c>
      <c r="B19" t="str">
        <f t="shared" si="2"/>
        <v>310111</v>
      </c>
      <c r="C19" t="s">
        <v>54</v>
      </c>
      <c r="D19" t="s">
        <v>51</v>
      </c>
      <c r="E19" t="s">
        <v>52</v>
      </c>
      <c r="H19" s="2">
        <v>4379443000</v>
      </c>
      <c r="I19" s="2"/>
      <c r="J19" s="2">
        <f t="shared" si="0"/>
        <v>4379443000</v>
      </c>
      <c r="K19" s="2">
        <v>6357649000</v>
      </c>
      <c r="L19" s="2"/>
      <c r="M19" s="2">
        <f t="shared" si="1"/>
        <v>6357649000</v>
      </c>
    </row>
    <row r="20" spans="1:13" x14ac:dyDescent="0.25">
      <c r="A20" s="7" t="s">
        <v>55</v>
      </c>
      <c r="B20" t="str">
        <f t="shared" si="2"/>
        <v>310112</v>
      </c>
      <c r="C20" t="s">
        <v>56</v>
      </c>
      <c r="D20" t="s">
        <v>51</v>
      </c>
      <c r="E20" t="s">
        <v>52</v>
      </c>
      <c r="H20" s="2">
        <v>2669176000</v>
      </c>
      <c r="I20" s="2"/>
      <c r="J20" s="2">
        <f t="shared" si="0"/>
        <v>2669176000</v>
      </c>
      <c r="K20" s="2">
        <v>5683299000</v>
      </c>
      <c r="L20" s="2"/>
      <c r="M20" s="2">
        <f t="shared" si="1"/>
        <v>5683299000</v>
      </c>
    </row>
    <row r="21" spans="1:13" x14ac:dyDescent="0.25">
      <c r="A21" s="7" t="s">
        <v>57</v>
      </c>
      <c r="B21" t="str">
        <f>LEFT(A21, 4)</f>
        <v>3102</v>
      </c>
      <c r="C21" s="8" t="s">
        <v>58</v>
      </c>
      <c r="F21" s="9"/>
      <c r="G21" s="14"/>
      <c r="H21" s="11">
        <v>114204107000</v>
      </c>
      <c r="I21" s="11">
        <v>68337311000</v>
      </c>
      <c r="J21" s="11">
        <f t="shared" si="0"/>
        <v>182541418000</v>
      </c>
      <c r="K21" s="11">
        <v>108513417000</v>
      </c>
      <c r="L21" s="11">
        <v>40337311000</v>
      </c>
      <c r="M21" s="11">
        <f t="shared" si="1"/>
        <v>148850728000</v>
      </c>
    </row>
    <row r="22" spans="1:13" x14ac:dyDescent="0.25">
      <c r="C22" s="12" t="s">
        <v>59</v>
      </c>
      <c r="H22" s="13">
        <v>36427413000</v>
      </c>
      <c r="I22" s="13"/>
      <c r="J22" s="13">
        <f t="shared" si="0"/>
        <v>36427413000</v>
      </c>
      <c r="K22" s="13">
        <v>44588804000</v>
      </c>
      <c r="L22" s="13"/>
      <c r="M22" s="13">
        <f t="shared" si="1"/>
        <v>44588804000</v>
      </c>
    </row>
    <row r="23" spans="1:13" x14ac:dyDescent="0.25">
      <c r="A23" s="7" t="s">
        <v>60</v>
      </c>
      <c r="B23" t="str">
        <f t="shared" ref="B23:B36" si="3">LEFT(A23, 6)</f>
        <v>310201</v>
      </c>
      <c r="C23" t="s">
        <v>61</v>
      </c>
      <c r="D23" t="s">
        <v>59</v>
      </c>
      <c r="E23" t="s">
        <v>27</v>
      </c>
      <c r="H23" s="2">
        <v>17911668000</v>
      </c>
      <c r="I23" s="2"/>
      <c r="J23" s="2">
        <f t="shared" si="0"/>
        <v>17911668000</v>
      </c>
      <c r="K23" s="2">
        <v>15740082000</v>
      </c>
      <c r="L23" s="2"/>
      <c r="M23" s="2">
        <f t="shared" si="1"/>
        <v>15740082000</v>
      </c>
    </row>
    <row r="24" spans="1:13" x14ac:dyDescent="0.25">
      <c r="A24" s="7" t="s">
        <v>62</v>
      </c>
      <c r="B24" t="str">
        <f t="shared" si="3"/>
        <v>310202</v>
      </c>
      <c r="C24" t="s">
        <v>63</v>
      </c>
      <c r="D24" t="s">
        <v>59</v>
      </c>
      <c r="E24" t="s">
        <v>27</v>
      </c>
      <c r="H24" s="2">
        <v>13064554000</v>
      </c>
      <c r="I24" s="2"/>
      <c r="J24" s="2">
        <f t="shared" si="0"/>
        <v>13064554000</v>
      </c>
      <c r="K24" s="2">
        <v>21680673000</v>
      </c>
      <c r="L24" s="2"/>
      <c r="M24" s="2">
        <f t="shared" si="1"/>
        <v>21680673000</v>
      </c>
    </row>
    <row r="25" spans="1:13" x14ac:dyDescent="0.25">
      <c r="A25" s="7" t="s">
        <v>64</v>
      </c>
      <c r="B25" t="str">
        <f t="shared" si="3"/>
        <v>310203</v>
      </c>
      <c r="C25" t="s">
        <v>65</v>
      </c>
      <c r="D25" t="s">
        <v>59</v>
      </c>
      <c r="E25" t="s">
        <v>27</v>
      </c>
      <c r="H25" s="2">
        <v>5451191000</v>
      </c>
      <c r="I25" s="2"/>
      <c r="J25" s="2">
        <f t="shared" si="0"/>
        <v>5451191000</v>
      </c>
      <c r="K25" s="2">
        <v>7168049000</v>
      </c>
      <c r="L25" s="2"/>
      <c r="M25" s="2">
        <f t="shared" si="1"/>
        <v>7168049000</v>
      </c>
    </row>
    <row r="26" spans="1:13" x14ac:dyDescent="0.25">
      <c r="A26" s="7" t="s">
        <v>66</v>
      </c>
      <c r="B26" t="str">
        <f t="shared" si="3"/>
        <v>310204</v>
      </c>
      <c r="C26" s="12" t="s">
        <v>67</v>
      </c>
      <c r="D26" t="s">
        <v>67</v>
      </c>
      <c r="E26" t="s">
        <v>27</v>
      </c>
      <c r="F26" s="12"/>
      <c r="G26" s="12"/>
      <c r="H26" s="13">
        <v>53091937000</v>
      </c>
      <c r="I26" s="13">
        <v>64650626000</v>
      </c>
      <c r="J26" s="13">
        <f t="shared" si="0"/>
        <v>117742563000</v>
      </c>
      <c r="K26" s="13">
        <v>43488233000</v>
      </c>
      <c r="L26" s="13">
        <v>36650626000</v>
      </c>
      <c r="M26" s="13">
        <f t="shared" si="1"/>
        <v>80138859000</v>
      </c>
    </row>
    <row r="27" spans="1:13" x14ac:dyDescent="0.25">
      <c r="A27" s="7" t="s">
        <v>68</v>
      </c>
      <c r="B27" t="str">
        <f t="shared" si="3"/>
        <v>310205</v>
      </c>
      <c r="C27" s="12" t="s">
        <v>69</v>
      </c>
      <c r="D27" t="s">
        <v>69</v>
      </c>
      <c r="E27" t="s">
        <v>27</v>
      </c>
      <c r="F27" s="12"/>
      <c r="G27" s="12"/>
      <c r="H27" s="13">
        <v>20709321000</v>
      </c>
      <c r="I27" s="13">
        <v>3074213000</v>
      </c>
      <c r="J27" s="13">
        <f t="shared" si="0"/>
        <v>23783534000</v>
      </c>
      <c r="K27" s="13">
        <v>15590573000</v>
      </c>
      <c r="L27" s="13">
        <v>3074213000</v>
      </c>
      <c r="M27" s="13">
        <f t="shared" si="1"/>
        <v>18664786000</v>
      </c>
    </row>
    <row r="28" spans="1:13" x14ac:dyDescent="0.25">
      <c r="A28" s="7" t="s">
        <v>70</v>
      </c>
      <c r="B28" t="str">
        <f t="shared" si="3"/>
        <v>310206</v>
      </c>
      <c r="C28" s="12" t="s">
        <v>71</v>
      </c>
      <c r="D28" t="s">
        <v>71</v>
      </c>
      <c r="E28" t="s">
        <v>27</v>
      </c>
      <c r="F28" s="12"/>
      <c r="G28" s="12"/>
      <c r="H28" s="13">
        <v>1206082000</v>
      </c>
      <c r="I28" s="13">
        <v>876000</v>
      </c>
      <c r="J28" s="13">
        <f t="shared" si="0"/>
        <v>1206958000</v>
      </c>
      <c r="K28" s="13">
        <v>1056082000</v>
      </c>
      <c r="L28" s="13">
        <v>876000</v>
      </c>
      <c r="M28" s="13">
        <f t="shared" si="1"/>
        <v>1056958000</v>
      </c>
    </row>
    <row r="29" spans="1:13" x14ac:dyDescent="0.25">
      <c r="C29" s="12" t="s">
        <v>72</v>
      </c>
      <c r="H29" s="13">
        <v>1892699000</v>
      </c>
      <c r="I29" s="13"/>
      <c r="J29" s="13">
        <f t="shared" si="0"/>
        <v>1892699000</v>
      </c>
      <c r="K29" s="13">
        <v>2745337000</v>
      </c>
      <c r="L29" s="13"/>
      <c r="M29" s="13">
        <f t="shared" si="1"/>
        <v>2745337000</v>
      </c>
    </row>
    <row r="30" spans="1:13" x14ac:dyDescent="0.25">
      <c r="A30" s="7" t="s">
        <v>73</v>
      </c>
      <c r="B30" t="str">
        <f t="shared" si="3"/>
        <v>310207</v>
      </c>
      <c r="C30" t="s">
        <v>74</v>
      </c>
      <c r="D30" t="s">
        <v>72</v>
      </c>
      <c r="E30" t="s">
        <v>27</v>
      </c>
      <c r="H30" s="2">
        <v>823160000</v>
      </c>
      <c r="I30" s="2"/>
      <c r="J30" s="2">
        <f t="shared" si="0"/>
        <v>823160000</v>
      </c>
      <c r="K30" s="2">
        <v>769343000</v>
      </c>
      <c r="L30" s="2"/>
      <c r="M30" s="2">
        <f t="shared" si="1"/>
        <v>769343000</v>
      </c>
    </row>
    <row r="31" spans="1:13" x14ac:dyDescent="0.25">
      <c r="A31" s="7" t="s">
        <v>75</v>
      </c>
      <c r="B31" t="str">
        <f t="shared" si="3"/>
        <v>310208</v>
      </c>
      <c r="C31" t="s">
        <v>76</v>
      </c>
      <c r="D31" t="s">
        <v>72</v>
      </c>
      <c r="E31" t="s">
        <v>27</v>
      </c>
      <c r="H31" s="2">
        <v>335550000</v>
      </c>
      <c r="I31" s="2"/>
      <c r="J31" s="2">
        <f t="shared" si="0"/>
        <v>335550000</v>
      </c>
      <c r="K31" s="2">
        <v>1189449000</v>
      </c>
      <c r="L31" s="2"/>
      <c r="M31" s="2">
        <f t="shared" si="1"/>
        <v>1189449000</v>
      </c>
    </row>
    <row r="32" spans="1:13" x14ac:dyDescent="0.25">
      <c r="A32" s="7" t="s">
        <v>77</v>
      </c>
      <c r="B32" t="str">
        <f t="shared" si="3"/>
        <v>310209</v>
      </c>
      <c r="C32" t="s">
        <v>78</v>
      </c>
      <c r="D32" t="s">
        <v>72</v>
      </c>
      <c r="E32" t="s">
        <v>27</v>
      </c>
      <c r="H32" s="2">
        <v>733989000</v>
      </c>
      <c r="I32" s="2"/>
      <c r="J32" s="2">
        <f t="shared" si="0"/>
        <v>733989000</v>
      </c>
      <c r="K32" s="2">
        <v>786545000</v>
      </c>
      <c r="L32" s="2"/>
      <c r="M32" s="2">
        <f t="shared" si="1"/>
        <v>786545000</v>
      </c>
    </row>
    <row r="33" spans="1:13" x14ac:dyDescent="0.25">
      <c r="C33" s="12" t="s">
        <v>79</v>
      </c>
      <c r="H33" s="13">
        <v>876655000</v>
      </c>
      <c r="I33" s="13">
        <v>611596000</v>
      </c>
      <c r="J33" s="13">
        <f t="shared" si="0"/>
        <v>1488251000</v>
      </c>
      <c r="K33" s="13">
        <v>1044388000</v>
      </c>
      <c r="L33" s="13">
        <v>611596000</v>
      </c>
      <c r="M33" s="13">
        <f t="shared" si="1"/>
        <v>1655984000</v>
      </c>
    </row>
    <row r="34" spans="1:13" x14ac:dyDescent="0.25">
      <c r="A34" s="7" t="s">
        <v>80</v>
      </c>
      <c r="B34" t="str">
        <f t="shared" si="3"/>
        <v>310210</v>
      </c>
      <c r="C34" t="s">
        <v>81</v>
      </c>
      <c r="D34" t="s">
        <v>79</v>
      </c>
      <c r="E34" t="s">
        <v>27</v>
      </c>
      <c r="H34" s="2">
        <v>2850000</v>
      </c>
      <c r="J34" s="2">
        <f t="shared" si="0"/>
        <v>2850000</v>
      </c>
      <c r="K34" s="2">
        <v>3413000</v>
      </c>
      <c r="M34" s="2">
        <f t="shared" si="1"/>
        <v>3413000</v>
      </c>
    </row>
    <row r="35" spans="1:13" x14ac:dyDescent="0.25">
      <c r="A35" s="7" t="s">
        <v>82</v>
      </c>
      <c r="B35" t="str">
        <f t="shared" si="3"/>
        <v>310211</v>
      </c>
      <c r="C35" t="s">
        <v>83</v>
      </c>
      <c r="D35" t="s">
        <v>79</v>
      </c>
      <c r="E35" t="s">
        <v>27</v>
      </c>
      <c r="H35" s="2">
        <v>119089000</v>
      </c>
      <c r="I35" s="2">
        <v>611596000</v>
      </c>
      <c r="J35" s="2">
        <f t="shared" si="0"/>
        <v>730685000</v>
      </c>
      <c r="K35" s="2">
        <v>109594000</v>
      </c>
      <c r="L35" s="2">
        <v>611596000</v>
      </c>
      <c r="M35" s="2">
        <f t="shared" si="1"/>
        <v>721190000</v>
      </c>
    </row>
    <row r="36" spans="1:13" x14ac:dyDescent="0.25">
      <c r="A36" s="7" t="s">
        <v>84</v>
      </c>
      <c r="B36" t="str">
        <f t="shared" si="3"/>
        <v>310212</v>
      </c>
      <c r="C36" t="s">
        <v>85</v>
      </c>
      <c r="D36" t="s">
        <v>79</v>
      </c>
      <c r="E36" t="s">
        <v>27</v>
      </c>
      <c r="H36" s="2">
        <v>754716000</v>
      </c>
      <c r="I36" s="2"/>
      <c r="J36" s="2">
        <f t="shared" si="0"/>
        <v>754716000</v>
      </c>
      <c r="K36" s="2">
        <v>931381000</v>
      </c>
      <c r="L36" s="2"/>
      <c r="M36" s="2">
        <f t="shared" si="1"/>
        <v>931381000</v>
      </c>
    </row>
    <row r="37" spans="1:13" x14ac:dyDescent="0.25">
      <c r="A37" s="7" t="s">
        <v>86</v>
      </c>
      <c r="B37" t="str">
        <f>LEFT(A37, 4)</f>
        <v>3103</v>
      </c>
      <c r="C37" s="8" t="s">
        <v>87</v>
      </c>
      <c r="F37" s="9"/>
      <c r="G37" s="14"/>
      <c r="H37" s="11">
        <v>40440329000</v>
      </c>
      <c r="I37" s="11">
        <v>11825294000</v>
      </c>
      <c r="J37" s="11">
        <f t="shared" si="0"/>
        <v>52265623000</v>
      </c>
      <c r="K37" s="11">
        <v>33469465000</v>
      </c>
      <c r="L37" s="11">
        <v>9825294000</v>
      </c>
      <c r="M37" s="11">
        <f t="shared" si="1"/>
        <v>43294759000</v>
      </c>
    </row>
    <row r="38" spans="1:13" x14ac:dyDescent="0.25">
      <c r="A38" s="7" t="s">
        <v>88</v>
      </c>
      <c r="B38" t="str">
        <f t="shared" ref="B38:B43" si="4">LEFT(A38, 6)</f>
        <v>310301</v>
      </c>
      <c r="C38" t="s">
        <v>89</v>
      </c>
      <c r="D38" t="s">
        <v>89</v>
      </c>
      <c r="E38" t="s">
        <v>27</v>
      </c>
      <c r="H38" s="2">
        <v>65000000</v>
      </c>
      <c r="I38" s="2"/>
      <c r="J38" s="2">
        <f t="shared" si="0"/>
        <v>65000000</v>
      </c>
      <c r="K38" s="2">
        <v>65000000</v>
      </c>
      <c r="L38" s="2"/>
      <c r="M38" s="2">
        <f t="shared" si="1"/>
        <v>65000000</v>
      </c>
    </row>
    <row r="39" spans="1:13" x14ac:dyDescent="0.25">
      <c r="A39" s="7" t="s">
        <v>90</v>
      </c>
      <c r="B39" t="str">
        <f t="shared" si="4"/>
        <v>310302</v>
      </c>
      <c r="C39" t="s">
        <v>91</v>
      </c>
      <c r="D39" t="s">
        <v>91</v>
      </c>
      <c r="E39" t="s">
        <v>27</v>
      </c>
      <c r="H39" s="2">
        <v>8204914000</v>
      </c>
      <c r="I39" s="2"/>
      <c r="J39" s="2">
        <f t="shared" si="0"/>
        <v>8204914000</v>
      </c>
      <c r="K39" s="2">
        <v>7156070000</v>
      </c>
      <c r="L39" s="2"/>
      <c r="M39" s="2">
        <f t="shared" si="1"/>
        <v>7156070000</v>
      </c>
    </row>
    <row r="40" spans="1:13" x14ac:dyDescent="0.25">
      <c r="A40" s="7" t="s">
        <v>92</v>
      </c>
      <c r="B40" t="str">
        <f t="shared" si="4"/>
        <v>310303</v>
      </c>
      <c r="C40" t="s">
        <v>93</v>
      </c>
      <c r="D40" t="s">
        <v>93</v>
      </c>
      <c r="E40" t="s">
        <v>27</v>
      </c>
      <c r="H40" s="2">
        <v>7634932000</v>
      </c>
      <c r="I40" s="2"/>
      <c r="J40" s="2">
        <f t="shared" si="0"/>
        <v>7634932000</v>
      </c>
      <c r="K40" s="2">
        <v>5611083000</v>
      </c>
      <c r="L40" s="2"/>
      <c r="M40" s="2">
        <f t="shared" si="1"/>
        <v>5611083000</v>
      </c>
    </row>
    <row r="41" spans="1:13" x14ac:dyDescent="0.25">
      <c r="A41" s="7" t="s">
        <v>94</v>
      </c>
      <c r="B41" t="str">
        <f t="shared" si="4"/>
        <v>310304</v>
      </c>
      <c r="C41" t="s">
        <v>95</v>
      </c>
      <c r="D41" t="s">
        <v>95</v>
      </c>
      <c r="E41" t="s">
        <v>27</v>
      </c>
      <c r="H41" s="2">
        <v>5190604000</v>
      </c>
      <c r="I41" s="2">
        <v>616446000</v>
      </c>
      <c r="J41" s="2">
        <f t="shared" si="0"/>
        <v>5807050000</v>
      </c>
      <c r="K41" s="2">
        <v>4404614000</v>
      </c>
      <c r="L41" s="2">
        <v>616446000</v>
      </c>
      <c r="M41" s="2">
        <f t="shared" si="1"/>
        <v>5021060000</v>
      </c>
    </row>
    <row r="42" spans="1:13" x14ac:dyDescent="0.25">
      <c r="A42" s="7" t="s">
        <v>96</v>
      </c>
      <c r="B42" t="str">
        <f t="shared" si="4"/>
        <v>310305</v>
      </c>
      <c r="C42" t="s">
        <v>97</v>
      </c>
      <c r="D42" t="s">
        <v>97</v>
      </c>
      <c r="E42" t="s">
        <v>27</v>
      </c>
      <c r="H42" s="2">
        <v>15119413000</v>
      </c>
      <c r="I42" s="2"/>
      <c r="J42" s="2">
        <f t="shared" si="0"/>
        <v>15119413000</v>
      </c>
      <c r="K42" s="2">
        <v>12586163000</v>
      </c>
      <c r="L42" s="2"/>
      <c r="M42" s="2">
        <f t="shared" si="1"/>
        <v>12586163000</v>
      </c>
    </row>
    <row r="43" spans="1:13" x14ac:dyDescent="0.25">
      <c r="A43" s="7" t="s">
        <v>98</v>
      </c>
      <c r="B43" t="str">
        <f t="shared" si="4"/>
        <v>310306</v>
      </c>
      <c r="C43" t="s">
        <v>99</v>
      </c>
      <c r="D43" t="s">
        <v>99</v>
      </c>
      <c r="E43" t="s">
        <v>27</v>
      </c>
      <c r="H43" s="2">
        <v>4225466000</v>
      </c>
      <c r="I43" s="2">
        <v>11208848000</v>
      </c>
      <c r="J43" s="2">
        <f t="shared" si="0"/>
        <v>15434314000</v>
      </c>
      <c r="K43" s="2">
        <v>3646535000</v>
      </c>
      <c r="L43" s="2">
        <v>9208848000</v>
      </c>
      <c r="M43" s="2">
        <f t="shared" si="1"/>
        <v>12855383000</v>
      </c>
    </row>
    <row r="44" spans="1:13" x14ac:dyDescent="0.25">
      <c r="A44" s="7" t="s">
        <v>100</v>
      </c>
      <c r="B44" t="str">
        <f>LEFT(A44, 4)</f>
        <v>3201</v>
      </c>
      <c r="C44" s="8" t="s">
        <v>101</v>
      </c>
      <c r="F44" s="9"/>
      <c r="G44" s="14"/>
      <c r="H44" s="11">
        <v>235055761000</v>
      </c>
      <c r="I44" s="11">
        <f>SUM(I45:I46)</f>
        <v>15769796000</v>
      </c>
      <c r="J44" s="11">
        <f t="shared" si="0"/>
        <v>250825557000</v>
      </c>
      <c r="K44" s="8">
        <v>0</v>
      </c>
      <c r="L44" s="11">
        <f>SUM(L45:L46)</f>
        <v>15769796000</v>
      </c>
      <c r="M44" s="11">
        <f t="shared" si="1"/>
        <v>15769796000</v>
      </c>
    </row>
    <row r="45" spans="1:13" x14ac:dyDescent="0.25">
      <c r="A45" s="7" t="s">
        <v>102</v>
      </c>
      <c r="B45" t="str">
        <f>LEFT(A45, 6)</f>
        <v>320101</v>
      </c>
      <c r="C45" t="s">
        <v>103</v>
      </c>
      <c r="D45" t="s">
        <v>103</v>
      </c>
      <c r="E45" t="s">
        <v>104</v>
      </c>
      <c r="H45" s="2">
        <v>159058531000</v>
      </c>
      <c r="I45" s="2">
        <v>1253510000</v>
      </c>
      <c r="J45" s="2">
        <f t="shared" si="0"/>
        <v>160312041000</v>
      </c>
      <c r="K45">
        <v>0</v>
      </c>
      <c r="L45" s="2">
        <v>1253510000</v>
      </c>
      <c r="M45" s="2">
        <f t="shared" si="1"/>
        <v>1253510000</v>
      </c>
    </row>
    <row r="46" spans="1:13" x14ac:dyDescent="0.25">
      <c r="A46" s="7" t="s">
        <v>105</v>
      </c>
      <c r="B46" t="str">
        <f>LEFT(A46, 6)</f>
        <v>320102</v>
      </c>
      <c r="C46" t="s">
        <v>106</v>
      </c>
      <c r="D46" t="s">
        <v>106</v>
      </c>
      <c r="E46" t="s">
        <v>104</v>
      </c>
      <c r="H46" s="2">
        <v>75997230000</v>
      </c>
      <c r="I46" s="2">
        <v>14516286000</v>
      </c>
      <c r="J46" s="2">
        <f t="shared" si="0"/>
        <v>90513516000</v>
      </c>
      <c r="K46">
        <v>0</v>
      </c>
      <c r="L46" s="2">
        <v>14516286000</v>
      </c>
      <c r="M46" s="2">
        <f t="shared" si="1"/>
        <v>14516286000</v>
      </c>
    </row>
    <row r="47" spans="1:13" x14ac:dyDescent="0.25">
      <c r="A47" s="7" t="s">
        <v>107</v>
      </c>
      <c r="B47" t="str">
        <f>LEFT(A47, 4)</f>
        <v>3002</v>
      </c>
      <c r="C47" s="8" t="s">
        <v>108</v>
      </c>
      <c r="F47" s="9"/>
      <c r="G47" s="14"/>
      <c r="H47" s="11">
        <v>167790413000</v>
      </c>
      <c r="I47" s="11"/>
      <c r="J47" s="11">
        <f t="shared" si="0"/>
        <v>167790413000</v>
      </c>
      <c r="K47" s="11">
        <v>224797866000</v>
      </c>
      <c r="L47" s="11"/>
      <c r="M47" s="11">
        <f t="shared" si="1"/>
        <v>224797866000</v>
      </c>
    </row>
    <row r="48" spans="1:13" x14ac:dyDescent="0.25">
      <c r="A48" s="7" t="s">
        <v>109</v>
      </c>
      <c r="B48" t="str">
        <f t="shared" ref="B48:B89" si="5">LEFT(A48, 6)</f>
        <v>300200</v>
      </c>
      <c r="C48" s="12" t="s">
        <v>110</v>
      </c>
      <c r="D48" t="s">
        <v>110</v>
      </c>
      <c r="E48" t="s">
        <v>111</v>
      </c>
      <c r="F48" s="12"/>
      <c r="G48" s="12"/>
      <c r="H48" s="13">
        <v>1000000000</v>
      </c>
      <c r="I48" s="13"/>
      <c r="J48" s="13">
        <f t="shared" si="0"/>
        <v>1000000000</v>
      </c>
      <c r="K48" s="13">
        <v>1000000000</v>
      </c>
      <c r="L48" s="13"/>
      <c r="M48" s="13">
        <f t="shared" si="1"/>
        <v>1000000000</v>
      </c>
    </row>
    <row r="49" spans="1:13" x14ac:dyDescent="0.25">
      <c r="A49" s="7" t="s">
        <v>112</v>
      </c>
      <c r="B49" t="str">
        <f t="shared" si="5"/>
        <v>300201</v>
      </c>
      <c r="C49" s="12" t="s">
        <v>113</v>
      </c>
      <c r="D49" t="s">
        <v>113</v>
      </c>
      <c r="E49" t="s">
        <v>27</v>
      </c>
      <c r="F49" s="12"/>
      <c r="G49" s="12"/>
      <c r="H49" s="13">
        <v>1097699000</v>
      </c>
      <c r="I49" s="13"/>
      <c r="J49" s="13">
        <f t="shared" si="0"/>
        <v>1097699000</v>
      </c>
      <c r="K49" s="13">
        <v>1047699000</v>
      </c>
      <c r="L49" s="13"/>
      <c r="M49" s="13">
        <f t="shared" si="1"/>
        <v>1047699000</v>
      </c>
    </row>
    <row r="50" spans="1:13" x14ac:dyDescent="0.25">
      <c r="A50" s="7" t="s">
        <v>114</v>
      </c>
      <c r="B50" t="str">
        <f t="shared" si="5"/>
        <v>300202</v>
      </c>
      <c r="C50" s="12" t="s">
        <v>115</v>
      </c>
      <c r="D50" t="s">
        <v>115</v>
      </c>
      <c r="E50" t="s">
        <v>27</v>
      </c>
      <c r="F50" s="12"/>
      <c r="G50" s="12"/>
      <c r="H50" s="13">
        <v>1719751000</v>
      </c>
      <c r="I50" s="13"/>
      <c r="J50" s="13">
        <f t="shared" si="0"/>
        <v>1719751000</v>
      </c>
      <c r="K50" s="13">
        <v>1016751000</v>
      </c>
      <c r="L50" s="13"/>
      <c r="M50" s="13">
        <f t="shared" si="1"/>
        <v>1016751000</v>
      </c>
    </row>
    <row r="51" spans="1:13" x14ac:dyDescent="0.25">
      <c r="A51" s="7" t="s">
        <v>116</v>
      </c>
      <c r="B51" t="str">
        <f t="shared" si="5"/>
        <v>300203</v>
      </c>
      <c r="C51" s="12" t="s">
        <v>117</v>
      </c>
      <c r="D51" t="s">
        <v>117</v>
      </c>
      <c r="E51" t="s">
        <v>27</v>
      </c>
      <c r="F51" s="12"/>
      <c r="G51" s="12"/>
      <c r="H51" s="13">
        <v>3550000000</v>
      </c>
      <c r="I51" s="13"/>
      <c r="J51" s="13">
        <f t="shared" si="0"/>
        <v>3550000000</v>
      </c>
      <c r="K51" s="13">
        <v>3809834000</v>
      </c>
      <c r="L51" s="13"/>
      <c r="M51" s="13">
        <f t="shared" si="1"/>
        <v>3809834000</v>
      </c>
    </row>
    <row r="52" spans="1:13" x14ac:dyDescent="0.25">
      <c r="A52" s="7" t="s">
        <v>118</v>
      </c>
      <c r="B52" t="str">
        <f t="shared" si="5"/>
        <v>300204</v>
      </c>
      <c r="C52" s="12" t="s">
        <v>119</v>
      </c>
      <c r="D52" t="s">
        <v>119</v>
      </c>
      <c r="E52" t="s">
        <v>27</v>
      </c>
      <c r="F52" s="12"/>
      <c r="G52" s="12"/>
      <c r="H52" s="13">
        <v>5778000000</v>
      </c>
      <c r="I52" s="13"/>
      <c r="J52" s="13">
        <f t="shared" si="0"/>
        <v>5778000000</v>
      </c>
      <c r="K52" s="13">
        <v>6587922000</v>
      </c>
      <c r="L52" s="13"/>
      <c r="M52" s="13">
        <f t="shared" si="1"/>
        <v>6587922000</v>
      </c>
    </row>
    <row r="53" spans="1:13" x14ac:dyDescent="0.25">
      <c r="A53" s="7" t="s">
        <v>120</v>
      </c>
      <c r="B53" t="str">
        <f t="shared" si="5"/>
        <v>300205</v>
      </c>
      <c r="C53" s="12" t="s">
        <v>121</v>
      </c>
      <c r="D53" t="s">
        <v>121</v>
      </c>
      <c r="E53" t="s">
        <v>52</v>
      </c>
      <c r="F53" s="12"/>
      <c r="G53" s="12"/>
      <c r="H53" s="13">
        <v>2277200000</v>
      </c>
      <c r="I53" s="13"/>
      <c r="J53" s="13">
        <f t="shared" si="0"/>
        <v>2277200000</v>
      </c>
      <c r="K53" s="13">
        <v>1655449000</v>
      </c>
      <c r="L53" s="13"/>
      <c r="M53" s="13">
        <f t="shared" si="1"/>
        <v>1655449000</v>
      </c>
    </row>
    <row r="54" spans="1:13" x14ac:dyDescent="0.25">
      <c r="A54" s="7" t="s">
        <v>122</v>
      </c>
      <c r="B54" t="str">
        <f t="shared" si="5"/>
        <v>300207</v>
      </c>
      <c r="C54" s="12" t="s">
        <v>123</v>
      </c>
      <c r="D54" t="s">
        <v>123</v>
      </c>
      <c r="E54" t="s">
        <v>111</v>
      </c>
      <c r="F54" s="12"/>
      <c r="G54" s="12"/>
      <c r="H54" s="13">
        <v>3000000000</v>
      </c>
      <c r="I54" s="13"/>
      <c r="J54" s="13">
        <f t="shared" si="0"/>
        <v>3000000000</v>
      </c>
      <c r="K54" s="13">
        <v>3175000000</v>
      </c>
      <c r="L54" s="13"/>
      <c r="M54" s="13">
        <f t="shared" si="1"/>
        <v>3175000000</v>
      </c>
    </row>
    <row r="55" spans="1:13" x14ac:dyDescent="0.25">
      <c r="A55" s="7" t="s">
        <v>124</v>
      </c>
      <c r="B55" t="str">
        <f t="shared" si="5"/>
        <v>300209</v>
      </c>
      <c r="C55" s="12" t="s">
        <v>125</v>
      </c>
      <c r="D55" t="s">
        <v>125</v>
      </c>
      <c r="E55" t="s">
        <v>27</v>
      </c>
      <c r="F55" s="12"/>
      <c r="G55" s="12"/>
      <c r="H55" s="13">
        <v>418040000</v>
      </c>
      <c r="I55" s="13"/>
      <c r="J55" s="13">
        <f t="shared" si="0"/>
        <v>418040000</v>
      </c>
      <c r="K55" s="13">
        <v>418040000</v>
      </c>
      <c r="L55" s="13"/>
      <c r="M55" s="13">
        <f t="shared" si="1"/>
        <v>418040000</v>
      </c>
    </row>
    <row r="56" spans="1:13" x14ac:dyDescent="0.25">
      <c r="A56" s="7" t="s">
        <v>126</v>
      </c>
      <c r="B56" t="str">
        <f t="shared" si="5"/>
        <v>300213</v>
      </c>
      <c r="C56" s="12" t="s">
        <v>127</v>
      </c>
      <c r="D56" t="s">
        <v>127</v>
      </c>
      <c r="E56" t="s">
        <v>128</v>
      </c>
      <c r="F56" s="12"/>
      <c r="G56" s="12"/>
      <c r="H56" s="13">
        <v>510000000</v>
      </c>
      <c r="I56" s="13"/>
      <c r="J56" s="13">
        <f t="shared" si="0"/>
        <v>510000000</v>
      </c>
      <c r="K56" s="13">
        <v>510000000</v>
      </c>
      <c r="L56" s="13"/>
      <c r="M56" s="13">
        <f t="shared" si="1"/>
        <v>510000000</v>
      </c>
    </row>
    <row r="57" spans="1:13" x14ac:dyDescent="0.25">
      <c r="A57" s="7" t="s">
        <v>129</v>
      </c>
      <c r="B57" t="str">
        <f t="shared" si="5"/>
        <v>300214</v>
      </c>
      <c r="C57" s="12" t="s">
        <v>130</v>
      </c>
      <c r="D57" t="s">
        <v>130</v>
      </c>
      <c r="E57" t="s">
        <v>111</v>
      </c>
      <c r="F57" s="12"/>
      <c r="G57" s="12"/>
      <c r="H57" s="13">
        <v>18331730000</v>
      </c>
      <c r="I57" s="13"/>
      <c r="J57" s="13">
        <f t="shared" si="0"/>
        <v>18331730000</v>
      </c>
      <c r="K57" s="13">
        <v>16637015000</v>
      </c>
      <c r="L57" s="13"/>
      <c r="M57" s="13">
        <f t="shared" si="1"/>
        <v>16637015000</v>
      </c>
    </row>
    <row r="58" spans="1:13" x14ac:dyDescent="0.25">
      <c r="C58" s="12" t="s">
        <v>131</v>
      </c>
      <c r="H58" s="13">
        <v>69725362000</v>
      </c>
      <c r="I58" s="13"/>
      <c r="J58" s="13">
        <f t="shared" si="0"/>
        <v>69725362000</v>
      </c>
      <c r="K58" s="13">
        <v>115469974000</v>
      </c>
      <c r="L58" s="13"/>
      <c r="M58" s="13">
        <f t="shared" si="1"/>
        <v>115469974000</v>
      </c>
    </row>
    <row r="59" spans="1:13" x14ac:dyDescent="0.25">
      <c r="A59" s="7" t="s">
        <v>132</v>
      </c>
      <c r="B59" t="str">
        <f t="shared" si="5"/>
        <v>300215</v>
      </c>
      <c r="C59" t="s">
        <v>133</v>
      </c>
      <c r="D59" t="str">
        <f>MID(C59, 64, 200)</f>
        <v>Access Roads and/or Bridges from the National Road/s leading to Major/Strategic Public Buildings/Facilities</v>
      </c>
      <c r="E59" t="s">
        <v>27</v>
      </c>
      <c r="H59" s="2">
        <v>46491698000</v>
      </c>
      <c r="I59" s="2"/>
      <c r="J59" s="2">
        <f t="shared" si="0"/>
        <v>46491698000</v>
      </c>
      <c r="K59" s="2">
        <v>96957045000</v>
      </c>
      <c r="L59" s="2"/>
      <c r="M59" s="2">
        <f t="shared" si="1"/>
        <v>96957045000</v>
      </c>
    </row>
    <row r="60" spans="1:13" x14ac:dyDescent="0.25">
      <c r="A60" s="7" t="s">
        <v>134</v>
      </c>
      <c r="B60" t="str">
        <f t="shared" si="5"/>
        <v>300216</v>
      </c>
      <c r="C60" t="s">
        <v>135</v>
      </c>
      <c r="D60" t="str">
        <f t="shared" ref="D60:D70" si="6">MID(C60, 64, 100)</f>
        <v>Access Roads and/or Bridges from the National Roads connecting to Indigenous People (IP) Communities</v>
      </c>
      <c r="E60" t="s">
        <v>27</v>
      </c>
      <c r="H60" s="2">
        <v>2246400000</v>
      </c>
      <c r="I60" s="2"/>
      <c r="J60" s="2">
        <f t="shared" si="0"/>
        <v>2246400000</v>
      </c>
      <c r="K60" s="2">
        <v>3209910000</v>
      </c>
      <c r="L60" s="2"/>
      <c r="M60" s="2">
        <f t="shared" si="1"/>
        <v>3209910000</v>
      </c>
    </row>
    <row r="61" spans="1:13" x14ac:dyDescent="0.25">
      <c r="A61" s="7" t="s">
        <v>136</v>
      </c>
      <c r="B61" t="str">
        <f t="shared" si="5"/>
        <v>300217</v>
      </c>
      <c r="C61" t="s">
        <v>137</v>
      </c>
      <c r="D61" t="str">
        <f t="shared" si="6"/>
        <v>Interjurisdictional Roads and/or Bridges (or, roads that traverse multiple LGU jurisdictions)</v>
      </c>
      <c r="E61" t="s">
        <v>27</v>
      </c>
      <c r="H61" s="2">
        <v>5953500000</v>
      </c>
      <c r="I61" s="2"/>
      <c r="J61" s="2">
        <f t="shared" si="0"/>
        <v>5953500000</v>
      </c>
      <c r="K61" s="2">
        <v>6747500000</v>
      </c>
      <c r="L61" s="2"/>
      <c r="M61" s="2">
        <f t="shared" si="1"/>
        <v>6747500000</v>
      </c>
    </row>
    <row r="62" spans="1:13" x14ac:dyDescent="0.25">
      <c r="A62" s="7" t="s">
        <v>138</v>
      </c>
      <c r="B62" t="str">
        <f t="shared" si="5"/>
        <v>300218</v>
      </c>
      <c r="C62" t="s">
        <v>139</v>
      </c>
      <c r="D62" t="str">
        <f t="shared" si="6"/>
        <v>Coastal Roads / Causeway for Environmental Protection/Conservation</v>
      </c>
      <c r="E62" t="s">
        <v>27</v>
      </c>
      <c r="H62" s="2">
        <v>1726700000</v>
      </c>
      <c r="I62" s="2"/>
      <c r="J62" s="2">
        <f t="shared" si="0"/>
        <v>1726700000</v>
      </c>
      <c r="K62" s="2">
        <v>1126152000</v>
      </c>
      <c r="L62" s="2"/>
      <c r="M62" s="2">
        <f t="shared" si="1"/>
        <v>1126152000</v>
      </c>
    </row>
    <row r="63" spans="1:13" x14ac:dyDescent="0.25">
      <c r="A63" s="7" t="s">
        <v>140</v>
      </c>
      <c r="B63" t="str">
        <f t="shared" si="5"/>
        <v>300219</v>
      </c>
      <c r="C63" t="s">
        <v>141</v>
      </c>
      <c r="D63" t="str">
        <f t="shared" si="6"/>
        <v>Flood Mitigation Structures protecting Major/Strategic Public Buildings/Facilities</v>
      </c>
      <c r="E63" t="s">
        <v>104</v>
      </c>
      <c r="H63" s="2">
        <v>3245557000</v>
      </c>
      <c r="I63" s="2"/>
      <c r="J63" s="2">
        <f t="shared" si="0"/>
        <v>3245557000</v>
      </c>
      <c r="K63" s="2">
        <v>5218849000</v>
      </c>
      <c r="L63" s="2"/>
      <c r="M63" s="2">
        <f t="shared" si="1"/>
        <v>5218849000</v>
      </c>
    </row>
    <row r="64" spans="1:13" hidden="1" x14ac:dyDescent="0.25">
      <c r="A64" s="7" t="s">
        <v>142</v>
      </c>
      <c r="B64" t="str">
        <f t="shared" si="5"/>
        <v>300231</v>
      </c>
      <c r="C64" t="s">
        <v>143</v>
      </c>
      <c r="D64" t="str">
        <f t="shared" si="6"/>
        <v>Major/Strategic Public Buildings/Facilities Structural and Resilience Program</v>
      </c>
      <c r="E64" t="s">
        <v>128</v>
      </c>
      <c r="J64" s="2">
        <f t="shared" si="0"/>
        <v>0</v>
      </c>
      <c r="M64" s="2">
        <f t="shared" si="1"/>
        <v>0</v>
      </c>
    </row>
    <row r="65" spans="1:13" hidden="1" x14ac:dyDescent="0.25">
      <c r="A65" s="7" t="s">
        <v>144</v>
      </c>
      <c r="B65" t="str">
        <f t="shared" si="5"/>
        <v>300232</v>
      </c>
      <c r="C65" t="s">
        <v>145</v>
      </c>
      <c r="D65" t="str">
        <f t="shared" si="6"/>
        <v>Evacuation Centers / Quarantine Facilities / Public Health Facilities</v>
      </c>
      <c r="E65" t="s">
        <v>128</v>
      </c>
      <c r="J65" s="2">
        <f t="shared" si="0"/>
        <v>0</v>
      </c>
      <c r="M65" s="2">
        <f t="shared" si="1"/>
        <v>0</v>
      </c>
    </row>
    <row r="66" spans="1:13" hidden="1" x14ac:dyDescent="0.25">
      <c r="A66" s="7" t="s">
        <v>146</v>
      </c>
      <c r="B66" t="str">
        <f t="shared" si="5"/>
        <v>300233</v>
      </c>
      <c r="C66" t="s">
        <v>147</v>
      </c>
      <c r="D66" t="str">
        <f t="shared" si="6"/>
        <v>Coastal Roads to Augment Resiliency of Coastal Communities</v>
      </c>
      <c r="E66" t="s">
        <v>27</v>
      </c>
      <c r="J66" s="2">
        <f t="shared" si="0"/>
        <v>0</v>
      </c>
      <c r="M66" s="2">
        <f t="shared" si="1"/>
        <v>0</v>
      </c>
    </row>
    <row r="67" spans="1:13" x14ac:dyDescent="0.25">
      <c r="A67" s="7" t="s">
        <v>148</v>
      </c>
      <c r="B67" t="str">
        <f t="shared" si="5"/>
        <v>300234</v>
      </c>
      <c r="C67" t="s">
        <v>141</v>
      </c>
      <c r="D67" t="str">
        <f t="shared" si="6"/>
        <v>Flood Mitigation Structures protecting Major/Strategic Public Buildings/Facilities</v>
      </c>
      <c r="E67" t="s">
        <v>104</v>
      </c>
      <c r="H67" s="2">
        <v>9447507000</v>
      </c>
      <c r="J67" s="2">
        <f t="shared" si="0"/>
        <v>9447507000</v>
      </c>
      <c r="K67">
        <v>0</v>
      </c>
      <c r="M67" s="2">
        <f t="shared" si="1"/>
        <v>0</v>
      </c>
    </row>
    <row r="68" spans="1:13" hidden="1" x14ac:dyDescent="0.25">
      <c r="A68" s="7" t="s">
        <v>149</v>
      </c>
      <c r="B68" t="str">
        <f t="shared" si="5"/>
        <v>300235</v>
      </c>
      <c r="C68" t="s">
        <v>150</v>
      </c>
      <c r="D68" t="str">
        <f t="shared" si="6"/>
        <v>Major/Strategic Public Buildings/Facilities</v>
      </c>
      <c r="E68" t="s">
        <v>128</v>
      </c>
      <c r="J68" s="2">
        <f t="shared" si="0"/>
        <v>0</v>
      </c>
      <c r="M68" s="2">
        <f t="shared" si="1"/>
        <v>0</v>
      </c>
    </row>
    <row r="69" spans="1:13" hidden="1" x14ac:dyDescent="0.25">
      <c r="A69" s="7" t="s">
        <v>151</v>
      </c>
      <c r="B69" t="str">
        <f t="shared" si="5"/>
        <v>300243</v>
      </c>
      <c r="C69" t="s">
        <v>152</v>
      </c>
      <c r="D69" t="str">
        <f t="shared" si="6"/>
        <v>Interjurisdictional Roads and/or Bridges (roads traversing multiple LGUs)</v>
      </c>
      <c r="E69" t="s">
        <v>27</v>
      </c>
      <c r="J69" s="2">
        <f t="shared" ref="J69:J92" si="7">SUM(H69:I69)</f>
        <v>0</v>
      </c>
      <c r="M69" s="2">
        <f t="shared" ref="M69:M92" si="8">SUM(K69:L69)</f>
        <v>0</v>
      </c>
    </row>
    <row r="70" spans="1:13" x14ac:dyDescent="0.25">
      <c r="A70" s="7" t="s">
        <v>153</v>
      </c>
      <c r="B70" t="str">
        <f t="shared" si="5"/>
        <v>300244</v>
      </c>
      <c r="C70" t="s">
        <v>154</v>
      </c>
      <c r="D70" t="str">
        <f t="shared" si="6"/>
        <v>Evacuation Centers / Public Health Facilities</v>
      </c>
      <c r="E70" t="s">
        <v>128</v>
      </c>
      <c r="H70" s="2">
        <v>614000000</v>
      </c>
      <c r="I70" s="2"/>
      <c r="J70" s="2">
        <f t="shared" si="7"/>
        <v>614000000</v>
      </c>
      <c r="K70" s="2">
        <v>1766240000</v>
      </c>
      <c r="L70" s="2"/>
      <c r="M70" s="2">
        <f t="shared" si="8"/>
        <v>1766240000</v>
      </c>
    </row>
    <row r="71" spans="1:13" x14ac:dyDescent="0.25">
      <c r="C71" t="s">
        <v>155</v>
      </c>
      <c r="H71" s="2">
        <v>0</v>
      </c>
      <c r="I71" s="2"/>
      <c r="J71" s="2">
        <f t="shared" si="7"/>
        <v>0</v>
      </c>
      <c r="K71" s="2">
        <v>305278000</v>
      </c>
      <c r="L71" s="2"/>
      <c r="M71" s="2">
        <f t="shared" si="8"/>
        <v>305278000</v>
      </c>
    </row>
    <row r="72" spans="1:13" x14ac:dyDescent="0.25">
      <c r="C72" t="s">
        <v>156</v>
      </c>
      <c r="H72" s="2">
        <v>0</v>
      </c>
      <c r="I72" s="2"/>
      <c r="J72" s="2">
        <f t="shared" si="7"/>
        <v>0</v>
      </c>
      <c r="K72" s="2">
        <v>39000000</v>
      </c>
      <c r="L72" s="2"/>
      <c r="M72" s="2">
        <f t="shared" si="8"/>
        <v>39000000</v>
      </c>
    </row>
    <row r="73" spans="1:13" x14ac:dyDescent="0.25">
      <c r="C73" t="s">
        <v>157</v>
      </c>
      <c r="H73" s="2">
        <v>0</v>
      </c>
      <c r="I73" s="2"/>
      <c r="J73" s="2">
        <f t="shared" si="7"/>
        <v>0</v>
      </c>
      <c r="K73" s="2">
        <v>100000000</v>
      </c>
      <c r="L73" s="2"/>
      <c r="M73" s="2">
        <f t="shared" si="8"/>
        <v>100000000</v>
      </c>
    </row>
    <row r="74" spans="1:13" x14ac:dyDescent="0.25">
      <c r="C74" s="12" t="s">
        <v>158</v>
      </c>
      <c r="H74" s="13">
        <v>60382631000</v>
      </c>
      <c r="I74" s="13"/>
      <c r="J74" s="13">
        <f t="shared" si="7"/>
        <v>60382631000</v>
      </c>
      <c r="K74" s="13">
        <v>73470182000</v>
      </c>
      <c r="L74" s="13"/>
      <c r="M74" s="13">
        <f t="shared" si="8"/>
        <v>73470182000</v>
      </c>
    </row>
    <row r="75" spans="1:13" x14ac:dyDescent="0.25">
      <c r="A75" s="7" t="s">
        <v>159</v>
      </c>
      <c r="B75" t="str">
        <f t="shared" si="5"/>
        <v>300221</v>
      </c>
      <c r="C75" t="s">
        <v>160</v>
      </c>
      <c r="D75" t="str">
        <f>MID(C75, 38, 200)</f>
        <v>Access Roads and/or Bridges from the National Road/s leading to Major/Strategic Public Buildings/Facilities</v>
      </c>
      <c r="E75" t="s">
        <v>27</v>
      </c>
      <c r="H75" s="2">
        <v>16520374000</v>
      </c>
      <c r="I75" s="2"/>
      <c r="J75" s="2">
        <f t="shared" si="7"/>
        <v>16520374000</v>
      </c>
      <c r="K75" s="2">
        <v>23484136000</v>
      </c>
      <c r="L75" s="2"/>
      <c r="M75" s="2">
        <f t="shared" si="8"/>
        <v>23484136000</v>
      </c>
    </row>
    <row r="76" spans="1:13" x14ac:dyDescent="0.25">
      <c r="A76" s="7" t="s">
        <v>161</v>
      </c>
      <c r="B76" t="str">
        <f t="shared" si="5"/>
        <v>300222</v>
      </c>
      <c r="C76" t="s">
        <v>162</v>
      </c>
      <c r="D76" t="str">
        <f t="shared" ref="D76:D89" si="9">MID(C76, 38, 100)</f>
        <v>Access Roads and/or Bridges from the National Roads connecting to Indigenous People (IP) Communities</v>
      </c>
      <c r="E76" t="s">
        <v>27</v>
      </c>
      <c r="H76" s="2">
        <v>483000000</v>
      </c>
      <c r="I76" s="2"/>
      <c r="J76" s="2">
        <f t="shared" si="7"/>
        <v>483000000</v>
      </c>
      <c r="K76" s="2">
        <v>504200000</v>
      </c>
      <c r="L76" s="2"/>
      <c r="M76" s="2">
        <f t="shared" si="8"/>
        <v>504200000</v>
      </c>
    </row>
    <row r="77" spans="1:13" x14ac:dyDescent="0.25">
      <c r="A77" s="7" t="s">
        <v>163</v>
      </c>
      <c r="B77" t="str">
        <f t="shared" si="5"/>
        <v>300223</v>
      </c>
      <c r="C77" t="s">
        <v>164</v>
      </c>
      <c r="D77" t="str">
        <f t="shared" si="9"/>
        <v>Interjurisdictional Roads and/or Bridges (or, roads that traverse multiple LGU jurisdictions)</v>
      </c>
      <c r="E77" t="s">
        <v>27</v>
      </c>
      <c r="H77" s="2">
        <v>1774033000</v>
      </c>
      <c r="I77" s="2"/>
      <c r="J77" s="2">
        <f t="shared" si="7"/>
        <v>1774033000</v>
      </c>
      <c r="K77" s="2">
        <v>1814033000</v>
      </c>
      <c r="L77" s="2"/>
      <c r="M77" s="2">
        <f t="shared" si="8"/>
        <v>1814033000</v>
      </c>
    </row>
    <row r="78" spans="1:13" hidden="1" x14ac:dyDescent="0.25">
      <c r="A78" s="7" t="s">
        <v>165</v>
      </c>
      <c r="B78" t="str">
        <f t="shared" si="5"/>
        <v>300224</v>
      </c>
      <c r="C78" t="s">
        <v>166</v>
      </c>
      <c r="D78" t="str">
        <f t="shared" si="9"/>
        <v>Coastal Roads / Causeway for Environmental Protection/Conservation</v>
      </c>
      <c r="E78" t="s">
        <v>27</v>
      </c>
      <c r="J78" s="2">
        <f t="shared" si="7"/>
        <v>0</v>
      </c>
      <c r="M78" s="2">
        <f t="shared" si="8"/>
        <v>0</v>
      </c>
    </row>
    <row r="79" spans="1:13" x14ac:dyDescent="0.25">
      <c r="A79" s="7" t="s">
        <v>167</v>
      </c>
      <c r="B79" t="str">
        <f t="shared" si="5"/>
        <v>300225</v>
      </c>
      <c r="C79" t="s">
        <v>168</v>
      </c>
      <c r="D79" t="str">
        <f t="shared" si="9"/>
        <v>Flood Mitigation Structures protecting Major/Strategic Public Buildings/Facilities</v>
      </c>
      <c r="E79" t="s">
        <v>104</v>
      </c>
      <c r="H79" s="2">
        <v>8024783000</v>
      </c>
      <c r="I79" s="2"/>
      <c r="J79" s="2">
        <f t="shared" si="7"/>
        <v>8024783000</v>
      </c>
      <c r="K79" s="2">
        <v>0</v>
      </c>
      <c r="L79" s="2"/>
      <c r="M79" s="2">
        <f t="shared" si="8"/>
        <v>0</v>
      </c>
    </row>
    <row r="80" spans="1:13" x14ac:dyDescent="0.25">
      <c r="A80" s="7" t="s">
        <v>169</v>
      </c>
      <c r="B80" t="str">
        <f t="shared" si="5"/>
        <v>300226</v>
      </c>
      <c r="C80" t="s">
        <v>170</v>
      </c>
      <c r="D80" t="str">
        <f t="shared" si="9"/>
        <v>Multi-Purpose Buldings/Facilities to support Social Services</v>
      </c>
      <c r="E80" t="s">
        <v>128</v>
      </c>
      <c r="H80" s="2">
        <v>29688941000</v>
      </c>
      <c r="I80" s="2"/>
      <c r="J80" s="2">
        <f t="shared" si="7"/>
        <v>29688941000</v>
      </c>
      <c r="K80" s="2">
        <v>43343987000</v>
      </c>
      <c r="L80" s="2"/>
      <c r="M80" s="2">
        <f t="shared" si="8"/>
        <v>43343987000</v>
      </c>
    </row>
    <row r="81" spans="1:13" hidden="1" x14ac:dyDescent="0.25">
      <c r="A81" s="7" t="s">
        <v>171</v>
      </c>
      <c r="B81" t="str">
        <f t="shared" si="5"/>
        <v>300227</v>
      </c>
      <c r="C81" t="s">
        <v>172</v>
      </c>
      <c r="D81" t="str">
        <f t="shared" si="9"/>
        <v>Major/Strategic Public Buildings/Facilities Structural and Resilience Program</v>
      </c>
      <c r="E81" t="s">
        <v>128</v>
      </c>
      <c r="J81" s="2">
        <f t="shared" si="7"/>
        <v>0</v>
      </c>
      <c r="M81" s="2">
        <f t="shared" si="8"/>
        <v>0</v>
      </c>
    </row>
    <row r="82" spans="1:13" hidden="1" x14ac:dyDescent="0.25">
      <c r="A82" s="7" t="s">
        <v>173</v>
      </c>
      <c r="B82" t="str">
        <f t="shared" si="5"/>
        <v>300228</v>
      </c>
      <c r="C82" t="s">
        <v>174</v>
      </c>
      <c r="D82" t="str">
        <f t="shared" si="9"/>
        <v>Evacuation Centers / Quarantine Facilities / Public Health Facilities</v>
      </c>
      <c r="E82" t="s">
        <v>128</v>
      </c>
      <c r="J82" s="2">
        <f t="shared" si="7"/>
        <v>0</v>
      </c>
      <c r="M82" s="2">
        <f t="shared" si="8"/>
        <v>0</v>
      </c>
    </row>
    <row r="83" spans="1:13" x14ac:dyDescent="0.25">
      <c r="A83" s="7" t="s">
        <v>175</v>
      </c>
      <c r="B83" t="str">
        <f t="shared" si="5"/>
        <v>300230</v>
      </c>
      <c r="C83" t="s">
        <v>176</v>
      </c>
      <c r="D83" t="str">
        <f t="shared" si="9"/>
        <v>Public Water Supply System</v>
      </c>
      <c r="E83" t="s">
        <v>52</v>
      </c>
      <c r="H83" s="2">
        <v>1269500000</v>
      </c>
      <c r="I83" s="2"/>
      <c r="J83" s="2">
        <f t="shared" si="7"/>
        <v>1269500000</v>
      </c>
      <c r="K83" s="2">
        <v>1537516000</v>
      </c>
      <c r="L83" s="2"/>
      <c r="M83" s="2">
        <v>1537516000</v>
      </c>
    </row>
    <row r="84" spans="1:13" x14ac:dyDescent="0.25">
      <c r="A84" s="7" t="s">
        <v>177</v>
      </c>
      <c r="B84" t="str">
        <f t="shared" si="5"/>
        <v>300236</v>
      </c>
      <c r="C84" t="s">
        <v>178</v>
      </c>
      <c r="D84" t="str">
        <f t="shared" si="9"/>
        <v>Coastal Roads to Augment Resiliency of Coastal Communities</v>
      </c>
      <c r="E84" t="s">
        <v>27</v>
      </c>
      <c r="H84" s="2">
        <v>545000000</v>
      </c>
      <c r="I84" s="2"/>
      <c r="J84" s="2">
        <f t="shared" si="7"/>
        <v>545000000</v>
      </c>
      <c r="K84" s="2">
        <v>545000000</v>
      </c>
      <c r="L84" s="2"/>
      <c r="M84" s="2">
        <f t="shared" si="8"/>
        <v>545000000</v>
      </c>
    </row>
    <row r="85" spans="1:13" hidden="1" x14ac:dyDescent="0.25">
      <c r="A85" s="7" t="s">
        <v>179</v>
      </c>
      <c r="B85" t="str">
        <f t="shared" si="5"/>
        <v>300237</v>
      </c>
      <c r="C85" t="s">
        <v>168</v>
      </c>
      <c r="D85" t="str">
        <f t="shared" si="9"/>
        <v>Flood Mitigation Structures protecting Major/Strategic Public Buildings/Facilities</v>
      </c>
      <c r="E85" t="s">
        <v>104</v>
      </c>
      <c r="J85" s="2">
        <f t="shared" si="7"/>
        <v>0</v>
      </c>
      <c r="M85" s="2">
        <f t="shared" si="8"/>
        <v>0</v>
      </c>
    </row>
    <row r="86" spans="1:13" x14ac:dyDescent="0.25">
      <c r="A86" s="7" t="s">
        <v>180</v>
      </c>
      <c r="B86" t="str">
        <f t="shared" si="5"/>
        <v>300238</v>
      </c>
      <c r="C86" t="s">
        <v>181</v>
      </c>
      <c r="D86" t="str">
        <f t="shared" si="9"/>
        <v>Major/Strategic Public Buildings/Facilities</v>
      </c>
      <c r="E86" t="s">
        <v>128</v>
      </c>
      <c r="H86" s="2">
        <v>744500000</v>
      </c>
      <c r="I86" s="2"/>
      <c r="J86" s="2">
        <f t="shared" si="7"/>
        <v>744500000</v>
      </c>
      <c r="K86" s="2">
        <v>1020810000</v>
      </c>
      <c r="L86" s="2"/>
      <c r="M86" s="2">
        <f t="shared" si="8"/>
        <v>1020810000</v>
      </c>
    </row>
    <row r="87" spans="1:13" hidden="1" x14ac:dyDescent="0.25">
      <c r="A87" s="7" t="s">
        <v>182</v>
      </c>
      <c r="B87" t="str">
        <f t="shared" si="5"/>
        <v>300239</v>
      </c>
      <c r="C87" t="s">
        <v>183</v>
      </c>
      <c r="D87" t="str">
        <f t="shared" si="9"/>
        <v>Interjurisdictional Roads and/or Bridges (roads traversing multiple LGUs)</v>
      </c>
      <c r="E87" t="s">
        <v>27</v>
      </c>
      <c r="J87" s="2">
        <f t="shared" si="7"/>
        <v>0</v>
      </c>
      <c r="M87" s="2">
        <f t="shared" si="8"/>
        <v>0</v>
      </c>
    </row>
    <row r="88" spans="1:13" x14ac:dyDescent="0.25">
      <c r="A88" s="7" t="s">
        <v>184</v>
      </c>
      <c r="B88" t="str">
        <f t="shared" si="5"/>
        <v>300240</v>
      </c>
      <c r="C88" t="s">
        <v>185</v>
      </c>
      <c r="D88" t="str">
        <f t="shared" si="9"/>
        <v>Evacuation Centers / Public Health Facilities</v>
      </c>
      <c r="E88" t="s">
        <v>128</v>
      </c>
      <c r="H88" s="2">
        <v>1312500000</v>
      </c>
      <c r="I88" s="2"/>
      <c r="J88" s="2">
        <f t="shared" si="7"/>
        <v>1312500000</v>
      </c>
      <c r="K88" s="2">
        <v>1185500000</v>
      </c>
      <c r="L88" s="2"/>
      <c r="M88" s="2">
        <f t="shared" si="8"/>
        <v>1185500000</v>
      </c>
    </row>
    <row r="89" spans="1:13" x14ac:dyDescent="0.25">
      <c r="A89" s="7" t="s">
        <v>186</v>
      </c>
      <c r="B89" t="str">
        <f t="shared" si="5"/>
        <v>300241</v>
      </c>
      <c r="C89" t="s">
        <v>187</v>
      </c>
      <c r="D89" t="str">
        <f t="shared" si="9"/>
        <v>Local Ports and Boat Landing</v>
      </c>
      <c r="E89" t="s">
        <v>128</v>
      </c>
      <c r="H89" s="2">
        <v>20000000</v>
      </c>
      <c r="I89" s="2"/>
      <c r="J89" s="2">
        <f t="shared" si="7"/>
        <v>20000000</v>
      </c>
      <c r="K89" s="2">
        <v>35000000</v>
      </c>
      <c r="L89" s="2"/>
      <c r="M89" s="2">
        <f t="shared" si="8"/>
        <v>35000000</v>
      </c>
    </row>
    <row r="90" spans="1:13" x14ac:dyDescent="0.25">
      <c r="A90" s="7" t="s">
        <v>188</v>
      </c>
      <c r="B90" t="str">
        <f>LEFT(A90, 4)</f>
        <v>3001</v>
      </c>
      <c r="C90" s="8" t="s">
        <v>189</v>
      </c>
      <c r="F90" s="9"/>
      <c r="G90" s="14"/>
      <c r="H90" s="11">
        <v>14219706000</v>
      </c>
      <c r="I90" s="11">
        <v>1194138000</v>
      </c>
      <c r="J90" s="11">
        <f t="shared" si="7"/>
        <v>15413844000</v>
      </c>
      <c r="K90" s="11">
        <v>6804681000</v>
      </c>
      <c r="L90" s="11">
        <v>1194138000</v>
      </c>
      <c r="M90" s="11">
        <f t="shared" si="8"/>
        <v>7998819000</v>
      </c>
    </row>
    <row r="91" spans="1:13" x14ac:dyDescent="0.25">
      <c r="A91" s="7" t="s">
        <v>190</v>
      </c>
      <c r="B91" t="str">
        <f>LEFT(A91, 6)</f>
        <v>300105</v>
      </c>
      <c r="C91" t="s">
        <v>191</v>
      </c>
      <c r="D91" t="s">
        <v>191</v>
      </c>
      <c r="E91" t="s">
        <v>128</v>
      </c>
      <c r="H91" s="2">
        <v>10219706000</v>
      </c>
      <c r="I91" s="2">
        <v>1194138000</v>
      </c>
      <c r="J91" s="2">
        <f t="shared" si="7"/>
        <v>11413844000</v>
      </c>
      <c r="K91" s="2">
        <v>5804681000</v>
      </c>
      <c r="L91" s="2">
        <v>1194138000</v>
      </c>
      <c r="M91" s="2">
        <f t="shared" si="8"/>
        <v>6998819000</v>
      </c>
    </row>
    <row r="92" spans="1:13" x14ac:dyDescent="0.25">
      <c r="A92" s="7" t="s">
        <v>192</v>
      </c>
      <c r="B92" t="str">
        <f>LEFT(A92, 6)</f>
        <v>300110</v>
      </c>
      <c r="C92" t="s">
        <v>193</v>
      </c>
      <c r="D92" t="s">
        <v>193</v>
      </c>
      <c r="E92" t="s">
        <v>111</v>
      </c>
      <c r="H92" s="2">
        <v>4000000000</v>
      </c>
      <c r="I92" s="2"/>
      <c r="J92" s="2">
        <f t="shared" si="7"/>
        <v>4000000000</v>
      </c>
      <c r="K92" s="2">
        <v>1000000000</v>
      </c>
      <c r="L92" s="2"/>
      <c r="M92" s="2">
        <f t="shared" si="8"/>
        <v>1000000000</v>
      </c>
    </row>
  </sheetData>
  <autoFilter ref="H3:M92" xr:uid="{6B643147-2953-49A3-9B5C-B56D922AEEE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4A66-83EB-43AD-A814-361802D7A017}">
  <dimension ref="A1:A217"/>
  <sheetViews>
    <sheetView topLeftCell="A207" workbookViewId="0">
      <selection activeCell="A217" sqref="A1:A217"/>
    </sheetView>
  </sheetViews>
  <sheetFormatPr defaultRowHeight="15" x14ac:dyDescent="0.25"/>
  <sheetData>
    <row r="1" spans="1:1" x14ac:dyDescent="0.25">
      <c r="A1" t="s">
        <v>201</v>
      </c>
    </row>
    <row r="2" spans="1:1" x14ac:dyDescent="0.25">
      <c r="A2" t="s">
        <v>202</v>
      </c>
    </row>
    <row r="3" spans="1:1" x14ac:dyDescent="0.25">
      <c r="A3" t="s">
        <v>203</v>
      </c>
    </row>
    <row r="4" spans="1:1" x14ac:dyDescent="0.25">
      <c r="A4" t="s">
        <v>204</v>
      </c>
    </row>
    <row r="5" spans="1:1" x14ac:dyDescent="0.25">
      <c r="A5" t="s">
        <v>205</v>
      </c>
    </row>
    <row r="6" spans="1:1" x14ac:dyDescent="0.25">
      <c r="A6" t="s">
        <v>206</v>
      </c>
    </row>
    <row r="7" spans="1:1" x14ac:dyDescent="0.25">
      <c r="A7" t="s">
        <v>207</v>
      </c>
    </row>
    <row r="8" spans="1:1" x14ac:dyDescent="0.25">
      <c r="A8" t="s">
        <v>208</v>
      </c>
    </row>
    <row r="9" spans="1:1" x14ac:dyDescent="0.25">
      <c r="A9" t="s">
        <v>209</v>
      </c>
    </row>
    <row r="10" spans="1:1" x14ac:dyDescent="0.25">
      <c r="A10" t="s">
        <v>210</v>
      </c>
    </row>
    <row r="11" spans="1:1" x14ac:dyDescent="0.25">
      <c r="A11" t="s">
        <v>211</v>
      </c>
    </row>
    <row r="12" spans="1:1" x14ac:dyDescent="0.25">
      <c r="A12" t="s">
        <v>212</v>
      </c>
    </row>
    <row r="13" spans="1:1" x14ac:dyDescent="0.25">
      <c r="A13" t="s">
        <v>213</v>
      </c>
    </row>
    <row r="14" spans="1:1" x14ac:dyDescent="0.25">
      <c r="A14" t="s">
        <v>214</v>
      </c>
    </row>
    <row r="15" spans="1:1" x14ac:dyDescent="0.25">
      <c r="A15" t="s">
        <v>215</v>
      </c>
    </row>
    <row r="16" spans="1:1" x14ac:dyDescent="0.25">
      <c r="A16" t="s">
        <v>216</v>
      </c>
    </row>
    <row r="17" spans="1:1" x14ac:dyDescent="0.25">
      <c r="A17" t="s">
        <v>217</v>
      </c>
    </row>
    <row r="18" spans="1:1" x14ac:dyDescent="0.25">
      <c r="A18" t="s">
        <v>218</v>
      </c>
    </row>
    <row r="19" spans="1:1" x14ac:dyDescent="0.25">
      <c r="A19" t="s">
        <v>219</v>
      </c>
    </row>
    <row r="20" spans="1:1" x14ac:dyDescent="0.25">
      <c r="A20" t="s">
        <v>220</v>
      </c>
    </row>
    <row r="21" spans="1:1" x14ac:dyDescent="0.25">
      <c r="A21" t="s">
        <v>221</v>
      </c>
    </row>
    <row r="22" spans="1:1" x14ac:dyDescent="0.25">
      <c r="A22" t="s">
        <v>222</v>
      </c>
    </row>
    <row r="23" spans="1:1" x14ac:dyDescent="0.25">
      <c r="A23" t="s">
        <v>223</v>
      </c>
    </row>
    <row r="24" spans="1:1" x14ac:dyDescent="0.25">
      <c r="A24" t="s">
        <v>224</v>
      </c>
    </row>
    <row r="25" spans="1:1" x14ac:dyDescent="0.25">
      <c r="A25" t="s">
        <v>225</v>
      </c>
    </row>
    <row r="26" spans="1:1" x14ac:dyDescent="0.25">
      <c r="A26" t="s">
        <v>226</v>
      </c>
    </row>
    <row r="27" spans="1:1" x14ac:dyDescent="0.25">
      <c r="A27" t="s">
        <v>227</v>
      </c>
    </row>
    <row r="28" spans="1:1" x14ac:dyDescent="0.25">
      <c r="A28" t="s">
        <v>228</v>
      </c>
    </row>
    <row r="29" spans="1:1" x14ac:dyDescent="0.25">
      <c r="A29" t="s">
        <v>229</v>
      </c>
    </row>
    <row r="30" spans="1:1" x14ac:dyDescent="0.25">
      <c r="A30" t="s">
        <v>230</v>
      </c>
    </row>
    <row r="31" spans="1:1" x14ac:dyDescent="0.25">
      <c r="A31" t="s">
        <v>231</v>
      </c>
    </row>
    <row r="32" spans="1:1" x14ac:dyDescent="0.25">
      <c r="A32" t="s">
        <v>232</v>
      </c>
    </row>
    <row r="33" spans="1:1" x14ac:dyDescent="0.25">
      <c r="A33" t="s">
        <v>233</v>
      </c>
    </row>
    <row r="34" spans="1:1" x14ac:dyDescent="0.25">
      <c r="A34" t="s">
        <v>234</v>
      </c>
    </row>
    <row r="35" spans="1:1" x14ac:dyDescent="0.25">
      <c r="A35" t="s">
        <v>235</v>
      </c>
    </row>
    <row r="36" spans="1:1" x14ac:dyDescent="0.25">
      <c r="A36" t="s">
        <v>236</v>
      </c>
    </row>
    <row r="37" spans="1:1" x14ac:dyDescent="0.25">
      <c r="A37" t="s">
        <v>237</v>
      </c>
    </row>
    <row r="38" spans="1:1" x14ac:dyDescent="0.25">
      <c r="A38" t="s">
        <v>238</v>
      </c>
    </row>
    <row r="39" spans="1:1" x14ac:dyDescent="0.25">
      <c r="A39" t="s">
        <v>239</v>
      </c>
    </row>
    <row r="40" spans="1:1" x14ac:dyDescent="0.25">
      <c r="A40" t="s">
        <v>240</v>
      </c>
    </row>
    <row r="41" spans="1:1" x14ac:dyDescent="0.25">
      <c r="A41" t="s">
        <v>241</v>
      </c>
    </row>
    <row r="42" spans="1:1" x14ac:dyDescent="0.25">
      <c r="A42" t="s">
        <v>242</v>
      </c>
    </row>
    <row r="43" spans="1:1" x14ac:dyDescent="0.25">
      <c r="A43" t="s">
        <v>243</v>
      </c>
    </row>
    <row r="44" spans="1:1" x14ac:dyDescent="0.25">
      <c r="A44" t="s">
        <v>244</v>
      </c>
    </row>
    <row r="45" spans="1:1" x14ac:dyDescent="0.25">
      <c r="A45" t="s">
        <v>245</v>
      </c>
    </row>
    <row r="46" spans="1:1" x14ac:dyDescent="0.25">
      <c r="A46" t="s">
        <v>246</v>
      </c>
    </row>
    <row r="47" spans="1:1" x14ac:dyDescent="0.25">
      <c r="A47" t="s">
        <v>247</v>
      </c>
    </row>
    <row r="48" spans="1:1" x14ac:dyDescent="0.25">
      <c r="A48" t="s">
        <v>248</v>
      </c>
    </row>
    <row r="49" spans="1:1" x14ac:dyDescent="0.25">
      <c r="A49" t="s">
        <v>249</v>
      </c>
    </row>
    <row r="50" spans="1:1" x14ac:dyDescent="0.25">
      <c r="A50" t="s">
        <v>250</v>
      </c>
    </row>
    <row r="51" spans="1:1" x14ac:dyDescent="0.25">
      <c r="A51" t="s">
        <v>251</v>
      </c>
    </row>
    <row r="52" spans="1:1" x14ac:dyDescent="0.25">
      <c r="A52" t="s">
        <v>252</v>
      </c>
    </row>
    <row r="53" spans="1:1" x14ac:dyDescent="0.25">
      <c r="A53" t="s">
        <v>253</v>
      </c>
    </row>
    <row r="54" spans="1:1" x14ac:dyDescent="0.25">
      <c r="A54" t="s">
        <v>254</v>
      </c>
    </row>
    <row r="55" spans="1:1" x14ac:dyDescent="0.25">
      <c r="A55" t="s">
        <v>255</v>
      </c>
    </row>
    <row r="56" spans="1:1" x14ac:dyDescent="0.25">
      <c r="A56" t="s">
        <v>256</v>
      </c>
    </row>
    <row r="57" spans="1:1" x14ac:dyDescent="0.25">
      <c r="A57" t="s">
        <v>257</v>
      </c>
    </row>
    <row r="58" spans="1:1" x14ac:dyDescent="0.25">
      <c r="A58" t="s">
        <v>258</v>
      </c>
    </row>
    <row r="59" spans="1:1" x14ac:dyDescent="0.25">
      <c r="A59" t="s">
        <v>259</v>
      </c>
    </row>
    <row r="60" spans="1:1" x14ac:dyDescent="0.25">
      <c r="A60" t="s">
        <v>260</v>
      </c>
    </row>
    <row r="61" spans="1:1" x14ac:dyDescent="0.25">
      <c r="A61" t="s">
        <v>261</v>
      </c>
    </row>
    <row r="62" spans="1:1" x14ac:dyDescent="0.25">
      <c r="A62" t="s">
        <v>262</v>
      </c>
    </row>
    <row r="63" spans="1:1" x14ac:dyDescent="0.25">
      <c r="A63" t="s">
        <v>263</v>
      </c>
    </row>
    <row r="64" spans="1:1" x14ac:dyDescent="0.25">
      <c r="A64" t="s">
        <v>264</v>
      </c>
    </row>
    <row r="65" spans="1:1" x14ac:dyDescent="0.25">
      <c r="A65" t="s">
        <v>265</v>
      </c>
    </row>
    <row r="66" spans="1:1" x14ac:dyDescent="0.25">
      <c r="A66" t="s">
        <v>266</v>
      </c>
    </row>
    <row r="67" spans="1:1" x14ac:dyDescent="0.25">
      <c r="A67" t="s">
        <v>267</v>
      </c>
    </row>
    <row r="68" spans="1:1" x14ac:dyDescent="0.25">
      <c r="A68" t="s">
        <v>268</v>
      </c>
    </row>
    <row r="69" spans="1:1" x14ac:dyDescent="0.25">
      <c r="A69" t="s">
        <v>269</v>
      </c>
    </row>
    <row r="70" spans="1:1" x14ac:dyDescent="0.25">
      <c r="A70" t="s">
        <v>270</v>
      </c>
    </row>
    <row r="71" spans="1:1" x14ac:dyDescent="0.25">
      <c r="A71" t="s">
        <v>271</v>
      </c>
    </row>
    <row r="72" spans="1:1" x14ac:dyDescent="0.25">
      <c r="A72" t="s">
        <v>272</v>
      </c>
    </row>
    <row r="73" spans="1:1" x14ac:dyDescent="0.25">
      <c r="A73" t="s">
        <v>273</v>
      </c>
    </row>
    <row r="74" spans="1:1" x14ac:dyDescent="0.25">
      <c r="A74" t="s">
        <v>274</v>
      </c>
    </row>
    <row r="75" spans="1:1" x14ac:dyDescent="0.25">
      <c r="A75" t="s">
        <v>275</v>
      </c>
    </row>
    <row r="76" spans="1:1" x14ac:dyDescent="0.25">
      <c r="A76" t="s">
        <v>276</v>
      </c>
    </row>
    <row r="77" spans="1:1" x14ac:dyDescent="0.25">
      <c r="A77" t="s">
        <v>277</v>
      </c>
    </row>
    <row r="78" spans="1:1" x14ac:dyDescent="0.25">
      <c r="A78" t="s">
        <v>278</v>
      </c>
    </row>
    <row r="79" spans="1:1" x14ac:dyDescent="0.25">
      <c r="A79" t="s">
        <v>279</v>
      </c>
    </row>
    <row r="80" spans="1:1" x14ac:dyDescent="0.25">
      <c r="A80" t="s">
        <v>280</v>
      </c>
    </row>
    <row r="81" spans="1:1" x14ac:dyDescent="0.25">
      <c r="A81" t="s">
        <v>281</v>
      </c>
    </row>
    <row r="82" spans="1:1" x14ac:dyDescent="0.25">
      <c r="A82" t="s">
        <v>282</v>
      </c>
    </row>
    <row r="83" spans="1:1" x14ac:dyDescent="0.25">
      <c r="A83" t="s">
        <v>283</v>
      </c>
    </row>
    <row r="84" spans="1:1" x14ac:dyDescent="0.25">
      <c r="A84" t="s">
        <v>284</v>
      </c>
    </row>
    <row r="85" spans="1:1" x14ac:dyDescent="0.25">
      <c r="A85" t="s">
        <v>285</v>
      </c>
    </row>
    <row r="86" spans="1:1" x14ac:dyDescent="0.25">
      <c r="A86" t="s">
        <v>286</v>
      </c>
    </row>
    <row r="87" spans="1:1" x14ac:dyDescent="0.25">
      <c r="A87" t="s">
        <v>287</v>
      </c>
    </row>
    <row r="88" spans="1:1" x14ac:dyDescent="0.25">
      <c r="A88" t="s">
        <v>288</v>
      </c>
    </row>
    <row r="89" spans="1:1" x14ac:dyDescent="0.25">
      <c r="A89" t="s">
        <v>289</v>
      </c>
    </row>
    <row r="90" spans="1:1" x14ac:dyDescent="0.25">
      <c r="A90" t="s">
        <v>290</v>
      </c>
    </row>
    <row r="91" spans="1:1" x14ac:dyDescent="0.25">
      <c r="A91" t="s">
        <v>291</v>
      </c>
    </row>
    <row r="92" spans="1:1" x14ac:dyDescent="0.25">
      <c r="A92" t="s">
        <v>292</v>
      </c>
    </row>
    <row r="93" spans="1:1" x14ac:dyDescent="0.25">
      <c r="A93" t="s">
        <v>293</v>
      </c>
    </row>
    <row r="94" spans="1:1" x14ac:dyDescent="0.25">
      <c r="A94" t="s">
        <v>294</v>
      </c>
    </row>
    <row r="95" spans="1:1" x14ac:dyDescent="0.25">
      <c r="A95" t="s">
        <v>295</v>
      </c>
    </row>
    <row r="96" spans="1:1" x14ac:dyDescent="0.25">
      <c r="A96" t="s">
        <v>296</v>
      </c>
    </row>
    <row r="97" spans="1:1" x14ac:dyDescent="0.25">
      <c r="A97" t="s">
        <v>297</v>
      </c>
    </row>
    <row r="98" spans="1:1" x14ac:dyDescent="0.25">
      <c r="A98" t="s">
        <v>298</v>
      </c>
    </row>
    <row r="99" spans="1:1" x14ac:dyDescent="0.25">
      <c r="A99" t="s">
        <v>299</v>
      </c>
    </row>
    <row r="100" spans="1:1" x14ac:dyDescent="0.25">
      <c r="A100" t="s">
        <v>300</v>
      </c>
    </row>
    <row r="101" spans="1:1" x14ac:dyDescent="0.25">
      <c r="A101" t="s">
        <v>301</v>
      </c>
    </row>
    <row r="102" spans="1:1" x14ac:dyDescent="0.25">
      <c r="A102" t="s">
        <v>302</v>
      </c>
    </row>
    <row r="103" spans="1:1" x14ac:dyDescent="0.25">
      <c r="A103" t="s">
        <v>303</v>
      </c>
    </row>
    <row r="104" spans="1:1" x14ac:dyDescent="0.25">
      <c r="A104" t="s">
        <v>304</v>
      </c>
    </row>
    <row r="105" spans="1:1" x14ac:dyDescent="0.25">
      <c r="A105" t="s">
        <v>305</v>
      </c>
    </row>
    <row r="106" spans="1:1" x14ac:dyDescent="0.25">
      <c r="A106" t="s">
        <v>306</v>
      </c>
    </row>
    <row r="107" spans="1:1" x14ac:dyDescent="0.25">
      <c r="A107" t="s">
        <v>307</v>
      </c>
    </row>
    <row r="108" spans="1:1" x14ac:dyDescent="0.25">
      <c r="A108" t="s">
        <v>308</v>
      </c>
    </row>
    <row r="109" spans="1:1" x14ac:dyDescent="0.25">
      <c r="A109" t="s">
        <v>309</v>
      </c>
    </row>
    <row r="110" spans="1:1" x14ac:dyDescent="0.25">
      <c r="A110" t="s">
        <v>310</v>
      </c>
    </row>
    <row r="111" spans="1:1" x14ac:dyDescent="0.25">
      <c r="A111" t="s">
        <v>311</v>
      </c>
    </row>
    <row r="112" spans="1:1" x14ac:dyDescent="0.25">
      <c r="A112" t="s">
        <v>312</v>
      </c>
    </row>
    <row r="113" spans="1:1" x14ac:dyDescent="0.25">
      <c r="A113" t="s">
        <v>313</v>
      </c>
    </row>
    <row r="114" spans="1:1" x14ac:dyDescent="0.25">
      <c r="A114" t="s">
        <v>314</v>
      </c>
    </row>
    <row r="115" spans="1:1" x14ac:dyDescent="0.25">
      <c r="A115" t="s">
        <v>315</v>
      </c>
    </row>
    <row r="116" spans="1:1" x14ac:dyDescent="0.25">
      <c r="A116" t="s">
        <v>316</v>
      </c>
    </row>
    <row r="117" spans="1:1" x14ac:dyDescent="0.25">
      <c r="A117" t="s">
        <v>317</v>
      </c>
    </row>
    <row r="118" spans="1:1" x14ac:dyDescent="0.25">
      <c r="A118" t="s">
        <v>318</v>
      </c>
    </row>
    <row r="119" spans="1:1" x14ac:dyDescent="0.25">
      <c r="A119" t="s">
        <v>319</v>
      </c>
    </row>
    <row r="120" spans="1:1" x14ac:dyDescent="0.25">
      <c r="A120" t="s">
        <v>320</v>
      </c>
    </row>
    <row r="121" spans="1:1" x14ac:dyDescent="0.25">
      <c r="A121" t="s">
        <v>321</v>
      </c>
    </row>
    <row r="122" spans="1:1" x14ac:dyDescent="0.25">
      <c r="A122" t="s">
        <v>322</v>
      </c>
    </row>
    <row r="123" spans="1:1" x14ac:dyDescent="0.25">
      <c r="A123" t="s">
        <v>323</v>
      </c>
    </row>
    <row r="124" spans="1:1" x14ac:dyDescent="0.25">
      <c r="A124" t="s">
        <v>324</v>
      </c>
    </row>
    <row r="125" spans="1:1" x14ac:dyDescent="0.25">
      <c r="A125" t="s">
        <v>325</v>
      </c>
    </row>
    <row r="126" spans="1:1" x14ac:dyDescent="0.25">
      <c r="A126" t="s">
        <v>326</v>
      </c>
    </row>
    <row r="127" spans="1:1" x14ac:dyDescent="0.25">
      <c r="A127" t="s">
        <v>327</v>
      </c>
    </row>
    <row r="128" spans="1:1" x14ac:dyDescent="0.25">
      <c r="A128" t="s">
        <v>328</v>
      </c>
    </row>
    <row r="129" spans="1:1" x14ac:dyDescent="0.25">
      <c r="A129" t="s">
        <v>329</v>
      </c>
    </row>
    <row r="130" spans="1:1" x14ac:dyDescent="0.25">
      <c r="A130" t="s">
        <v>330</v>
      </c>
    </row>
    <row r="131" spans="1:1" x14ac:dyDescent="0.25">
      <c r="A131" t="s">
        <v>331</v>
      </c>
    </row>
    <row r="132" spans="1:1" x14ac:dyDescent="0.25">
      <c r="A132" t="s">
        <v>332</v>
      </c>
    </row>
    <row r="133" spans="1:1" x14ac:dyDescent="0.25">
      <c r="A133" t="s">
        <v>333</v>
      </c>
    </row>
    <row r="134" spans="1:1" x14ac:dyDescent="0.25">
      <c r="A134" t="s">
        <v>334</v>
      </c>
    </row>
    <row r="135" spans="1:1" x14ac:dyDescent="0.25">
      <c r="A135" t="s">
        <v>335</v>
      </c>
    </row>
    <row r="136" spans="1:1" x14ac:dyDescent="0.25">
      <c r="A136" t="s">
        <v>336</v>
      </c>
    </row>
    <row r="137" spans="1:1" x14ac:dyDescent="0.25">
      <c r="A137" t="s">
        <v>337</v>
      </c>
    </row>
    <row r="138" spans="1:1" x14ac:dyDescent="0.25">
      <c r="A138" t="s">
        <v>338</v>
      </c>
    </row>
    <row r="139" spans="1:1" x14ac:dyDescent="0.25">
      <c r="A139" t="s">
        <v>339</v>
      </c>
    </row>
    <row r="140" spans="1:1" x14ac:dyDescent="0.25">
      <c r="A140" t="s">
        <v>340</v>
      </c>
    </row>
    <row r="141" spans="1:1" x14ac:dyDescent="0.25">
      <c r="A141" t="s">
        <v>341</v>
      </c>
    </row>
    <row r="142" spans="1:1" x14ac:dyDescent="0.25">
      <c r="A142" t="s">
        <v>342</v>
      </c>
    </row>
    <row r="143" spans="1:1" x14ac:dyDescent="0.25">
      <c r="A143" t="s">
        <v>343</v>
      </c>
    </row>
    <row r="144" spans="1:1" x14ac:dyDescent="0.25">
      <c r="A144" t="s">
        <v>344</v>
      </c>
    </row>
    <row r="145" spans="1:1" x14ac:dyDescent="0.25">
      <c r="A145" t="s">
        <v>345</v>
      </c>
    </row>
    <row r="146" spans="1:1" x14ac:dyDescent="0.25">
      <c r="A146" t="s">
        <v>346</v>
      </c>
    </row>
    <row r="147" spans="1:1" x14ac:dyDescent="0.25">
      <c r="A147" t="s">
        <v>347</v>
      </c>
    </row>
    <row r="148" spans="1:1" x14ac:dyDescent="0.25">
      <c r="A148" t="s">
        <v>348</v>
      </c>
    </row>
    <row r="149" spans="1:1" x14ac:dyDescent="0.25">
      <c r="A149" t="s">
        <v>349</v>
      </c>
    </row>
    <row r="150" spans="1:1" x14ac:dyDescent="0.25">
      <c r="A150" t="s">
        <v>350</v>
      </c>
    </row>
    <row r="151" spans="1:1" x14ac:dyDescent="0.25">
      <c r="A151" t="s">
        <v>414</v>
      </c>
    </row>
    <row r="152" spans="1:1" x14ac:dyDescent="0.25">
      <c r="A152" t="s">
        <v>351</v>
      </c>
    </row>
    <row r="153" spans="1:1" x14ac:dyDescent="0.25">
      <c r="A153" t="s">
        <v>405</v>
      </c>
    </row>
    <row r="154" spans="1:1" x14ac:dyDescent="0.25">
      <c r="A154" t="s">
        <v>352</v>
      </c>
    </row>
    <row r="155" spans="1:1" x14ac:dyDescent="0.25">
      <c r="A155" t="s">
        <v>353</v>
      </c>
    </row>
    <row r="156" spans="1:1" x14ac:dyDescent="0.25">
      <c r="A156" t="s">
        <v>354</v>
      </c>
    </row>
    <row r="157" spans="1:1" x14ac:dyDescent="0.25">
      <c r="A157" t="s">
        <v>355</v>
      </c>
    </row>
    <row r="158" spans="1:1" x14ac:dyDescent="0.25">
      <c r="A158" t="s">
        <v>356</v>
      </c>
    </row>
    <row r="159" spans="1:1" x14ac:dyDescent="0.25">
      <c r="A159" t="s">
        <v>357</v>
      </c>
    </row>
    <row r="160" spans="1:1" x14ac:dyDescent="0.25">
      <c r="A160" t="s">
        <v>358</v>
      </c>
    </row>
    <row r="161" spans="1:1" x14ac:dyDescent="0.25">
      <c r="A161" t="s">
        <v>359</v>
      </c>
    </row>
    <row r="162" spans="1:1" x14ac:dyDescent="0.25">
      <c r="A162" t="s">
        <v>360</v>
      </c>
    </row>
    <row r="163" spans="1:1" x14ac:dyDescent="0.25">
      <c r="A163" t="s">
        <v>361</v>
      </c>
    </row>
    <row r="164" spans="1:1" x14ac:dyDescent="0.25">
      <c r="A164" t="s">
        <v>362</v>
      </c>
    </row>
    <row r="165" spans="1:1" x14ac:dyDescent="0.25">
      <c r="A165" t="s">
        <v>363</v>
      </c>
    </row>
    <row r="166" spans="1:1" x14ac:dyDescent="0.25">
      <c r="A166" t="s">
        <v>364</v>
      </c>
    </row>
    <row r="167" spans="1:1" x14ac:dyDescent="0.25">
      <c r="A167" t="s">
        <v>365</v>
      </c>
    </row>
    <row r="168" spans="1:1" x14ac:dyDescent="0.25">
      <c r="A168" t="s">
        <v>366</v>
      </c>
    </row>
    <row r="169" spans="1:1" x14ac:dyDescent="0.25">
      <c r="A169" t="s">
        <v>367</v>
      </c>
    </row>
    <row r="170" spans="1:1" x14ac:dyDescent="0.25">
      <c r="A170" t="s">
        <v>368</v>
      </c>
    </row>
    <row r="171" spans="1:1" x14ac:dyDescent="0.25">
      <c r="A171" t="s">
        <v>369</v>
      </c>
    </row>
    <row r="172" spans="1:1" x14ac:dyDescent="0.25">
      <c r="A172" t="s">
        <v>370</v>
      </c>
    </row>
    <row r="173" spans="1:1" x14ac:dyDescent="0.25">
      <c r="A173" t="s">
        <v>371</v>
      </c>
    </row>
    <row r="174" spans="1:1" x14ac:dyDescent="0.25">
      <c r="A174" t="s">
        <v>372</v>
      </c>
    </row>
    <row r="175" spans="1:1" x14ac:dyDescent="0.25">
      <c r="A175" t="s">
        <v>373</v>
      </c>
    </row>
    <row r="176" spans="1:1" x14ac:dyDescent="0.25">
      <c r="A176" t="s">
        <v>374</v>
      </c>
    </row>
    <row r="177" spans="1:1" x14ac:dyDescent="0.25">
      <c r="A177" t="s">
        <v>375</v>
      </c>
    </row>
    <row r="178" spans="1:1" x14ac:dyDescent="0.25">
      <c r="A178" t="s">
        <v>376</v>
      </c>
    </row>
    <row r="179" spans="1:1" x14ac:dyDescent="0.25">
      <c r="A179" t="s">
        <v>377</v>
      </c>
    </row>
    <row r="180" spans="1:1" x14ac:dyDescent="0.25">
      <c r="A180" t="s">
        <v>378</v>
      </c>
    </row>
    <row r="181" spans="1:1" x14ac:dyDescent="0.25">
      <c r="A181" t="s">
        <v>379</v>
      </c>
    </row>
    <row r="182" spans="1:1" x14ac:dyDescent="0.25">
      <c r="A182" t="s">
        <v>380</v>
      </c>
    </row>
    <row r="183" spans="1:1" x14ac:dyDescent="0.25">
      <c r="A183" t="s">
        <v>381</v>
      </c>
    </row>
    <row r="184" spans="1:1" x14ac:dyDescent="0.25">
      <c r="A184" t="s">
        <v>382</v>
      </c>
    </row>
    <row r="185" spans="1:1" x14ac:dyDescent="0.25">
      <c r="A185" t="s">
        <v>383</v>
      </c>
    </row>
    <row r="186" spans="1:1" x14ac:dyDescent="0.25">
      <c r="A186" t="s">
        <v>384</v>
      </c>
    </row>
    <row r="187" spans="1:1" x14ac:dyDescent="0.25">
      <c r="A187" t="s">
        <v>385</v>
      </c>
    </row>
    <row r="188" spans="1:1" x14ac:dyDescent="0.25">
      <c r="A188" t="s">
        <v>386</v>
      </c>
    </row>
    <row r="189" spans="1:1" x14ac:dyDescent="0.25">
      <c r="A189" t="s">
        <v>387</v>
      </c>
    </row>
    <row r="190" spans="1:1" x14ac:dyDescent="0.25">
      <c r="A190" t="s">
        <v>388</v>
      </c>
    </row>
    <row r="191" spans="1:1" x14ac:dyDescent="0.25">
      <c r="A191" t="s">
        <v>389</v>
      </c>
    </row>
    <row r="192" spans="1:1" x14ac:dyDescent="0.25">
      <c r="A192" t="s">
        <v>390</v>
      </c>
    </row>
    <row r="193" spans="1:1" x14ac:dyDescent="0.25">
      <c r="A193" t="s">
        <v>391</v>
      </c>
    </row>
    <row r="194" spans="1:1" x14ac:dyDescent="0.25">
      <c r="A194" t="s">
        <v>392</v>
      </c>
    </row>
    <row r="195" spans="1:1" x14ac:dyDescent="0.25">
      <c r="A195" t="s">
        <v>393</v>
      </c>
    </row>
    <row r="196" spans="1:1" x14ac:dyDescent="0.25">
      <c r="A196" t="s">
        <v>394</v>
      </c>
    </row>
    <row r="197" spans="1:1" x14ac:dyDescent="0.25">
      <c r="A197" t="s">
        <v>395</v>
      </c>
    </row>
    <row r="198" spans="1:1" x14ac:dyDescent="0.25">
      <c r="A198" t="s">
        <v>396</v>
      </c>
    </row>
    <row r="199" spans="1:1" x14ac:dyDescent="0.25">
      <c r="A199" t="s">
        <v>397</v>
      </c>
    </row>
    <row r="200" spans="1:1" x14ac:dyDescent="0.25">
      <c r="A200" t="s">
        <v>398</v>
      </c>
    </row>
    <row r="201" spans="1:1" x14ac:dyDescent="0.25">
      <c r="A201" t="s">
        <v>399</v>
      </c>
    </row>
    <row r="202" spans="1:1" x14ac:dyDescent="0.25">
      <c r="A202" t="s">
        <v>400</v>
      </c>
    </row>
    <row r="203" spans="1:1" x14ac:dyDescent="0.25">
      <c r="A203" t="s">
        <v>401</v>
      </c>
    </row>
    <row r="204" spans="1:1" x14ac:dyDescent="0.25">
      <c r="A204" t="s">
        <v>402</v>
      </c>
    </row>
    <row r="205" spans="1:1" x14ac:dyDescent="0.25">
      <c r="A205" t="s">
        <v>403</v>
      </c>
    </row>
    <row r="206" spans="1:1" x14ac:dyDescent="0.25">
      <c r="A206" t="s">
        <v>404</v>
      </c>
    </row>
    <row r="207" spans="1:1" x14ac:dyDescent="0.25">
      <c r="A207" t="s">
        <v>423</v>
      </c>
    </row>
    <row r="208" spans="1:1" x14ac:dyDescent="0.25">
      <c r="A208" t="s">
        <v>406</v>
      </c>
    </row>
    <row r="209" spans="1:1" x14ac:dyDescent="0.25">
      <c r="A209" t="s">
        <v>407</v>
      </c>
    </row>
    <row r="210" spans="1:1" x14ac:dyDescent="0.25">
      <c r="A210" t="s">
        <v>408</v>
      </c>
    </row>
    <row r="211" spans="1:1" x14ac:dyDescent="0.25">
      <c r="A211" t="s">
        <v>409</v>
      </c>
    </row>
    <row r="212" spans="1:1" x14ac:dyDescent="0.25">
      <c r="A212" t="s">
        <v>410</v>
      </c>
    </row>
    <row r="213" spans="1:1" x14ac:dyDescent="0.25">
      <c r="A213" t="s">
        <v>411</v>
      </c>
    </row>
    <row r="214" spans="1:1" x14ac:dyDescent="0.25">
      <c r="A214" t="s">
        <v>412</v>
      </c>
    </row>
    <row r="215" spans="1:1" x14ac:dyDescent="0.25">
      <c r="A215" t="s">
        <v>413</v>
      </c>
    </row>
    <row r="216" spans="1:1" x14ac:dyDescent="0.25">
      <c r="A216" t="s">
        <v>415</v>
      </c>
    </row>
    <row r="217" spans="1:1" x14ac:dyDescent="0.25">
      <c r="A217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DPWH_OSec</vt:lpstr>
      <vt:lpstr>DPWH_UA</vt:lpstr>
      <vt:lpstr>NewAppro_ByProgram</vt:lpstr>
      <vt:lpstr>NewAppro_ByOperUnit</vt:lpstr>
      <vt:lpstr>2019_Veto</vt:lpstr>
      <vt:lpstr>2025_Veto</vt:lpstr>
      <vt:lpstr>2014-2017</vt:lpstr>
      <vt:lpstr>2018-2027</vt:lpstr>
      <vt:lpstr>UACS_2026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Montesa</dc:creator>
  <cp:lastModifiedBy>AJ Montesa</cp:lastModifiedBy>
  <dcterms:created xsi:type="dcterms:W3CDTF">2026-06-01T10:09:28Z</dcterms:created>
  <dcterms:modified xsi:type="dcterms:W3CDTF">2026-08-24T12:59:34Z</dcterms:modified>
</cp:coreProperties>
</file>